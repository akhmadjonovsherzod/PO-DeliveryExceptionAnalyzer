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hma\OneDrive\Desktop\Purchase Order &amp; Delivery Exception Analyzer\"/>
    </mc:Choice>
  </mc:AlternateContent>
  <xr:revisionPtr revIDLastSave="0" documentId="8_{11B20687-72D7-45E0-A910-EF995F52E092}" xr6:coauthVersionLast="47" xr6:coauthVersionMax="47" xr10:uidLastSave="{00000000-0000-0000-0000-000000000000}"/>
  <bookViews>
    <workbookView xWindow="-120" yWindow="-120" windowWidth="29040" windowHeight="15720" xr2:uid="{020E0595-6088-49AF-8A7E-4D604BF6B8BF}"/>
  </bookViews>
  <sheets>
    <sheet name="po_master" sheetId="6" r:id="rId1"/>
    <sheet name="po_gr_merged" sheetId="5" r:id="rId2"/>
    <sheet name="purchase_orders" sheetId="4" r:id="rId3"/>
    <sheet name="invoices" sheetId="3" r:id="rId4"/>
    <sheet name="goods_receipts" sheetId="2" r:id="rId5"/>
    <sheet name="Summary Sanity Check" sheetId="7" r:id="rId6"/>
  </sheets>
  <definedNames>
    <definedName name="ExternalData_1" localSheetId="4" hidden="1">goods_receipts!$A$1:$C$645</definedName>
    <definedName name="ExternalData_2" localSheetId="3" hidden="1">invoices!$A$1:$E$727</definedName>
    <definedName name="ExternalData_3" localSheetId="2" hidden="1">purchase_orders!$A$1:$G$701</definedName>
    <definedName name="ExternalData_4" localSheetId="1" hidden="1">po_gr_merged!$A$1:$G$701</definedName>
    <definedName name="ExternalData_5" localSheetId="0" hidden="1">po_master!$A$1:$M$727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2" i="6" l="1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6" i="6"/>
  <c r="U297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515" i="6"/>
  <c r="U516" i="6"/>
  <c r="U517" i="6"/>
  <c r="U518" i="6"/>
  <c r="U519" i="6"/>
  <c r="U520" i="6"/>
  <c r="U521" i="6"/>
  <c r="U522" i="6"/>
  <c r="U523" i="6"/>
  <c r="U524" i="6"/>
  <c r="U525" i="6"/>
  <c r="U526" i="6"/>
  <c r="U527" i="6"/>
  <c r="U528" i="6"/>
  <c r="U529" i="6"/>
  <c r="U530" i="6"/>
  <c r="U531" i="6"/>
  <c r="U532" i="6"/>
  <c r="U533" i="6"/>
  <c r="U534" i="6"/>
  <c r="U535" i="6"/>
  <c r="U536" i="6"/>
  <c r="U537" i="6"/>
  <c r="U538" i="6"/>
  <c r="U539" i="6"/>
  <c r="U540" i="6"/>
  <c r="U541" i="6"/>
  <c r="U542" i="6"/>
  <c r="U543" i="6"/>
  <c r="U544" i="6"/>
  <c r="U545" i="6"/>
  <c r="U546" i="6"/>
  <c r="U547" i="6"/>
  <c r="U548" i="6"/>
  <c r="U549" i="6"/>
  <c r="U550" i="6"/>
  <c r="U551" i="6"/>
  <c r="U552" i="6"/>
  <c r="U553" i="6"/>
  <c r="U554" i="6"/>
  <c r="U555" i="6"/>
  <c r="U556" i="6"/>
  <c r="U557" i="6"/>
  <c r="U558" i="6"/>
  <c r="U559" i="6"/>
  <c r="U560" i="6"/>
  <c r="U561" i="6"/>
  <c r="U562" i="6"/>
  <c r="U563" i="6"/>
  <c r="U564" i="6"/>
  <c r="U565" i="6"/>
  <c r="U566" i="6"/>
  <c r="U567" i="6"/>
  <c r="U568" i="6"/>
  <c r="U569" i="6"/>
  <c r="U570" i="6"/>
  <c r="U571" i="6"/>
  <c r="U572" i="6"/>
  <c r="U573" i="6"/>
  <c r="U574" i="6"/>
  <c r="U575" i="6"/>
  <c r="U576" i="6"/>
  <c r="U577" i="6"/>
  <c r="U578" i="6"/>
  <c r="U579" i="6"/>
  <c r="U580" i="6"/>
  <c r="U581" i="6"/>
  <c r="U582" i="6"/>
  <c r="U583" i="6"/>
  <c r="U584" i="6"/>
  <c r="U585" i="6"/>
  <c r="U586" i="6"/>
  <c r="U587" i="6"/>
  <c r="U588" i="6"/>
  <c r="U589" i="6"/>
  <c r="U590" i="6"/>
  <c r="U591" i="6"/>
  <c r="U592" i="6"/>
  <c r="U593" i="6"/>
  <c r="U594" i="6"/>
  <c r="U595" i="6"/>
  <c r="U596" i="6"/>
  <c r="U597" i="6"/>
  <c r="U598" i="6"/>
  <c r="U599" i="6"/>
  <c r="U600" i="6"/>
  <c r="U601" i="6"/>
  <c r="U602" i="6"/>
  <c r="U603" i="6"/>
  <c r="U604" i="6"/>
  <c r="U605" i="6"/>
  <c r="U606" i="6"/>
  <c r="U607" i="6"/>
  <c r="U608" i="6"/>
  <c r="U609" i="6"/>
  <c r="U610" i="6"/>
  <c r="U611" i="6"/>
  <c r="U612" i="6"/>
  <c r="U613" i="6"/>
  <c r="U614" i="6"/>
  <c r="U615" i="6"/>
  <c r="U616" i="6"/>
  <c r="U617" i="6"/>
  <c r="U618" i="6"/>
  <c r="U619" i="6"/>
  <c r="U620" i="6"/>
  <c r="U621" i="6"/>
  <c r="U622" i="6"/>
  <c r="U623" i="6"/>
  <c r="U624" i="6"/>
  <c r="U625" i="6"/>
  <c r="U626" i="6"/>
  <c r="U627" i="6"/>
  <c r="U628" i="6"/>
  <c r="U629" i="6"/>
  <c r="U630" i="6"/>
  <c r="U631" i="6"/>
  <c r="U632" i="6"/>
  <c r="U633" i="6"/>
  <c r="U634" i="6"/>
  <c r="U635" i="6"/>
  <c r="U636" i="6"/>
  <c r="U637" i="6"/>
  <c r="U638" i="6"/>
  <c r="U639" i="6"/>
  <c r="U640" i="6"/>
  <c r="U641" i="6"/>
  <c r="U642" i="6"/>
  <c r="U643" i="6"/>
  <c r="U644" i="6"/>
  <c r="U645" i="6"/>
  <c r="U646" i="6"/>
  <c r="U647" i="6"/>
  <c r="U648" i="6"/>
  <c r="U649" i="6"/>
  <c r="U650" i="6"/>
  <c r="U651" i="6"/>
  <c r="U652" i="6"/>
  <c r="U653" i="6"/>
  <c r="U654" i="6"/>
  <c r="U655" i="6"/>
  <c r="U656" i="6"/>
  <c r="U657" i="6"/>
  <c r="U658" i="6"/>
  <c r="U659" i="6"/>
  <c r="U660" i="6"/>
  <c r="U661" i="6"/>
  <c r="U662" i="6"/>
  <c r="U663" i="6"/>
  <c r="U664" i="6"/>
  <c r="U665" i="6"/>
  <c r="U666" i="6"/>
  <c r="U667" i="6"/>
  <c r="U668" i="6"/>
  <c r="U669" i="6"/>
  <c r="U670" i="6"/>
  <c r="U671" i="6"/>
  <c r="U672" i="6"/>
  <c r="U673" i="6"/>
  <c r="U674" i="6"/>
  <c r="U675" i="6"/>
  <c r="U676" i="6"/>
  <c r="U677" i="6"/>
  <c r="U678" i="6"/>
  <c r="U679" i="6"/>
  <c r="U680" i="6"/>
  <c r="U681" i="6"/>
  <c r="U682" i="6"/>
  <c r="U683" i="6"/>
  <c r="U684" i="6"/>
  <c r="U685" i="6"/>
  <c r="U686" i="6"/>
  <c r="U687" i="6"/>
  <c r="U688" i="6"/>
  <c r="U689" i="6"/>
  <c r="U690" i="6"/>
  <c r="U691" i="6"/>
  <c r="U692" i="6"/>
  <c r="U693" i="6"/>
  <c r="U694" i="6"/>
  <c r="U695" i="6"/>
  <c r="U696" i="6"/>
  <c r="U697" i="6"/>
  <c r="U698" i="6"/>
  <c r="U699" i="6"/>
  <c r="U700" i="6"/>
  <c r="U701" i="6"/>
  <c r="U702" i="6"/>
  <c r="U703" i="6"/>
  <c r="U704" i="6"/>
  <c r="U705" i="6"/>
  <c r="U706" i="6"/>
  <c r="U707" i="6"/>
  <c r="U708" i="6"/>
  <c r="U709" i="6"/>
  <c r="U710" i="6"/>
  <c r="U711" i="6"/>
  <c r="U712" i="6"/>
  <c r="U713" i="6"/>
  <c r="U714" i="6"/>
  <c r="U715" i="6"/>
  <c r="U716" i="6"/>
  <c r="U717" i="6"/>
  <c r="U718" i="6"/>
  <c r="U719" i="6"/>
  <c r="U720" i="6"/>
  <c r="U721" i="6"/>
  <c r="U722" i="6"/>
  <c r="U723" i="6"/>
  <c r="U724" i="6"/>
  <c r="U725" i="6"/>
  <c r="U726" i="6"/>
  <c r="U72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S367" i="6"/>
  <c r="S368" i="6"/>
  <c r="S369" i="6"/>
  <c r="S370" i="6"/>
  <c r="S371" i="6"/>
  <c r="S372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398" i="6"/>
  <c r="S399" i="6"/>
  <c r="S400" i="6"/>
  <c r="S401" i="6"/>
  <c r="S402" i="6"/>
  <c r="S403" i="6"/>
  <c r="S404" i="6"/>
  <c r="S405" i="6"/>
  <c r="S406" i="6"/>
  <c r="S407" i="6"/>
  <c r="S408" i="6"/>
  <c r="S409" i="6"/>
  <c r="S410" i="6"/>
  <c r="S411" i="6"/>
  <c r="S412" i="6"/>
  <c r="S413" i="6"/>
  <c r="S414" i="6"/>
  <c r="S415" i="6"/>
  <c r="S416" i="6"/>
  <c r="S417" i="6"/>
  <c r="S418" i="6"/>
  <c r="S419" i="6"/>
  <c r="S420" i="6"/>
  <c r="S421" i="6"/>
  <c r="S422" i="6"/>
  <c r="S423" i="6"/>
  <c r="S424" i="6"/>
  <c r="S425" i="6"/>
  <c r="S426" i="6"/>
  <c r="S427" i="6"/>
  <c r="S428" i="6"/>
  <c r="S429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456" i="6"/>
  <c r="S457" i="6"/>
  <c r="S458" i="6"/>
  <c r="S459" i="6"/>
  <c r="S460" i="6"/>
  <c r="S461" i="6"/>
  <c r="S462" i="6"/>
  <c r="S463" i="6"/>
  <c r="S464" i="6"/>
  <c r="S465" i="6"/>
  <c r="S466" i="6"/>
  <c r="S467" i="6"/>
  <c r="S468" i="6"/>
  <c r="S469" i="6"/>
  <c r="S470" i="6"/>
  <c r="S471" i="6"/>
  <c r="S472" i="6"/>
  <c r="S473" i="6"/>
  <c r="S474" i="6"/>
  <c r="S475" i="6"/>
  <c r="S476" i="6"/>
  <c r="S477" i="6"/>
  <c r="S478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506" i="6"/>
  <c r="S507" i="6"/>
  <c r="S508" i="6"/>
  <c r="S509" i="6"/>
  <c r="S510" i="6"/>
  <c r="S511" i="6"/>
  <c r="S512" i="6"/>
  <c r="S513" i="6"/>
  <c r="S514" i="6"/>
  <c r="S515" i="6"/>
  <c r="S516" i="6"/>
  <c r="S517" i="6"/>
  <c r="S518" i="6"/>
  <c r="S519" i="6"/>
  <c r="S520" i="6"/>
  <c r="S521" i="6"/>
  <c r="S522" i="6"/>
  <c r="S523" i="6"/>
  <c r="S524" i="6"/>
  <c r="S525" i="6"/>
  <c r="S526" i="6"/>
  <c r="S527" i="6"/>
  <c r="S528" i="6"/>
  <c r="S529" i="6"/>
  <c r="S530" i="6"/>
  <c r="S531" i="6"/>
  <c r="S532" i="6"/>
  <c r="S533" i="6"/>
  <c r="S534" i="6"/>
  <c r="S535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5" i="6"/>
  <c r="S556" i="6"/>
  <c r="S557" i="6"/>
  <c r="S558" i="6"/>
  <c r="S559" i="6"/>
  <c r="S560" i="6"/>
  <c r="S561" i="6"/>
  <c r="S562" i="6"/>
  <c r="S563" i="6"/>
  <c r="S564" i="6"/>
  <c r="S565" i="6"/>
  <c r="S566" i="6"/>
  <c r="S567" i="6"/>
  <c r="S568" i="6"/>
  <c r="S569" i="6"/>
  <c r="S570" i="6"/>
  <c r="S571" i="6"/>
  <c r="S572" i="6"/>
  <c r="S573" i="6"/>
  <c r="S574" i="6"/>
  <c r="S575" i="6"/>
  <c r="S576" i="6"/>
  <c r="S577" i="6"/>
  <c r="S578" i="6"/>
  <c r="S579" i="6"/>
  <c r="S580" i="6"/>
  <c r="S581" i="6"/>
  <c r="S582" i="6"/>
  <c r="S583" i="6"/>
  <c r="S584" i="6"/>
  <c r="S585" i="6"/>
  <c r="S586" i="6"/>
  <c r="S587" i="6"/>
  <c r="S588" i="6"/>
  <c r="S589" i="6"/>
  <c r="S590" i="6"/>
  <c r="S591" i="6"/>
  <c r="S592" i="6"/>
  <c r="S593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618" i="6"/>
  <c r="S619" i="6"/>
  <c r="S620" i="6"/>
  <c r="S621" i="6"/>
  <c r="S622" i="6"/>
  <c r="S623" i="6"/>
  <c r="S624" i="6"/>
  <c r="S625" i="6"/>
  <c r="S626" i="6"/>
  <c r="S627" i="6"/>
  <c r="S628" i="6"/>
  <c r="S629" i="6"/>
  <c r="S630" i="6"/>
  <c r="S631" i="6"/>
  <c r="S632" i="6"/>
  <c r="S633" i="6"/>
  <c r="S634" i="6"/>
  <c r="S635" i="6"/>
  <c r="S636" i="6"/>
  <c r="S637" i="6"/>
  <c r="S638" i="6"/>
  <c r="S639" i="6"/>
  <c r="S640" i="6"/>
  <c r="S641" i="6"/>
  <c r="S642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671" i="6"/>
  <c r="S672" i="6"/>
  <c r="S673" i="6"/>
  <c r="S674" i="6"/>
  <c r="S675" i="6"/>
  <c r="S676" i="6"/>
  <c r="S677" i="6"/>
  <c r="S678" i="6"/>
  <c r="S679" i="6"/>
  <c r="S680" i="6"/>
  <c r="S681" i="6"/>
  <c r="S682" i="6"/>
  <c r="S683" i="6"/>
  <c r="S684" i="6"/>
  <c r="S685" i="6"/>
  <c r="S686" i="6"/>
  <c r="S687" i="6"/>
  <c r="S688" i="6"/>
  <c r="S689" i="6"/>
  <c r="S690" i="6"/>
  <c r="S691" i="6"/>
  <c r="S692" i="6"/>
  <c r="S693" i="6"/>
  <c r="S694" i="6"/>
  <c r="S695" i="6"/>
  <c r="S696" i="6"/>
  <c r="S697" i="6"/>
  <c r="S698" i="6"/>
  <c r="S699" i="6"/>
  <c r="S700" i="6"/>
  <c r="S701" i="6"/>
  <c r="S702" i="6"/>
  <c r="S703" i="6"/>
  <c r="S704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E2" i="7"/>
  <c r="H2" i="4"/>
  <c r="Q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Q356" i="6"/>
  <c r="Q357" i="6"/>
  <c r="Q358" i="6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Q372" i="6"/>
  <c r="Q373" i="6"/>
  <c r="Q374" i="6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Q390" i="6"/>
  <c r="Q391" i="6"/>
  <c r="Q392" i="6"/>
  <c r="Q393" i="6"/>
  <c r="Q394" i="6"/>
  <c r="Q395" i="6"/>
  <c r="Q396" i="6"/>
  <c r="Q397" i="6"/>
  <c r="Q398" i="6"/>
  <c r="Q399" i="6"/>
  <c r="Q400" i="6"/>
  <c r="Q401" i="6"/>
  <c r="Q402" i="6"/>
  <c r="Q403" i="6"/>
  <c r="Q404" i="6"/>
  <c r="Q405" i="6"/>
  <c r="Q406" i="6"/>
  <c r="Q407" i="6"/>
  <c r="Q408" i="6"/>
  <c r="Q409" i="6"/>
  <c r="Q410" i="6"/>
  <c r="Q411" i="6"/>
  <c r="Q412" i="6"/>
  <c r="Q413" i="6"/>
  <c r="Q414" i="6"/>
  <c r="Q415" i="6"/>
  <c r="Q416" i="6"/>
  <c r="Q417" i="6"/>
  <c r="Q418" i="6"/>
  <c r="Q419" i="6"/>
  <c r="Q420" i="6"/>
  <c r="Q421" i="6"/>
  <c r="Q422" i="6"/>
  <c r="Q423" i="6"/>
  <c r="Q424" i="6"/>
  <c r="Q425" i="6"/>
  <c r="Q426" i="6"/>
  <c r="Q427" i="6"/>
  <c r="Q428" i="6"/>
  <c r="Q429" i="6"/>
  <c r="Q430" i="6"/>
  <c r="Q431" i="6"/>
  <c r="Q432" i="6"/>
  <c r="Q433" i="6"/>
  <c r="Q434" i="6"/>
  <c r="Q435" i="6"/>
  <c r="Q436" i="6"/>
  <c r="Q437" i="6"/>
  <c r="Q438" i="6"/>
  <c r="Q439" i="6"/>
  <c r="Q440" i="6"/>
  <c r="Q441" i="6"/>
  <c r="Q442" i="6"/>
  <c r="Q443" i="6"/>
  <c r="Q444" i="6"/>
  <c r="Q445" i="6"/>
  <c r="Q446" i="6"/>
  <c r="Q447" i="6"/>
  <c r="Q448" i="6"/>
  <c r="Q449" i="6"/>
  <c r="Q450" i="6"/>
  <c r="Q451" i="6"/>
  <c r="Q452" i="6"/>
  <c r="Q453" i="6"/>
  <c r="Q454" i="6"/>
  <c r="Q455" i="6"/>
  <c r="Q456" i="6"/>
  <c r="Q457" i="6"/>
  <c r="Q458" i="6"/>
  <c r="Q459" i="6"/>
  <c r="Q460" i="6"/>
  <c r="Q461" i="6"/>
  <c r="Q462" i="6"/>
  <c r="Q463" i="6"/>
  <c r="Q464" i="6"/>
  <c r="Q465" i="6"/>
  <c r="Q466" i="6"/>
  <c r="Q467" i="6"/>
  <c r="Q468" i="6"/>
  <c r="Q469" i="6"/>
  <c r="Q470" i="6"/>
  <c r="Q471" i="6"/>
  <c r="Q472" i="6"/>
  <c r="Q473" i="6"/>
  <c r="Q474" i="6"/>
  <c r="Q475" i="6"/>
  <c r="Q476" i="6"/>
  <c r="Q477" i="6"/>
  <c r="Q478" i="6"/>
  <c r="Q479" i="6"/>
  <c r="Q480" i="6"/>
  <c r="Q481" i="6"/>
  <c r="Q482" i="6"/>
  <c r="Q483" i="6"/>
  <c r="Q484" i="6"/>
  <c r="Q485" i="6"/>
  <c r="Q486" i="6"/>
  <c r="Q487" i="6"/>
  <c r="Q488" i="6"/>
  <c r="Q489" i="6"/>
  <c r="Q490" i="6"/>
  <c r="Q491" i="6"/>
  <c r="Q492" i="6"/>
  <c r="Q493" i="6"/>
  <c r="Q494" i="6"/>
  <c r="Q495" i="6"/>
  <c r="Q496" i="6"/>
  <c r="Q497" i="6"/>
  <c r="Q498" i="6"/>
  <c r="Q499" i="6"/>
  <c r="Q500" i="6"/>
  <c r="Q501" i="6"/>
  <c r="Q502" i="6"/>
  <c r="Q503" i="6"/>
  <c r="Q504" i="6"/>
  <c r="Q505" i="6"/>
  <c r="Q506" i="6"/>
  <c r="Q507" i="6"/>
  <c r="Q508" i="6"/>
  <c r="Q509" i="6"/>
  <c r="Q510" i="6"/>
  <c r="Q511" i="6"/>
  <c r="Q512" i="6"/>
  <c r="Q513" i="6"/>
  <c r="Q514" i="6"/>
  <c r="Q515" i="6"/>
  <c r="Q516" i="6"/>
  <c r="Q517" i="6"/>
  <c r="Q518" i="6"/>
  <c r="Q519" i="6"/>
  <c r="Q520" i="6"/>
  <c r="Q521" i="6"/>
  <c r="Q522" i="6"/>
  <c r="Q523" i="6"/>
  <c r="Q524" i="6"/>
  <c r="Q525" i="6"/>
  <c r="Q526" i="6"/>
  <c r="Q527" i="6"/>
  <c r="Q528" i="6"/>
  <c r="Q529" i="6"/>
  <c r="Q530" i="6"/>
  <c r="Q531" i="6"/>
  <c r="Q532" i="6"/>
  <c r="Q533" i="6"/>
  <c r="Q534" i="6"/>
  <c r="Q535" i="6"/>
  <c r="Q536" i="6"/>
  <c r="Q537" i="6"/>
  <c r="Q538" i="6"/>
  <c r="Q539" i="6"/>
  <c r="Q540" i="6"/>
  <c r="Q541" i="6"/>
  <c r="Q542" i="6"/>
  <c r="Q543" i="6"/>
  <c r="Q544" i="6"/>
  <c r="Q545" i="6"/>
  <c r="Q546" i="6"/>
  <c r="Q547" i="6"/>
  <c r="Q548" i="6"/>
  <c r="Q549" i="6"/>
  <c r="Q550" i="6"/>
  <c r="Q551" i="6"/>
  <c r="Q552" i="6"/>
  <c r="Q553" i="6"/>
  <c r="Q554" i="6"/>
  <c r="Q555" i="6"/>
  <c r="Q556" i="6"/>
  <c r="Q557" i="6"/>
  <c r="Q558" i="6"/>
  <c r="Q559" i="6"/>
  <c r="Q560" i="6"/>
  <c r="Q561" i="6"/>
  <c r="Q562" i="6"/>
  <c r="Q563" i="6"/>
  <c r="Q564" i="6"/>
  <c r="Q565" i="6"/>
  <c r="Q566" i="6"/>
  <c r="Q567" i="6"/>
  <c r="Q568" i="6"/>
  <c r="Q569" i="6"/>
  <c r="Q570" i="6"/>
  <c r="Q571" i="6"/>
  <c r="Q572" i="6"/>
  <c r="Q573" i="6"/>
  <c r="Q574" i="6"/>
  <c r="Q575" i="6"/>
  <c r="Q576" i="6"/>
  <c r="Q577" i="6"/>
  <c r="Q578" i="6"/>
  <c r="Q579" i="6"/>
  <c r="Q580" i="6"/>
  <c r="Q581" i="6"/>
  <c r="Q582" i="6"/>
  <c r="Q583" i="6"/>
  <c r="Q584" i="6"/>
  <c r="Q585" i="6"/>
  <c r="Q586" i="6"/>
  <c r="Q587" i="6"/>
  <c r="Q588" i="6"/>
  <c r="Q589" i="6"/>
  <c r="Q590" i="6"/>
  <c r="Q591" i="6"/>
  <c r="Q592" i="6"/>
  <c r="Q593" i="6"/>
  <c r="Q594" i="6"/>
  <c r="Q595" i="6"/>
  <c r="Q596" i="6"/>
  <c r="Q597" i="6"/>
  <c r="Q598" i="6"/>
  <c r="Q599" i="6"/>
  <c r="Q600" i="6"/>
  <c r="Q601" i="6"/>
  <c r="Q602" i="6"/>
  <c r="Q603" i="6"/>
  <c r="Q604" i="6"/>
  <c r="Q605" i="6"/>
  <c r="Q606" i="6"/>
  <c r="Q607" i="6"/>
  <c r="Q608" i="6"/>
  <c r="Q609" i="6"/>
  <c r="Q610" i="6"/>
  <c r="Q611" i="6"/>
  <c r="Q612" i="6"/>
  <c r="Q613" i="6"/>
  <c r="Q614" i="6"/>
  <c r="Q615" i="6"/>
  <c r="Q616" i="6"/>
  <c r="Q617" i="6"/>
  <c r="Q618" i="6"/>
  <c r="Q619" i="6"/>
  <c r="Q620" i="6"/>
  <c r="Q621" i="6"/>
  <c r="Q622" i="6"/>
  <c r="Q623" i="6"/>
  <c r="Q624" i="6"/>
  <c r="Q625" i="6"/>
  <c r="Q626" i="6"/>
  <c r="Q627" i="6"/>
  <c r="Q628" i="6"/>
  <c r="Q629" i="6"/>
  <c r="Q630" i="6"/>
  <c r="Q631" i="6"/>
  <c r="Q632" i="6"/>
  <c r="Q633" i="6"/>
  <c r="Q634" i="6"/>
  <c r="Q635" i="6"/>
  <c r="Q636" i="6"/>
  <c r="Q637" i="6"/>
  <c r="Q638" i="6"/>
  <c r="Q639" i="6"/>
  <c r="Q640" i="6"/>
  <c r="Q641" i="6"/>
  <c r="Q642" i="6"/>
  <c r="Q643" i="6"/>
  <c r="Q644" i="6"/>
  <c r="Q645" i="6"/>
  <c r="Q646" i="6"/>
  <c r="Q647" i="6"/>
  <c r="Q648" i="6"/>
  <c r="Q649" i="6"/>
  <c r="Q650" i="6"/>
  <c r="Q651" i="6"/>
  <c r="Q652" i="6"/>
  <c r="Q653" i="6"/>
  <c r="Q654" i="6"/>
  <c r="Q655" i="6"/>
  <c r="Q656" i="6"/>
  <c r="Q657" i="6"/>
  <c r="Q658" i="6"/>
  <c r="Q659" i="6"/>
  <c r="Q660" i="6"/>
  <c r="Q661" i="6"/>
  <c r="Q662" i="6"/>
  <c r="Q663" i="6"/>
  <c r="Q664" i="6"/>
  <c r="Q665" i="6"/>
  <c r="Q666" i="6"/>
  <c r="Q667" i="6"/>
  <c r="Q668" i="6"/>
  <c r="Q669" i="6"/>
  <c r="Q670" i="6"/>
  <c r="Q671" i="6"/>
  <c r="Q672" i="6"/>
  <c r="Q673" i="6"/>
  <c r="Q674" i="6"/>
  <c r="Q675" i="6"/>
  <c r="Q676" i="6"/>
  <c r="Q677" i="6"/>
  <c r="Q678" i="6"/>
  <c r="Q679" i="6"/>
  <c r="Q680" i="6"/>
  <c r="Q681" i="6"/>
  <c r="Q682" i="6"/>
  <c r="Q683" i="6"/>
  <c r="Q684" i="6"/>
  <c r="Q685" i="6"/>
  <c r="Q686" i="6"/>
  <c r="Q687" i="6"/>
  <c r="Q688" i="6"/>
  <c r="Q689" i="6"/>
  <c r="Q690" i="6"/>
  <c r="Q691" i="6"/>
  <c r="Q692" i="6"/>
  <c r="Q693" i="6"/>
  <c r="Q694" i="6"/>
  <c r="Q695" i="6"/>
  <c r="Q696" i="6"/>
  <c r="Q697" i="6"/>
  <c r="Q698" i="6"/>
  <c r="Q699" i="6"/>
  <c r="Q700" i="6"/>
  <c r="Q701" i="6"/>
  <c r="Q702" i="6"/>
  <c r="Q703" i="6"/>
  <c r="Q704" i="6"/>
  <c r="Q705" i="6"/>
  <c r="Q706" i="6"/>
  <c r="Q707" i="6"/>
  <c r="Q708" i="6"/>
  <c r="Q709" i="6"/>
  <c r="Q710" i="6"/>
  <c r="Q711" i="6"/>
  <c r="Q712" i="6"/>
  <c r="Q713" i="6"/>
  <c r="Q714" i="6"/>
  <c r="Q715" i="6"/>
  <c r="Q716" i="6"/>
  <c r="Q717" i="6"/>
  <c r="Q718" i="6"/>
  <c r="Q719" i="6"/>
  <c r="Q720" i="6"/>
  <c r="Q721" i="6"/>
  <c r="Q722" i="6"/>
  <c r="Q723" i="6"/>
  <c r="Q724" i="6"/>
  <c r="Q725" i="6"/>
  <c r="Q726" i="6"/>
  <c r="Q727" i="6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O627" i="6"/>
  <c r="O628" i="6"/>
  <c r="O629" i="6"/>
  <c r="O630" i="6"/>
  <c r="O631" i="6"/>
  <c r="O632" i="6"/>
  <c r="O633" i="6"/>
  <c r="O634" i="6"/>
  <c r="O635" i="6"/>
  <c r="O636" i="6"/>
  <c r="O637" i="6"/>
  <c r="O638" i="6"/>
  <c r="O639" i="6"/>
  <c r="O640" i="6"/>
  <c r="O641" i="6"/>
  <c r="O642" i="6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O660" i="6"/>
  <c r="O661" i="6"/>
  <c r="O662" i="6"/>
  <c r="O663" i="6"/>
  <c r="O664" i="6"/>
  <c r="O665" i="6"/>
  <c r="O666" i="6"/>
  <c r="O667" i="6"/>
  <c r="O668" i="6"/>
  <c r="O669" i="6"/>
  <c r="O670" i="6"/>
  <c r="O671" i="6"/>
  <c r="O672" i="6"/>
  <c r="O673" i="6"/>
  <c r="O674" i="6"/>
  <c r="O675" i="6"/>
  <c r="O676" i="6"/>
  <c r="O677" i="6"/>
  <c r="O678" i="6"/>
  <c r="O679" i="6"/>
  <c r="O680" i="6"/>
  <c r="O681" i="6"/>
  <c r="O682" i="6"/>
  <c r="O683" i="6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5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N446" i="6"/>
  <c r="N447" i="6"/>
  <c r="N448" i="6"/>
  <c r="N449" i="6"/>
  <c r="N450" i="6"/>
  <c r="N451" i="6"/>
  <c r="N452" i="6"/>
  <c r="N453" i="6"/>
  <c r="N454" i="6"/>
  <c r="N455" i="6"/>
  <c r="N456" i="6"/>
  <c r="N457" i="6"/>
  <c r="N458" i="6"/>
  <c r="N459" i="6"/>
  <c r="N460" i="6"/>
  <c r="N461" i="6"/>
  <c r="N462" i="6"/>
  <c r="N463" i="6"/>
  <c r="N464" i="6"/>
  <c r="N465" i="6"/>
  <c r="N466" i="6"/>
  <c r="N467" i="6"/>
  <c r="N468" i="6"/>
  <c r="N469" i="6"/>
  <c r="N470" i="6"/>
  <c r="N471" i="6"/>
  <c r="N472" i="6"/>
  <c r="N473" i="6"/>
  <c r="N474" i="6"/>
  <c r="N475" i="6"/>
  <c r="N476" i="6"/>
  <c r="N477" i="6"/>
  <c r="N478" i="6"/>
  <c r="N479" i="6"/>
  <c r="N480" i="6"/>
  <c r="N481" i="6"/>
  <c r="N482" i="6"/>
  <c r="N483" i="6"/>
  <c r="N484" i="6"/>
  <c r="N485" i="6"/>
  <c r="N486" i="6"/>
  <c r="N487" i="6"/>
  <c r="N488" i="6"/>
  <c r="N489" i="6"/>
  <c r="N490" i="6"/>
  <c r="N491" i="6"/>
  <c r="N492" i="6"/>
  <c r="N493" i="6"/>
  <c r="N494" i="6"/>
  <c r="N495" i="6"/>
  <c r="N496" i="6"/>
  <c r="N497" i="6"/>
  <c r="N498" i="6"/>
  <c r="N499" i="6"/>
  <c r="N500" i="6"/>
  <c r="N501" i="6"/>
  <c r="N502" i="6"/>
  <c r="N503" i="6"/>
  <c r="N504" i="6"/>
  <c r="N505" i="6"/>
  <c r="N506" i="6"/>
  <c r="N507" i="6"/>
  <c r="N508" i="6"/>
  <c r="N509" i="6"/>
  <c r="N510" i="6"/>
  <c r="N511" i="6"/>
  <c r="N512" i="6"/>
  <c r="N513" i="6"/>
  <c r="N514" i="6"/>
  <c r="N515" i="6"/>
  <c r="N516" i="6"/>
  <c r="N517" i="6"/>
  <c r="N518" i="6"/>
  <c r="N519" i="6"/>
  <c r="N520" i="6"/>
  <c r="N521" i="6"/>
  <c r="N522" i="6"/>
  <c r="N523" i="6"/>
  <c r="N524" i="6"/>
  <c r="N525" i="6"/>
  <c r="N526" i="6"/>
  <c r="N527" i="6"/>
  <c r="N528" i="6"/>
  <c r="N529" i="6"/>
  <c r="N530" i="6"/>
  <c r="N531" i="6"/>
  <c r="N532" i="6"/>
  <c r="N533" i="6"/>
  <c r="N534" i="6"/>
  <c r="N535" i="6"/>
  <c r="N536" i="6"/>
  <c r="N537" i="6"/>
  <c r="N538" i="6"/>
  <c r="N539" i="6"/>
  <c r="N540" i="6"/>
  <c r="N541" i="6"/>
  <c r="N542" i="6"/>
  <c r="N543" i="6"/>
  <c r="N544" i="6"/>
  <c r="N545" i="6"/>
  <c r="N546" i="6"/>
  <c r="N547" i="6"/>
  <c r="N548" i="6"/>
  <c r="N549" i="6"/>
  <c r="N550" i="6"/>
  <c r="N551" i="6"/>
  <c r="N552" i="6"/>
  <c r="N553" i="6"/>
  <c r="N554" i="6"/>
  <c r="N555" i="6"/>
  <c r="N556" i="6"/>
  <c r="N557" i="6"/>
  <c r="N558" i="6"/>
  <c r="N559" i="6"/>
  <c r="N560" i="6"/>
  <c r="N561" i="6"/>
  <c r="N562" i="6"/>
  <c r="N563" i="6"/>
  <c r="N564" i="6"/>
  <c r="N565" i="6"/>
  <c r="N566" i="6"/>
  <c r="N567" i="6"/>
  <c r="N568" i="6"/>
  <c r="N569" i="6"/>
  <c r="N570" i="6"/>
  <c r="N571" i="6"/>
  <c r="N572" i="6"/>
  <c r="N573" i="6"/>
  <c r="N574" i="6"/>
  <c r="N575" i="6"/>
  <c r="N576" i="6"/>
  <c r="N577" i="6"/>
  <c r="N578" i="6"/>
  <c r="N579" i="6"/>
  <c r="N580" i="6"/>
  <c r="N581" i="6"/>
  <c r="N582" i="6"/>
  <c r="N583" i="6"/>
  <c r="N584" i="6"/>
  <c r="N585" i="6"/>
  <c r="N586" i="6"/>
  <c r="N587" i="6"/>
  <c r="N588" i="6"/>
  <c r="N589" i="6"/>
  <c r="N590" i="6"/>
  <c r="N591" i="6"/>
  <c r="N592" i="6"/>
  <c r="N593" i="6"/>
  <c r="N594" i="6"/>
  <c r="N595" i="6"/>
  <c r="N596" i="6"/>
  <c r="N597" i="6"/>
  <c r="N598" i="6"/>
  <c r="N599" i="6"/>
  <c r="N600" i="6"/>
  <c r="N601" i="6"/>
  <c r="N602" i="6"/>
  <c r="N603" i="6"/>
  <c r="N604" i="6"/>
  <c r="N605" i="6"/>
  <c r="N606" i="6"/>
  <c r="N607" i="6"/>
  <c r="N608" i="6"/>
  <c r="N609" i="6"/>
  <c r="N610" i="6"/>
  <c r="N611" i="6"/>
  <c r="N612" i="6"/>
  <c r="N613" i="6"/>
  <c r="N614" i="6"/>
  <c r="N615" i="6"/>
  <c r="N616" i="6"/>
  <c r="N617" i="6"/>
  <c r="N618" i="6"/>
  <c r="N619" i="6"/>
  <c r="N620" i="6"/>
  <c r="N621" i="6"/>
  <c r="N622" i="6"/>
  <c r="N623" i="6"/>
  <c r="N624" i="6"/>
  <c r="N625" i="6"/>
  <c r="N626" i="6"/>
  <c r="N627" i="6"/>
  <c r="N628" i="6"/>
  <c r="N629" i="6"/>
  <c r="N630" i="6"/>
  <c r="N631" i="6"/>
  <c r="N632" i="6"/>
  <c r="N633" i="6"/>
  <c r="N634" i="6"/>
  <c r="N635" i="6"/>
  <c r="N636" i="6"/>
  <c r="N637" i="6"/>
  <c r="N638" i="6"/>
  <c r="N639" i="6"/>
  <c r="N640" i="6"/>
  <c r="N641" i="6"/>
  <c r="N642" i="6"/>
  <c r="N643" i="6"/>
  <c r="N644" i="6"/>
  <c r="N645" i="6"/>
  <c r="N646" i="6"/>
  <c r="N647" i="6"/>
  <c r="N648" i="6"/>
  <c r="N649" i="6"/>
  <c r="N650" i="6"/>
  <c r="N651" i="6"/>
  <c r="N652" i="6"/>
  <c r="N653" i="6"/>
  <c r="N654" i="6"/>
  <c r="N655" i="6"/>
  <c r="N656" i="6"/>
  <c r="N657" i="6"/>
  <c r="N658" i="6"/>
  <c r="N659" i="6"/>
  <c r="N660" i="6"/>
  <c r="N661" i="6"/>
  <c r="N662" i="6"/>
  <c r="N663" i="6"/>
  <c r="N664" i="6"/>
  <c r="N665" i="6"/>
  <c r="N666" i="6"/>
  <c r="N667" i="6"/>
  <c r="N668" i="6"/>
  <c r="N669" i="6"/>
  <c r="N670" i="6"/>
  <c r="N671" i="6"/>
  <c r="N672" i="6"/>
  <c r="N673" i="6"/>
  <c r="N674" i="6"/>
  <c r="N675" i="6"/>
  <c r="N676" i="6"/>
  <c r="N677" i="6"/>
  <c r="N678" i="6"/>
  <c r="N679" i="6"/>
  <c r="N680" i="6"/>
  <c r="N681" i="6"/>
  <c r="N682" i="6"/>
  <c r="N683" i="6"/>
  <c r="N684" i="6"/>
  <c r="N685" i="6"/>
  <c r="N686" i="6"/>
  <c r="N687" i="6"/>
  <c r="N688" i="6"/>
  <c r="N689" i="6"/>
  <c r="N690" i="6"/>
  <c r="N691" i="6"/>
  <c r="N692" i="6"/>
  <c r="N693" i="6"/>
  <c r="N694" i="6"/>
  <c r="N695" i="6"/>
  <c r="N696" i="6"/>
  <c r="N697" i="6"/>
  <c r="N698" i="6"/>
  <c r="N699" i="6"/>
  <c r="N700" i="6"/>
  <c r="N701" i="6"/>
  <c r="N702" i="6"/>
  <c r="N703" i="6"/>
  <c r="N704" i="6"/>
  <c r="N705" i="6"/>
  <c r="N706" i="6"/>
  <c r="N707" i="6"/>
  <c r="N708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N721" i="6"/>
  <c r="N722" i="6"/>
  <c r="N723" i="6"/>
  <c r="N724" i="6"/>
  <c r="N725" i="6"/>
  <c r="N726" i="6"/>
  <c r="N727" i="6"/>
  <c r="D2" i="7" l="1"/>
  <c r="C2" i="7"/>
  <c r="B2" i="7"/>
  <c r="A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210E95-B555-44B2-8465-21206F53E91E}" keepAlive="1" name="Query - goods_receipts" description="Connection to the 'goods_receipts' query in the workbook." type="5" refreshedVersion="8" background="1" saveData="1">
    <dbPr connection="Provider=Microsoft.Mashup.OleDb.1;Data Source=$Workbook$;Location=goods_receipts;Extended Properties=&quot;&quot;" command="SELECT * FROM [goods_receipts]"/>
  </connection>
  <connection id="2" xr16:uid="{2528BA2D-C1CF-4731-9481-DB4C61DA7777}" keepAlive="1" name="Query - invoices" description="Connection to the 'invoices' query in the workbook." type="5" refreshedVersion="8" background="1" saveData="1">
    <dbPr connection="Provider=Microsoft.Mashup.OleDb.1;Data Source=$Workbook$;Location=invoices;Extended Properties=&quot;&quot;" command="SELECT * FROM [invoices]"/>
  </connection>
  <connection id="3" xr16:uid="{90ED7FA4-9018-4796-88C9-B6CB8DFE78F0}" keepAlive="1" name="Query - po_gr_merged" description="Connection to the 'po_gr_merged' query in the workbook." type="5" refreshedVersion="8" background="1" saveData="1">
    <dbPr connection="Provider=Microsoft.Mashup.OleDb.1;Data Source=$Workbook$;Location=po_gr_merged;Extended Properties=&quot;&quot;" command="SELECT * FROM [po_gr_merged]"/>
  </connection>
  <connection id="4" xr16:uid="{008942BE-8F4D-4D76-B3CB-AD65ACA5B384}" keepAlive="1" name="Query - po_master" description="Connection to the 'po_master' query in the workbook." type="5" refreshedVersion="8" background="1" saveData="1">
    <dbPr connection="Provider=Microsoft.Mashup.OleDb.1;Data Source=$Workbook$;Location=po_master;Extended Properties=&quot;&quot;" command="SELECT * FROM [po_master]"/>
  </connection>
  <connection id="5" xr16:uid="{844A28C7-C781-496A-BC81-6916C86E1B14}" keepAlive="1" name="Query - purchase_orders" description="Connection to the 'purchase_orders' query in the workbook." type="5" refreshedVersion="8" background="1" saveData="1">
    <dbPr connection="Provider=Microsoft.Mashup.OleDb.1;Data Source=$Workbook$;Location=purchase_orders;Extended Properties=&quot;&quot;" command="SELECT * FROM [purchase_orders]"/>
  </connection>
</connections>
</file>

<file path=xl/sharedStrings.xml><?xml version="1.0" encoding="utf-8"?>
<sst xmlns="http://schemas.openxmlformats.org/spreadsheetml/2006/main" count="9249" uniqueCount="1526">
  <si>
    <t>PO Number</t>
  </si>
  <si>
    <t>GR Quantity</t>
  </si>
  <si>
    <t>Actual Delivery Date</t>
  </si>
  <si>
    <t>PO1000</t>
  </si>
  <si>
    <t>PO1001</t>
  </si>
  <si>
    <t>PO1002</t>
  </si>
  <si>
    <t>PO1003</t>
  </si>
  <si>
    <t>PO1004</t>
  </si>
  <si>
    <t>PO1005</t>
  </si>
  <si>
    <t>PO1006</t>
  </si>
  <si>
    <t>PO1007</t>
  </si>
  <si>
    <t>PO1008</t>
  </si>
  <si>
    <t>PO1009</t>
  </si>
  <si>
    <t>PO1010</t>
  </si>
  <si>
    <t>PO1011</t>
  </si>
  <si>
    <t>PO1012</t>
  </si>
  <si>
    <t>PO1013</t>
  </si>
  <si>
    <t>PO1014</t>
  </si>
  <si>
    <t>PO1015</t>
  </si>
  <si>
    <t>PO1016</t>
  </si>
  <si>
    <t>PO1017</t>
  </si>
  <si>
    <t>PO1018</t>
  </si>
  <si>
    <t>PO1019</t>
  </si>
  <si>
    <t>PO1020</t>
  </si>
  <si>
    <t>PO1021</t>
  </si>
  <si>
    <t>PO1022</t>
  </si>
  <si>
    <t>PO1023</t>
  </si>
  <si>
    <t>PO1024</t>
  </si>
  <si>
    <t>PO1025</t>
  </si>
  <si>
    <t>PO1026</t>
  </si>
  <si>
    <t>PO1027</t>
  </si>
  <si>
    <t>PO1028</t>
  </si>
  <si>
    <t>PO1029</t>
  </si>
  <si>
    <t>PO1030</t>
  </si>
  <si>
    <t>PO1031</t>
  </si>
  <si>
    <t>PO1032</t>
  </si>
  <si>
    <t>PO1033</t>
  </si>
  <si>
    <t>PO1034</t>
  </si>
  <si>
    <t>PO1036</t>
  </si>
  <si>
    <t>PO1037</t>
  </si>
  <si>
    <t>PO1038</t>
  </si>
  <si>
    <t>PO1039</t>
  </si>
  <si>
    <t>PO1040</t>
  </si>
  <si>
    <t>PO1041</t>
  </si>
  <si>
    <t>PO1042</t>
  </si>
  <si>
    <t>PO1043</t>
  </si>
  <si>
    <t>PO1044</t>
  </si>
  <si>
    <t>PO1045</t>
  </si>
  <si>
    <t>PO1046</t>
  </si>
  <si>
    <t>PO1047</t>
  </si>
  <si>
    <t>PO1048</t>
  </si>
  <si>
    <t>PO1049</t>
  </si>
  <si>
    <t>PO1050</t>
  </si>
  <si>
    <t>PO1051</t>
  </si>
  <si>
    <t>PO1052</t>
  </si>
  <si>
    <t>PO1053</t>
  </si>
  <si>
    <t>PO1055</t>
  </si>
  <si>
    <t>PO1056</t>
  </si>
  <si>
    <t>PO1057</t>
  </si>
  <si>
    <t>PO1058</t>
  </si>
  <si>
    <t>PO1059</t>
  </si>
  <si>
    <t>PO1060</t>
  </si>
  <si>
    <t>PO1061</t>
  </si>
  <si>
    <t>PO1062</t>
  </si>
  <si>
    <t>PO1063</t>
  </si>
  <si>
    <t>PO1064</t>
  </si>
  <si>
    <t>PO1065</t>
  </si>
  <si>
    <t>PO1066</t>
  </si>
  <si>
    <t>PO1067</t>
  </si>
  <si>
    <t>PO1068</t>
  </si>
  <si>
    <t>PO1069</t>
  </si>
  <si>
    <t>PO1070</t>
  </si>
  <si>
    <t>PO1071</t>
  </si>
  <si>
    <t>PO1072</t>
  </si>
  <si>
    <t>PO1073</t>
  </si>
  <si>
    <t>PO1074</t>
  </si>
  <si>
    <t>PO1075</t>
  </si>
  <si>
    <t>PO1076</t>
  </si>
  <si>
    <t>PO1078</t>
  </si>
  <si>
    <t>PO1079</t>
  </si>
  <si>
    <t>PO1080</t>
  </si>
  <si>
    <t>PO1081</t>
  </si>
  <si>
    <t>PO1082</t>
  </si>
  <si>
    <t>PO1083</t>
  </si>
  <si>
    <t>PO1084</t>
  </si>
  <si>
    <t>PO1085</t>
  </si>
  <si>
    <t>PO1086</t>
  </si>
  <si>
    <t>PO1087</t>
  </si>
  <si>
    <t>PO1088</t>
  </si>
  <si>
    <t>PO1089</t>
  </si>
  <si>
    <t>PO1090</t>
  </si>
  <si>
    <t>PO1091</t>
  </si>
  <si>
    <t>PO1092</t>
  </si>
  <si>
    <t>PO1094</t>
  </si>
  <si>
    <t>PO1095</t>
  </si>
  <si>
    <t>PO1097</t>
  </si>
  <si>
    <t>PO1098</t>
  </si>
  <si>
    <t>PO1099</t>
  </si>
  <si>
    <t>PO1101</t>
  </si>
  <si>
    <t>PO1102</t>
  </si>
  <si>
    <t>PO1103</t>
  </si>
  <si>
    <t>PO1104</t>
  </si>
  <si>
    <t>PO1105</t>
  </si>
  <si>
    <t>PO1106</t>
  </si>
  <si>
    <t>PO1107</t>
  </si>
  <si>
    <t>PO1108</t>
  </si>
  <si>
    <t>PO1110</t>
  </si>
  <si>
    <t>PO1111</t>
  </si>
  <si>
    <t>PO1113</t>
  </si>
  <si>
    <t>PO1114</t>
  </si>
  <si>
    <t>PO1115</t>
  </si>
  <si>
    <t>PO1116</t>
  </si>
  <si>
    <t>PO1117</t>
  </si>
  <si>
    <t>PO1118</t>
  </si>
  <si>
    <t>PO1119</t>
  </si>
  <si>
    <t>PO1120</t>
  </si>
  <si>
    <t>PO1121</t>
  </si>
  <si>
    <t>PO1122</t>
  </si>
  <si>
    <t>PO1123</t>
  </si>
  <si>
    <t>PO1125</t>
  </si>
  <si>
    <t>PO1126</t>
  </si>
  <si>
    <t>PO1127</t>
  </si>
  <si>
    <t>PO1129</t>
  </si>
  <si>
    <t>PO1130</t>
  </si>
  <si>
    <t>PO1131</t>
  </si>
  <si>
    <t>PO1132</t>
  </si>
  <si>
    <t>PO1134</t>
  </si>
  <si>
    <t>PO1135</t>
  </si>
  <si>
    <t>PO1136</t>
  </si>
  <si>
    <t>PO1137</t>
  </si>
  <si>
    <t>PO1138</t>
  </si>
  <si>
    <t>PO1139</t>
  </si>
  <si>
    <t>PO1140</t>
  </si>
  <si>
    <t>PO1141</t>
  </si>
  <si>
    <t>PO1142</t>
  </si>
  <si>
    <t>PO1143</t>
  </si>
  <si>
    <t>PO1144</t>
  </si>
  <si>
    <t>PO1145</t>
  </si>
  <si>
    <t>PO1146</t>
  </si>
  <si>
    <t>PO1147</t>
  </si>
  <si>
    <t>PO1148</t>
  </si>
  <si>
    <t>PO1149</t>
  </si>
  <si>
    <t>PO1151</t>
  </si>
  <si>
    <t>PO1152</t>
  </si>
  <si>
    <t>PO1153</t>
  </si>
  <si>
    <t>PO1155</t>
  </si>
  <si>
    <t>PO1156</t>
  </si>
  <si>
    <t>PO1157</t>
  </si>
  <si>
    <t>PO1158</t>
  </si>
  <si>
    <t>PO1160</t>
  </si>
  <si>
    <t>PO1161</t>
  </si>
  <si>
    <t>PO1162</t>
  </si>
  <si>
    <t>PO1163</t>
  </si>
  <si>
    <t>PO1164</t>
  </si>
  <si>
    <t>PO1165</t>
  </si>
  <si>
    <t>PO1166</t>
  </si>
  <si>
    <t>PO1167</t>
  </si>
  <si>
    <t>PO1168</t>
  </si>
  <si>
    <t>PO1169</t>
  </si>
  <si>
    <t>PO1170</t>
  </si>
  <si>
    <t>PO1171</t>
  </si>
  <si>
    <t>PO1172</t>
  </si>
  <si>
    <t>PO1173</t>
  </si>
  <si>
    <t>PO1176</t>
  </si>
  <si>
    <t>PO1177</t>
  </si>
  <si>
    <t>PO1178</t>
  </si>
  <si>
    <t>PO1179</t>
  </si>
  <si>
    <t>PO1180</t>
  </si>
  <si>
    <t>PO1181</t>
  </si>
  <si>
    <t>PO1182</t>
  </si>
  <si>
    <t>PO1183</t>
  </si>
  <si>
    <t>PO1184</t>
  </si>
  <si>
    <t>PO1185</t>
  </si>
  <si>
    <t>PO1186</t>
  </si>
  <si>
    <t>PO1187</t>
  </si>
  <si>
    <t>PO1188</t>
  </si>
  <si>
    <t>PO1190</t>
  </si>
  <si>
    <t>PO1191</t>
  </si>
  <si>
    <t>PO1192</t>
  </si>
  <si>
    <t>PO1193</t>
  </si>
  <si>
    <t>PO1194</t>
  </si>
  <si>
    <t>PO1195</t>
  </si>
  <si>
    <t>PO1196</t>
  </si>
  <si>
    <t>PO1197</t>
  </si>
  <si>
    <t>PO1199</t>
  </si>
  <si>
    <t>PO1200</t>
  </si>
  <si>
    <t>PO1201</t>
  </si>
  <si>
    <t>PO1202</t>
  </si>
  <si>
    <t>PO1203</t>
  </si>
  <si>
    <t>PO1204</t>
  </si>
  <si>
    <t>PO1205</t>
  </si>
  <si>
    <t>PO1206</t>
  </si>
  <si>
    <t>PO1207</t>
  </si>
  <si>
    <t>PO1208</t>
  </si>
  <si>
    <t>PO1209</t>
  </si>
  <si>
    <t>PO1210</t>
  </si>
  <si>
    <t>PO1211</t>
  </si>
  <si>
    <t>PO1212</t>
  </si>
  <si>
    <t>PO1213</t>
  </si>
  <si>
    <t>PO1215</t>
  </si>
  <si>
    <t>PO1216</t>
  </si>
  <si>
    <t>PO1217</t>
  </si>
  <si>
    <t>PO1218</t>
  </si>
  <si>
    <t>PO1219</t>
  </si>
  <si>
    <t>PO1220</t>
  </si>
  <si>
    <t>PO1222</t>
  </si>
  <si>
    <t>PO1223</t>
  </si>
  <si>
    <t>PO1224</t>
  </si>
  <si>
    <t>PO1225</t>
  </si>
  <si>
    <t>PO1226</t>
  </si>
  <si>
    <t>PO1227</t>
  </si>
  <si>
    <t>PO1228</t>
  </si>
  <si>
    <t>PO1229</t>
  </si>
  <si>
    <t>PO1230</t>
  </si>
  <si>
    <t>PO1231</t>
  </si>
  <si>
    <t>PO1232</t>
  </si>
  <si>
    <t>PO1233</t>
  </si>
  <si>
    <t>PO1234</t>
  </si>
  <si>
    <t>PO1235</t>
  </si>
  <si>
    <t>PO1236</t>
  </si>
  <si>
    <t>PO1237</t>
  </si>
  <si>
    <t>PO1238</t>
  </si>
  <si>
    <t>PO1239</t>
  </si>
  <si>
    <t>PO1240</t>
  </si>
  <si>
    <t>PO1241</t>
  </si>
  <si>
    <t>PO1242</t>
  </si>
  <si>
    <t>PO1244</t>
  </si>
  <si>
    <t>PO1245</t>
  </si>
  <si>
    <t>PO1246</t>
  </si>
  <si>
    <t>PO1247</t>
  </si>
  <si>
    <t>PO1248</t>
  </si>
  <si>
    <t>PO1249</t>
  </si>
  <si>
    <t>PO1250</t>
  </si>
  <si>
    <t>PO1251</t>
  </si>
  <si>
    <t>PO1252</t>
  </si>
  <si>
    <t>PO1253</t>
  </si>
  <si>
    <t>PO1254</t>
  </si>
  <si>
    <t>PO1255</t>
  </si>
  <si>
    <t>PO1256</t>
  </si>
  <si>
    <t>PO1257</t>
  </si>
  <si>
    <t>PO1258</t>
  </si>
  <si>
    <t>PO1259</t>
  </si>
  <si>
    <t>PO1260</t>
  </si>
  <si>
    <t>PO1261</t>
  </si>
  <si>
    <t>PO1262</t>
  </si>
  <si>
    <t>PO1263</t>
  </si>
  <si>
    <t>PO1264</t>
  </si>
  <si>
    <t>PO1266</t>
  </si>
  <si>
    <t>PO1267</t>
  </si>
  <si>
    <t>PO1268</t>
  </si>
  <si>
    <t>PO1269</t>
  </si>
  <si>
    <t>PO1270</t>
  </si>
  <si>
    <t>PO1272</t>
  </si>
  <si>
    <t>PO1273</t>
  </si>
  <si>
    <t>PO1274</t>
  </si>
  <si>
    <t>PO1275</t>
  </si>
  <si>
    <t>PO1277</t>
  </si>
  <si>
    <t>PO1278</t>
  </si>
  <si>
    <t>PO1279</t>
  </si>
  <si>
    <t>PO1280</t>
  </si>
  <si>
    <t>PO1281</t>
  </si>
  <si>
    <t>PO1282</t>
  </si>
  <si>
    <t>PO1283</t>
  </si>
  <si>
    <t>PO1284</t>
  </si>
  <si>
    <t>PO1285</t>
  </si>
  <si>
    <t>PO1286</t>
  </si>
  <si>
    <t>PO1287</t>
  </si>
  <si>
    <t>PO1288</t>
  </si>
  <si>
    <t>PO1289</t>
  </si>
  <si>
    <t>PO1290</t>
  </si>
  <si>
    <t>PO1292</t>
  </si>
  <si>
    <t>PO1294</t>
  </si>
  <si>
    <t>PO1295</t>
  </si>
  <si>
    <t>PO1296</t>
  </si>
  <si>
    <t>PO1297</t>
  </si>
  <si>
    <t>PO1298</t>
  </si>
  <si>
    <t>PO1300</t>
  </si>
  <si>
    <t>PO1301</t>
  </si>
  <si>
    <t>PO1302</t>
  </si>
  <si>
    <t>PO1303</t>
  </si>
  <si>
    <t>PO1304</t>
  </si>
  <si>
    <t>PO1305</t>
  </si>
  <si>
    <t>PO1306</t>
  </si>
  <si>
    <t>PO1307</t>
  </si>
  <si>
    <t>PO1308</t>
  </si>
  <si>
    <t>PO1309</t>
  </si>
  <si>
    <t>PO1311</t>
  </si>
  <si>
    <t>PO1312</t>
  </si>
  <si>
    <t>PO1313</t>
  </si>
  <si>
    <t>PO1314</t>
  </si>
  <si>
    <t>PO1315</t>
  </si>
  <si>
    <t>PO1316</t>
  </si>
  <si>
    <t>PO1317</t>
  </si>
  <si>
    <t>PO1318</t>
  </si>
  <si>
    <t>PO1320</t>
  </si>
  <si>
    <t>PO1321</t>
  </si>
  <si>
    <t>PO1322</t>
  </si>
  <si>
    <t>PO1323</t>
  </si>
  <si>
    <t>PO1324</t>
  </si>
  <si>
    <t>PO1325</t>
  </si>
  <si>
    <t>PO1326</t>
  </si>
  <si>
    <t>PO1327</t>
  </si>
  <si>
    <t>PO1328</t>
  </si>
  <si>
    <t>PO1329</t>
  </si>
  <si>
    <t>PO1330</t>
  </si>
  <si>
    <t>PO1331</t>
  </si>
  <si>
    <t>PO1332</t>
  </si>
  <si>
    <t>PO1333</t>
  </si>
  <si>
    <t>PO1334</t>
  </si>
  <si>
    <t>PO1335</t>
  </si>
  <si>
    <t>PO1336</t>
  </si>
  <si>
    <t>PO1338</t>
  </si>
  <si>
    <t>PO1339</t>
  </si>
  <si>
    <t>PO1340</t>
  </si>
  <si>
    <t>PO1341</t>
  </si>
  <si>
    <t>PO1342</t>
  </si>
  <si>
    <t>PO1343</t>
  </si>
  <si>
    <t>PO1344</t>
  </si>
  <si>
    <t>PO1345</t>
  </si>
  <si>
    <t>PO1346</t>
  </si>
  <si>
    <t>PO1347</t>
  </si>
  <si>
    <t>PO1348</t>
  </si>
  <si>
    <t>PO1349</t>
  </si>
  <si>
    <t>PO1350</t>
  </si>
  <si>
    <t>PO1351</t>
  </si>
  <si>
    <t>PO1352</t>
  </si>
  <si>
    <t>PO1353</t>
  </si>
  <si>
    <t>PO1354</t>
  </si>
  <si>
    <t>PO1355</t>
  </si>
  <si>
    <t>PO1356</t>
  </si>
  <si>
    <t>PO1357</t>
  </si>
  <si>
    <t>PO1358</t>
  </si>
  <si>
    <t>PO1359</t>
  </si>
  <si>
    <t>PO1360</t>
  </si>
  <si>
    <t>PO1361</t>
  </si>
  <si>
    <t>PO1362</t>
  </si>
  <si>
    <t>PO1363</t>
  </si>
  <si>
    <t>PO1364</t>
  </si>
  <si>
    <t>PO1365</t>
  </si>
  <si>
    <t>PO1366</t>
  </si>
  <si>
    <t>PO1367</t>
  </si>
  <si>
    <t>PO1368</t>
  </si>
  <si>
    <t>PO1370</t>
  </si>
  <si>
    <t>PO1371</t>
  </si>
  <si>
    <t>PO1372</t>
  </si>
  <si>
    <t>PO1373</t>
  </si>
  <si>
    <t>PO1374</t>
  </si>
  <si>
    <t>PO1375</t>
  </si>
  <si>
    <t>PO1376</t>
  </si>
  <si>
    <t>PO1377</t>
  </si>
  <si>
    <t>PO1378</t>
  </si>
  <si>
    <t>PO1379</t>
  </si>
  <si>
    <t>PO1380</t>
  </si>
  <si>
    <t>PO1381</t>
  </si>
  <si>
    <t>PO1382</t>
  </si>
  <si>
    <t>PO1383</t>
  </si>
  <si>
    <t>PO1385</t>
  </si>
  <si>
    <t>PO1386</t>
  </si>
  <si>
    <t>PO1387</t>
  </si>
  <si>
    <t>PO1388</t>
  </si>
  <si>
    <t>PO1389</t>
  </si>
  <si>
    <t>PO1390</t>
  </si>
  <si>
    <t>PO1394</t>
  </si>
  <si>
    <t>PO1395</t>
  </si>
  <si>
    <t>PO1397</t>
  </si>
  <si>
    <t>PO1398</t>
  </si>
  <si>
    <t>PO1399</t>
  </si>
  <si>
    <t>PO1400</t>
  </si>
  <si>
    <t>PO1401</t>
  </si>
  <si>
    <t>PO1402</t>
  </si>
  <si>
    <t>PO1403</t>
  </si>
  <si>
    <t>PO1404</t>
  </si>
  <si>
    <t>PO1405</t>
  </si>
  <si>
    <t>PO1406</t>
  </si>
  <si>
    <t>PO1407</t>
  </si>
  <si>
    <t>PO1408</t>
  </si>
  <si>
    <t>PO1409</t>
  </si>
  <si>
    <t>PO1410</t>
  </si>
  <si>
    <t>PO1411</t>
  </si>
  <si>
    <t>PO1413</t>
  </si>
  <si>
    <t>PO1414</t>
  </si>
  <si>
    <t>PO1415</t>
  </si>
  <si>
    <t>PO1416</t>
  </si>
  <si>
    <t>PO1417</t>
  </si>
  <si>
    <t>PO1418</t>
  </si>
  <si>
    <t>PO1419</t>
  </si>
  <si>
    <t>PO1421</t>
  </si>
  <si>
    <t>PO1422</t>
  </si>
  <si>
    <t>PO1424</t>
  </si>
  <si>
    <t>PO1425</t>
  </si>
  <si>
    <t>PO1426</t>
  </si>
  <si>
    <t>PO1427</t>
  </si>
  <si>
    <t>PO1428</t>
  </si>
  <si>
    <t>PO1429</t>
  </si>
  <si>
    <t>PO1430</t>
  </si>
  <si>
    <t>PO1432</t>
  </si>
  <si>
    <t>PO1433</t>
  </si>
  <si>
    <t>PO1434</t>
  </si>
  <si>
    <t>PO1435</t>
  </si>
  <si>
    <t>PO1436</t>
  </si>
  <si>
    <t>PO1437</t>
  </si>
  <si>
    <t>PO1439</t>
  </si>
  <si>
    <t>PO1440</t>
  </si>
  <si>
    <t>PO1441</t>
  </si>
  <si>
    <t>PO1442</t>
  </si>
  <si>
    <t>PO1443</t>
  </si>
  <si>
    <t>PO1444</t>
  </si>
  <si>
    <t>PO1445</t>
  </si>
  <si>
    <t>PO1446</t>
  </si>
  <si>
    <t>PO1447</t>
  </si>
  <si>
    <t>PO1448</t>
  </si>
  <si>
    <t>PO1449</t>
  </si>
  <si>
    <t>PO1450</t>
  </si>
  <si>
    <t>PO1451</t>
  </si>
  <si>
    <t>PO1452</t>
  </si>
  <si>
    <t>PO1453</t>
  </si>
  <si>
    <t>PO1454</t>
  </si>
  <si>
    <t>PO1455</t>
  </si>
  <si>
    <t>PO1456</t>
  </si>
  <si>
    <t>PO1458</t>
  </si>
  <si>
    <t>PO1459</t>
  </si>
  <si>
    <t>PO1460</t>
  </si>
  <si>
    <t>PO1461</t>
  </si>
  <si>
    <t>PO1462</t>
  </si>
  <si>
    <t>PO1463</t>
  </si>
  <si>
    <t>PO1464</t>
  </si>
  <si>
    <t>PO1465</t>
  </si>
  <si>
    <t>PO1466</t>
  </si>
  <si>
    <t>PO1467</t>
  </si>
  <si>
    <t>PO1468</t>
  </si>
  <si>
    <t>PO1470</t>
  </si>
  <si>
    <t>PO1471</t>
  </si>
  <si>
    <t>PO1472</t>
  </si>
  <si>
    <t>PO1473</t>
  </si>
  <si>
    <t>PO1474</t>
  </si>
  <si>
    <t>PO1475</t>
  </si>
  <si>
    <t>PO1477</t>
  </si>
  <si>
    <t>PO1478</t>
  </si>
  <si>
    <t>PO1480</t>
  </si>
  <si>
    <t>PO1481</t>
  </si>
  <si>
    <t>PO1482</t>
  </si>
  <si>
    <t>PO1483</t>
  </si>
  <si>
    <t>PO1484</t>
  </si>
  <si>
    <t>PO1485</t>
  </si>
  <si>
    <t>PO1486</t>
  </si>
  <si>
    <t>PO1487</t>
  </si>
  <si>
    <t>PO1488</t>
  </si>
  <si>
    <t>PO1489</t>
  </si>
  <si>
    <t>PO1490</t>
  </si>
  <si>
    <t>PO1491</t>
  </si>
  <si>
    <t>PO1492</t>
  </si>
  <si>
    <t>PO1493</t>
  </si>
  <si>
    <t>PO1494</t>
  </si>
  <si>
    <t>PO1495</t>
  </si>
  <si>
    <t>PO1496</t>
  </si>
  <si>
    <t>PO1497</t>
  </si>
  <si>
    <t>PO1498</t>
  </si>
  <si>
    <t>PO1499</t>
  </si>
  <si>
    <t>PO1501</t>
  </si>
  <si>
    <t>PO1502</t>
  </si>
  <si>
    <t>PO1503</t>
  </si>
  <si>
    <t>PO1504</t>
  </si>
  <si>
    <t>PO1505</t>
  </si>
  <si>
    <t>PO1507</t>
  </si>
  <si>
    <t>PO1508</t>
  </si>
  <si>
    <t>PO1509</t>
  </si>
  <si>
    <t>PO1510</t>
  </si>
  <si>
    <t>PO1511</t>
  </si>
  <si>
    <t>PO1512</t>
  </si>
  <si>
    <t>PO1513</t>
  </si>
  <si>
    <t>PO1514</t>
  </si>
  <si>
    <t>PO1515</t>
  </si>
  <si>
    <t>PO1516</t>
  </si>
  <si>
    <t>PO1517</t>
  </si>
  <si>
    <t>PO1518</t>
  </si>
  <si>
    <t>PO1519</t>
  </si>
  <si>
    <t>PO1520</t>
  </si>
  <si>
    <t>PO1521</t>
  </si>
  <si>
    <t>PO1522</t>
  </si>
  <si>
    <t>PO1523</t>
  </si>
  <si>
    <t>PO1524</t>
  </si>
  <si>
    <t>PO1525</t>
  </si>
  <si>
    <t>PO1526</t>
  </si>
  <si>
    <t>PO1527</t>
  </si>
  <si>
    <t>PO1528</t>
  </si>
  <si>
    <t>PO1529</t>
  </si>
  <si>
    <t>PO1530</t>
  </si>
  <si>
    <t>PO1531</t>
  </si>
  <si>
    <t>PO1533</t>
  </si>
  <si>
    <t>PO1534</t>
  </si>
  <si>
    <t>PO1535</t>
  </si>
  <si>
    <t>PO1536</t>
  </si>
  <si>
    <t>PO1537</t>
  </si>
  <si>
    <t>PO1538</t>
  </si>
  <si>
    <t>PO1539</t>
  </si>
  <si>
    <t>PO1540</t>
  </si>
  <si>
    <t>PO1541</t>
  </si>
  <si>
    <t>PO1542</t>
  </si>
  <si>
    <t>PO1543</t>
  </si>
  <si>
    <t>PO1544</t>
  </si>
  <si>
    <t>PO1545</t>
  </si>
  <si>
    <t>PO1546</t>
  </si>
  <si>
    <t>PO1547</t>
  </si>
  <si>
    <t>PO1548</t>
  </si>
  <si>
    <t>PO1549</t>
  </si>
  <si>
    <t>PO1550</t>
  </si>
  <si>
    <t>PO1551</t>
  </si>
  <si>
    <t>PO1552</t>
  </si>
  <si>
    <t>PO1553</t>
  </si>
  <si>
    <t>PO1554</t>
  </si>
  <si>
    <t>PO1555</t>
  </si>
  <si>
    <t>PO1557</t>
  </si>
  <si>
    <t>PO1558</t>
  </si>
  <si>
    <t>PO1559</t>
  </si>
  <si>
    <t>PO1560</t>
  </si>
  <si>
    <t>PO1561</t>
  </si>
  <si>
    <t>PO1562</t>
  </si>
  <si>
    <t>PO1563</t>
  </si>
  <si>
    <t>PO1565</t>
  </si>
  <si>
    <t>PO1567</t>
  </si>
  <si>
    <t>PO1568</t>
  </si>
  <si>
    <t>PO1569</t>
  </si>
  <si>
    <t>PO1570</t>
  </si>
  <si>
    <t>PO1571</t>
  </si>
  <si>
    <t>PO1572</t>
  </si>
  <si>
    <t>PO1573</t>
  </si>
  <si>
    <t>PO1574</t>
  </si>
  <si>
    <t>PO1575</t>
  </si>
  <si>
    <t>PO1576</t>
  </si>
  <si>
    <t>PO1577</t>
  </si>
  <si>
    <t>PO1578</t>
  </si>
  <si>
    <t>PO1579</t>
  </si>
  <si>
    <t>PO1580</t>
  </si>
  <si>
    <t>PO1581</t>
  </si>
  <si>
    <t>PO1582</t>
  </si>
  <si>
    <t>PO1583</t>
  </si>
  <si>
    <t>PO1584</t>
  </si>
  <si>
    <t>PO1585</t>
  </si>
  <si>
    <t>PO1586</t>
  </si>
  <si>
    <t>PO1587</t>
  </si>
  <si>
    <t>PO1588</t>
  </si>
  <si>
    <t>PO1589</t>
  </si>
  <si>
    <t>PO1590</t>
  </si>
  <si>
    <t>PO1591</t>
  </si>
  <si>
    <t>PO1592</t>
  </si>
  <si>
    <t>PO1593</t>
  </si>
  <si>
    <t>PO1594</t>
  </si>
  <si>
    <t>PO1595</t>
  </si>
  <si>
    <t>PO1596</t>
  </si>
  <si>
    <t>PO1597</t>
  </si>
  <si>
    <t>PO1598</t>
  </si>
  <si>
    <t>PO1599</t>
  </si>
  <si>
    <t>PO1600</t>
  </si>
  <si>
    <t>PO1601</t>
  </si>
  <si>
    <t>PO1602</t>
  </si>
  <si>
    <t>PO1603</t>
  </si>
  <si>
    <t>PO1606</t>
  </si>
  <si>
    <t>PO1607</t>
  </si>
  <si>
    <t>PO1609</t>
  </si>
  <si>
    <t>PO1610</t>
  </si>
  <si>
    <t>PO1611</t>
  </si>
  <si>
    <t>PO1612</t>
  </si>
  <si>
    <t>PO1613</t>
  </si>
  <si>
    <t>PO1614</t>
  </si>
  <si>
    <t>PO1615</t>
  </si>
  <si>
    <t>PO1616</t>
  </si>
  <si>
    <t>PO1617</t>
  </si>
  <si>
    <t>PO1618</t>
  </si>
  <si>
    <t>PO1619</t>
  </si>
  <si>
    <t>PO1620</t>
  </si>
  <si>
    <t>PO1621</t>
  </si>
  <si>
    <t>PO1622</t>
  </si>
  <si>
    <t>PO1623</t>
  </si>
  <si>
    <t>PO1624</t>
  </si>
  <si>
    <t>PO1625</t>
  </si>
  <si>
    <t>PO1626</t>
  </si>
  <si>
    <t>PO1627</t>
  </si>
  <si>
    <t>PO1628</t>
  </si>
  <si>
    <t>PO1629</t>
  </si>
  <si>
    <t>PO1630</t>
  </si>
  <si>
    <t>PO1631</t>
  </si>
  <si>
    <t>PO1632</t>
  </si>
  <si>
    <t>PO1633</t>
  </si>
  <si>
    <t>PO1634</t>
  </si>
  <si>
    <t>PO1636</t>
  </si>
  <si>
    <t>PO1637</t>
  </si>
  <si>
    <t>PO1638</t>
  </si>
  <si>
    <t>PO1639</t>
  </si>
  <si>
    <t>PO1640</t>
  </si>
  <si>
    <t>PO1641</t>
  </si>
  <si>
    <t>PO1642</t>
  </si>
  <si>
    <t>PO1643</t>
  </si>
  <si>
    <t>PO1644</t>
  </si>
  <si>
    <t>PO1645</t>
  </si>
  <si>
    <t>PO1646</t>
  </si>
  <si>
    <t>PO1647</t>
  </si>
  <si>
    <t>PO1648</t>
  </si>
  <si>
    <t>PO1649</t>
  </si>
  <si>
    <t>PO1650</t>
  </si>
  <si>
    <t>PO1651</t>
  </si>
  <si>
    <t>PO1652</t>
  </si>
  <si>
    <t>PO1653</t>
  </si>
  <si>
    <t>PO1654</t>
  </si>
  <si>
    <t>PO1655</t>
  </si>
  <si>
    <t>PO1656</t>
  </si>
  <si>
    <t>PO1657</t>
  </si>
  <si>
    <t>PO1658</t>
  </si>
  <si>
    <t>PO1659</t>
  </si>
  <si>
    <t>PO1660</t>
  </si>
  <si>
    <t>PO1661</t>
  </si>
  <si>
    <t>PO1662</t>
  </si>
  <si>
    <t>PO1663</t>
  </si>
  <si>
    <t>PO1664</t>
  </si>
  <si>
    <t>PO1665</t>
  </si>
  <si>
    <t>PO1666</t>
  </si>
  <si>
    <t>PO1667</t>
  </si>
  <si>
    <t>PO1668</t>
  </si>
  <si>
    <t>PO1669</t>
  </si>
  <si>
    <t>PO1670</t>
  </si>
  <si>
    <t>PO1671</t>
  </si>
  <si>
    <t>PO1672</t>
  </si>
  <si>
    <t>PO1673</t>
  </si>
  <si>
    <t>PO1674</t>
  </si>
  <si>
    <t>PO1675</t>
  </si>
  <si>
    <t>PO1676</t>
  </si>
  <si>
    <t>PO1677</t>
  </si>
  <si>
    <t>PO1678</t>
  </si>
  <si>
    <t>PO1679</t>
  </si>
  <si>
    <t>PO1680</t>
  </si>
  <si>
    <t>PO1681</t>
  </si>
  <si>
    <t>PO1682</t>
  </si>
  <si>
    <t>PO1683</t>
  </si>
  <si>
    <t>PO1684</t>
  </si>
  <si>
    <t>PO1685</t>
  </si>
  <si>
    <t>PO1686</t>
  </si>
  <si>
    <t>PO1687</t>
  </si>
  <si>
    <t>PO1688</t>
  </si>
  <si>
    <t>PO1689</t>
  </si>
  <si>
    <t>PO1690</t>
  </si>
  <si>
    <t>PO1691</t>
  </si>
  <si>
    <t>PO1692</t>
  </si>
  <si>
    <t>PO1693</t>
  </si>
  <si>
    <t>PO1695</t>
  </si>
  <si>
    <t>PO1696</t>
  </si>
  <si>
    <t>PO1697</t>
  </si>
  <si>
    <t>PO1698</t>
  </si>
  <si>
    <t>PO1699</t>
  </si>
  <si>
    <t>Invoice Number</t>
  </si>
  <si>
    <t>Invoice Quantity</t>
  </si>
  <si>
    <t>Invoice Unit Price</t>
  </si>
  <si>
    <t>Invoice Date</t>
  </si>
  <si>
    <t>INV5001</t>
  </si>
  <si>
    <t>INV5002</t>
  </si>
  <si>
    <t>INV5003</t>
  </si>
  <si>
    <t>INV5004</t>
  </si>
  <si>
    <t>INV5005</t>
  </si>
  <si>
    <t>INV5006</t>
  </si>
  <si>
    <t>INV5007</t>
  </si>
  <si>
    <t>INV5008</t>
  </si>
  <si>
    <t>INV5009</t>
  </si>
  <si>
    <t>INV5010</t>
  </si>
  <si>
    <t>INV5011</t>
  </si>
  <si>
    <t>INV5012</t>
  </si>
  <si>
    <t>INV5013</t>
  </si>
  <si>
    <t>INV5014</t>
  </si>
  <si>
    <t>INV5015</t>
  </si>
  <si>
    <t>INV5016</t>
  </si>
  <si>
    <t>INV5017</t>
  </si>
  <si>
    <t>INV5018</t>
  </si>
  <si>
    <t>INV5019</t>
  </si>
  <si>
    <t>INV5020</t>
  </si>
  <si>
    <t>INV5021</t>
  </si>
  <si>
    <t>INV5022</t>
  </si>
  <si>
    <t>INV5023</t>
  </si>
  <si>
    <t>INV5024</t>
  </si>
  <si>
    <t>INV5025</t>
  </si>
  <si>
    <t>INV5026</t>
  </si>
  <si>
    <t>INV5027</t>
  </si>
  <si>
    <t>INV5028</t>
  </si>
  <si>
    <t>INV5029</t>
  </si>
  <si>
    <t>INV5030</t>
  </si>
  <si>
    <t>INV5031</t>
  </si>
  <si>
    <t>INV5032</t>
  </si>
  <si>
    <t>INV5033</t>
  </si>
  <si>
    <t>INV5034</t>
  </si>
  <si>
    <t>INV5035</t>
  </si>
  <si>
    <t>PO1035</t>
  </si>
  <si>
    <t>INV5036</t>
  </si>
  <si>
    <t>INV5037</t>
  </si>
  <si>
    <t>INV5038</t>
  </si>
  <si>
    <t>INV5039</t>
  </si>
  <si>
    <t>INV5040</t>
  </si>
  <si>
    <t>INV5041</t>
  </si>
  <si>
    <t>INV5042</t>
  </si>
  <si>
    <t>INV5043</t>
  </si>
  <si>
    <t>INV5044</t>
  </si>
  <si>
    <t>INV5045</t>
  </si>
  <si>
    <t>INV5046</t>
  </si>
  <si>
    <t>INV5047</t>
  </si>
  <si>
    <t>INV5048</t>
  </si>
  <si>
    <t>INV5049</t>
  </si>
  <si>
    <t>INV5050</t>
  </si>
  <si>
    <t>INV5051</t>
  </si>
  <si>
    <t>INV5052</t>
  </si>
  <si>
    <t>INV5053</t>
  </si>
  <si>
    <t>INV5054</t>
  </si>
  <si>
    <t>INV5055</t>
  </si>
  <si>
    <t>PO1054</t>
  </si>
  <si>
    <t>INV5056</t>
  </si>
  <si>
    <t>INV5057</t>
  </si>
  <si>
    <t>INV5058</t>
  </si>
  <si>
    <t>INV5059</t>
  </si>
  <si>
    <t>INV5060</t>
  </si>
  <si>
    <t>INV5061</t>
  </si>
  <si>
    <t>INV5062</t>
  </si>
  <si>
    <t>INV5063</t>
  </si>
  <si>
    <t>INV5064</t>
  </si>
  <si>
    <t>INV5065</t>
  </si>
  <si>
    <t>INV5066</t>
  </si>
  <si>
    <t>INV5067</t>
  </si>
  <si>
    <t>INV5068</t>
  </si>
  <si>
    <t>INV5069</t>
  </si>
  <si>
    <t>INV5070</t>
  </si>
  <si>
    <t>INV5071</t>
  </si>
  <si>
    <t>INV5072</t>
  </si>
  <si>
    <t>INV5073</t>
  </si>
  <si>
    <t>INV5074</t>
  </si>
  <si>
    <t>INV5075</t>
  </si>
  <si>
    <t>INV5076</t>
  </si>
  <si>
    <t>INV5077</t>
  </si>
  <si>
    <t>INV5078</t>
  </si>
  <si>
    <t>INV5079</t>
  </si>
  <si>
    <t>INV5080</t>
  </si>
  <si>
    <t>PO1077</t>
  </si>
  <si>
    <t>INV5081</t>
  </si>
  <si>
    <t>INV5082</t>
  </si>
  <si>
    <t>INV5083</t>
  </si>
  <si>
    <t>INV5084</t>
  </si>
  <si>
    <t>INV5085</t>
  </si>
  <si>
    <t>INV5086</t>
  </si>
  <si>
    <t>INV5087</t>
  </si>
  <si>
    <t>INV5088</t>
  </si>
  <si>
    <t>INV5089</t>
  </si>
  <si>
    <t>INV5090</t>
  </si>
  <si>
    <t>INV5091</t>
  </si>
  <si>
    <t>INV5092</t>
  </si>
  <si>
    <t>INV5093</t>
  </si>
  <si>
    <t>INV5094</t>
  </si>
  <si>
    <t>INV5095</t>
  </si>
  <si>
    <t>INV5096</t>
  </si>
  <si>
    <t>INV5097</t>
  </si>
  <si>
    <t>PO1093</t>
  </si>
  <si>
    <t>INV5098</t>
  </si>
  <si>
    <t>INV5099</t>
  </si>
  <si>
    <t>INV5100</t>
  </si>
  <si>
    <t>PO1096</t>
  </si>
  <si>
    <t>INV5101</t>
  </si>
  <si>
    <t>INV5102</t>
  </si>
  <si>
    <t>INV5103</t>
  </si>
  <si>
    <t>INV5104</t>
  </si>
  <si>
    <t>PO1100</t>
  </si>
  <si>
    <t>INV5105</t>
  </si>
  <si>
    <t>INV5106</t>
  </si>
  <si>
    <t>INV5107</t>
  </si>
  <si>
    <t>INV5108</t>
  </si>
  <si>
    <t>INV5109</t>
  </si>
  <si>
    <t>INV5110</t>
  </si>
  <si>
    <t>INV5111</t>
  </si>
  <si>
    <t>INV5112</t>
  </si>
  <si>
    <t>INV5113</t>
  </si>
  <si>
    <t>PO1109</t>
  </si>
  <si>
    <t>INV5114</t>
  </si>
  <si>
    <t>INV5115</t>
  </si>
  <si>
    <t>INV5116</t>
  </si>
  <si>
    <t>PO1112</t>
  </si>
  <si>
    <t>INV5117</t>
  </si>
  <si>
    <t>INV5118</t>
  </si>
  <si>
    <t>INV5119</t>
  </si>
  <si>
    <t>INV5120</t>
  </si>
  <si>
    <t>INV5121</t>
  </si>
  <si>
    <t>INV5122</t>
  </si>
  <si>
    <t>INV5123</t>
  </si>
  <si>
    <t>INV5124</t>
  </si>
  <si>
    <t>INV5125</t>
  </si>
  <si>
    <t>INV5126</t>
  </si>
  <si>
    <t>INV5127</t>
  </si>
  <si>
    <t>INV5128</t>
  </si>
  <si>
    <t>INV5129</t>
  </si>
  <si>
    <t>INV5130</t>
  </si>
  <si>
    <t>PO1124</t>
  </si>
  <si>
    <t>INV5131</t>
  </si>
  <si>
    <t>INV5132</t>
  </si>
  <si>
    <t>INV5133</t>
  </si>
  <si>
    <t>INV5134</t>
  </si>
  <si>
    <t>PO1128</t>
  </si>
  <si>
    <t>INV5135</t>
  </si>
  <si>
    <t>INV5136</t>
  </si>
  <si>
    <t>INV5137</t>
  </si>
  <si>
    <t>INV5138</t>
  </si>
  <si>
    <t>INV5139</t>
  </si>
  <si>
    <t>PO1133</t>
  </si>
  <si>
    <t>INV5140</t>
  </si>
  <si>
    <t>INV5141</t>
  </si>
  <si>
    <t>INV5142</t>
  </si>
  <si>
    <t>INV5143</t>
  </si>
  <si>
    <t>INV5144</t>
  </si>
  <si>
    <t>INV5145</t>
  </si>
  <si>
    <t>INV5146</t>
  </si>
  <si>
    <t>INV5147</t>
  </si>
  <si>
    <t>INV5148</t>
  </si>
  <si>
    <t>INV5149</t>
  </si>
  <si>
    <t>INV5150</t>
  </si>
  <si>
    <t>INV5151</t>
  </si>
  <si>
    <t>INV5152</t>
  </si>
  <si>
    <t>INV5153</t>
  </si>
  <si>
    <t>INV5154</t>
  </si>
  <si>
    <t>INV5155</t>
  </si>
  <si>
    <t>INV5156</t>
  </si>
  <si>
    <t>INV5157</t>
  </si>
  <si>
    <t>PO1150</t>
  </si>
  <si>
    <t>INV5158</t>
  </si>
  <si>
    <t>INV5159</t>
  </si>
  <si>
    <t>INV5160</t>
  </si>
  <si>
    <t>INV5161</t>
  </si>
  <si>
    <t>PO1154</t>
  </si>
  <si>
    <t>INV5162</t>
  </si>
  <si>
    <t>INV5163</t>
  </si>
  <si>
    <t>INV5164</t>
  </si>
  <si>
    <t>INV5165</t>
  </si>
  <si>
    <t>INV5166</t>
  </si>
  <si>
    <t>PO1159</t>
  </si>
  <si>
    <t>INV5167</t>
  </si>
  <si>
    <t>INV5168</t>
  </si>
  <si>
    <t>INV5169</t>
  </si>
  <si>
    <t>INV5170</t>
  </si>
  <si>
    <t>INV5171</t>
  </si>
  <si>
    <t>INV5172</t>
  </si>
  <si>
    <t>INV5173</t>
  </si>
  <si>
    <t>INV5174</t>
  </si>
  <si>
    <t>INV5175</t>
  </si>
  <si>
    <t>INV5176</t>
  </si>
  <si>
    <t>INV5177</t>
  </si>
  <si>
    <t>INV5178</t>
  </si>
  <si>
    <t>INV5179</t>
  </si>
  <si>
    <t>INV5180</t>
  </si>
  <si>
    <t>INV5181</t>
  </si>
  <si>
    <t>INV5182</t>
  </si>
  <si>
    <t>PO1174</t>
  </si>
  <si>
    <t>INV5183</t>
  </si>
  <si>
    <t>PO1175</t>
  </si>
  <si>
    <t>INV5184</t>
  </si>
  <si>
    <t>INV5185</t>
  </si>
  <si>
    <t>INV5186</t>
  </si>
  <si>
    <t>INV5187</t>
  </si>
  <si>
    <t>INV5188</t>
  </si>
  <si>
    <t>INV5189</t>
  </si>
  <si>
    <t>INV5190</t>
  </si>
  <si>
    <t>INV5191</t>
  </si>
  <si>
    <t>INV5192</t>
  </si>
  <si>
    <t>INV5193</t>
  </si>
  <si>
    <t>INV5194</t>
  </si>
  <si>
    <t>INV5195</t>
  </si>
  <si>
    <t>INV5196</t>
  </si>
  <si>
    <t>INV5197</t>
  </si>
  <si>
    <t>INV5198</t>
  </si>
  <si>
    <t>PO1189</t>
  </si>
  <si>
    <t>INV5199</t>
  </si>
  <si>
    <t>INV5200</t>
  </si>
  <si>
    <t>INV5201</t>
  </si>
  <si>
    <t>INV5202</t>
  </si>
  <si>
    <t>INV5203</t>
  </si>
  <si>
    <t>INV5204</t>
  </si>
  <si>
    <t>INV5205</t>
  </si>
  <si>
    <t>INV5206</t>
  </si>
  <si>
    <t>INV5207</t>
  </si>
  <si>
    <t>PO1198</t>
  </si>
  <si>
    <t>INV5208</t>
  </si>
  <si>
    <t>INV5209</t>
  </si>
  <si>
    <t>INV5210</t>
  </si>
  <si>
    <t>INV5211</t>
  </si>
  <si>
    <t>INV5212</t>
  </si>
  <si>
    <t>INV5213</t>
  </si>
  <si>
    <t>INV5214</t>
  </si>
  <si>
    <t>INV5215</t>
  </si>
  <si>
    <t>INV5216</t>
  </si>
  <si>
    <t>INV5217</t>
  </si>
  <si>
    <t>INV5218</t>
  </si>
  <si>
    <t>INV5219</t>
  </si>
  <si>
    <t>INV5220</t>
  </si>
  <si>
    <t>INV5221</t>
  </si>
  <si>
    <t>INV5222</t>
  </si>
  <si>
    <t>INV5223</t>
  </si>
  <si>
    <t>PO1214</t>
  </si>
  <si>
    <t>INV5224</t>
  </si>
  <si>
    <t>INV5225</t>
  </si>
  <si>
    <t>INV5226</t>
  </si>
  <si>
    <t>INV5227</t>
  </si>
  <si>
    <t>INV5228</t>
  </si>
  <si>
    <t>INV5229</t>
  </si>
  <si>
    <t>INV5230</t>
  </si>
  <si>
    <t>PO1221</t>
  </si>
  <si>
    <t>INV5231</t>
  </si>
  <si>
    <t>INV5232</t>
  </si>
  <si>
    <t>INV5233</t>
  </si>
  <si>
    <t>INV5234</t>
  </si>
  <si>
    <t>INV5235</t>
  </si>
  <si>
    <t>INV5236</t>
  </si>
  <si>
    <t>INV5237</t>
  </si>
  <si>
    <t>INV5238</t>
  </si>
  <si>
    <t>INV5239</t>
  </si>
  <si>
    <t>INV5240</t>
  </si>
  <si>
    <t>INV5241</t>
  </si>
  <si>
    <t>INV5242</t>
  </si>
  <si>
    <t>INV5243</t>
  </si>
  <si>
    <t>INV5244</t>
  </si>
  <si>
    <t>INV5245</t>
  </si>
  <si>
    <t>INV5246</t>
  </si>
  <si>
    <t>INV5247</t>
  </si>
  <si>
    <t>INV5248</t>
  </si>
  <si>
    <t>INV5249</t>
  </si>
  <si>
    <t>INV5250</t>
  </si>
  <si>
    <t>INV5251</t>
  </si>
  <si>
    <t>INV5252</t>
  </si>
  <si>
    <t>INV5253</t>
  </si>
  <si>
    <t>INV5254</t>
  </si>
  <si>
    <t>INV5255</t>
  </si>
  <si>
    <t>PO1243</t>
  </si>
  <si>
    <t>INV5256</t>
  </si>
  <si>
    <t>INV5257</t>
  </si>
  <si>
    <t>INV5258</t>
  </si>
  <si>
    <t>INV5259</t>
  </si>
  <si>
    <t>INV5260</t>
  </si>
  <si>
    <t>INV5261</t>
  </si>
  <si>
    <t>INV5262</t>
  </si>
  <si>
    <t>INV5263</t>
  </si>
  <si>
    <t>INV5264</t>
  </si>
  <si>
    <t>INV5265</t>
  </si>
  <si>
    <t>INV5266</t>
  </si>
  <si>
    <t>INV5267</t>
  </si>
  <si>
    <t>INV5268</t>
  </si>
  <si>
    <t>INV5269</t>
  </si>
  <si>
    <t>INV5270</t>
  </si>
  <si>
    <t>INV5271</t>
  </si>
  <si>
    <t>INV5272</t>
  </si>
  <si>
    <t>INV5273</t>
  </si>
  <si>
    <t>INV5274</t>
  </si>
  <si>
    <t>INV5275</t>
  </si>
  <si>
    <t>INV5276</t>
  </si>
  <si>
    <t>INV5277</t>
  </si>
  <si>
    <t>INV5278</t>
  </si>
  <si>
    <t>PO1265</t>
  </si>
  <si>
    <t>INV5279</t>
  </si>
  <si>
    <t>INV5280</t>
  </si>
  <si>
    <t>INV5281</t>
  </si>
  <si>
    <t>INV5282</t>
  </si>
  <si>
    <t>INV5283</t>
  </si>
  <si>
    <t>INV5284</t>
  </si>
  <si>
    <t>PO1271</t>
  </si>
  <si>
    <t>INV5285</t>
  </si>
  <si>
    <t>INV5286</t>
  </si>
  <si>
    <t>INV5287</t>
  </si>
  <si>
    <t>INV5288</t>
  </si>
  <si>
    <t>INV5289</t>
  </si>
  <si>
    <t>PO1276</t>
  </si>
  <si>
    <t>INV5290</t>
  </si>
  <si>
    <t>INV5291</t>
  </si>
  <si>
    <t>INV5292</t>
  </si>
  <si>
    <t>INV5293</t>
  </si>
  <si>
    <t>INV5294</t>
  </si>
  <si>
    <t>INV5295</t>
  </si>
  <si>
    <t>INV5296</t>
  </si>
  <si>
    <t>INV5297</t>
  </si>
  <si>
    <t>INV5298</t>
  </si>
  <si>
    <t>INV5299</t>
  </si>
  <si>
    <t>INV5300</t>
  </si>
  <si>
    <t>INV5301</t>
  </si>
  <si>
    <t>INV5302</t>
  </si>
  <si>
    <t>INV5303</t>
  </si>
  <si>
    <t>INV5304</t>
  </si>
  <si>
    <t>INV5305</t>
  </si>
  <si>
    <t>PO1291</t>
  </si>
  <si>
    <t>INV5306</t>
  </si>
  <si>
    <t>INV5307</t>
  </si>
  <si>
    <t>PO1293</t>
  </si>
  <si>
    <t>INV5308</t>
  </si>
  <si>
    <t>INV5309</t>
  </si>
  <si>
    <t>INV5310</t>
  </si>
  <si>
    <t>INV5311</t>
  </si>
  <si>
    <t>INV5312</t>
  </si>
  <si>
    <t>INV5313</t>
  </si>
  <si>
    <t>PO1299</t>
  </si>
  <si>
    <t>INV5314</t>
  </si>
  <si>
    <t>INV5315</t>
  </si>
  <si>
    <t>INV5316</t>
  </si>
  <si>
    <t>INV5317</t>
  </si>
  <si>
    <t>INV5318</t>
  </si>
  <si>
    <t>INV5319</t>
  </si>
  <si>
    <t>INV5320</t>
  </si>
  <si>
    <t>INV5321</t>
  </si>
  <si>
    <t>INV5322</t>
  </si>
  <si>
    <t>INV5323</t>
  </si>
  <si>
    <t>INV5324</t>
  </si>
  <si>
    <t>PO1310</t>
  </si>
  <si>
    <t>INV5325</t>
  </si>
  <si>
    <t>INV5326</t>
  </si>
  <si>
    <t>INV5327</t>
  </si>
  <si>
    <t>INV5328</t>
  </si>
  <si>
    <t>INV5329</t>
  </si>
  <si>
    <t>INV5330</t>
  </si>
  <si>
    <t>INV5331</t>
  </si>
  <si>
    <t>INV5332</t>
  </si>
  <si>
    <t>INV5333</t>
  </si>
  <si>
    <t>PO1319</t>
  </si>
  <si>
    <t>INV5334</t>
  </si>
  <si>
    <t>INV5335</t>
  </si>
  <si>
    <t>INV5336</t>
  </si>
  <si>
    <t>INV5337</t>
  </si>
  <si>
    <t>INV5338</t>
  </si>
  <si>
    <t>INV5339</t>
  </si>
  <si>
    <t>INV5340</t>
  </si>
  <si>
    <t>INV5341</t>
  </si>
  <si>
    <t>INV5342</t>
  </si>
  <si>
    <t>INV5343</t>
  </si>
  <si>
    <t>INV5344</t>
  </si>
  <si>
    <t>INV5345</t>
  </si>
  <si>
    <t>INV5346</t>
  </si>
  <si>
    <t>INV5347</t>
  </si>
  <si>
    <t>INV5348</t>
  </si>
  <si>
    <t>INV5349</t>
  </si>
  <si>
    <t>INV5350</t>
  </si>
  <si>
    <t>INV5351</t>
  </si>
  <si>
    <t>PO1337</t>
  </si>
  <si>
    <t>INV5352</t>
  </si>
  <si>
    <t>INV5353</t>
  </si>
  <si>
    <t>INV5354</t>
  </si>
  <si>
    <t>INV5355</t>
  </si>
  <si>
    <t>INV5356</t>
  </si>
  <si>
    <t>INV5357</t>
  </si>
  <si>
    <t>INV5358</t>
  </si>
  <si>
    <t>INV5359</t>
  </si>
  <si>
    <t>INV5360</t>
  </si>
  <si>
    <t>INV5361</t>
  </si>
  <si>
    <t>INV5362</t>
  </si>
  <si>
    <t>INV5363</t>
  </si>
  <si>
    <t>INV5364</t>
  </si>
  <si>
    <t>INV5365</t>
  </si>
  <si>
    <t>INV5366</t>
  </si>
  <si>
    <t>INV5367</t>
  </si>
  <si>
    <t>INV5368</t>
  </si>
  <si>
    <t>INV5369</t>
  </si>
  <si>
    <t>INV5370</t>
  </si>
  <si>
    <t>INV5371</t>
  </si>
  <si>
    <t>INV5372</t>
  </si>
  <si>
    <t>INV5373</t>
  </si>
  <si>
    <t>INV5374</t>
  </si>
  <si>
    <t>INV5375</t>
  </si>
  <si>
    <t>INV5376</t>
  </si>
  <si>
    <t>INV5377</t>
  </si>
  <si>
    <t>INV5378</t>
  </si>
  <si>
    <t>INV5379</t>
  </si>
  <si>
    <t>INV5380</t>
  </si>
  <si>
    <t>INV5381</t>
  </si>
  <si>
    <t>INV5382</t>
  </si>
  <si>
    <t>INV5383</t>
  </si>
  <si>
    <t>PO1369</t>
  </si>
  <si>
    <t>INV5384</t>
  </si>
  <si>
    <t>INV5385</t>
  </si>
  <si>
    <t>INV5386</t>
  </si>
  <si>
    <t>INV5387</t>
  </si>
  <si>
    <t>INV5388</t>
  </si>
  <si>
    <t>INV5389</t>
  </si>
  <si>
    <t>INV5390</t>
  </si>
  <si>
    <t>INV5391</t>
  </si>
  <si>
    <t>INV5392</t>
  </si>
  <si>
    <t>INV5393</t>
  </si>
  <si>
    <t>INV5394</t>
  </si>
  <si>
    <t>INV5395</t>
  </si>
  <si>
    <t>INV5396</t>
  </si>
  <si>
    <t>INV5397</t>
  </si>
  <si>
    <t>INV5398</t>
  </si>
  <si>
    <t>PO1384</t>
  </si>
  <si>
    <t>INV5399</t>
  </si>
  <si>
    <t>INV5400</t>
  </si>
  <si>
    <t>INV5401</t>
  </si>
  <si>
    <t>INV5402</t>
  </si>
  <si>
    <t>INV5403</t>
  </si>
  <si>
    <t>INV5404</t>
  </si>
  <si>
    <t>INV5405</t>
  </si>
  <si>
    <t>PO1391</t>
  </si>
  <si>
    <t>INV5406</t>
  </si>
  <si>
    <t>PO1392</t>
  </si>
  <si>
    <t>INV5407</t>
  </si>
  <si>
    <t>PO1393</t>
  </si>
  <si>
    <t>INV5408</t>
  </si>
  <si>
    <t>INV5409</t>
  </si>
  <si>
    <t>INV5410</t>
  </si>
  <si>
    <t>PO1396</t>
  </si>
  <si>
    <t>INV5411</t>
  </si>
  <si>
    <t>INV5412</t>
  </si>
  <si>
    <t>INV5413</t>
  </si>
  <si>
    <t>INV5414</t>
  </si>
  <si>
    <t>INV5415</t>
  </si>
  <si>
    <t>INV5416</t>
  </si>
  <si>
    <t>INV5417</t>
  </si>
  <si>
    <t>INV5418</t>
  </si>
  <si>
    <t>INV5419</t>
  </si>
  <si>
    <t>INV5420</t>
  </si>
  <si>
    <t>INV5421</t>
  </si>
  <si>
    <t>INV5422</t>
  </si>
  <si>
    <t>INV5423</t>
  </si>
  <si>
    <t>INV5424</t>
  </si>
  <si>
    <t>INV5425</t>
  </si>
  <si>
    <t>INV5426</t>
  </si>
  <si>
    <t>PO1412</t>
  </si>
  <si>
    <t>INV5427</t>
  </si>
  <si>
    <t>INV5428</t>
  </si>
  <si>
    <t>INV5429</t>
  </si>
  <si>
    <t>INV5430</t>
  </si>
  <si>
    <t>INV5431</t>
  </si>
  <si>
    <t>INV5432</t>
  </si>
  <si>
    <t>INV5433</t>
  </si>
  <si>
    <t>INV5434</t>
  </si>
  <si>
    <t>PO1420</t>
  </si>
  <si>
    <t>INV5435</t>
  </si>
  <si>
    <t>INV5436</t>
  </si>
  <si>
    <t>INV5437</t>
  </si>
  <si>
    <t>PO1423</t>
  </si>
  <si>
    <t>INV5438</t>
  </si>
  <si>
    <t>INV5439</t>
  </si>
  <si>
    <t>INV5440</t>
  </si>
  <si>
    <t>INV5441</t>
  </si>
  <si>
    <t>INV5442</t>
  </si>
  <si>
    <t>INV5443</t>
  </si>
  <si>
    <t>INV5444</t>
  </si>
  <si>
    <t>INV5445</t>
  </si>
  <si>
    <t>PO1431</t>
  </si>
  <si>
    <t>INV5446</t>
  </si>
  <si>
    <t>INV5447</t>
  </si>
  <si>
    <t>INV5448</t>
  </si>
  <si>
    <t>INV5449</t>
  </si>
  <si>
    <t>INV5450</t>
  </si>
  <si>
    <t>INV5451</t>
  </si>
  <si>
    <t>INV5452</t>
  </si>
  <si>
    <t>PO1438</t>
  </si>
  <si>
    <t>INV5453</t>
  </si>
  <si>
    <t>INV5454</t>
  </si>
  <si>
    <t>INV5455</t>
  </si>
  <si>
    <t>INV5456</t>
  </si>
  <si>
    <t>INV5457</t>
  </si>
  <si>
    <t>INV5458</t>
  </si>
  <si>
    <t>INV5459</t>
  </si>
  <si>
    <t>INV5460</t>
  </si>
  <si>
    <t>INV5461</t>
  </si>
  <si>
    <t>INV5462</t>
  </si>
  <si>
    <t>INV5463</t>
  </si>
  <si>
    <t>INV5464</t>
  </si>
  <si>
    <t>INV5465</t>
  </si>
  <si>
    <t>INV5466</t>
  </si>
  <si>
    <t>INV5467</t>
  </si>
  <si>
    <t>INV5468</t>
  </si>
  <si>
    <t>INV5469</t>
  </si>
  <si>
    <t>INV5470</t>
  </si>
  <si>
    <t>INV5471</t>
  </si>
  <si>
    <t>INV5472</t>
  </si>
  <si>
    <t>PO1457</t>
  </si>
  <si>
    <t>INV5473</t>
  </si>
  <si>
    <t>INV5474</t>
  </si>
  <si>
    <t>INV5475</t>
  </si>
  <si>
    <t>INV5476</t>
  </si>
  <si>
    <t>INV5477</t>
  </si>
  <si>
    <t>INV5478</t>
  </si>
  <si>
    <t>INV5479</t>
  </si>
  <si>
    <t>INV5480</t>
  </si>
  <si>
    <t>INV5481</t>
  </si>
  <si>
    <t>INV5482</t>
  </si>
  <si>
    <t>INV5483</t>
  </si>
  <si>
    <t>INV5484</t>
  </si>
  <si>
    <t>INV5485</t>
  </si>
  <si>
    <t>PO1469</t>
  </si>
  <si>
    <t>INV5486</t>
  </si>
  <si>
    <t>INV5487</t>
  </si>
  <si>
    <t>INV5488</t>
  </si>
  <si>
    <t>INV5489</t>
  </si>
  <si>
    <t>INV5490</t>
  </si>
  <si>
    <t>INV5491</t>
  </si>
  <si>
    <t>INV5492</t>
  </si>
  <si>
    <t>INV5493</t>
  </si>
  <si>
    <t>PO1476</t>
  </si>
  <si>
    <t>INV5494</t>
  </si>
  <si>
    <t>INV5495</t>
  </si>
  <si>
    <t>INV5496</t>
  </si>
  <si>
    <t>PO1479</t>
  </si>
  <si>
    <t>INV5497</t>
  </si>
  <si>
    <t>INV5498</t>
  </si>
  <si>
    <t>INV5499</t>
  </si>
  <si>
    <t>INV5500</t>
  </si>
  <si>
    <t>INV5501</t>
  </si>
  <si>
    <t>INV5502</t>
  </si>
  <si>
    <t>INV5503</t>
  </si>
  <si>
    <t>INV5504</t>
  </si>
  <si>
    <t>INV5505</t>
  </si>
  <si>
    <t>INV5506</t>
  </si>
  <si>
    <t>INV5507</t>
  </si>
  <si>
    <t>INV5508</t>
  </si>
  <si>
    <t>INV5509</t>
  </si>
  <si>
    <t>INV5510</t>
  </si>
  <si>
    <t>INV5511</t>
  </si>
  <si>
    <t>INV5512</t>
  </si>
  <si>
    <t>INV5513</t>
  </si>
  <si>
    <t>INV5514</t>
  </si>
  <si>
    <t>INV5515</t>
  </si>
  <si>
    <t>INV5516</t>
  </si>
  <si>
    <t>INV5517</t>
  </si>
  <si>
    <t>INV5518</t>
  </si>
  <si>
    <t>INV5519</t>
  </si>
  <si>
    <t>INV5520</t>
  </si>
  <si>
    <t>PO1500</t>
  </si>
  <si>
    <t>INV5521</t>
  </si>
  <si>
    <t>INV5522</t>
  </si>
  <si>
    <t>INV5523</t>
  </si>
  <si>
    <t>INV5524</t>
  </si>
  <si>
    <t>INV5525</t>
  </si>
  <si>
    <t>INV5526</t>
  </si>
  <si>
    <t>PO1506</t>
  </si>
  <si>
    <t>INV5527</t>
  </si>
  <si>
    <t>INV5528</t>
  </si>
  <si>
    <t>INV5529</t>
  </si>
  <si>
    <t>INV5530</t>
  </si>
  <si>
    <t>INV5531</t>
  </si>
  <si>
    <t>INV5532</t>
  </si>
  <si>
    <t>INV5533</t>
  </si>
  <si>
    <t>INV5534</t>
  </si>
  <si>
    <t>INV5535</t>
  </si>
  <si>
    <t>INV5536</t>
  </si>
  <si>
    <t>INV5537</t>
  </si>
  <si>
    <t>INV5538</t>
  </si>
  <si>
    <t>INV5539</t>
  </si>
  <si>
    <t>INV5540</t>
  </si>
  <si>
    <t>INV5541</t>
  </si>
  <si>
    <t>INV5542</t>
  </si>
  <si>
    <t>INV5543</t>
  </si>
  <si>
    <t>INV5544</t>
  </si>
  <si>
    <t>INV5545</t>
  </si>
  <si>
    <t>INV5546</t>
  </si>
  <si>
    <t>INV5547</t>
  </si>
  <si>
    <t>INV5548</t>
  </si>
  <si>
    <t>INV5549</t>
  </si>
  <si>
    <t>INV5550</t>
  </si>
  <si>
    <t>INV5551</t>
  </si>
  <si>
    <t>INV5552</t>
  </si>
  <si>
    <t>PO1532</t>
  </si>
  <si>
    <t>INV5553</t>
  </si>
  <si>
    <t>INV5554</t>
  </si>
  <si>
    <t>INV5555</t>
  </si>
  <si>
    <t>INV5556</t>
  </si>
  <si>
    <t>INV5557</t>
  </si>
  <si>
    <t>INV5558</t>
  </si>
  <si>
    <t>INV5559</t>
  </si>
  <si>
    <t>INV5560</t>
  </si>
  <si>
    <t>INV5561</t>
  </si>
  <si>
    <t>INV5562</t>
  </si>
  <si>
    <t>INV5563</t>
  </si>
  <si>
    <t>INV5564</t>
  </si>
  <si>
    <t>INV5565</t>
  </si>
  <si>
    <t>INV5566</t>
  </si>
  <si>
    <t>INV5567</t>
  </si>
  <si>
    <t>INV5568</t>
  </si>
  <si>
    <t>INV5569</t>
  </si>
  <si>
    <t>INV5570</t>
  </si>
  <si>
    <t>INV5571</t>
  </si>
  <si>
    <t>INV5572</t>
  </si>
  <si>
    <t>INV5573</t>
  </si>
  <si>
    <t>INV5574</t>
  </si>
  <si>
    <t>INV5575</t>
  </si>
  <si>
    <t>INV5576</t>
  </si>
  <si>
    <t>PO1556</t>
  </si>
  <si>
    <t>INV5577</t>
  </si>
  <si>
    <t>INV5578</t>
  </si>
  <si>
    <t>INV5579</t>
  </si>
  <si>
    <t>INV5580</t>
  </si>
  <si>
    <t>INV5581</t>
  </si>
  <si>
    <t>INV5582</t>
  </si>
  <si>
    <t>INV5583</t>
  </si>
  <si>
    <t>INV5584</t>
  </si>
  <si>
    <t>PO1564</t>
  </si>
  <si>
    <t>INV5585</t>
  </si>
  <si>
    <t>INV5586</t>
  </si>
  <si>
    <t>INV5587</t>
  </si>
  <si>
    <t>PO1566</t>
  </si>
  <si>
    <t>INV5588</t>
  </si>
  <si>
    <t>INV5589</t>
  </si>
  <si>
    <t>INV5590</t>
  </si>
  <si>
    <t>INV5591</t>
  </si>
  <si>
    <t>INV5592</t>
  </si>
  <si>
    <t>INV5593</t>
  </si>
  <si>
    <t>INV5594</t>
  </si>
  <si>
    <t>INV5595</t>
  </si>
  <si>
    <t>INV5596</t>
  </si>
  <si>
    <t>INV5597</t>
  </si>
  <si>
    <t>INV5598</t>
  </si>
  <si>
    <t>INV5599</t>
  </si>
  <si>
    <t>INV5600</t>
  </si>
  <si>
    <t>INV5601</t>
  </si>
  <si>
    <t>INV5602</t>
  </si>
  <si>
    <t>INV5603</t>
  </si>
  <si>
    <t>INV5604</t>
  </si>
  <si>
    <t>INV5605</t>
  </si>
  <si>
    <t>INV5606</t>
  </si>
  <si>
    <t>INV5607</t>
  </si>
  <si>
    <t>INV5608</t>
  </si>
  <si>
    <t>INV5609</t>
  </si>
  <si>
    <t>INV5610</t>
  </si>
  <si>
    <t>INV5611</t>
  </si>
  <si>
    <t>INV5612</t>
  </si>
  <si>
    <t>INV5613</t>
  </si>
  <si>
    <t>INV5614</t>
  </si>
  <si>
    <t>INV5615</t>
  </si>
  <si>
    <t>INV5616</t>
  </si>
  <si>
    <t>INV5617</t>
  </si>
  <si>
    <t>INV5618</t>
  </si>
  <si>
    <t>INV5619</t>
  </si>
  <si>
    <t>INV5620</t>
  </si>
  <si>
    <t>INV5621</t>
  </si>
  <si>
    <t>INV5622</t>
  </si>
  <si>
    <t>INV5623</t>
  </si>
  <si>
    <t>INV5624</t>
  </si>
  <si>
    <t>INV5625</t>
  </si>
  <si>
    <t>INV5626</t>
  </si>
  <si>
    <t>INV5627</t>
  </si>
  <si>
    <t>INV5628</t>
  </si>
  <si>
    <t>PO1604</t>
  </si>
  <si>
    <t>INV5629</t>
  </si>
  <si>
    <t>INV5630</t>
  </si>
  <si>
    <t>PO1605</t>
  </si>
  <si>
    <t>INV5631</t>
  </si>
  <si>
    <t>INV5632</t>
  </si>
  <si>
    <t>INV5633</t>
  </si>
  <si>
    <t>PO1608</t>
  </si>
  <si>
    <t>INV5634</t>
  </si>
  <si>
    <t>INV5635</t>
  </si>
  <si>
    <t>INV5636</t>
  </si>
  <si>
    <t>INV5637</t>
  </si>
  <si>
    <t>INV5638</t>
  </si>
  <si>
    <t>INV5639</t>
  </si>
  <si>
    <t>INV5640</t>
  </si>
  <si>
    <t>INV5641</t>
  </si>
  <si>
    <t>INV5642</t>
  </si>
  <si>
    <t>INV5643</t>
  </si>
  <si>
    <t>INV5644</t>
  </si>
  <si>
    <t>INV5645</t>
  </si>
  <si>
    <t>INV5646</t>
  </si>
  <si>
    <t>INV5647</t>
  </si>
  <si>
    <t>INV5648</t>
  </si>
  <si>
    <t>INV5649</t>
  </si>
  <si>
    <t>INV5650</t>
  </si>
  <si>
    <t>INV5651</t>
  </si>
  <si>
    <t>INV5652</t>
  </si>
  <si>
    <t>INV5653</t>
  </si>
  <si>
    <t>INV5654</t>
  </si>
  <si>
    <t>INV5655</t>
  </si>
  <si>
    <t>INV5656</t>
  </si>
  <si>
    <t>INV5657</t>
  </si>
  <si>
    <t>INV5658</t>
  </si>
  <si>
    <t>INV5659</t>
  </si>
  <si>
    <t>INV5660</t>
  </si>
  <si>
    <t>PO1635</t>
  </si>
  <si>
    <t>INV5661</t>
  </si>
  <si>
    <t>INV5662</t>
  </si>
  <si>
    <t>INV5663</t>
  </si>
  <si>
    <t>INV5664</t>
  </si>
  <si>
    <t>INV5665</t>
  </si>
  <si>
    <t>INV5666</t>
  </si>
  <si>
    <t>INV5667</t>
  </si>
  <si>
    <t>INV5668</t>
  </si>
  <si>
    <t>INV5669</t>
  </si>
  <si>
    <t>INV5670</t>
  </si>
  <si>
    <t>INV5671</t>
  </si>
  <si>
    <t>INV5672</t>
  </si>
  <si>
    <t>INV5673</t>
  </si>
  <si>
    <t>INV5674</t>
  </si>
  <si>
    <t>INV5675</t>
  </si>
  <si>
    <t>INV5676</t>
  </si>
  <si>
    <t>INV5677</t>
  </si>
  <si>
    <t>INV5678</t>
  </si>
  <si>
    <t>INV5679</t>
  </si>
  <si>
    <t>INV5680</t>
  </si>
  <si>
    <t>INV5681</t>
  </si>
  <si>
    <t>INV5682</t>
  </si>
  <si>
    <t>INV5683</t>
  </si>
  <si>
    <t>INV5684</t>
  </si>
  <si>
    <t>INV5685</t>
  </si>
  <si>
    <t>INV5686</t>
  </si>
  <si>
    <t>INV5687</t>
  </si>
  <si>
    <t>INV5688</t>
  </si>
  <si>
    <t>INV5689</t>
  </si>
  <si>
    <t>INV5690</t>
  </si>
  <si>
    <t>INV5691</t>
  </si>
  <si>
    <t>INV5692</t>
  </si>
  <si>
    <t>INV5693</t>
  </si>
  <si>
    <t>INV5694</t>
  </si>
  <si>
    <t>INV5695</t>
  </si>
  <si>
    <t>INV5696</t>
  </si>
  <si>
    <t>INV5697</t>
  </si>
  <si>
    <t>INV5698</t>
  </si>
  <si>
    <t>INV5699</t>
  </si>
  <si>
    <t>INV5700</t>
  </si>
  <si>
    <t>INV5701</t>
  </si>
  <si>
    <t>INV5702</t>
  </si>
  <si>
    <t>INV5703</t>
  </si>
  <si>
    <t>INV5704</t>
  </si>
  <si>
    <t>INV5705</t>
  </si>
  <si>
    <t>INV5706</t>
  </si>
  <si>
    <t>INV5707</t>
  </si>
  <si>
    <t>INV5708</t>
  </si>
  <si>
    <t>INV5709</t>
  </si>
  <si>
    <t>INV5710</t>
  </si>
  <si>
    <t>INV5711</t>
  </si>
  <si>
    <t>INV5712</t>
  </si>
  <si>
    <t>INV5713</t>
  </si>
  <si>
    <t>INV5714</t>
  </si>
  <si>
    <t>INV5715</t>
  </si>
  <si>
    <t>INV5716</t>
  </si>
  <si>
    <t>INV5717</t>
  </si>
  <si>
    <t>INV5718</t>
  </si>
  <si>
    <t>INV5719</t>
  </si>
  <si>
    <t>INV5720</t>
  </si>
  <si>
    <t>PO1694</t>
  </si>
  <si>
    <t>INV5721</t>
  </si>
  <si>
    <t>INV5722</t>
  </si>
  <si>
    <t>INV5723</t>
  </si>
  <si>
    <t>INV5724</t>
  </si>
  <si>
    <t>INV5725</t>
  </si>
  <si>
    <t>INV5726</t>
  </si>
  <si>
    <t>Vendor</t>
  </si>
  <si>
    <t>Order Date</t>
  </si>
  <si>
    <t>PO Quantity</t>
  </si>
  <si>
    <t>PO Unit Price</t>
  </si>
  <si>
    <t>Approved By</t>
  </si>
  <si>
    <t>Promised Delivey Date</t>
  </si>
  <si>
    <t>Pioneer Logistics</t>
  </si>
  <si>
    <t>Mateo García</t>
  </si>
  <si>
    <t>Flow Freight</t>
  </si>
  <si>
    <t>Pavel Horák</t>
  </si>
  <si>
    <t>Orion Business Services</t>
  </si>
  <si>
    <t>Sofia Rossi</t>
  </si>
  <si>
    <t>Apex Distribution</t>
  </si>
  <si>
    <t>Katarina Jovanović</t>
  </si>
  <si>
    <t>Anchor</t>
  </si>
  <si>
    <t>J. Kovacs</t>
  </si>
  <si>
    <t>IronGate Engineering</t>
  </si>
  <si>
    <t>Apex More</t>
  </si>
  <si>
    <t>Jakub Novák</t>
  </si>
  <si>
    <t>BlueLine Logistics</t>
  </si>
  <si>
    <t>Laura Schmidt</t>
  </si>
  <si>
    <t>Helix Innovations</t>
  </si>
  <si>
    <t>ClearPath Solutions</t>
  </si>
  <si>
    <t>Eva Andersson</t>
  </si>
  <si>
    <t>Zenith Freight</t>
  </si>
  <si>
    <t>Anna Kowalska</t>
  </si>
  <si>
    <t/>
  </si>
  <si>
    <t>Swiftstream Logistics</t>
  </si>
  <si>
    <t>Vantage Partners</t>
  </si>
  <si>
    <t>A. Nagy</t>
  </si>
  <si>
    <t>Wayfinder Logistics</t>
  </si>
  <si>
    <t>Vectra Movers</t>
  </si>
  <si>
    <t>OmegaTech Europe</t>
  </si>
  <si>
    <t>Shift Cargo</t>
  </si>
  <si>
    <t>Felix Bauer</t>
  </si>
  <si>
    <t>Everest Trading Co.</t>
  </si>
  <si>
    <t>Ingrid Hansen</t>
  </si>
  <si>
    <t>Steadfast</t>
  </si>
  <si>
    <t>FusionWorks Europe</t>
  </si>
  <si>
    <t>Elena Petrova</t>
  </si>
  <si>
    <t>Nordic Freight</t>
  </si>
  <si>
    <t>Nicolas Dubois</t>
  </si>
  <si>
    <t>SameDay</t>
  </si>
  <si>
    <t>Camila Cantrell</t>
  </si>
  <si>
    <t>WestBridge Suppliers</t>
  </si>
  <si>
    <t>NovaEdge Services</t>
  </si>
  <si>
    <t>BlueRiver Logistics</t>
  </si>
  <si>
    <t>Emma Johansson</t>
  </si>
  <si>
    <t>Acme Supplies</t>
  </si>
  <si>
    <t>Pinnacle</t>
  </si>
  <si>
    <t>Haley Rivas</t>
  </si>
  <si>
    <t>Skyline Equipment</t>
  </si>
  <si>
    <t>Winter Underwood</t>
  </si>
  <si>
    <t>Quantum Express</t>
  </si>
  <si>
    <t>Andreas Weber</t>
  </si>
  <si>
    <t>GlobalTrade Europe</t>
  </si>
  <si>
    <t>Titan Machinery Group</t>
  </si>
  <si>
    <t>Victor Popescu</t>
  </si>
  <si>
    <t>Continental Solutions</t>
  </si>
  <si>
    <t>Mustang101</t>
  </si>
  <si>
    <t>DeltaPro Industries</t>
  </si>
  <si>
    <t>Thomas Lefèvre</t>
  </si>
  <si>
    <t>PrimeLine Manufacturing</t>
  </si>
  <si>
    <t>GreenField Components</t>
  </si>
  <si>
    <t>QuantumWare Ltd.</t>
  </si>
  <si>
    <t>UrbanSource Supplies</t>
  </si>
  <si>
    <t>Marta Nowak</t>
  </si>
  <si>
    <t>SilverOak Consulting</t>
  </si>
  <si>
    <t>Lukas Müller</t>
  </si>
  <si>
    <t>AlphaCore Technologies</t>
  </si>
  <si>
    <t>Vertex Systems</t>
  </si>
  <si>
    <t>Clara Silva</t>
  </si>
  <si>
    <t>Compass Crate</t>
  </si>
  <si>
    <t>NordicTech Solutions</t>
  </si>
  <si>
    <t>Marco Bianchi</t>
  </si>
  <si>
    <t>RedStone Materials</t>
  </si>
  <si>
    <t>Atlas Industrial Parts</t>
  </si>
  <si>
    <t>BrightWave Electronics</t>
  </si>
  <si>
    <t>Vanguard</t>
  </si>
  <si>
    <t>EuroSupply GmbH</t>
  </si>
  <si>
    <t>Missing Approval</t>
  </si>
  <si>
    <t>GR Receipt Status</t>
  </si>
  <si>
    <t>Date Check</t>
  </si>
  <si>
    <t>Dup Check</t>
  </si>
  <si>
    <t>Missing approval</t>
  </si>
  <si>
    <t>No Gr</t>
  </si>
  <si>
    <t>No invoice</t>
  </si>
  <si>
    <t>Invalid date</t>
  </si>
  <si>
    <t>Duplicate Pos</t>
  </si>
  <si>
    <t>Qty Variance Flag</t>
  </si>
  <si>
    <t>Price Variance Flag</t>
  </si>
  <si>
    <t>Late Delivery Flag</t>
  </si>
  <si>
    <t>Duplicate Invoice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</si>
</sst>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14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64815392-4E42-4C43-A547-5006972105BE}" autoFormatId="16" applyNumberFormats="0" applyBorderFormats="0" applyFontFormats="0" applyPatternFormats="0" applyAlignmentFormats="0" applyWidthHeightFormats="0">
  <queryTableRefresh nextId="24" unboundColumnsRight="8">
    <queryTableFields count="21">
      <queryTableField id="1" name="PO Number" tableColumnId="1"/>
      <queryTableField id="2" name="Vendor" tableColumnId="2"/>
      <queryTableField id="3" name="Order Date" tableColumnId="3"/>
      <queryTableField id="4" name="PO Quantity" tableColumnId="4"/>
      <queryTableField id="5" name="PO Unit Price" tableColumnId="5"/>
      <queryTableField id="6" name="Approved By" tableColumnId="6"/>
      <queryTableField id="7" name="Promised Delivey Date" tableColumnId="7"/>
      <queryTableField id="8" name="GR Quantity" tableColumnId="8"/>
      <queryTableField id="9" name="Actual Delivery Date" tableColumnId="9"/>
      <queryTableField id="10" name="Invoice Number" tableColumnId="10"/>
      <queryTableField id="11" name="Invoice Quantity" tableColumnId="11"/>
      <queryTableField id="12" name="Invoice Unit Price" tableColumnId="12"/>
      <queryTableField id="13" name="Invoice Date" tableColumnId="13"/>
      <queryTableField id="14" dataBound="0" tableColumnId="14"/>
      <queryTableField id="15" dataBound="0" tableColumnId="15"/>
      <queryTableField id="17" dataBound="0" tableColumnId="17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0829EC08-EAC7-4F48-8B29-23DE50DE2455}" autoFormatId="16" applyNumberFormats="0" applyBorderFormats="0" applyFontFormats="0" applyPatternFormats="0" applyAlignmentFormats="0" applyWidthHeightFormats="0">
  <queryTableRefresh nextId="8">
    <queryTableFields count="7">
      <queryTableField id="1" name="PO Number" tableColumnId="1"/>
      <queryTableField id="2" name="Vendor" tableColumnId="2"/>
      <queryTableField id="3" name="Order Date" tableColumnId="3"/>
      <queryTableField id="4" name="PO Quantity" tableColumnId="4"/>
      <queryTableField id="5" name="PO Unit Price" tableColumnId="5"/>
      <queryTableField id="6" name="Approved By" tableColumnId="6"/>
      <queryTableField id="7" name="Promised Delivey Dat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8145E7E1-8D3F-4A4D-ADBC-9A5A4C6DC51B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PO Number" tableColumnId="1"/>
      <queryTableField id="2" name="Vendor" tableColumnId="2"/>
      <queryTableField id="3" name="Order Date" tableColumnId="3"/>
      <queryTableField id="4" name="PO Quantity" tableColumnId="4"/>
      <queryTableField id="5" name="PO Unit Price" tableColumnId="5"/>
      <queryTableField id="6" name="Approved By" tableColumnId="6"/>
      <queryTableField id="7" name="Promised Delivey Date" tableColumnId="7"/>
      <queryTableField id="8" dataBound="0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1461ED0-49B3-462C-8A78-04675413F84E}" autoFormatId="16" applyNumberFormats="0" applyBorderFormats="0" applyFontFormats="0" applyPatternFormats="0" applyAlignmentFormats="0" applyWidthHeightFormats="0">
  <queryTableRefresh nextId="6">
    <queryTableFields count="5">
      <queryTableField id="1" name="PO Number" tableColumnId="1"/>
      <queryTableField id="2" name="Invoice Number" tableColumnId="2"/>
      <queryTableField id="3" name="Invoice Quantity" tableColumnId="3"/>
      <queryTableField id="4" name="Invoice Unit Price" tableColumnId="4"/>
      <queryTableField id="5" name="Invoice Da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E29BC4F-BA1E-41EC-BC7E-B11853B13177}" autoFormatId="16" applyNumberFormats="0" applyBorderFormats="0" applyFontFormats="0" applyPatternFormats="0" applyAlignmentFormats="0" applyWidthHeightFormats="0">
  <queryTableRefresh nextId="4">
    <queryTableFields count="3">
      <queryTableField id="1" name="PO Number" tableColumnId="1"/>
      <queryTableField id="2" name="GR Quantity" tableColumnId="2"/>
      <queryTableField id="3" name="Actual Delivery D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D31138-7183-4AC0-8E9D-057B3825703B}" name="po_master" displayName="po_master" ref="A1:U727" tableType="queryTable" totalsRowShown="0">
  <autoFilter ref="A1:U727" xr:uid="{B2D31138-7183-4AC0-8E9D-057B3825703B}"/>
  <tableColumns count="21">
    <tableColumn id="1" xr3:uid="{352C8B34-EB46-4CC9-9FCB-C1B6E7CA04A4}" uniqueName="1" name="PO Number" queryTableFieldId="1" dataDxfId="16"/>
    <tableColumn id="2" xr3:uid="{EBBA96ED-ABE7-4907-B961-FD0CB034EA48}" uniqueName="2" name="Vendor" queryTableFieldId="2" dataDxfId="15"/>
    <tableColumn id="3" xr3:uid="{7E1F6F74-5DAB-4F9E-8F37-5B8EE0880CED}" uniqueName="3" name="Order Date" queryTableFieldId="3" dataDxfId="14"/>
    <tableColumn id="4" xr3:uid="{6464AE77-8D68-4B14-B3A7-88E332D68147}" uniqueName="4" name="PO Quantity" queryTableFieldId="4"/>
    <tableColumn id="5" xr3:uid="{C5A3596D-ACDF-458C-B60F-A4EFE319794E}" uniqueName="5" name="PO Unit Price" queryTableFieldId="5"/>
    <tableColumn id="6" xr3:uid="{8F9C2CC6-DAE5-471B-883E-CC2F09FCAB33}" uniqueName="6" name="Approved By" queryTableFieldId="6" dataDxfId="13"/>
    <tableColumn id="7" xr3:uid="{5CD67CB6-C354-46A9-8BC3-80D9419650EE}" uniqueName="7" name="Promised Delivey Date" queryTableFieldId="7" dataDxfId="12"/>
    <tableColumn id="8" xr3:uid="{E6B82CB6-8A1A-41A0-8432-1A21F1F4FCF4}" uniqueName="8" name="GR Quantity" queryTableFieldId="8"/>
    <tableColumn id="9" xr3:uid="{BEB26672-3F9B-4E32-94ED-F70B75A6CAB4}" uniqueName="9" name="Actual Delivery Date" queryTableFieldId="9" dataDxfId="11"/>
    <tableColumn id="10" xr3:uid="{2478D36F-7060-4AB7-A998-F22AFF00F6C4}" uniqueName="10" name="Invoice Number" queryTableFieldId="10" dataDxfId="10"/>
    <tableColumn id="11" xr3:uid="{1D39CB6D-6263-4734-82A6-026A674F8254}" uniqueName="11" name="Invoice Quantity" queryTableFieldId="11"/>
    <tableColumn id="12" xr3:uid="{34EB4DFA-1B66-4B31-97FA-97CE757D17F0}" uniqueName="12" name="Invoice Unit Price" queryTableFieldId="12"/>
    <tableColumn id="13" xr3:uid="{6CA0B9FC-C481-4EC0-BF42-E838544CE31F}" uniqueName="13" name="Invoice Date" queryTableFieldId="13" dataDxfId="9"/>
    <tableColumn id="14" xr3:uid="{B60D0B81-8B1F-4072-AF59-7BEE325C61AF}" uniqueName="14" name="Missing Approval" queryTableFieldId="14" dataDxfId="8">
      <calculatedColumnFormula>IF(po_master[[#This Row],[Approved By]]="", "Missing Approval", "OK")</calculatedColumnFormula>
    </tableColumn>
    <tableColumn id="15" xr3:uid="{F85C8F9C-A2AF-40EB-A33C-A5891A6D9BFF}" uniqueName="15" name="GR Receipt Status" queryTableFieldId="15" dataDxfId="7">
      <calculatedColumnFormula>IF(ISBLANK(po_master[[#This Row],[GR Quantity]]), "No GR - Not received", "OK")</calculatedColumnFormula>
    </tableColumn>
    <tableColumn id="17" xr3:uid="{3D80F6AA-D5AF-453D-ABFA-F8A43786BD50}" uniqueName="17" name="Date Check" queryTableFieldId="17" dataDxfId="6">
      <calculatedColumnFormula>IF(po_master[[#This Row],[Promised Delivey Date]]&lt;po_master[[#This Row],[Order Date]], "Invalid", "OK")</calculatedColumnFormula>
    </tableColumn>
    <tableColumn id="19" xr3:uid="{D245ACD4-D7C1-4289-9152-654FB850192D}" uniqueName="19" name="No invoice" queryTableFieldId="19" dataDxfId="4">
      <calculatedColumnFormula>IF(ISBLANK(po_master[[#This Row],[Invoice Number]]), "No Invoice", "OK")</calculatedColumnFormula>
    </tableColumn>
    <tableColumn id="20" xr3:uid="{643DE9EC-9650-44C8-B19D-3D2A2224C59E}" uniqueName="20" name="Qty Variance Flag" queryTableFieldId="20" dataDxfId="3">
      <calculatedColumnFormula>IF(AND(NOT(ISBLANK(po_master[[#This Row],[GR Quantity]])), po_master[[#This Row],[GR Quantity]]&lt;&gt;po_master[[#This Row],[PO Quantity]]), "Qty Variance", "OK")</calculatedColumnFormula>
    </tableColumn>
    <tableColumn id="21" xr3:uid="{024AD429-7F30-4EB5-B120-C47C9A25344C}" uniqueName="21" name="Price Variance Flag" queryTableFieldId="21" dataDxfId="2">
      <calculatedColumnFormula>IF(po_master[[#This Row],[Invoice Unit Price]]&gt;po_master[[#This Row],[PO Unit Price]]*1.01, "Price Variance", "OK")</calculatedColumnFormula>
    </tableColumn>
    <tableColumn id="22" xr3:uid="{572A961F-13AF-4641-9E76-1C90BD520032}" uniqueName="22" name="Late Delivery Flag" queryTableFieldId="22" dataDxfId="1">
      <calculatedColumnFormula>IF(po_master[[#This Row],[Actual Delivery Date]]&gt;po_master[[#This Row],[Promised Delivey Date]], "Late Delivery", "OK")</calculatedColumnFormula>
    </tableColumn>
    <tableColumn id="23" xr3:uid="{CD9352BB-753F-47A8-9C0C-15B9969A2E4C}" uniqueName="23" name="Duplicate Invoice Flag" queryTableFieldId="23" dataDxfId="0">
      <calculatedColumnFormula>IF(COUNTIF(po_master[PO Number],po_master[[#This Row],[PO Number]])&gt;1, "Duplicate Invoice", "OK")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298BC5-3E4E-4EE7-841E-5D1DB714EF28}" name="po_gr_merged" displayName="po_gr_merged" ref="A1:G701" tableType="queryTable" totalsRowShown="0">
  <autoFilter ref="A1:G701" xr:uid="{3A298BC5-3E4E-4EE7-841E-5D1DB714EF28}"/>
  <tableColumns count="7">
    <tableColumn id="1" xr3:uid="{D4B9019D-5A85-4C56-9E74-7302C51F9742}" uniqueName="1" name="PO Number" queryTableFieldId="1" dataDxfId="21"/>
    <tableColumn id="2" xr3:uid="{9743DE4D-CE22-48F9-ACF6-FBBF500DC9E9}" uniqueName="2" name="Vendor" queryTableFieldId="2" dataDxfId="20"/>
    <tableColumn id="3" xr3:uid="{37F28DC3-9813-43C2-81B5-F051F67370C7}" uniqueName="3" name="Order Date" queryTableFieldId="3" dataDxfId="19"/>
    <tableColumn id="4" xr3:uid="{493131B8-F292-4D0D-B3C8-684C08B09C4A}" uniqueName="4" name="PO Quantity" queryTableFieldId="4"/>
    <tableColumn id="5" xr3:uid="{68685A96-8BDA-485E-87B6-C62FF08844D1}" uniqueName="5" name="PO Unit Price" queryTableFieldId="5"/>
    <tableColumn id="6" xr3:uid="{9408AF1A-DA91-4D8A-A4C8-86D6E557D89B}" uniqueName="6" name="Approved By" queryTableFieldId="6" dataDxfId="18"/>
    <tableColumn id="7" xr3:uid="{C9D1B22C-B697-426D-A3C4-0A2AA747D18D}" uniqueName="7" name="Promised Delivey Date" queryTableFieldId="7" dataDxf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1430BE-2381-4F7A-A105-2ACB728C2998}" name="purchase_orders" displayName="purchase_orders" ref="A1:H701" tableType="queryTable" totalsRowShown="0">
  <autoFilter ref="A1:H701" xr:uid="{E61430BE-2381-4F7A-A105-2ACB728C2998}"/>
  <tableColumns count="8">
    <tableColumn id="1" xr3:uid="{4240DDBC-FDE1-4492-94D8-AD881A58AD44}" uniqueName="1" name="PO Number" queryTableFieldId="1" dataDxfId="26"/>
    <tableColumn id="2" xr3:uid="{5651AA7E-1E67-485F-B76A-77124F236485}" uniqueName="2" name="Vendor" queryTableFieldId="2" dataDxfId="25"/>
    <tableColumn id="3" xr3:uid="{38BFD304-959C-4581-B119-1BFF0CD2DABC}" uniqueName="3" name="Order Date" queryTableFieldId="3" dataDxfId="24"/>
    <tableColumn id="4" xr3:uid="{03B94752-F472-497F-93E8-0A4729126AB2}" uniqueName="4" name="PO Quantity" queryTableFieldId="4"/>
    <tableColumn id="5" xr3:uid="{D74698BC-F9A9-4083-B2BA-98FA4DF672EF}" uniqueName="5" name="PO Unit Price" queryTableFieldId="5"/>
    <tableColumn id="6" xr3:uid="{2E78C1AA-A852-4519-A233-45D7B454FC64}" uniqueName="6" name="Approved By" queryTableFieldId="6" dataDxfId="23"/>
    <tableColumn id="7" xr3:uid="{834844D3-7386-4EDC-90E6-59B2997A961A}" uniqueName="7" name="Promised Delivey Date" queryTableFieldId="7" dataDxfId="22"/>
    <tableColumn id="8" xr3:uid="{E41D34EC-063F-4FD6-8F60-24676243BE9C}" uniqueName="8" name="Dup Check" queryTableFieldId="8" dataDxfId="5">
      <calculatedColumnFormula>COUNTIF(purchase_orders[PO Number], purchase_orders[[#This Row],[PO Number]])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14CEE9-F3FD-430A-B6FD-4EB590B0E2A3}" name="invoices" displayName="invoices" ref="A1:E727" tableType="queryTable" totalsRowShown="0">
  <autoFilter ref="A1:E727" xr:uid="{F114CEE9-F3FD-430A-B6FD-4EB590B0E2A3}"/>
  <tableColumns count="5">
    <tableColumn id="1" xr3:uid="{5BFD8BB7-7D37-4A30-83B0-8E6B7A992D16}" uniqueName="1" name="PO Number" queryTableFieldId="1" dataDxfId="29"/>
    <tableColumn id="2" xr3:uid="{32E96611-9E92-4EFE-AC0C-41F3BDB61FA6}" uniqueName="2" name="Invoice Number" queryTableFieldId="2" dataDxfId="28"/>
    <tableColumn id="3" xr3:uid="{B101F59C-2F19-4C31-8289-B25438866F42}" uniqueName="3" name="Invoice Quantity" queryTableFieldId="3"/>
    <tableColumn id="4" xr3:uid="{D96B7FFB-EA17-41CD-9477-ADCA0AD94172}" uniqueName="4" name="Invoice Unit Price" queryTableFieldId="4"/>
    <tableColumn id="5" xr3:uid="{9305A42C-8CEB-4CA5-9DB5-719184221701}" uniqueName="5" name="Invoice Date" queryTableFieldId="5" dataDxfId="2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E67A-285D-4179-98D8-3AED3D46A211}" name="goods_receipts" displayName="goods_receipts" ref="A1:C645" tableType="queryTable" totalsRowShown="0">
  <autoFilter ref="A1:C645" xr:uid="{D100E67A-285D-4179-98D8-3AED3D46A211}"/>
  <tableColumns count="3">
    <tableColumn id="1" xr3:uid="{7BF0D45B-B25E-44C5-9821-A5A22EFDAFBA}" uniqueName="1" name="PO Number" queryTableFieldId="1" dataDxfId="31"/>
    <tableColumn id="2" xr3:uid="{9C9A5191-DDAF-4881-9118-FCE491BCDA36}" uniqueName="2" name="GR Quantity" queryTableFieldId="2"/>
    <tableColumn id="3" xr3:uid="{172D5E0A-4CAC-4135-BEE1-E19802DD255F}" uniqueName="3" name="Actual Delivery Date" queryTableFieldId="3" dataDxfId="3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132-330D-4863-944E-896FEB5A945F}">
  <dimension ref="A1:U727"/>
  <sheetViews>
    <sheetView tabSelected="1" topLeftCell="G1" workbookViewId="0">
      <selection activeCell="A3" sqref="A3"/>
    </sheetView>
  </sheetViews>
  <sheetFormatPr defaultRowHeight="15" x14ac:dyDescent="0.25"/>
  <cols>
    <col min="1" max="1" width="13.5703125" bestFit="1" customWidth="1"/>
    <col min="2" max="2" width="23.42578125" bestFit="1" customWidth="1"/>
    <col min="3" max="3" width="13.140625" bestFit="1" customWidth="1"/>
    <col min="4" max="4" width="14" bestFit="1" customWidth="1"/>
    <col min="5" max="5" width="15" bestFit="1" customWidth="1"/>
    <col min="6" max="6" width="17.85546875" bestFit="1" customWidth="1"/>
    <col min="7" max="7" width="24.28515625" bestFit="1" customWidth="1"/>
    <col min="8" max="8" width="14.140625" bestFit="1" customWidth="1"/>
    <col min="9" max="9" width="21.85546875" bestFit="1" customWidth="1"/>
    <col min="10" max="10" width="17.7109375" bestFit="1" customWidth="1"/>
    <col min="11" max="11" width="18.140625" bestFit="1" customWidth="1"/>
    <col min="12" max="12" width="19.140625" bestFit="1" customWidth="1"/>
    <col min="13" max="13" width="14.5703125" bestFit="1" customWidth="1"/>
    <col min="14" max="14" width="18.5703125" bestFit="1" customWidth="1"/>
    <col min="15" max="15" width="19.85546875" bestFit="1" customWidth="1"/>
    <col min="16" max="16" width="13.7109375" bestFit="1" customWidth="1"/>
    <col min="18" max="18" width="18.7109375" bestFit="1" customWidth="1"/>
    <col min="19" max="19" width="20.28515625" bestFit="1" customWidth="1"/>
    <col min="20" max="20" width="19.28515625" bestFit="1" customWidth="1"/>
    <col min="21" max="21" width="23.28515625" bestFit="1" customWidth="1"/>
  </cols>
  <sheetData>
    <row r="1" spans="1:21" x14ac:dyDescent="0.25">
      <c r="A1" t="s">
        <v>0</v>
      </c>
      <c r="B1" t="s">
        <v>1433</v>
      </c>
      <c r="C1" t="s">
        <v>1434</v>
      </c>
      <c r="D1" t="s">
        <v>1435</v>
      </c>
      <c r="E1" t="s">
        <v>1436</v>
      </c>
      <c r="F1" t="s">
        <v>1437</v>
      </c>
      <c r="G1" t="s">
        <v>1438</v>
      </c>
      <c r="H1" t="s">
        <v>1</v>
      </c>
      <c r="I1" t="s">
        <v>2</v>
      </c>
      <c r="J1" t="s">
        <v>647</v>
      </c>
      <c r="K1" t="s">
        <v>648</v>
      </c>
      <c r="L1" t="s">
        <v>649</v>
      </c>
      <c r="M1" t="s">
        <v>650</v>
      </c>
      <c r="N1" t="s">
        <v>1513</v>
      </c>
      <c r="O1" t="s">
        <v>1514</v>
      </c>
      <c r="P1" t="s">
        <v>1515</v>
      </c>
      <c r="Q1" t="s">
        <v>1519</v>
      </c>
      <c r="R1" t="s">
        <v>1522</v>
      </c>
      <c r="S1" t="s">
        <v>1523</v>
      </c>
      <c r="T1" t="s">
        <v>1524</v>
      </c>
      <c r="U1" t="s">
        <v>1525</v>
      </c>
    </row>
    <row r="2" spans="1:21" x14ac:dyDescent="0.25">
      <c r="A2" s="1" t="s">
        <v>3</v>
      </c>
      <c r="B2" s="1" t="s">
        <v>1439</v>
      </c>
      <c r="C2" s="2">
        <v>46051</v>
      </c>
      <c r="D2">
        <v>22</v>
      </c>
      <c r="E2">
        <v>149.6</v>
      </c>
      <c r="F2" s="1" t="s">
        <v>1440</v>
      </c>
      <c r="G2" s="2">
        <v>46063</v>
      </c>
      <c r="H2">
        <v>22</v>
      </c>
      <c r="I2" s="2">
        <v>46062</v>
      </c>
      <c r="J2" s="1" t="s">
        <v>651</v>
      </c>
      <c r="K2">
        <v>22</v>
      </c>
      <c r="L2">
        <v>149.6</v>
      </c>
      <c r="M2" s="2">
        <v>46073</v>
      </c>
      <c r="N2" t="str">
        <f>IF(po_master[[#This Row],[Approved By]]="", "Missing Approval", "OK")</f>
        <v>OK</v>
      </c>
      <c r="O2" t="str">
        <f>IF(ISBLANK(po_master[[#This Row],[GR Quantity]]), "No GR - Not received", "OK")</f>
        <v>OK</v>
      </c>
      <c r="P2" s="1" t="str">
        <f>IF(po_master[[#This Row],[Promised Delivey Date]]&lt;po_master[[#This Row],[Order Date]], "Invalid", "OK")</f>
        <v>OK</v>
      </c>
      <c r="Q2" s="1" t="str">
        <f>IF(ISBLANK(po_master[[#This Row],[Invoice Number]]), "No Invoice", "OK")</f>
        <v>OK</v>
      </c>
      <c r="R2" s="1" t="str">
        <f>IF(AND(NOT(ISBLANK(po_master[[#This Row],[GR Quantity]])), po_master[[#This Row],[GR Quantity]]&lt;&gt;po_master[[#This Row],[PO Quantity]]), "Qty Variance", "OK")</f>
        <v>OK</v>
      </c>
      <c r="S2" s="1" t="str">
        <f>IF(po_master[[#This Row],[Invoice Unit Price]]&gt;po_master[[#This Row],[PO Unit Price]]*1.01, "Price Variance", "OK")</f>
        <v>OK</v>
      </c>
      <c r="T2" s="1" t="str">
        <f>IF(po_master[[#This Row],[Actual Delivery Date]]&gt;po_master[[#This Row],[Promised Delivey Date]], "Late Delivery", "OK")</f>
        <v>OK</v>
      </c>
      <c r="U2" s="1" t="str">
        <f>IF(COUNTIF(po_master[PO Number],po_master[[#This Row],[PO Number]])&gt;1, "Duplicate Invoice", "OK")</f>
        <v>OK</v>
      </c>
    </row>
    <row r="3" spans="1:21" x14ac:dyDescent="0.25">
      <c r="A3" s="1" t="s">
        <v>4</v>
      </c>
      <c r="B3" s="1" t="s">
        <v>1441</v>
      </c>
      <c r="C3" s="2">
        <v>46049</v>
      </c>
      <c r="D3">
        <v>356</v>
      </c>
      <c r="E3">
        <v>149.43</v>
      </c>
      <c r="F3" s="1" t="s">
        <v>1442</v>
      </c>
      <c r="G3" s="2">
        <v>46056</v>
      </c>
      <c r="H3">
        <v>356</v>
      </c>
      <c r="I3" s="2">
        <v>46054</v>
      </c>
      <c r="J3" s="1" t="s">
        <v>652</v>
      </c>
      <c r="K3">
        <v>356</v>
      </c>
      <c r="L3">
        <v>149.43</v>
      </c>
      <c r="M3" s="2">
        <v>46066</v>
      </c>
      <c r="N3" t="str">
        <f>IF(po_master[[#This Row],[Approved By]]="", "Missing Approval", "OK")</f>
        <v>OK</v>
      </c>
      <c r="O3" t="str">
        <f>IF(ISBLANK(po_master[[#This Row],[GR Quantity]]), "No GR - Not received", "OK")</f>
        <v>OK</v>
      </c>
      <c r="P3" s="1" t="str">
        <f>IF(po_master[[#This Row],[Promised Delivey Date]]&lt;po_master[[#This Row],[Order Date]], "Invalid", "OK")</f>
        <v>OK</v>
      </c>
      <c r="Q3" s="1" t="str">
        <f>IF(ISBLANK(po_master[[#This Row],[Invoice Number]]), "No Invoice", "OK")</f>
        <v>OK</v>
      </c>
      <c r="R3" s="1" t="str">
        <f>IF(AND(NOT(ISBLANK(po_master[[#This Row],[GR Quantity]])), po_master[[#This Row],[GR Quantity]]&lt;&gt;po_master[[#This Row],[PO Quantity]]), "Qty Variance", "OK")</f>
        <v>OK</v>
      </c>
      <c r="S3" s="1" t="str">
        <f>IF(po_master[[#This Row],[Invoice Unit Price]]&gt;po_master[[#This Row],[PO Unit Price]]*1.01, "Price Variance", "OK")</f>
        <v>OK</v>
      </c>
      <c r="T3" s="1" t="str">
        <f>IF(po_master[[#This Row],[Actual Delivery Date]]&gt;po_master[[#This Row],[Promised Delivey Date]], "Late Delivery", "OK")</f>
        <v>OK</v>
      </c>
      <c r="U3" s="1" t="str">
        <f>IF(COUNTIF(po_master[PO Number],po_master[[#This Row],[PO Number]])&gt;1, "Duplicate Invoice", "OK")</f>
        <v>OK</v>
      </c>
    </row>
    <row r="4" spans="1:21" x14ac:dyDescent="0.25">
      <c r="A4" s="1" t="s">
        <v>5</v>
      </c>
      <c r="B4" s="1" t="s">
        <v>1443</v>
      </c>
      <c r="C4" s="2">
        <v>46131</v>
      </c>
      <c r="D4">
        <v>26</v>
      </c>
      <c r="E4">
        <v>10.81</v>
      </c>
      <c r="F4" s="1" t="s">
        <v>1444</v>
      </c>
      <c r="G4" s="2">
        <v>46143</v>
      </c>
      <c r="H4">
        <v>26</v>
      </c>
      <c r="I4" s="2">
        <v>46141</v>
      </c>
      <c r="J4" s="1" t="s">
        <v>653</v>
      </c>
      <c r="K4">
        <v>26</v>
      </c>
      <c r="L4">
        <v>12.59</v>
      </c>
      <c r="M4" s="2">
        <v>46146</v>
      </c>
      <c r="N4" t="str">
        <f>IF(po_master[[#This Row],[Approved By]]="", "Missing Approval", "OK")</f>
        <v>OK</v>
      </c>
      <c r="O4" t="str">
        <f>IF(ISBLANK(po_master[[#This Row],[GR Quantity]]), "No GR - Not received", "OK")</f>
        <v>OK</v>
      </c>
      <c r="P4" s="1" t="str">
        <f>IF(po_master[[#This Row],[Promised Delivey Date]]&lt;po_master[[#This Row],[Order Date]], "Invalid", "OK")</f>
        <v>OK</v>
      </c>
      <c r="Q4" s="1" t="str">
        <f>IF(ISBLANK(po_master[[#This Row],[Invoice Number]]), "No Invoice", "OK")</f>
        <v>OK</v>
      </c>
      <c r="R4" s="1" t="str">
        <f>IF(AND(NOT(ISBLANK(po_master[[#This Row],[GR Quantity]])), po_master[[#This Row],[GR Quantity]]&lt;&gt;po_master[[#This Row],[PO Quantity]]), "Qty Variance", "OK")</f>
        <v>OK</v>
      </c>
      <c r="S4" s="1" t="str">
        <f>IF(po_master[[#This Row],[Invoice Unit Price]]&gt;po_master[[#This Row],[PO Unit Price]]*1.01, "Price Variance", "OK")</f>
        <v>Price Variance</v>
      </c>
      <c r="T4" s="1" t="str">
        <f>IF(po_master[[#This Row],[Actual Delivery Date]]&gt;po_master[[#This Row],[Promised Delivey Date]], "Late Delivery", "OK")</f>
        <v>OK</v>
      </c>
      <c r="U4" s="1" t="str">
        <f>IF(COUNTIF(po_master[PO Number],po_master[[#This Row],[PO Number]])&gt;1, "Duplicate Invoice", "OK")</f>
        <v>OK</v>
      </c>
    </row>
    <row r="5" spans="1:21" x14ac:dyDescent="0.25">
      <c r="A5" s="1" t="s">
        <v>6</v>
      </c>
      <c r="B5" s="1" t="s">
        <v>1445</v>
      </c>
      <c r="C5" s="2">
        <v>46029</v>
      </c>
      <c r="D5">
        <v>297</v>
      </c>
      <c r="E5">
        <v>43.77</v>
      </c>
      <c r="F5" s="1" t="s">
        <v>1446</v>
      </c>
      <c r="G5" s="2">
        <v>46047</v>
      </c>
      <c r="H5">
        <v>297</v>
      </c>
      <c r="I5" s="2">
        <v>46046</v>
      </c>
      <c r="J5" s="1" t="s">
        <v>654</v>
      </c>
      <c r="K5">
        <v>297</v>
      </c>
      <c r="L5">
        <v>51</v>
      </c>
      <c r="M5" s="2">
        <v>46049</v>
      </c>
      <c r="N5" t="str">
        <f>IF(po_master[[#This Row],[Approved By]]="", "Missing Approval", "OK")</f>
        <v>OK</v>
      </c>
      <c r="O5" t="str">
        <f>IF(ISBLANK(po_master[[#This Row],[GR Quantity]]), "No GR - Not received", "OK")</f>
        <v>OK</v>
      </c>
      <c r="P5" s="1" t="str">
        <f>IF(po_master[[#This Row],[Promised Delivey Date]]&lt;po_master[[#This Row],[Order Date]], "Invalid", "OK")</f>
        <v>OK</v>
      </c>
      <c r="Q5" s="1" t="str">
        <f>IF(ISBLANK(po_master[[#This Row],[Invoice Number]]), "No Invoice", "OK")</f>
        <v>OK</v>
      </c>
      <c r="R5" s="1" t="str">
        <f>IF(AND(NOT(ISBLANK(po_master[[#This Row],[GR Quantity]])), po_master[[#This Row],[GR Quantity]]&lt;&gt;po_master[[#This Row],[PO Quantity]]), "Qty Variance", "OK")</f>
        <v>OK</v>
      </c>
      <c r="S5" s="1" t="str">
        <f>IF(po_master[[#This Row],[Invoice Unit Price]]&gt;po_master[[#This Row],[PO Unit Price]]*1.01, "Price Variance", "OK")</f>
        <v>Price Variance</v>
      </c>
      <c r="T5" s="1" t="str">
        <f>IF(po_master[[#This Row],[Actual Delivery Date]]&gt;po_master[[#This Row],[Promised Delivey Date]], "Late Delivery", "OK")</f>
        <v>OK</v>
      </c>
      <c r="U5" s="1" t="str">
        <f>IF(COUNTIF(po_master[PO Number],po_master[[#This Row],[PO Number]])&gt;1, "Duplicate Invoice", "OK")</f>
        <v>OK</v>
      </c>
    </row>
    <row r="6" spans="1:21" x14ac:dyDescent="0.25">
      <c r="A6" s="1" t="s">
        <v>7</v>
      </c>
      <c r="B6" s="1" t="s">
        <v>1447</v>
      </c>
      <c r="C6" s="2">
        <v>46137</v>
      </c>
      <c r="D6">
        <v>311</v>
      </c>
      <c r="E6">
        <v>59.25</v>
      </c>
      <c r="F6" s="1" t="s">
        <v>1448</v>
      </c>
      <c r="G6" s="2">
        <v>46147</v>
      </c>
      <c r="H6">
        <v>311</v>
      </c>
      <c r="I6" s="2">
        <v>46146</v>
      </c>
      <c r="J6" s="1" t="s">
        <v>655</v>
      </c>
      <c r="K6">
        <v>311</v>
      </c>
      <c r="L6">
        <v>68.27</v>
      </c>
      <c r="M6" s="2">
        <v>46149</v>
      </c>
      <c r="N6" t="str">
        <f>IF(po_master[[#This Row],[Approved By]]="", "Missing Approval", "OK")</f>
        <v>OK</v>
      </c>
      <c r="O6" t="str">
        <f>IF(ISBLANK(po_master[[#This Row],[GR Quantity]]), "No GR - Not received", "OK")</f>
        <v>OK</v>
      </c>
      <c r="P6" s="1" t="str">
        <f>IF(po_master[[#This Row],[Promised Delivey Date]]&lt;po_master[[#This Row],[Order Date]], "Invalid", "OK")</f>
        <v>OK</v>
      </c>
      <c r="Q6" s="1" t="str">
        <f>IF(ISBLANK(po_master[[#This Row],[Invoice Number]]), "No Invoice", "OK")</f>
        <v>OK</v>
      </c>
      <c r="R6" s="1" t="str">
        <f>IF(AND(NOT(ISBLANK(po_master[[#This Row],[GR Quantity]])), po_master[[#This Row],[GR Quantity]]&lt;&gt;po_master[[#This Row],[PO Quantity]]), "Qty Variance", "OK")</f>
        <v>OK</v>
      </c>
      <c r="S6" s="1" t="str">
        <f>IF(po_master[[#This Row],[Invoice Unit Price]]&gt;po_master[[#This Row],[PO Unit Price]]*1.01, "Price Variance", "OK")</f>
        <v>Price Variance</v>
      </c>
      <c r="T6" s="1" t="str">
        <f>IF(po_master[[#This Row],[Actual Delivery Date]]&gt;po_master[[#This Row],[Promised Delivey Date]], "Late Delivery", "OK")</f>
        <v>OK</v>
      </c>
      <c r="U6" s="1" t="str">
        <f>IF(COUNTIF(po_master[PO Number],po_master[[#This Row],[PO Number]])&gt;1, "Duplicate Invoice", "OK")</f>
        <v>OK</v>
      </c>
    </row>
    <row r="7" spans="1:21" x14ac:dyDescent="0.25">
      <c r="A7" s="1" t="s">
        <v>8</v>
      </c>
      <c r="B7" s="1" t="s">
        <v>1449</v>
      </c>
      <c r="C7" s="2">
        <v>46131</v>
      </c>
      <c r="D7">
        <v>184</v>
      </c>
      <c r="E7">
        <v>59.18</v>
      </c>
      <c r="F7" s="1" t="s">
        <v>1444</v>
      </c>
      <c r="G7" s="2">
        <v>46146</v>
      </c>
      <c r="H7">
        <v>184</v>
      </c>
      <c r="I7" s="2">
        <v>46144</v>
      </c>
      <c r="J7" s="1" t="s">
        <v>656</v>
      </c>
      <c r="K7">
        <v>184</v>
      </c>
      <c r="L7">
        <v>59.18</v>
      </c>
      <c r="M7" s="2">
        <v>46148</v>
      </c>
      <c r="N7" t="str">
        <f>IF(po_master[[#This Row],[Approved By]]="", "Missing Approval", "OK")</f>
        <v>OK</v>
      </c>
      <c r="O7" t="str">
        <f>IF(ISBLANK(po_master[[#This Row],[GR Quantity]]), "No GR - Not received", "OK")</f>
        <v>OK</v>
      </c>
      <c r="P7" s="1" t="str">
        <f>IF(po_master[[#This Row],[Promised Delivey Date]]&lt;po_master[[#This Row],[Order Date]], "Invalid", "OK")</f>
        <v>OK</v>
      </c>
      <c r="Q7" s="1" t="str">
        <f>IF(ISBLANK(po_master[[#This Row],[Invoice Number]]), "No Invoice", "OK")</f>
        <v>OK</v>
      </c>
      <c r="R7" s="1" t="str">
        <f>IF(AND(NOT(ISBLANK(po_master[[#This Row],[GR Quantity]])), po_master[[#This Row],[GR Quantity]]&lt;&gt;po_master[[#This Row],[PO Quantity]]), "Qty Variance", "OK")</f>
        <v>OK</v>
      </c>
      <c r="S7" s="1" t="str">
        <f>IF(po_master[[#This Row],[Invoice Unit Price]]&gt;po_master[[#This Row],[PO Unit Price]]*1.01, "Price Variance", "OK")</f>
        <v>OK</v>
      </c>
      <c r="T7" s="1" t="str">
        <f>IF(po_master[[#This Row],[Actual Delivery Date]]&gt;po_master[[#This Row],[Promised Delivey Date]], "Late Delivery", "OK")</f>
        <v>OK</v>
      </c>
      <c r="U7" s="1" t="str">
        <f>IF(COUNTIF(po_master[PO Number],po_master[[#This Row],[PO Number]])&gt;1, "Duplicate Invoice", "OK")</f>
        <v>OK</v>
      </c>
    </row>
    <row r="8" spans="1:21" x14ac:dyDescent="0.25">
      <c r="A8" s="1" t="s">
        <v>9</v>
      </c>
      <c r="B8" s="1" t="s">
        <v>1450</v>
      </c>
      <c r="C8" s="2">
        <v>46046</v>
      </c>
      <c r="D8">
        <v>204</v>
      </c>
      <c r="E8">
        <v>23.86</v>
      </c>
      <c r="F8" s="1" t="s">
        <v>1451</v>
      </c>
      <c r="G8" s="2">
        <v>46059</v>
      </c>
      <c r="H8">
        <v>204</v>
      </c>
      <c r="I8" s="2">
        <v>46058</v>
      </c>
      <c r="J8" s="1" t="s">
        <v>657</v>
      </c>
      <c r="K8">
        <v>204</v>
      </c>
      <c r="L8">
        <v>23.86</v>
      </c>
      <c r="M8" s="2">
        <v>46061</v>
      </c>
      <c r="N8" t="str">
        <f>IF(po_master[[#This Row],[Approved By]]="", "Missing Approval", "OK")</f>
        <v>OK</v>
      </c>
      <c r="O8" t="str">
        <f>IF(ISBLANK(po_master[[#This Row],[GR Quantity]]), "No GR - Not received", "OK")</f>
        <v>OK</v>
      </c>
      <c r="P8" s="1" t="str">
        <f>IF(po_master[[#This Row],[Promised Delivey Date]]&lt;po_master[[#This Row],[Order Date]], "Invalid", "OK")</f>
        <v>OK</v>
      </c>
      <c r="Q8" s="1" t="str">
        <f>IF(ISBLANK(po_master[[#This Row],[Invoice Number]]), "No Invoice", "OK")</f>
        <v>OK</v>
      </c>
      <c r="R8" s="1" t="str">
        <f>IF(AND(NOT(ISBLANK(po_master[[#This Row],[GR Quantity]])), po_master[[#This Row],[GR Quantity]]&lt;&gt;po_master[[#This Row],[PO Quantity]]), "Qty Variance", "OK")</f>
        <v>OK</v>
      </c>
      <c r="S8" s="1" t="str">
        <f>IF(po_master[[#This Row],[Invoice Unit Price]]&gt;po_master[[#This Row],[PO Unit Price]]*1.01, "Price Variance", "OK")</f>
        <v>OK</v>
      </c>
      <c r="T8" s="1" t="str">
        <f>IF(po_master[[#This Row],[Actual Delivery Date]]&gt;po_master[[#This Row],[Promised Delivey Date]], "Late Delivery", "OK")</f>
        <v>OK</v>
      </c>
      <c r="U8" s="1" t="str">
        <f>IF(COUNTIF(po_master[PO Number],po_master[[#This Row],[PO Number]])&gt;1, "Duplicate Invoice", "OK")</f>
        <v>OK</v>
      </c>
    </row>
    <row r="9" spans="1:21" x14ac:dyDescent="0.25">
      <c r="A9" s="1" t="s">
        <v>10</v>
      </c>
      <c r="B9" s="1" t="s">
        <v>1452</v>
      </c>
      <c r="C9" s="2">
        <v>46140</v>
      </c>
      <c r="D9">
        <v>284</v>
      </c>
      <c r="E9">
        <v>29.34</v>
      </c>
      <c r="F9" s="1" t="s">
        <v>1453</v>
      </c>
      <c r="G9" s="2">
        <v>46147</v>
      </c>
      <c r="H9">
        <v>284</v>
      </c>
      <c r="I9" s="2">
        <v>46145</v>
      </c>
      <c r="J9" s="1" t="s">
        <v>658</v>
      </c>
      <c r="K9">
        <v>284</v>
      </c>
      <c r="L9">
        <v>29.34</v>
      </c>
      <c r="M9" s="2">
        <v>46155</v>
      </c>
      <c r="N9" t="str">
        <f>IF(po_master[[#This Row],[Approved By]]="", "Missing Approval", "OK")</f>
        <v>OK</v>
      </c>
      <c r="O9" t="str">
        <f>IF(ISBLANK(po_master[[#This Row],[GR Quantity]]), "No GR - Not received", "OK")</f>
        <v>OK</v>
      </c>
      <c r="P9" s="1" t="str">
        <f>IF(po_master[[#This Row],[Promised Delivey Date]]&lt;po_master[[#This Row],[Order Date]], "Invalid", "OK")</f>
        <v>OK</v>
      </c>
      <c r="Q9" s="1" t="str">
        <f>IF(ISBLANK(po_master[[#This Row],[Invoice Number]]), "No Invoice", "OK")</f>
        <v>OK</v>
      </c>
      <c r="R9" s="1" t="str">
        <f>IF(AND(NOT(ISBLANK(po_master[[#This Row],[GR Quantity]])), po_master[[#This Row],[GR Quantity]]&lt;&gt;po_master[[#This Row],[PO Quantity]]), "Qty Variance", "OK")</f>
        <v>OK</v>
      </c>
      <c r="S9" s="1" t="str">
        <f>IF(po_master[[#This Row],[Invoice Unit Price]]&gt;po_master[[#This Row],[PO Unit Price]]*1.01, "Price Variance", "OK")</f>
        <v>OK</v>
      </c>
      <c r="T9" s="1" t="str">
        <f>IF(po_master[[#This Row],[Actual Delivery Date]]&gt;po_master[[#This Row],[Promised Delivey Date]], "Late Delivery", "OK")</f>
        <v>OK</v>
      </c>
      <c r="U9" s="1" t="str">
        <f>IF(COUNTIF(po_master[PO Number],po_master[[#This Row],[PO Number]])&gt;1, "Duplicate Invoice", "OK")</f>
        <v>OK</v>
      </c>
    </row>
    <row r="10" spans="1:21" x14ac:dyDescent="0.25">
      <c r="A10" s="1" t="s">
        <v>11</v>
      </c>
      <c r="B10" s="1" t="s">
        <v>1454</v>
      </c>
      <c r="C10" s="2">
        <v>46098</v>
      </c>
      <c r="D10">
        <v>434</v>
      </c>
      <c r="E10">
        <v>127.58</v>
      </c>
      <c r="F10" s="1" t="s">
        <v>1451</v>
      </c>
      <c r="G10" s="2">
        <v>46109</v>
      </c>
      <c r="H10">
        <v>434</v>
      </c>
      <c r="I10" s="2">
        <v>46107</v>
      </c>
      <c r="J10" s="1" t="s">
        <v>659</v>
      </c>
      <c r="K10">
        <v>434</v>
      </c>
      <c r="L10">
        <v>127.58</v>
      </c>
      <c r="M10" s="2">
        <v>46119</v>
      </c>
      <c r="N10" t="str">
        <f>IF(po_master[[#This Row],[Approved By]]="", "Missing Approval", "OK")</f>
        <v>OK</v>
      </c>
      <c r="O10" t="str">
        <f>IF(ISBLANK(po_master[[#This Row],[GR Quantity]]), "No GR - Not received", "OK")</f>
        <v>OK</v>
      </c>
      <c r="P10" s="1" t="str">
        <f>IF(po_master[[#This Row],[Promised Delivey Date]]&lt;po_master[[#This Row],[Order Date]], "Invalid", "OK")</f>
        <v>OK</v>
      </c>
      <c r="Q10" s="1" t="str">
        <f>IF(ISBLANK(po_master[[#This Row],[Invoice Number]]), "No Invoice", "OK")</f>
        <v>OK</v>
      </c>
      <c r="R10" s="1" t="str">
        <f>IF(AND(NOT(ISBLANK(po_master[[#This Row],[GR Quantity]])), po_master[[#This Row],[GR Quantity]]&lt;&gt;po_master[[#This Row],[PO Quantity]]), "Qty Variance", "OK")</f>
        <v>OK</v>
      </c>
      <c r="S10" s="1" t="str">
        <f>IF(po_master[[#This Row],[Invoice Unit Price]]&gt;po_master[[#This Row],[PO Unit Price]]*1.01, "Price Variance", "OK")</f>
        <v>OK</v>
      </c>
      <c r="T10" s="1" t="str">
        <f>IF(po_master[[#This Row],[Actual Delivery Date]]&gt;po_master[[#This Row],[Promised Delivey Date]], "Late Delivery", "OK")</f>
        <v>OK</v>
      </c>
      <c r="U10" s="1" t="str">
        <f>IF(COUNTIF(po_master[PO Number],po_master[[#This Row],[PO Number]])&gt;1, "Duplicate Invoice", "OK")</f>
        <v>OK</v>
      </c>
    </row>
    <row r="11" spans="1:21" x14ac:dyDescent="0.25">
      <c r="A11" s="1" t="s">
        <v>12</v>
      </c>
      <c r="B11" s="1" t="s">
        <v>1455</v>
      </c>
      <c r="C11" s="2">
        <v>46040</v>
      </c>
      <c r="D11">
        <v>33</v>
      </c>
      <c r="E11">
        <v>133.94999999999999</v>
      </c>
      <c r="F11" s="1" t="s">
        <v>1456</v>
      </c>
      <c r="G11" s="2">
        <v>46054</v>
      </c>
      <c r="H11">
        <v>33</v>
      </c>
      <c r="I11" s="2">
        <v>46055</v>
      </c>
      <c r="J11" s="1" t="s">
        <v>660</v>
      </c>
      <c r="K11">
        <v>33</v>
      </c>
      <c r="L11">
        <v>133.94999999999999</v>
      </c>
      <c r="M11" s="2">
        <v>46055</v>
      </c>
      <c r="N11" t="str">
        <f>IF(po_master[[#This Row],[Approved By]]="", "Missing Approval", "OK")</f>
        <v>OK</v>
      </c>
      <c r="O11" t="str">
        <f>IF(ISBLANK(po_master[[#This Row],[GR Quantity]]), "No GR - Not received", "OK")</f>
        <v>OK</v>
      </c>
      <c r="P11" s="1" t="str">
        <f>IF(po_master[[#This Row],[Promised Delivey Date]]&lt;po_master[[#This Row],[Order Date]], "Invalid", "OK")</f>
        <v>OK</v>
      </c>
      <c r="Q11" s="1" t="str">
        <f>IF(ISBLANK(po_master[[#This Row],[Invoice Number]]), "No Invoice", "OK")</f>
        <v>OK</v>
      </c>
      <c r="R11" s="1" t="str">
        <f>IF(AND(NOT(ISBLANK(po_master[[#This Row],[GR Quantity]])), po_master[[#This Row],[GR Quantity]]&lt;&gt;po_master[[#This Row],[PO Quantity]]), "Qty Variance", "OK")</f>
        <v>OK</v>
      </c>
      <c r="S11" s="1" t="str">
        <f>IF(po_master[[#This Row],[Invoice Unit Price]]&gt;po_master[[#This Row],[PO Unit Price]]*1.01, "Price Variance", "OK")</f>
        <v>OK</v>
      </c>
      <c r="T11" s="1" t="str">
        <f>IF(po_master[[#This Row],[Actual Delivery Date]]&gt;po_master[[#This Row],[Promised Delivey Date]], "Late Delivery", "OK")</f>
        <v>Late Delivery</v>
      </c>
      <c r="U11" s="1" t="str">
        <f>IF(COUNTIF(po_master[PO Number],po_master[[#This Row],[PO Number]])&gt;1, "Duplicate Invoice", "OK")</f>
        <v>OK</v>
      </c>
    </row>
    <row r="12" spans="1:21" x14ac:dyDescent="0.25">
      <c r="A12" s="1" t="s">
        <v>13</v>
      </c>
      <c r="B12" s="1" t="s">
        <v>1457</v>
      </c>
      <c r="C12" s="2">
        <v>46082</v>
      </c>
      <c r="D12">
        <v>453</v>
      </c>
      <c r="E12">
        <v>24.7</v>
      </c>
      <c r="F12" s="1" t="s">
        <v>1458</v>
      </c>
      <c r="G12" s="2">
        <v>46101</v>
      </c>
      <c r="H12">
        <v>453</v>
      </c>
      <c r="I12" s="2">
        <v>46103</v>
      </c>
      <c r="J12" s="1" t="s">
        <v>661</v>
      </c>
      <c r="K12">
        <v>453</v>
      </c>
      <c r="L12">
        <v>24.7</v>
      </c>
      <c r="M12" s="2">
        <v>46107</v>
      </c>
      <c r="N12" t="str">
        <f>IF(po_master[[#This Row],[Approved By]]="", "Missing Approval", "OK")</f>
        <v>OK</v>
      </c>
      <c r="O12" t="str">
        <f>IF(ISBLANK(po_master[[#This Row],[GR Quantity]]), "No GR - Not received", "OK")</f>
        <v>OK</v>
      </c>
      <c r="P12" s="1" t="str">
        <f>IF(po_master[[#This Row],[Promised Delivey Date]]&lt;po_master[[#This Row],[Order Date]], "Invalid", "OK")</f>
        <v>OK</v>
      </c>
      <c r="Q12" s="1" t="str">
        <f>IF(ISBLANK(po_master[[#This Row],[Invoice Number]]), "No Invoice", "OK")</f>
        <v>OK</v>
      </c>
      <c r="R12" s="1" t="str">
        <f>IF(AND(NOT(ISBLANK(po_master[[#This Row],[GR Quantity]])), po_master[[#This Row],[GR Quantity]]&lt;&gt;po_master[[#This Row],[PO Quantity]]), "Qty Variance", "OK")</f>
        <v>OK</v>
      </c>
      <c r="S12" s="1" t="str">
        <f>IF(po_master[[#This Row],[Invoice Unit Price]]&gt;po_master[[#This Row],[PO Unit Price]]*1.01, "Price Variance", "OK")</f>
        <v>OK</v>
      </c>
      <c r="T12" s="1" t="str">
        <f>IF(po_master[[#This Row],[Actual Delivery Date]]&gt;po_master[[#This Row],[Promised Delivey Date]], "Late Delivery", "OK")</f>
        <v>Late Delivery</v>
      </c>
      <c r="U12" s="1" t="str">
        <f>IF(COUNTIF(po_master[PO Number],po_master[[#This Row],[PO Number]])&gt;1, "Duplicate Invoice", "OK")</f>
        <v>OK</v>
      </c>
    </row>
    <row r="13" spans="1:21" x14ac:dyDescent="0.25">
      <c r="A13" s="1" t="s">
        <v>14</v>
      </c>
      <c r="B13" s="1" t="s">
        <v>1439</v>
      </c>
      <c r="C13" s="2">
        <v>46116</v>
      </c>
      <c r="D13">
        <v>93</v>
      </c>
      <c r="E13">
        <v>77.19</v>
      </c>
      <c r="F13" s="1" t="s">
        <v>1444</v>
      </c>
      <c r="G13" s="2">
        <v>46129</v>
      </c>
      <c r="H13">
        <v>93</v>
      </c>
      <c r="I13" s="2">
        <v>46129</v>
      </c>
      <c r="J13" s="1" t="s">
        <v>662</v>
      </c>
      <c r="K13">
        <v>93</v>
      </c>
      <c r="L13">
        <v>77.19</v>
      </c>
      <c r="M13" s="2">
        <v>46139</v>
      </c>
      <c r="N13" t="str">
        <f>IF(po_master[[#This Row],[Approved By]]="", "Missing Approval", "OK")</f>
        <v>OK</v>
      </c>
      <c r="O13" t="str">
        <f>IF(ISBLANK(po_master[[#This Row],[GR Quantity]]), "No GR - Not received", "OK")</f>
        <v>OK</v>
      </c>
      <c r="P13" s="1" t="str">
        <f>IF(po_master[[#This Row],[Promised Delivey Date]]&lt;po_master[[#This Row],[Order Date]], "Invalid", "OK")</f>
        <v>OK</v>
      </c>
      <c r="Q13" s="1" t="str">
        <f>IF(ISBLANK(po_master[[#This Row],[Invoice Number]]), "No Invoice", "OK")</f>
        <v>OK</v>
      </c>
      <c r="R13" s="1" t="str">
        <f>IF(AND(NOT(ISBLANK(po_master[[#This Row],[GR Quantity]])), po_master[[#This Row],[GR Quantity]]&lt;&gt;po_master[[#This Row],[PO Quantity]]), "Qty Variance", "OK")</f>
        <v>OK</v>
      </c>
      <c r="S13" s="1" t="str">
        <f>IF(po_master[[#This Row],[Invoice Unit Price]]&gt;po_master[[#This Row],[PO Unit Price]]*1.01, "Price Variance", "OK")</f>
        <v>OK</v>
      </c>
      <c r="T13" s="1" t="str">
        <f>IF(po_master[[#This Row],[Actual Delivery Date]]&gt;po_master[[#This Row],[Promised Delivey Date]], "Late Delivery", "OK")</f>
        <v>OK</v>
      </c>
      <c r="U13" s="1" t="str">
        <f>IF(COUNTIF(po_master[PO Number],po_master[[#This Row],[PO Number]])&gt;1, "Duplicate Invoice", "OK")</f>
        <v>OK</v>
      </c>
    </row>
    <row r="14" spans="1:21" x14ac:dyDescent="0.25">
      <c r="A14" s="1" t="s">
        <v>15</v>
      </c>
      <c r="B14" s="1" t="s">
        <v>1449</v>
      </c>
      <c r="C14" s="2">
        <v>46041</v>
      </c>
      <c r="D14">
        <v>321</v>
      </c>
      <c r="E14">
        <v>128.82</v>
      </c>
      <c r="F14" s="1" t="s">
        <v>1459</v>
      </c>
      <c r="G14" s="2">
        <v>46053</v>
      </c>
      <c r="H14">
        <v>321</v>
      </c>
      <c r="I14" s="2">
        <v>46055</v>
      </c>
      <c r="J14" s="1" t="s">
        <v>663</v>
      </c>
      <c r="K14">
        <v>321</v>
      </c>
      <c r="L14">
        <v>128.82</v>
      </c>
      <c r="M14" s="2">
        <v>46058</v>
      </c>
      <c r="N14" t="str">
        <f>IF(po_master[[#This Row],[Approved By]]="", "Missing Approval", "OK")</f>
        <v>Missing Approval</v>
      </c>
      <c r="O14" t="str">
        <f>IF(ISBLANK(po_master[[#This Row],[GR Quantity]]), "No GR - Not received", "OK")</f>
        <v>OK</v>
      </c>
      <c r="P14" s="1" t="str">
        <f>IF(po_master[[#This Row],[Promised Delivey Date]]&lt;po_master[[#This Row],[Order Date]], "Invalid", "OK")</f>
        <v>OK</v>
      </c>
      <c r="Q14" s="1" t="str">
        <f>IF(ISBLANK(po_master[[#This Row],[Invoice Number]]), "No Invoice", "OK")</f>
        <v>OK</v>
      </c>
      <c r="R14" s="1" t="str">
        <f>IF(AND(NOT(ISBLANK(po_master[[#This Row],[GR Quantity]])), po_master[[#This Row],[GR Quantity]]&lt;&gt;po_master[[#This Row],[PO Quantity]]), "Qty Variance", "OK")</f>
        <v>OK</v>
      </c>
      <c r="S14" s="1" t="str">
        <f>IF(po_master[[#This Row],[Invoice Unit Price]]&gt;po_master[[#This Row],[PO Unit Price]]*1.01, "Price Variance", "OK")</f>
        <v>OK</v>
      </c>
      <c r="T14" s="1" t="str">
        <f>IF(po_master[[#This Row],[Actual Delivery Date]]&gt;po_master[[#This Row],[Promised Delivey Date]], "Late Delivery", "OK")</f>
        <v>Late Delivery</v>
      </c>
      <c r="U14" s="1" t="str">
        <f>IF(COUNTIF(po_master[PO Number],po_master[[#This Row],[PO Number]])&gt;1, "Duplicate Invoice", "OK")</f>
        <v>OK</v>
      </c>
    </row>
    <row r="15" spans="1:21" x14ac:dyDescent="0.25">
      <c r="A15" s="1" t="s">
        <v>16</v>
      </c>
      <c r="B15" s="1" t="s">
        <v>1460</v>
      </c>
      <c r="C15" s="2">
        <v>46141</v>
      </c>
      <c r="D15">
        <v>204</v>
      </c>
      <c r="E15">
        <v>57.64</v>
      </c>
      <c r="F15" s="1" t="s">
        <v>1446</v>
      </c>
      <c r="G15" s="2">
        <v>46153</v>
      </c>
      <c r="H15">
        <v>204</v>
      </c>
      <c r="I15" s="2">
        <v>46171</v>
      </c>
      <c r="J15" s="1" t="s">
        <v>664</v>
      </c>
      <c r="K15">
        <v>204</v>
      </c>
      <c r="L15">
        <v>61.13</v>
      </c>
      <c r="M15" s="2">
        <v>46163</v>
      </c>
      <c r="N15" t="str">
        <f>IF(po_master[[#This Row],[Approved By]]="", "Missing Approval", "OK")</f>
        <v>OK</v>
      </c>
      <c r="O15" t="str">
        <f>IF(ISBLANK(po_master[[#This Row],[GR Quantity]]), "No GR - Not received", "OK")</f>
        <v>OK</v>
      </c>
      <c r="P15" s="1" t="str">
        <f>IF(po_master[[#This Row],[Promised Delivey Date]]&lt;po_master[[#This Row],[Order Date]], "Invalid", "OK")</f>
        <v>OK</v>
      </c>
      <c r="Q15" s="1" t="str">
        <f>IF(ISBLANK(po_master[[#This Row],[Invoice Number]]), "No Invoice", "OK")</f>
        <v>OK</v>
      </c>
      <c r="R15" s="1" t="str">
        <f>IF(AND(NOT(ISBLANK(po_master[[#This Row],[GR Quantity]])), po_master[[#This Row],[GR Quantity]]&lt;&gt;po_master[[#This Row],[PO Quantity]]), "Qty Variance", "OK")</f>
        <v>OK</v>
      </c>
      <c r="S15" s="1" t="str">
        <f>IF(po_master[[#This Row],[Invoice Unit Price]]&gt;po_master[[#This Row],[PO Unit Price]]*1.01, "Price Variance", "OK")</f>
        <v>Price Variance</v>
      </c>
      <c r="T15" s="1" t="str">
        <f>IF(po_master[[#This Row],[Actual Delivery Date]]&gt;po_master[[#This Row],[Promised Delivey Date]], "Late Delivery", "OK")</f>
        <v>Late Delivery</v>
      </c>
      <c r="U15" s="1" t="str">
        <f>IF(COUNTIF(po_master[PO Number],po_master[[#This Row],[PO Number]])&gt;1, "Duplicate Invoice", "OK")</f>
        <v>OK</v>
      </c>
    </row>
    <row r="16" spans="1:21" x14ac:dyDescent="0.25">
      <c r="A16" s="1" t="s">
        <v>17</v>
      </c>
      <c r="B16" s="1" t="s">
        <v>1461</v>
      </c>
      <c r="C16" s="2">
        <v>46106</v>
      </c>
      <c r="D16">
        <v>441</v>
      </c>
      <c r="E16">
        <v>154.82</v>
      </c>
      <c r="F16" s="1" t="s">
        <v>1462</v>
      </c>
      <c r="G16" s="2">
        <v>46118</v>
      </c>
      <c r="H16">
        <v>441</v>
      </c>
      <c r="I16" s="2">
        <v>46117</v>
      </c>
      <c r="J16" s="1" t="s">
        <v>665</v>
      </c>
      <c r="K16">
        <v>441</v>
      </c>
      <c r="L16">
        <v>154.82</v>
      </c>
      <c r="M16" s="2">
        <v>46121</v>
      </c>
      <c r="N16" t="str">
        <f>IF(po_master[[#This Row],[Approved By]]="", "Missing Approval", "OK")</f>
        <v>OK</v>
      </c>
      <c r="O16" t="str">
        <f>IF(ISBLANK(po_master[[#This Row],[GR Quantity]]), "No GR - Not received", "OK")</f>
        <v>OK</v>
      </c>
      <c r="P16" s="1" t="str">
        <f>IF(po_master[[#This Row],[Promised Delivey Date]]&lt;po_master[[#This Row],[Order Date]], "Invalid", "OK")</f>
        <v>OK</v>
      </c>
      <c r="Q16" s="1" t="str">
        <f>IF(ISBLANK(po_master[[#This Row],[Invoice Number]]), "No Invoice", "OK")</f>
        <v>OK</v>
      </c>
      <c r="R16" s="1" t="str">
        <f>IF(AND(NOT(ISBLANK(po_master[[#This Row],[GR Quantity]])), po_master[[#This Row],[GR Quantity]]&lt;&gt;po_master[[#This Row],[PO Quantity]]), "Qty Variance", "OK")</f>
        <v>OK</v>
      </c>
      <c r="S16" s="1" t="str">
        <f>IF(po_master[[#This Row],[Invoice Unit Price]]&gt;po_master[[#This Row],[PO Unit Price]]*1.01, "Price Variance", "OK")</f>
        <v>OK</v>
      </c>
      <c r="T16" s="1" t="str">
        <f>IF(po_master[[#This Row],[Actual Delivery Date]]&gt;po_master[[#This Row],[Promised Delivey Date]], "Late Delivery", "OK")</f>
        <v>OK</v>
      </c>
      <c r="U16" s="1" t="str">
        <f>IF(COUNTIF(po_master[PO Number],po_master[[#This Row],[PO Number]])&gt;1, "Duplicate Invoice", "OK")</f>
        <v>OK</v>
      </c>
    </row>
    <row r="17" spans="1:21" x14ac:dyDescent="0.25">
      <c r="A17" s="1" t="s">
        <v>18</v>
      </c>
      <c r="B17" s="1" t="s">
        <v>1452</v>
      </c>
      <c r="C17" s="2">
        <v>46103</v>
      </c>
      <c r="D17">
        <v>215</v>
      </c>
      <c r="E17">
        <v>57.21</v>
      </c>
      <c r="F17" s="1" t="s">
        <v>1444</v>
      </c>
      <c r="G17" s="2">
        <v>46118</v>
      </c>
      <c r="H17">
        <v>212</v>
      </c>
      <c r="I17" s="2">
        <v>46119</v>
      </c>
      <c r="J17" s="1" t="s">
        <v>666</v>
      </c>
      <c r="K17">
        <v>215</v>
      </c>
      <c r="L17">
        <v>57.21</v>
      </c>
      <c r="M17" s="2">
        <v>46125</v>
      </c>
      <c r="N17" t="str">
        <f>IF(po_master[[#This Row],[Approved By]]="", "Missing Approval", "OK")</f>
        <v>OK</v>
      </c>
      <c r="O17" t="str">
        <f>IF(ISBLANK(po_master[[#This Row],[GR Quantity]]), "No GR - Not received", "OK")</f>
        <v>OK</v>
      </c>
      <c r="P17" s="1" t="str">
        <f>IF(po_master[[#This Row],[Promised Delivey Date]]&lt;po_master[[#This Row],[Order Date]], "Invalid", "OK")</f>
        <v>OK</v>
      </c>
      <c r="Q17" s="1" t="str">
        <f>IF(ISBLANK(po_master[[#This Row],[Invoice Number]]), "No Invoice", "OK")</f>
        <v>OK</v>
      </c>
      <c r="R17" s="1" t="str">
        <f>IF(AND(NOT(ISBLANK(po_master[[#This Row],[GR Quantity]])), po_master[[#This Row],[GR Quantity]]&lt;&gt;po_master[[#This Row],[PO Quantity]]), "Qty Variance", "OK")</f>
        <v>Qty Variance</v>
      </c>
      <c r="S17" s="1" t="str">
        <f>IF(po_master[[#This Row],[Invoice Unit Price]]&gt;po_master[[#This Row],[PO Unit Price]]*1.01, "Price Variance", "OK")</f>
        <v>OK</v>
      </c>
      <c r="T17" s="1" t="str">
        <f>IF(po_master[[#This Row],[Actual Delivery Date]]&gt;po_master[[#This Row],[Promised Delivey Date]], "Late Delivery", "OK")</f>
        <v>Late Delivery</v>
      </c>
      <c r="U17" s="1" t="str">
        <f>IF(COUNTIF(po_master[PO Number],po_master[[#This Row],[PO Number]])&gt;1, "Duplicate Invoice", "OK")</f>
        <v>OK</v>
      </c>
    </row>
    <row r="18" spans="1:21" x14ac:dyDescent="0.25">
      <c r="A18" s="1" t="s">
        <v>19</v>
      </c>
      <c r="B18" s="1" t="s">
        <v>1463</v>
      </c>
      <c r="C18" s="2">
        <v>46150</v>
      </c>
      <c r="D18">
        <v>212</v>
      </c>
      <c r="E18">
        <v>177.51</v>
      </c>
      <c r="F18" s="1" t="s">
        <v>1446</v>
      </c>
      <c r="G18" s="2">
        <v>46169</v>
      </c>
      <c r="H18">
        <v>212</v>
      </c>
      <c r="I18" s="2">
        <v>46167</v>
      </c>
      <c r="J18" s="1" t="s">
        <v>667</v>
      </c>
      <c r="K18">
        <v>212</v>
      </c>
      <c r="L18">
        <v>177.51</v>
      </c>
      <c r="M18" s="2">
        <v>46172</v>
      </c>
      <c r="N18" t="str">
        <f>IF(po_master[[#This Row],[Approved By]]="", "Missing Approval", "OK")</f>
        <v>OK</v>
      </c>
      <c r="O18" t="str">
        <f>IF(ISBLANK(po_master[[#This Row],[GR Quantity]]), "No GR - Not received", "OK")</f>
        <v>OK</v>
      </c>
      <c r="P18" s="1" t="str">
        <f>IF(po_master[[#This Row],[Promised Delivey Date]]&lt;po_master[[#This Row],[Order Date]], "Invalid", "OK")</f>
        <v>OK</v>
      </c>
      <c r="Q18" s="1" t="str">
        <f>IF(ISBLANK(po_master[[#This Row],[Invoice Number]]), "No Invoice", "OK")</f>
        <v>OK</v>
      </c>
      <c r="R18" s="1" t="str">
        <f>IF(AND(NOT(ISBLANK(po_master[[#This Row],[GR Quantity]])), po_master[[#This Row],[GR Quantity]]&lt;&gt;po_master[[#This Row],[PO Quantity]]), "Qty Variance", "OK")</f>
        <v>OK</v>
      </c>
      <c r="S18" s="1" t="str">
        <f>IF(po_master[[#This Row],[Invoice Unit Price]]&gt;po_master[[#This Row],[PO Unit Price]]*1.01, "Price Variance", "OK")</f>
        <v>OK</v>
      </c>
      <c r="T18" s="1" t="str">
        <f>IF(po_master[[#This Row],[Actual Delivery Date]]&gt;po_master[[#This Row],[Promised Delivey Date]], "Late Delivery", "OK")</f>
        <v>OK</v>
      </c>
      <c r="U18" s="1" t="str">
        <f>IF(COUNTIF(po_master[PO Number],po_master[[#This Row],[PO Number]])&gt;1, "Duplicate Invoice", "OK")</f>
        <v>OK</v>
      </c>
    </row>
    <row r="19" spans="1:21" x14ac:dyDescent="0.25">
      <c r="A19" s="1" t="s">
        <v>20</v>
      </c>
      <c r="B19" s="1" t="s">
        <v>1464</v>
      </c>
      <c r="C19" s="2">
        <v>46090</v>
      </c>
      <c r="D19">
        <v>81</v>
      </c>
      <c r="E19">
        <v>53.09</v>
      </c>
      <c r="F19" s="1" t="s">
        <v>1442</v>
      </c>
      <c r="G19" s="2">
        <v>46103</v>
      </c>
      <c r="H19">
        <v>81</v>
      </c>
      <c r="I19" s="2">
        <v>46105</v>
      </c>
      <c r="J19" s="1" t="s">
        <v>668</v>
      </c>
      <c r="K19">
        <v>81</v>
      </c>
      <c r="L19">
        <v>53.09</v>
      </c>
      <c r="M19" s="2">
        <v>46106</v>
      </c>
      <c r="N19" t="str">
        <f>IF(po_master[[#This Row],[Approved By]]="", "Missing Approval", "OK")</f>
        <v>OK</v>
      </c>
      <c r="O19" t="str">
        <f>IF(ISBLANK(po_master[[#This Row],[GR Quantity]]), "No GR - Not received", "OK")</f>
        <v>OK</v>
      </c>
      <c r="P19" s="1" t="str">
        <f>IF(po_master[[#This Row],[Promised Delivey Date]]&lt;po_master[[#This Row],[Order Date]], "Invalid", "OK")</f>
        <v>OK</v>
      </c>
      <c r="Q19" s="1" t="str">
        <f>IF(ISBLANK(po_master[[#This Row],[Invoice Number]]), "No Invoice", "OK")</f>
        <v>OK</v>
      </c>
      <c r="R19" s="1" t="str">
        <f>IF(AND(NOT(ISBLANK(po_master[[#This Row],[GR Quantity]])), po_master[[#This Row],[GR Quantity]]&lt;&gt;po_master[[#This Row],[PO Quantity]]), "Qty Variance", "OK")</f>
        <v>OK</v>
      </c>
      <c r="S19" s="1" t="str">
        <f>IF(po_master[[#This Row],[Invoice Unit Price]]&gt;po_master[[#This Row],[PO Unit Price]]*1.01, "Price Variance", "OK")</f>
        <v>OK</v>
      </c>
      <c r="T19" s="1" t="str">
        <f>IF(po_master[[#This Row],[Actual Delivery Date]]&gt;po_master[[#This Row],[Promised Delivey Date]], "Late Delivery", "OK")</f>
        <v>Late Delivery</v>
      </c>
      <c r="U19" s="1" t="str">
        <f>IF(COUNTIF(po_master[PO Number],po_master[[#This Row],[PO Number]])&gt;1, "Duplicate Invoice", "OK")</f>
        <v>OK</v>
      </c>
    </row>
    <row r="20" spans="1:21" x14ac:dyDescent="0.25">
      <c r="A20" s="1" t="s">
        <v>21</v>
      </c>
      <c r="B20" s="1" t="s">
        <v>1465</v>
      </c>
      <c r="C20" s="2">
        <v>46172</v>
      </c>
      <c r="D20">
        <v>229</v>
      </c>
      <c r="E20">
        <v>180.08</v>
      </c>
      <c r="F20" s="1" t="s">
        <v>1453</v>
      </c>
      <c r="G20" s="2">
        <v>46188</v>
      </c>
      <c r="H20">
        <v>229</v>
      </c>
      <c r="I20" s="2">
        <v>46189</v>
      </c>
      <c r="J20" s="1" t="s">
        <v>669</v>
      </c>
      <c r="K20">
        <v>229</v>
      </c>
      <c r="L20">
        <v>180.08</v>
      </c>
      <c r="M20" s="2">
        <v>46195</v>
      </c>
      <c r="N20" t="str">
        <f>IF(po_master[[#This Row],[Approved By]]="", "Missing Approval", "OK")</f>
        <v>OK</v>
      </c>
      <c r="O20" t="str">
        <f>IF(ISBLANK(po_master[[#This Row],[GR Quantity]]), "No GR - Not received", "OK")</f>
        <v>OK</v>
      </c>
      <c r="P20" s="1" t="str">
        <f>IF(po_master[[#This Row],[Promised Delivey Date]]&lt;po_master[[#This Row],[Order Date]], "Invalid", "OK")</f>
        <v>OK</v>
      </c>
      <c r="Q20" s="1" t="str">
        <f>IF(ISBLANK(po_master[[#This Row],[Invoice Number]]), "No Invoice", "OK")</f>
        <v>OK</v>
      </c>
      <c r="R20" s="1" t="str">
        <f>IF(AND(NOT(ISBLANK(po_master[[#This Row],[GR Quantity]])), po_master[[#This Row],[GR Quantity]]&lt;&gt;po_master[[#This Row],[PO Quantity]]), "Qty Variance", "OK")</f>
        <v>OK</v>
      </c>
      <c r="S20" s="1" t="str">
        <f>IF(po_master[[#This Row],[Invoice Unit Price]]&gt;po_master[[#This Row],[PO Unit Price]]*1.01, "Price Variance", "OK")</f>
        <v>OK</v>
      </c>
      <c r="T20" s="1" t="str">
        <f>IF(po_master[[#This Row],[Actual Delivery Date]]&gt;po_master[[#This Row],[Promised Delivey Date]], "Late Delivery", "OK")</f>
        <v>Late Delivery</v>
      </c>
      <c r="U20" s="1" t="str">
        <f>IF(COUNTIF(po_master[PO Number],po_master[[#This Row],[PO Number]])&gt;1, "Duplicate Invoice", "OK")</f>
        <v>OK</v>
      </c>
    </row>
    <row r="21" spans="1:21" x14ac:dyDescent="0.25">
      <c r="A21" s="1" t="s">
        <v>22</v>
      </c>
      <c r="B21" s="1" t="s">
        <v>1447</v>
      </c>
      <c r="C21" s="2">
        <v>46058</v>
      </c>
      <c r="D21">
        <v>270</v>
      </c>
      <c r="E21">
        <v>101.24</v>
      </c>
      <c r="F21" s="1" t="s">
        <v>1456</v>
      </c>
      <c r="G21" s="2">
        <v>46064</v>
      </c>
      <c r="H21">
        <v>270</v>
      </c>
      <c r="I21" s="2">
        <v>46065</v>
      </c>
      <c r="J21" s="1" t="s">
        <v>670</v>
      </c>
      <c r="K21">
        <v>270</v>
      </c>
      <c r="L21">
        <v>101.24</v>
      </c>
      <c r="M21" s="2">
        <v>46074</v>
      </c>
      <c r="N21" t="str">
        <f>IF(po_master[[#This Row],[Approved By]]="", "Missing Approval", "OK")</f>
        <v>OK</v>
      </c>
      <c r="O21" t="str">
        <f>IF(ISBLANK(po_master[[#This Row],[GR Quantity]]), "No GR - Not received", "OK")</f>
        <v>OK</v>
      </c>
      <c r="P21" s="1" t="str">
        <f>IF(po_master[[#This Row],[Promised Delivey Date]]&lt;po_master[[#This Row],[Order Date]], "Invalid", "OK")</f>
        <v>OK</v>
      </c>
      <c r="Q21" s="1" t="str">
        <f>IF(ISBLANK(po_master[[#This Row],[Invoice Number]]), "No Invoice", "OK")</f>
        <v>OK</v>
      </c>
      <c r="R21" s="1" t="str">
        <f>IF(AND(NOT(ISBLANK(po_master[[#This Row],[GR Quantity]])), po_master[[#This Row],[GR Quantity]]&lt;&gt;po_master[[#This Row],[PO Quantity]]), "Qty Variance", "OK")</f>
        <v>OK</v>
      </c>
      <c r="S21" s="1" t="str">
        <f>IF(po_master[[#This Row],[Invoice Unit Price]]&gt;po_master[[#This Row],[PO Unit Price]]*1.01, "Price Variance", "OK")</f>
        <v>OK</v>
      </c>
      <c r="T21" s="1" t="str">
        <f>IF(po_master[[#This Row],[Actual Delivery Date]]&gt;po_master[[#This Row],[Promised Delivey Date]], "Late Delivery", "OK")</f>
        <v>Late Delivery</v>
      </c>
      <c r="U21" s="1" t="str">
        <f>IF(COUNTIF(po_master[PO Number],po_master[[#This Row],[PO Number]])&gt;1, "Duplicate Invoice", "OK")</f>
        <v>OK</v>
      </c>
    </row>
    <row r="22" spans="1:21" x14ac:dyDescent="0.25">
      <c r="A22" s="1" t="s">
        <v>23</v>
      </c>
      <c r="B22" s="1" t="s">
        <v>1466</v>
      </c>
      <c r="C22" s="2">
        <v>46062</v>
      </c>
      <c r="D22">
        <v>331</v>
      </c>
      <c r="E22">
        <v>36.200000000000003</v>
      </c>
      <c r="F22" s="1" t="s">
        <v>1467</v>
      </c>
      <c r="G22" s="2">
        <v>46080</v>
      </c>
      <c r="H22">
        <v>331</v>
      </c>
      <c r="I22" s="2">
        <v>46089</v>
      </c>
      <c r="J22" s="1" t="s">
        <v>671</v>
      </c>
      <c r="K22">
        <v>331</v>
      </c>
      <c r="L22">
        <v>36.200000000000003</v>
      </c>
      <c r="M22" s="2">
        <v>46086</v>
      </c>
      <c r="N22" t="str">
        <f>IF(po_master[[#This Row],[Approved By]]="", "Missing Approval", "OK")</f>
        <v>OK</v>
      </c>
      <c r="O22" t="str">
        <f>IF(ISBLANK(po_master[[#This Row],[GR Quantity]]), "No GR - Not received", "OK")</f>
        <v>OK</v>
      </c>
      <c r="P22" s="1" t="str">
        <f>IF(po_master[[#This Row],[Promised Delivey Date]]&lt;po_master[[#This Row],[Order Date]], "Invalid", "OK")</f>
        <v>OK</v>
      </c>
      <c r="Q22" s="1" t="str">
        <f>IF(ISBLANK(po_master[[#This Row],[Invoice Number]]), "No Invoice", "OK")</f>
        <v>OK</v>
      </c>
      <c r="R22" s="1" t="str">
        <f>IF(AND(NOT(ISBLANK(po_master[[#This Row],[GR Quantity]])), po_master[[#This Row],[GR Quantity]]&lt;&gt;po_master[[#This Row],[PO Quantity]]), "Qty Variance", "OK")</f>
        <v>OK</v>
      </c>
      <c r="S22" s="1" t="str">
        <f>IF(po_master[[#This Row],[Invoice Unit Price]]&gt;po_master[[#This Row],[PO Unit Price]]*1.01, "Price Variance", "OK")</f>
        <v>OK</v>
      </c>
      <c r="T22" s="1" t="str">
        <f>IF(po_master[[#This Row],[Actual Delivery Date]]&gt;po_master[[#This Row],[Promised Delivey Date]], "Late Delivery", "OK")</f>
        <v>Late Delivery</v>
      </c>
      <c r="U22" s="1" t="str">
        <f>IF(COUNTIF(po_master[PO Number],po_master[[#This Row],[PO Number]])&gt;1, "Duplicate Invoice", "OK")</f>
        <v>OK</v>
      </c>
    </row>
    <row r="23" spans="1:21" x14ac:dyDescent="0.25">
      <c r="A23" s="1" t="s">
        <v>24</v>
      </c>
      <c r="B23" s="1" t="s">
        <v>1468</v>
      </c>
      <c r="C23" s="2">
        <v>46039</v>
      </c>
      <c r="D23">
        <v>207</v>
      </c>
      <c r="E23">
        <v>79.42</v>
      </c>
      <c r="F23" s="1" t="s">
        <v>1469</v>
      </c>
      <c r="G23" s="2">
        <v>46060</v>
      </c>
      <c r="H23">
        <v>207</v>
      </c>
      <c r="I23" s="2">
        <v>46058</v>
      </c>
      <c r="J23" s="1" t="s">
        <v>672</v>
      </c>
      <c r="K23">
        <v>207</v>
      </c>
      <c r="L23">
        <v>79.42</v>
      </c>
      <c r="M23" s="2">
        <v>46067</v>
      </c>
      <c r="N23" t="str">
        <f>IF(po_master[[#This Row],[Approved By]]="", "Missing Approval", "OK")</f>
        <v>OK</v>
      </c>
      <c r="O23" t="str">
        <f>IF(ISBLANK(po_master[[#This Row],[GR Quantity]]), "No GR - Not received", "OK")</f>
        <v>OK</v>
      </c>
      <c r="P23" s="1" t="str">
        <f>IF(po_master[[#This Row],[Promised Delivey Date]]&lt;po_master[[#This Row],[Order Date]], "Invalid", "OK")</f>
        <v>OK</v>
      </c>
      <c r="Q23" s="1" t="str">
        <f>IF(ISBLANK(po_master[[#This Row],[Invoice Number]]), "No Invoice", "OK")</f>
        <v>OK</v>
      </c>
      <c r="R23" s="1" t="str">
        <f>IF(AND(NOT(ISBLANK(po_master[[#This Row],[GR Quantity]])), po_master[[#This Row],[GR Quantity]]&lt;&gt;po_master[[#This Row],[PO Quantity]]), "Qty Variance", "OK")</f>
        <v>OK</v>
      </c>
      <c r="S23" s="1" t="str">
        <f>IF(po_master[[#This Row],[Invoice Unit Price]]&gt;po_master[[#This Row],[PO Unit Price]]*1.01, "Price Variance", "OK")</f>
        <v>OK</v>
      </c>
      <c r="T23" s="1" t="str">
        <f>IF(po_master[[#This Row],[Actual Delivery Date]]&gt;po_master[[#This Row],[Promised Delivey Date]], "Late Delivery", "OK")</f>
        <v>OK</v>
      </c>
      <c r="U23" s="1" t="str">
        <f>IF(COUNTIF(po_master[PO Number],po_master[[#This Row],[PO Number]])&gt;1, "Duplicate Invoice", "OK")</f>
        <v>OK</v>
      </c>
    </row>
    <row r="24" spans="1:21" x14ac:dyDescent="0.25">
      <c r="A24" s="1" t="s">
        <v>25</v>
      </c>
      <c r="B24" s="1" t="s">
        <v>1470</v>
      </c>
      <c r="C24" s="2">
        <v>46164</v>
      </c>
      <c r="D24">
        <v>450</v>
      </c>
      <c r="E24">
        <v>188.77</v>
      </c>
      <c r="F24" s="1" t="s">
        <v>1467</v>
      </c>
      <c r="G24" s="2">
        <v>46172</v>
      </c>
      <c r="H24">
        <v>450</v>
      </c>
      <c r="I24" s="2">
        <v>46177</v>
      </c>
      <c r="J24" s="1" t="s">
        <v>673</v>
      </c>
      <c r="K24">
        <v>450</v>
      </c>
      <c r="L24">
        <v>188.77</v>
      </c>
      <c r="M24" s="2">
        <v>46179</v>
      </c>
      <c r="N24" t="str">
        <f>IF(po_master[[#This Row],[Approved By]]="", "Missing Approval", "OK")</f>
        <v>OK</v>
      </c>
      <c r="O24" t="str">
        <f>IF(ISBLANK(po_master[[#This Row],[GR Quantity]]), "No GR - Not received", "OK")</f>
        <v>OK</v>
      </c>
      <c r="P24" s="1" t="str">
        <f>IF(po_master[[#This Row],[Promised Delivey Date]]&lt;po_master[[#This Row],[Order Date]], "Invalid", "OK")</f>
        <v>OK</v>
      </c>
      <c r="Q24" s="1" t="str">
        <f>IF(ISBLANK(po_master[[#This Row],[Invoice Number]]), "No Invoice", "OK")</f>
        <v>OK</v>
      </c>
      <c r="R24" s="1" t="str">
        <f>IF(AND(NOT(ISBLANK(po_master[[#This Row],[GR Quantity]])), po_master[[#This Row],[GR Quantity]]&lt;&gt;po_master[[#This Row],[PO Quantity]]), "Qty Variance", "OK")</f>
        <v>OK</v>
      </c>
      <c r="S24" s="1" t="str">
        <f>IF(po_master[[#This Row],[Invoice Unit Price]]&gt;po_master[[#This Row],[PO Unit Price]]*1.01, "Price Variance", "OK")</f>
        <v>OK</v>
      </c>
      <c r="T24" s="1" t="str">
        <f>IF(po_master[[#This Row],[Actual Delivery Date]]&gt;po_master[[#This Row],[Promised Delivey Date]], "Late Delivery", "OK")</f>
        <v>Late Delivery</v>
      </c>
      <c r="U24" s="1" t="str">
        <f>IF(COUNTIF(po_master[PO Number],po_master[[#This Row],[PO Number]])&gt;1, "Duplicate Invoice", "OK")</f>
        <v>OK</v>
      </c>
    </row>
    <row r="25" spans="1:21" x14ac:dyDescent="0.25">
      <c r="A25" s="1" t="s">
        <v>26</v>
      </c>
      <c r="B25" s="1" t="s">
        <v>1461</v>
      </c>
      <c r="C25" s="2">
        <v>46160</v>
      </c>
      <c r="D25">
        <v>394</v>
      </c>
      <c r="E25">
        <v>57.03</v>
      </c>
      <c r="F25" s="1" t="s">
        <v>1446</v>
      </c>
      <c r="G25" s="2">
        <v>46175</v>
      </c>
      <c r="H25">
        <v>394</v>
      </c>
      <c r="I25" s="2">
        <v>46173</v>
      </c>
      <c r="J25" s="1" t="s">
        <v>674</v>
      </c>
      <c r="K25">
        <v>394</v>
      </c>
      <c r="L25">
        <v>57.03</v>
      </c>
      <c r="M25" s="2">
        <v>46181</v>
      </c>
      <c r="N25" t="str">
        <f>IF(po_master[[#This Row],[Approved By]]="", "Missing Approval", "OK")</f>
        <v>OK</v>
      </c>
      <c r="O25" t="str">
        <f>IF(ISBLANK(po_master[[#This Row],[GR Quantity]]), "No GR - Not received", "OK")</f>
        <v>OK</v>
      </c>
      <c r="P25" s="1" t="str">
        <f>IF(po_master[[#This Row],[Promised Delivey Date]]&lt;po_master[[#This Row],[Order Date]], "Invalid", "OK")</f>
        <v>OK</v>
      </c>
      <c r="Q25" s="1" t="str">
        <f>IF(ISBLANK(po_master[[#This Row],[Invoice Number]]), "No Invoice", "OK")</f>
        <v>OK</v>
      </c>
      <c r="R25" s="1" t="str">
        <f>IF(AND(NOT(ISBLANK(po_master[[#This Row],[GR Quantity]])), po_master[[#This Row],[GR Quantity]]&lt;&gt;po_master[[#This Row],[PO Quantity]]), "Qty Variance", "OK")</f>
        <v>OK</v>
      </c>
      <c r="S25" s="1" t="str">
        <f>IF(po_master[[#This Row],[Invoice Unit Price]]&gt;po_master[[#This Row],[PO Unit Price]]*1.01, "Price Variance", "OK")</f>
        <v>OK</v>
      </c>
      <c r="T25" s="1" t="str">
        <f>IF(po_master[[#This Row],[Actual Delivery Date]]&gt;po_master[[#This Row],[Promised Delivey Date]], "Late Delivery", "OK")</f>
        <v>OK</v>
      </c>
      <c r="U25" s="1" t="str">
        <f>IF(COUNTIF(po_master[PO Number],po_master[[#This Row],[PO Number]])&gt;1, "Duplicate Invoice", "OK")</f>
        <v>OK</v>
      </c>
    </row>
    <row r="26" spans="1:21" x14ac:dyDescent="0.25">
      <c r="A26" s="1" t="s">
        <v>27</v>
      </c>
      <c r="B26" s="1" t="s">
        <v>1466</v>
      </c>
      <c r="C26" s="2">
        <v>46098</v>
      </c>
      <c r="D26">
        <v>232</v>
      </c>
      <c r="E26">
        <v>35.840000000000003</v>
      </c>
      <c r="F26" s="1" t="s">
        <v>1448</v>
      </c>
      <c r="G26" s="2">
        <v>46111</v>
      </c>
      <c r="H26">
        <v>232</v>
      </c>
      <c r="I26" s="2">
        <v>46112</v>
      </c>
      <c r="J26" s="1" t="s">
        <v>675</v>
      </c>
      <c r="K26">
        <v>232</v>
      </c>
      <c r="L26">
        <v>35.840000000000003</v>
      </c>
      <c r="M26" s="2">
        <v>46118</v>
      </c>
      <c r="N26" t="str">
        <f>IF(po_master[[#This Row],[Approved By]]="", "Missing Approval", "OK")</f>
        <v>OK</v>
      </c>
      <c r="O26" t="str">
        <f>IF(ISBLANK(po_master[[#This Row],[GR Quantity]]), "No GR - Not received", "OK")</f>
        <v>OK</v>
      </c>
      <c r="P26" s="1" t="str">
        <f>IF(po_master[[#This Row],[Promised Delivey Date]]&lt;po_master[[#This Row],[Order Date]], "Invalid", "OK")</f>
        <v>OK</v>
      </c>
      <c r="Q26" s="1" t="str">
        <f>IF(ISBLANK(po_master[[#This Row],[Invoice Number]]), "No Invoice", "OK")</f>
        <v>OK</v>
      </c>
      <c r="R26" s="1" t="str">
        <f>IF(AND(NOT(ISBLANK(po_master[[#This Row],[GR Quantity]])), po_master[[#This Row],[GR Quantity]]&lt;&gt;po_master[[#This Row],[PO Quantity]]), "Qty Variance", "OK")</f>
        <v>OK</v>
      </c>
      <c r="S26" s="1" t="str">
        <f>IF(po_master[[#This Row],[Invoice Unit Price]]&gt;po_master[[#This Row],[PO Unit Price]]*1.01, "Price Variance", "OK")</f>
        <v>OK</v>
      </c>
      <c r="T26" s="1" t="str">
        <f>IF(po_master[[#This Row],[Actual Delivery Date]]&gt;po_master[[#This Row],[Promised Delivey Date]], "Late Delivery", "OK")</f>
        <v>Late Delivery</v>
      </c>
      <c r="U26" s="1" t="str">
        <f>IF(COUNTIF(po_master[PO Number],po_master[[#This Row],[PO Number]])&gt;1, "Duplicate Invoice", "OK")</f>
        <v>OK</v>
      </c>
    </row>
    <row r="27" spans="1:21" x14ac:dyDescent="0.25">
      <c r="A27" s="1" t="s">
        <v>28</v>
      </c>
      <c r="B27" s="1" t="s">
        <v>1445</v>
      </c>
      <c r="C27" s="2">
        <v>46068</v>
      </c>
      <c r="D27">
        <v>269</v>
      </c>
      <c r="E27">
        <v>182.96</v>
      </c>
      <c r="F27" s="1" t="s">
        <v>1446</v>
      </c>
      <c r="G27" s="2">
        <v>46082</v>
      </c>
      <c r="H27">
        <v>269</v>
      </c>
      <c r="I27" s="2">
        <v>46082</v>
      </c>
      <c r="J27" s="1" t="s">
        <v>676</v>
      </c>
      <c r="K27">
        <v>269</v>
      </c>
      <c r="L27">
        <v>182.96</v>
      </c>
      <c r="M27" s="2">
        <v>46090</v>
      </c>
      <c r="N27" t="str">
        <f>IF(po_master[[#This Row],[Approved By]]="", "Missing Approval", "OK")</f>
        <v>OK</v>
      </c>
      <c r="O27" t="str">
        <f>IF(ISBLANK(po_master[[#This Row],[GR Quantity]]), "No GR - Not received", "OK")</f>
        <v>OK</v>
      </c>
      <c r="P27" s="1" t="str">
        <f>IF(po_master[[#This Row],[Promised Delivey Date]]&lt;po_master[[#This Row],[Order Date]], "Invalid", "OK")</f>
        <v>OK</v>
      </c>
      <c r="Q27" s="1" t="str">
        <f>IF(ISBLANK(po_master[[#This Row],[Invoice Number]]), "No Invoice", "OK")</f>
        <v>OK</v>
      </c>
      <c r="R27" s="1" t="str">
        <f>IF(AND(NOT(ISBLANK(po_master[[#This Row],[GR Quantity]])), po_master[[#This Row],[GR Quantity]]&lt;&gt;po_master[[#This Row],[PO Quantity]]), "Qty Variance", "OK")</f>
        <v>OK</v>
      </c>
      <c r="S27" s="1" t="str">
        <f>IF(po_master[[#This Row],[Invoice Unit Price]]&gt;po_master[[#This Row],[PO Unit Price]]*1.01, "Price Variance", "OK")</f>
        <v>OK</v>
      </c>
      <c r="T27" s="1" t="str">
        <f>IF(po_master[[#This Row],[Actual Delivery Date]]&gt;po_master[[#This Row],[Promised Delivey Date]], "Late Delivery", "OK")</f>
        <v>OK</v>
      </c>
      <c r="U27" s="1" t="str">
        <f>IF(COUNTIF(po_master[PO Number],po_master[[#This Row],[PO Number]])&gt;1, "Duplicate Invoice", "OK")</f>
        <v>OK</v>
      </c>
    </row>
    <row r="28" spans="1:21" x14ac:dyDescent="0.25">
      <c r="A28" s="1" t="s">
        <v>29</v>
      </c>
      <c r="B28" s="1" t="s">
        <v>1439</v>
      </c>
      <c r="C28" s="2">
        <v>46152</v>
      </c>
      <c r="D28">
        <v>321</v>
      </c>
      <c r="E28">
        <v>43.79</v>
      </c>
      <c r="F28" s="1" t="s">
        <v>1451</v>
      </c>
      <c r="G28" s="2">
        <v>46162</v>
      </c>
      <c r="H28">
        <v>321</v>
      </c>
      <c r="I28" s="2">
        <v>46164</v>
      </c>
      <c r="J28" s="1" t="s">
        <v>677</v>
      </c>
      <c r="K28">
        <v>321</v>
      </c>
      <c r="L28">
        <v>43.79</v>
      </c>
      <c r="M28" s="2">
        <v>46165</v>
      </c>
      <c r="N28" t="str">
        <f>IF(po_master[[#This Row],[Approved By]]="", "Missing Approval", "OK")</f>
        <v>OK</v>
      </c>
      <c r="O28" t="str">
        <f>IF(ISBLANK(po_master[[#This Row],[GR Quantity]]), "No GR - Not received", "OK")</f>
        <v>OK</v>
      </c>
      <c r="P28" s="1" t="str">
        <f>IF(po_master[[#This Row],[Promised Delivey Date]]&lt;po_master[[#This Row],[Order Date]], "Invalid", "OK")</f>
        <v>OK</v>
      </c>
      <c r="Q28" s="1" t="str">
        <f>IF(ISBLANK(po_master[[#This Row],[Invoice Number]]), "No Invoice", "OK")</f>
        <v>OK</v>
      </c>
      <c r="R28" s="1" t="str">
        <f>IF(AND(NOT(ISBLANK(po_master[[#This Row],[GR Quantity]])), po_master[[#This Row],[GR Quantity]]&lt;&gt;po_master[[#This Row],[PO Quantity]]), "Qty Variance", "OK")</f>
        <v>OK</v>
      </c>
      <c r="S28" s="1" t="str">
        <f>IF(po_master[[#This Row],[Invoice Unit Price]]&gt;po_master[[#This Row],[PO Unit Price]]*1.01, "Price Variance", "OK")</f>
        <v>OK</v>
      </c>
      <c r="T28" s="1" t="str">
        <f>IF(po_master[[#This Row],[Actual Delivery Date]]&gt;po_master[[#This Row],[Promised Delivey Date]], "Late Delivery", "OK")</f>
        <v>Late Delivery</v>
      </c>
      <c r="U28" s="1" t="str">
        <f>IF(COUNTIF(po_master[PO Number],po_master[[#This Row],[PO Number]])&gt;1, "Duplicate Invoice", "OK")</f>
        <v>OK</v>
      </c>
    </row>
    <row r="29" spans="1:21" x14ac:dyDescent="0.25">
      <c r="A29" s="1" t="s">
        <v>30</v>
      </c>
      <c r="B29" s="1" t="s">
        <v>1471</v>
      </c>
      <c r="C29" s="2">
        <v>46158</v>
      </c>
      <c r="D29">
        <v>480</v>
      </c>
      <c r="E29">
        <v>5.1100000000000003</v>
      </c>
      <c r="F29" s="1" t="s">
        <v>1472</v>
      </c>
      <c r="G29" s="2">
        <v>46178</v>
      </c>
      <c r="H29">
        <v>480</v>
      </c>
      <c r="I29" s="2">
        <v>46179</v>
      </c>
      <c r="J29" s="1" t="s">
        <v>678</v>
      </c>
      <c r="K29">
        <v>480</v>
      </c>
      <c r="L29">
        <v>5.1100000000000003</v>
      </c>
      <c r="M29" s="2">
        <v>46187</v>
      </c>
      <c r="N29" t="str">
        <f>IF(po_master[[#This Row],[Approved By]]="", "Missing Approval", "OK")</f>
        <v>OK</v>
      </c>
      <c r="O29" t="str">
        <f>IF(ISBLANK(po_master[[#This Row],[GR Quantity]]), "No GR - Not received", "OK")</f>
        <v>OK</v>
      </c>
      <c r="P29" s="1" t="str">
        <f>IF(po_master[[#This Row],[Promised Delivey Date]]&lt;po_master[[#This Row],[Order Date]], "Invalid", "OK")</f>
        <v>OK</v>
      </c>
      <c r="Q29" s="1" t="str">
        <f>IF(ISBLANK(po_master[[#This Row],[Invoice Number]]), "No Invoice", "OK")</f>
        <v>OK</v>
      </c>
      <c r="R29" s="1" t="str">
        <f>IF(AND(NOT(ISBLANK(po_master[[#This Row],[GR Quantity]])), po_master[[#This Row],[GR Quantity]]&lt;&gt;po_master[[#This Row],[PO Quantity]]), "Qty Variance", "OK")</f>
        <v>OK</v>
      </c>
      <c r="S29" s="1" t="str">
        <f>IF(po_master[[#This Row],[Invoice Unit Price]]&gt;po_master[[#This Row],[PO Unit Price]]*1.01, "Price Variance", "OK")</f>
        <v>OK</v>
      </c>
      <c r="T29" s="1" t="str">
        <f>IF(po_master[[#This Row],[Actual Delivery Date]]&gt;po_master[[#This Row],[Promised Delivey Date]], "Late Delivery", "OK")</f>
        <v>Late Delivery</v>
      </c>
      <c r="U29" s="1" t="str">
        <f>IF(COUNTIF(po_master[PO Number],po_master[[#This Row],[PO Number]])&gt;1, "Duplicate Invoice", "OK")</f>
        <v>OK</v>
      </c>
    </row>
    <row r="30" spans="1:21" x14ac:dyDescent="0.25">
      <c r="A30" s="1" t="s">
        <v>31</v>
      </c>
      <c r="B30" s="1" t="s">
        <v>1473</v>
      </c>
      <c r="C30" s="2">
        <v>46051</v>
      </c>
      <c r="D30">
        <v>485</v>
      </c>
      <c r="E30">
        <v>75.78</v>
      </c>
      <c r="F30" s="1" t="s">
        <v>1474</v>
      </c>
      <c r="G30" s="2">
        <v>46063</v>
      </c>
      <c r="H30">
        <v>485</v>
      </c>
      <c r="I30" s="2">
        <v>46065</v>
      </c>
      <c r="J30" s="1" t="s">
        <v>679</v>
      </c>
      <c r="K30">
        <v>485</v>
      </c>
      <c r="L30">
        <v>75.78</v>
      </c>
      <c r="M30" s="2">
        <v>46065</v>
      </c>
      <c r="N30" t="str">
        <f>IF(po_master[[#This Row],[Approved By]]="", "Missing Approval", "OK")</f>
        <v>OK</v>
      </c>
      <c r="O30" t="str">
        <f>IF(ISBLANK(po_master[[#This Row],[GR Quantity]]), "No GR - Not received", "OK")</f>
        <v>OK</v>
      </c>
      <c r="P30" s="1" t="str">
        <f>IF(po_master[[#This Row],[Promised Delivey Date]]&lt;po_master[[#This Row],[Order Date]], "Invalid", "OK")</f>
        <v>OK</v>
      </c>
      <c r="Q30" s="1" t="str">
        <f>IF(ISBLANK(po_master[[#This Row],[Invoice Number]]), "No Invoice", "OK")</f>
        <v>OK</v>
      </c>
      <c r="R30" s="1" t="str">
        <f>IF(AND(NOT(ISBLANK(po_master[[#This Row],[GR Quantity]])), po_master[[#This Row],[GR Quantity]]&lt;&gt;po_master[[#This Row],[PO Quantity]]), "Qty Variance", "OK")</f>
        <v>OK</v>
      </c>
      <c r="S30" s="1" t="str">
        <f>IF(po_master[[#This Row],[Invoice Unit Price]]&gt;po_master[[#This Row],[PO Unit Price]]*1.01, "Price Variance", "OK")</f>
        <v>OK</v>
      </c>
      <c r="T30" s="1" t="str">
        <f>IF(po_master[[#This Row],[Actual Delivery Date]]&gt;po_master[[#This Row],[Promised Delivey Date]], "Late Delivery", "OK")</f>
        <v>Late Delivery</v>
      </c>
      <c r="U30" s="1" t="str">
        <f>IF(COUNTIF(po_master[PO Number],po_master[[#This Row],[PO Number]])&gt;1, "Duplicate Invoice", "OK")</f>
        <v>OK</v>
      </c>
    </row>
    <row r="31" spans="1:21" x14ac:dyDescent="0.25">
      <c r="A31" s="1" t="s">
        <v>32</v>
      </c>
      <c r="B31" s="1" t="s">
        <v>1475</v>
      </c>
      <c r="C31" s="2">
        <v>46084</v>
      </c>
      <c r="D31">
        <v>459</v>
      </c>
      <c r="E31">
        <v>115.63</v>
      </c>
      <c r="F31" s="1" t="s">
        <v>1476</v>
      </c>
      <c r="G31" s="2">
        <v>46091</v>
      </c>
      <c r="H31">
        <v>459</v>
      </c>
      <c r="I31" s="2">
        <v>46091</v>
      </c>
      <c r="J31" s="1" t="s">
        <v>680</v>
      </c>
      <c r="K31">
        <v>459</v>
      </c>
      <c r="L31">
        <v>115.63</v>
      </c>
      <c r="M31" s="2">
        <v>46094</v>
      </c>
      <c r="N31" t="str">
        <f>IF(po_master[[#This Row],[Approved By]]="", "Missing Approval", "OK")</f>
        <v>OK</v>
      </c>
      <c r="O31" t="str">
        <f>IF(ISBLANK(po_master[[#This Row],[GR Quantity]]), "No GR - Not received", "OK")</f>
        <v>OK</v>
      </c>
      <c r="P31" s="1" t="str">
        <f>IF(po_master[[#This Row],[Promised Delivey Date]]&lt;po_master[[#This Row],[Order Date]], "Invalid", "OK")</f>
        <v>OK</v>
      </c>
      <c r="Q31" s="1" t="str">
        <f>IF(ISBLANK(po_master[[#This Row],[Invoice Number]]), "No Invoice", "OK")</f>
        <v>OK</v>
      </c>
      <c r="R31" s="1" t="str">
        <f>IF(AND(NOT(ISBLANK(po_master[[#This Row],[GR Quantity]])), po_master[[#This Row],[GR Quantity]]&lt;&gt;po_master[[#This Row],[PO Quantity]]), "Qty Variance", "OK")</f>
        <v>OK</v>
      </c>
      <c r="S31" s="1" t="str">
        <f>IF(po_master[[#This Row],[Invoice Unit Price]]&gt;po_master[[#This Row],[PO Unit Price]]*1.01, "Price Variance", "OK")</f>
        <v>OK</v>
      </c>
      <c r="T31" s="1" t="str">
        <f>IF(po_master[[#This Row],[Actual Delivery Date]]&gt;po_master[[#This Row],[Promised Delivey Date]], "Late Delivery", "OK")</f>
        <v>OK</v>
      </c>
      <c r="U31" s="1" t="str">
        <f>IF(COUNTIF(po_master[PO Number],po_master[[#This Row],[PO Number]])&gt;1, "Duplicate Invoice", "OK")</f>
        <v>OK</v>
      </c>
    </row>
    <row r="32" spans="1:21" x14ac:dyDescent="0.25">
      <c r="A32" s="1" t="s">
        <v>33</v>
      </c>
      <c r="B32" s="1" t="s">
        <v>1477</v>
      </c>
      <c r="C32" s="2">
        <v>46147</v>
      </c>
      <c r="D32">
        <v>427</v>
      </c>
      <c r="E32">
        <v>18.5</v>
      </c>
      <c r="F32" s="1" t="s">
        <v>1456</v>
      </c>
      <c r="G32" s="2">
        <v>46156</v>
      </c>
      <c r="H32">
        <v>427</v>
      </c>
      <c r="I32" s="2">
        <v>46154</v>
      </c>
      <c r="J32" s="1" t="s">
        <v>681</v>
      </c>
      <c r="K32">
        <v>427</v>
      </c>
      <c r="L32">
        <v>18.5</v>
      </c>
      <c r="M32" s="2">
        <v>46161</v>
      </c>
      <c r="N32" t="str">
        <f>IF(po_master[[#This Row],[Approved By]]="", "Missing Approval", "OK")</f>
        <v>OK</v>
      </c>
      <c r="O32" t="str">
        <f>IF(ISBLANK(po_master[[#This Row],[GR Quantity]]), "No GR - Not received", "OK")</f>
        <v>OK</v>
      </c>
      <c r="P32" s="1" t="str">
        <f>IF(po_master[[#This Row],[Promised Delivey Date]]&lt;po_master[[#This Row],[Order Date]], "Invalid", "OK")</f>
        <v>OK</v>
      </c>
      <c r="Q32" s="1" t="str">
        <f>IF(ISBLANK(po_master[[#This Row],[Invoice Number]]), "No Invoice", "OK")</f>
        <v>OK</v>
      </c>
      <c r="R32" s="1" t="str">
        <f>IF(AND(NOT(ISBLANK(po_master[[#This Row],[GR Quantity]])), po_master[[#This Row],[GR Quantity]]&lt;&gt;po_master[[#This Row],[PO Quantity]]), "Qty Variance", "OK")</f>
        <v>OK</v>
      </c>
      <c r="S32" s="1" t="str">
        <f>IF(po_master[[#This Row],[Invoice Unit Price]]&gt;po_master[[#This Row],[PO Unit Price]]*1.01, "Price Variance", "OK")</f>
        <v>OK</v>
      </c>
      <c r="T32" s="1" t="str">
        <f>IF(po_master[[#This Row],[Actual Delivery Date]]&gt;po_master[[#This Row],[Promised Delivey Date]], "Late Delivery", "OK")</f>
        <v>OK</v>
      </c>
      <c r="U32" s="1" t="str">
        <f>IF(COUNTIF(po_master[PO Number],po_master[[#This Row],[PO Number]])&gt;1, "Duplicate Invoice", "OK")</f>
        <v>OK</v>
      </c>
    </row>
    <row r="33" spans="1:21" x14ac:dyDescent="0.25">
      <c r="A33" s="1" t="s">
        <v>34</v>
      </c>
      <c r="B33" s="1" t="s">
        <v>1441</v>
      </c>
      <c r="C33" s="2">
        <v>46144</v>
      </c>
      <c r="D33">
        <v>494</v>
      </c>
      <c r="E33">
        <v>112.21</v>
      </c>
      <c r="F33" s="1" t="s">
        <v>1458</v>
      </c>
      <c r="G33" s="2">
        <v>46165</v>
      </c>
      <c r="H33">
        <v>494</v>
      </c>
      <c r="I33" s="2">
        <v>46182</v>
      </c>
      <c r="J33" s="1" t="s">
        <v>682</v>
      </c>
      <c r="K33">
        <v>494</v>
      </c>
      <c r="L33">
        <v>112.21</v>
      </c>
      <c r="M33" s="2">
        <v>46170</v>
      </c>
      <c r="N33" t="str">
        <f>IF(po_master[[#This Row],[Approved By]]="", "Missing Approval", "OK")</f>
        <v>OK</v>
      </c>
      <c r="O33" t="str">
        <f>IF(ISBLANK(po_master[[#This Row],[GR Quantity]]), "No GR - Not received", "OK")</f>
        <v>OK</v>
      </c>
      <c r="P33" s="1" t="str">
        <f>IF(po_master[[#This Row],[Promised Delivey Date]]&lt;po_master[[#This Row],[Order Date]], "Invalid", "OK")</f>
        <v>OK</v>
      </c>
      <c r="Q33" s="1" t="str">
        <f>IF(ISBLANK(po_master[[#This Row],[Invoice Number]]), "No Invoice", "OK")</f>
        <v>OK</v>
      </c>
      <c r="R33" s="1" t="str">
        <f>IF(AND(NOT(ISBLANK(po_master[[#This Row],[GR Quantity]])), po_master[[#This Row],[GR Quantity]]&lt;&gt;po_master[[#This Row],[PO Quantity]]), "Qty Variance", "OK")</f>
        <v>OK</v>
      </c>
      <c r="S33" s="1" t="str">
        <f>IF(po_master[[#This Row],[Invoice Unit Price]]&gt;po_master[[#This Row],[PO Unit Price]]*1.01, "Price Variance", "OK")</f>
        <v>OK</v>
      </c>
      <c r="T33" s="1" t="str">
        <f>IF(po_master[[#This Row],[Actual Delivery Date]]&gt;po_master[[#This Row],[Promised Delivey Date]], "Late Delivery", "OK")</f>
        <v>Late Delivery</v>
      </c>
      <c r="U33" s="1" t="str">
        <f>IF(COUNTIF(po_master[PO Number],po_master[[#This Row],[PO Number]])&gt;1, "Duplicate Invoice", "OK")</f>
        <v>OK</v>
      </c>
    </row>
    <row r="34" spans="1:21" x14ac:dyDescent="0.25">
      <c r="A34" s="1" t="s">
        <v>35</v>
      </c>
      <c r="B34" s="1" t="s">
        <v>1468</v>
      </c>
      <c r="C34" s="2">
        <v>46131</v>
      </c>
      <c r="D34">
        <v>118</v>
      </c>
      <c r="E34">
        <v>186.14</v>
      </c>
      <c r="F34" s="1" t="s">
        <v>1456</v>
      </c>
      <c r="G34" s="2">
        <v>46142</v>
      </c>
      <c r="H34">
        <v>118</v>
      </c>
      <c r="I34" s="2">
        <v>46144</v>
      </c>
      <c r="J34" s="1" t="s">
        <v>683</v>
      </c>
      <c r="K34">
        <v>118</v>
      </c>
      <c r="L34">
        <v>186.14</v>
      </c>
      <c r="M34" s="2">
        <v>46143</v>
      </c>
      <c r="N34" t="str">
        <f>IF(po_master[[#This Row],[Approved By]]="", "Missing Approval", "OK")</f>
        <v>OK</v>
      </c>
      <c r="O34" t="str">
        <f>IF(ISBLANK(po_master[[#This Row],[GR Quantity]]), "No GR - Not received", "OK")</f>
        <v>OK</v>
      </c>
      <c r="P34" s="1" t="str">
        <f>IF(po_master[[#This Row],[Promised Delivey Date]]&lt;po_master[[#This Row],[Order Date]], "Invalid", "OK")</f>
        <v>OK</v>
      </c>
      <c r="Q34" s="1" t="str">
        <f>IF(ISBLANK(po_master[[#This Row],[Invoice Number]]), "No Invoice", "OK")</f>
        <v>OK</v>
      </c>
      <c r="R34" s="1" t="str">
        <f>IF(AND(NOT(ISBLANK(po_master[[#This Row],[GR Quantity]])), po_master[[#This Row],[GR Quantity]]&lt;&gt;po_master[[#This Row],[PO Quantity]]), "Qty Variance", "OK")</f>
        <v>OK</v>
      </c>
      <c r="S34" s="1" t="str">
        <f>IF(po_master[[#This Row],[Invoice Unit Price]]&gt;po_master[[#This Row],[PO Unit Price]]*1.01, "Price Variance", "OK")</f>
        <v>OK</v>
      </c>
      <c r="T34" s="1" t="str">
        <f>IF(po_master[[#This Row],[Actual Delivery Date]]&gt;po_master[[#This Row],[Promised Delivey Date]], "Late Delivery", "OK")</f>
        <v>Late Delivery</v>
      </c>
      <c r="U34" s="1" t="str">
        <f>IF(COUNTIF(po_master[PO Number],po_master[[#This Row],[PO Number]])&gt;1, "Duplicate Invoice", "OK")</f>
        <v>OK</v>
      </c>
    </row>
    <row r="35" spans="1:21" x14ac:dyDescent="0.25">
      <c r="A35" s="1" t="s">
        <v>36</v>
      </c>
      <c r="B35" s="1" t="s">
        <v>1455</v>
      </c>
      <c r="C35" s="2">
        <v>46102</v>
      </c>
      <c r="D35">
        <v>214</v>
      </c>
      <c r="E35">
        <v>199.05</v>
      </c>
      <c r="F35" s="1" t="s">
        <v>1446</v>
      </c>
      <c r="G35" s="2">
        <v>46118</v>
      </c>
      <c r="H35">
        <v>214</v>
      </c>
      <c r="I35" s="2">
        <v>46116</v>
      </c>
      <c r="J35" s="1" t="s">
        <v>684</v>
      </c>
      <c r="K35">
        <v>214</v>
      </c>
      <c r="L35">
        <v>199.05</v>
      </c>
      <c r="M35" s="2">
        <v>46125</v>
      </c>
      <c r="N35" t="str">
        <f>IF(po_master[[#This Row],[Approved By]]="", "Missing Approval", "OK")</f>
        <v>OK</v>
      </c>
      <c r="O35" t="str">
        <f>IF(ISBLANK(po_master[[#This Row],[GR Quantity]]), "No GR - Not received", "OK")</f>
        <v>OK</v>
      </c>
      <c r="P35" s="1" t="str">
        <f>IF(po_master[[#This Row],[Promised Delivey Date]]&lt;po_master[[#This Row],[Order Date]], "Invalid", "OK")</f>
        <v>OK</v>
      </c>
      <c r="Q35" s="1" t="str">
        <f>IF(ISBLANK(po_master[[#This Row],[Invoice Number]]), "No Invoice", "OK")</f>
        <v>OK</v>
      </c>
      <c r="R35" s="1" t="str">
        <f>IF(AND(NOT(ISBLANK(po_master[[#This Row],[GR Quantity]])), po_master[[#This Row],[GR Quantity]]&lt;&gt;po_master[[#This Row],[PO Quantity]]), "Qty Variance", "OK")</f>
        <v>OK</v>
      </c>
      <c r="S35" s="1" t="str">
        <f>IF(po_master[[#This Row],[Invoice Unit Price]]&gt;po_master[[#This Row],[PO Unit Price]]*1.01, "Price Variance", "OK")</f>
        <v>OK</v>
      </c>
      <c r="T35" s="1" t="str">
        <f>IF(po_master[[#This Row],[Actual Delivery Date]]&gt;po_master[[#This Row],[Promised Delivey Date]], "Late Delivery", "OK")</f>
        <v>OK</v>
      </c>
      <c r="U35" s="1" t="str">
        <f>IF(COUNTIF(po_master[PO Number],po_master[[#This Row],[PO Number]])&gt;1, "Duplicate Invoice", "OK")</f>
        <v>OK</v>
      </c>
    </row>
    <row r="36" spans="1:21" x14ac:dyDescent="0.25">
      <c r="A36" s="1" t="s">
        <v>37</v>
      </c>
      <c r="B36" s="1" t="s">
        <v>1478</v>
      </c>
      <c r="C36" s="2">
        <v>46155</v>
      </c>
      <c r="D36">
        <v>241</v>
      </c>
      <c r="E36">
        <v>28.6</v>
      </c>
      <c r="F36" s="1" t="s">
        <v>1440</v>
      </c>
      <c r="G36" s="2">
        <v>46162</v>
      </c>
      <c r="H36">
        <v>241</v>
      </c>
      <c r="I36" s="2">
        <v>46164</v>
      </c>
      <c r="J36" s="1" t="s">
        <v>685</v>
      </c>
      <c r="K36">
        <v>241</v>
      </c>
      <c r="L36">
        <v>28.6</v>
      </c>
      <c r="M36" s="2">
        <v>46172</v>
      </c>
      <c r="N36" t="str">
        <f>IF(po_master[[#This Row],[Approved By]]="", "Missing Approval", "OK")</f>
        <v>OK</v>
      </c>
      <c r="O36" t="str">
        <f>IF(ISBLANK(po_master[[#This Row],[GR Quantity]]), "No GR - Not received", "OK")</f>
        <v>OK</v>
      </c>
      <c r="P36" s="1" t="str">
        <f>IF(po_master[[#This Row],[Promised Delivey Date]]&lt;po_master[[#This Row],[Order Date]], "Invalid", "OK")</f>
        <v>OK</v>
      </c>
      <c r="Q36" s="1" t="str">
        <f>IF(ISBLANK(po_master[[#This Row],[Invoice Number]]), "No Invoice", "OK")</f>
        <v>OK</v>
      </c>
      <c r="R36" s="1" t="str">
        <f>IF(AND(NOT(ISBLANK(po_master[[#This Row],[GR Quantity]])), po_master[[#This Row],[GR Quantity]]&lt;&gt;po_master[[#This Row],[PO Quantity]]), "Qty Variance", "OK")</f>
        <v>OK</v>
      </c>
      <c r="S36" s="1" t="str">
        <f>IF(po_master[[#This Row],[Invoice Unit Price]]&gt;po_master[[#This Row],[PO Unit Price]]*1.01, "Price Variance", "OK")</f>
        <v>OK</v>
      </c>
      <c r="T36" s="1" t="str">
        <f>IF(po_master[[#This Row],[Actual Delivery Date]]&gt;po_master[[#This Row],[Promised Delivey Date]], "Late Delivery", "OK")</f>
        <v>Late Delivery</v>
      </c>
      <c r="U36" s="1" t="str">
        <f>IF(COUNTIF(po_master[PO Number],po_master[[#This Row],[PO Number]])&gt;1, "Duplicate Invoice", "OK")</f>
        <v>OK</v>
      </c>
    </row>
    <row r="37" spans="1:21" x14ac:dyDescent="0.25">
      <c r="A37" s="1" t="s">
        <v>686</v>
      </c>
      <c r="B37" s="1" t="s">
        <v>1479</v>
      </c>
      <c r="C37" s="2">
        <v>46028</v>
      </c>
      <c r="D37">
        <v>311</v>
      </c>
      <c r="E37">
        <v>113.01</v>
      </c>
      <c r="F37" s="1" t="s">
        <v>1480</v>
      </c>
      <c r="G37" s="2">
        <v>46040</v>
      </c>
      <c r="I37" s="2"/>
      <c r="J37" s="1" t="s">
        <v>687</v>
      </c>
      <c r="K37">
        <v>311</v>
      </c>
      <c r="L37">
        <v>113.01</v>
      </c>
      <c r="M37" s="2">
        <v>46050</v>
      </c>
      <c r="N37" t="str">
        <f>IF(po_master[[#This Row],[Approved By]]="", "Missing Approval", "OK")</f>
        <v>OK</v>
      </c>
      <c r="O37" t="str">
        <f>IF(ISBLANK(po_master[[#This Row],[GR Quantity]]), "No GR - Not received", "OK")</f>
        <v>No GR - Not received</v>
      </c>
      <c r="P37" s="1" t="str">
        <f>IF(po_master[[#This Row],[Promised Delivey Date]]&lt;po_master[[#This Row],[Order Date]], "Invalid", "OK")</f>
        <v>OK</v>
      </c>
      <c r="Q37" s="1" t="str">
        <f>IF(ISBLANK(po_master[[#This Row],[Invoice Number]]), "No Invoice", "OK")</f>
        <v>OK</v>
      </c>
      <c r="R37" s="1" t="str">
        <f>IF(AND(NOT(ISBLANK(po_master[[#This Row],[GR Quantity]])), po_master[[#This Row],[GR Quantity]]&lt;&gt;po_master[[#This Row],[PO Quantity]]), "Qty Variance", "OK")</f>
        <v>OK</v>
      </c>
      <c r="S37" s="1" t="str">
        <f>IF(po_master[[#This Row],[Invoice Unit Price]]&gt;po_master[[#This Row],[PO Unit Price]]*1.01, "Price Variance", "OK")</f>
        <v>OK</v>
      </c>
      <c r="T37" s="1" t="str">
        <f>IF(po_master[[#This Row],[Actual Delivery Date]]&gt;po_master[[#This Row],[Promised Delivey Date]], "Late Delivery", "OK")</f>
        <v>OK</v>
      </c>
      <c r="U37" s="1" t="str">
        <f>IF(COUNTIF(po_master[PO Number],po_master[[#This Row],[PO Number]])&gt;1, "Duplicate Invoice", "OK")</f>
        <v>OK</v>
      </c>
    </row>
    <row r="38" spans="1:21" x14ac:dyDescent="0.25">
      <c r="A38" s="1" t="s">
        <v>38</v>
      </c>
      <c r="B38" s="1" t="s">
        <v>1481</v>
      </c>
      <c r="C38" s="2">
        <v>46041</v>
      </c>
      <c r="D38">
        <v>372</v>
      </c>
      <c r="E38">
        <v>128.07</v>
      </c>
      <c r="F38" s="1" t="s">
        <v>1440</v>
      </c>
      <c r="G38" s="2">
        <v>46048</v>
      </c>
      <c r="H38">
        <v>372</v>
      </c>
      <c r="I38" s="2">
        <v>46046</v>
      </c>
      <c r="J38" s="1" t="s">
        <v>688</v>
      </c>
      <c r="K38">
        <v>372</v>
      </c>
      <c r="L38">
        <v>128.07</v>
      </c>
      <c r="M38" s="2">
        <v>46050</v>
      </c>
      <c r="N38" t="str">
        <f>IF(po_master[[#This Row],[Approved By]]="", "Missing Approval", "OK")</f>
        <v>OK</v>
      </c>
      <c r="O38" t="str">
        <f>IF(ISBLANK(po_master[[#This Row],[GR Quantity]]), "No GR - Not received", "OK")</f>
        <v>OK</v>
      </c>
      <c r="P38" s="1" t="str">
        <f>IF(po_master[[#This Row],[Promised Delivey Date]]&lt;po_master[[#This Row],[Order Date]], "Invalid", "OK")</f>
        <v>OK</v>
      </c>
      <c r="Q38" s="1" t="str">
        <f>IF(ISBLANK(po_master[[#This Row],[Invoice Number]]), "No Invoice", "OK")</f>
        <v>OK</v>
      </c>
      <c r="R38" s="1" t="str">
        <f>IF(AND(NOT(ISBLANK(po_master[[#This Row],[GR Quantity]])), po_master[[#This Row],[GR Quantity]]&lt;&gt;po_master[[#This Row],[PO Quantity]]), "Qty Variance", "OK")</f>
        <v>OK</v>
      </c>
      <c r="S38" s="1" t="str">
        <f>IF(po_master[[#This Row],[Invoice Unit Price]]&gt;po_master[[#This Row],[PO Unit Price]]*1.01, "Price Variance", "OK")</f>
        <v>OK</v>
      </c>
      <c r="T38" s="1" t="str">
        <f>IF(po_master[[#This Row],[Actual Delivery Date]]&gt;po_master[[#This Row],[Promised Delivey Date]], "Late Delivery", "OK")</f>
        <v>OK</v>
      </c>
      <c r="U38" s="1" t="str">
        <f>IF(COUNTIF(po_master[PO Number],po_master[[#This Row],[PO Number]])&gt;1, "Duplicate Invoice", "OK")</f>
        <v>OK</v>
      </c>
    </row>
    <row r="39" spans="1:21" x14ac:dyDescent="0.25">
      <c r="A39" s="1" t="s">
        <v>39</v>
      </c>
      <c r="B39" s="1" t="s">
        <v>1452</v>
      </c>
      <c r="C39" s="2">
        <v>46107</v>
      </c>
      <c r="D39">
        <v>46</v>
      </c>
      <c r="E39">
        <v>105.26</v>
      </c>
      <c r="F39" s="1" t="s">
        <v>1458</v>
      </c>
      <c r="G39" s="2">
        <v>46127</v>
      </c>
      <c r="H39">
        <v>46</v>
      </c>
      <c r="I39" s="2">
        <v>46129</v>
      </c>
      <c r="J39" s="1" t="s">
        <v>689</v>
      </c>
      <c r="K39">
        <v>46</v>
      </c>
      <c r="L39">
        <v>105.26</v>
      </c>
      <c r="M39" s="2">
        <v>46130</v>
      </c>
      <c r="N39" t="str">
        <f>IF(po_master[[#This Row],[Approved By]]="", "Missing Approval", "OK")</f>
        <v>OK</v>
      </c>
      <c r="O39" t="str">
        <f>IF(ISBLANK(po_master[[#This Row],[GR Quantity]]), "No GR - Not received", "OK")</f>
        <v>OK</v>
      </c>
      <c r="P39" s="1" t="str">
        <f>IF(po_master[[#This Row],[Promised Delivey Date]]&lt;po_master[[#This Row],[Order Date]], "Invalid", "OK")</f>
        <v>OK</v>
      </c>
      <c r="Q39" s="1" t="str">
        <f>IF(ISBLANK(po_master[[#This Row],[Invoice Number]]), "No Invoice", "OK")</f>
        <v>OK</v>
      </c>
      <c r="R39" s="1" t="str">
        <f>IF(AND(NOT(ISBLANK(po_master[[#This Row],[GR Quantity]])), po_master[[#This Row],[GR Quantity]]&lt;&gt;po_master[[#This Row],[PO Quantity]]), "Qty Variance", "OK")</f>
        <v>OK</v>
      </c>
      <c r="S39" s="1" t="str">
        <f>IF(po_master[[#This Row],[Invoice Unit Price]]&gt;po_master[[#This Row],[PO Unit Price]]*1.01, "Price Variance", "OK")</f>
        <v>OK</v>
      </c>
      <c r="T39" s="1" t="str">
        <f>IF(po_master[[#This Row],[Actual Delivery Date]]&gt;po_master[[#This Row],[Promised Delivey Date]], "Late Delivery", "OK")</f>
        <v>Late Delivery</v>
      </c>
      <c r="U39" s="1" t="str">
        <f>IF(COUNTIF(po_master[PO Number],po_master[[#This Row],[PO Number]])&gt;1, "Duplicate Invoice", "OK")</f>
        <v>OK</v>
      </c>
    </row>
    <row r="40" spans="1:21" x14ac:dyDescent="0.25">
      <c r="A40" s="1" t="s">
        <v>40</v>
      </c>
      <c r="B40" s="1" t="s">
        <v>1463</v>
      </c>
      <c r="C40" s="2">
        <v>46161</v>
      </c>
      <c r="D40">
        <v>77</v>
      </c>
      <c r="E40">
        <v>146.05000000000001</v>
      </c>
      <c r="F40" s="1" t="s">
        <v>1480</v>
      </c>
      <c r="G40" s="2">
        <v>46181</v>
      </c>
      <c r="H40">
        <v>61</v>
      </c>
      <c r="I40" s="2">
        <v>46195</v>
      </c>
      <c r="J40" s="1" t="s">
        <v>690</v>
      </c>
      <c r="K40">
        <v>77</v>
      </c>
      <c r="L40">
        <v>162.47</v>
      </c>
      <c r="M40" s="2">
        <v>46186</v>
      </c>
      <c r="N40" t="str">
        <f>IF(po_master[[#This Row],[Approved By]]="", "Missing Approval", "OK")</f>
        <v>OK</v>
      </c>
      <c r="O40" t="str">
        <f>IF(ISBLANK(po_master[[#This Row],[GR Quantity]]), "No GR - Not received", "OK")</f>
        <v>OK</v>
      </c>
      <c r="P40" s="1" t="str">
        <f>IF(po_master[[#This Row],[Promised Delivey Date]]&lt;po_master[[#This Row],[Order Date]], "Invalid", "OK")</f>
        <v>OK</v>
      </c>
      <c r="Q40" s="1" t="str">
        <f>IF(ISBLANK(po_master[[#This Row],[Invoice Number]]), "No Invoice", "OK")</f>
        <v>OK</v>
      </c>
      <c r="R40" s="1" t="str">
        <f>IF(AND(NOT(ISBLANK(po_master[[#This Row],[GR Quantity]])), po_master[[#This Row],[GR Quantity]]&lt;&gt;po_master[[#This Row],[PO Quantity]]), "Qty Variance", "OK")</f>
        <v>Qty Variance</v>
      </c>
      <c r="S40" s="1" t="str">
        <f>IF(po_master[[#This Row],[Invoice Unit Price]]&gt;po_master[[#This Row],[PO Unit Price]]*1.01, "Price Variance", "OK")</f>
        <v>Price Variance</v>
      </c>
      <c r="T40" s="1" t="str">
        <f>IF(po_master[[#This Row],[Actual Delivery Date]]&gt;po_master[[#This Row],[Promised Delivey Date]], "Late Delivery", "OK")</f>
        <v>Late Delivery</v>
      </c>
      <c r="U40" s="1" t="str">
        <f>IF(COUNTIF(po_master[PO Number],po_master[[#This Row],[PO Number]])&gt;1, "Duplicate Invoice", "OK")</f>
        <v>OK</v>
      </c>
    </row>
    <row r="41" spans="1:21" x14ac:dyDescent="0.25">
      <c r="A41" s="1" t="s">
        <v>41</v>
      </c>
      <c r="B41" s="1" t="s">
        <v>1482</v>
      </c>
      <c r="C41" s="2">
        <v>46144</v>
      </c>
      <c r="D41">
        <v>423</v>
      </c>
      <c r="E41">
        <v>84.38</v>
      </c>
      <c r="F41" s="1" t="s">
        <v>1483</v>
      </c>
      <c r="G41" s="2">
        <v>46152</v>
      </c>
      <c r="H41">
        <v>423</v>
      </c>
      <c r="I41" s="2">
        <v>46154</v>
      </c>
      <c r="J41" s="1" t="s">
        <v>691</v>
      </c>
      <c r="K41">
        <v>423</v>
      </c>
      <c r="L41">
        <v>84.38</v>
      </c>
      <c r="M41" s="2">
        <v>46160</v>
      </c>
      <c r="N41" t="str">
        <f>IF(po_master[[#This Row],[Approved By]]="", "Missing Approval", "OK")</f>
        <v>OK</v>
      </c>
      <c r="O41" t="str">
        <f>IF(ISBLANK(po_master[[#This Row],[GR Quantity]]), "No GR - Not received", "OK")</f>
        <v>OK</v>
      </c>
      <c r="P41" s="1" t="str">
        <f>IF(po_master[[#This Row],[Promised Delivey Date]]&lt;po_master[[#This Row],[Order Date]], "Invalid", "OK")</f>
        <v>OK</v>
      </c>
      <c r="Q41" s="1" t="str">
        <f>IF(ISBLANK(po_master[[#This Row],[Invoice Number]]), "No Invoice", "OK")</f>
        <v>OK</v>
      </c>
      <c r="R41" s="1" t="str">
        <f>IF(AND(NOT(ISBLANK(po_master[[#This Row],[GR Quantity]])), po_master[[#This Row],[GR Quantity]]&lt;&gt;po_master[[#This Row],[PO Quantity]]), "Qty Variance", "OK")</f>
        <v>OK</v>
      </c>
      <c r="S41" s="1" t="str">
        <f>IF(po_master[[#This Row],[Invoice Unit Price]]&gt;po_master[[#This Row],[PO Unit Price]]*1.01, "Price Variance", "OK")</f>
        <v>OK</v>
      </c>
      <c r="T41" s="1" t="str">
        <f>IF(po_master[[#This Row],[Actual Delivery Date]]&gt;po_master[[#This Row],[Promised Delivey Date]], "Late Delivery", "OK")</f>
        <v>Late Delivery</v>
      </c>
      <c r="U41" s="1" t="str">
        <f>IF(COUNTIF(po_master[PO Number],po_master[[#This Row],[PO Number]])&gt;1, "Duplicate Invoice", "OK")</f>
        <v>OK</v>
      </c>
    </row>
    <row r="42" spans="1:21" x14ac:dyDescent="0.25">
      <c r="A42" s="1" t="s">
        <v>42</v>
      </c>
      <c r="B42" s="1" t="s">
        <v>1484</v>
      </c>
      <c r="C42" s="2">
        <v>46133</v>
      </c>
      <c r="D42">
        <v>191</v>
      </c>
      <c r="E42">
        <v>87.6</v>
      </c>
      <c r="F42" s="1" t="s">
        <v>1469</v>
      </c>
      <c r="G42" s="2">
        <v>46139</v>
      </c>
      <c r="H42">
        <v>191</v>
      </c>
      <c r="I42" s="2">
        <v>46137</v>
      </c>
      <c r="J42" s="1" t="s">
        <v>692</v>
      </c>
      <c r="K42">
        <v>191</v>
      </c>
      <c r="L42">
        <v>87.6</v>
      </c>
      <c r="M42" s="2">
        <v>46142</v>
      </c>
      <c r="N42" t="str">
        <f>IF(po_master[[#This Row],[Approved By]]="", "Missing Approval", "OK")</f>
        <v>OK</v>
      </c>
      <c r="O42" t="str">
        <f>IF(ISBLANK(po_master[[#This Row],[GR Quantity]]), "No GR - Not received", "OK")</f>
        <v>OK</v>
      </c>
      <c r="P42" s="1" t="str">
        <f>IF(po_master[[#This Row],[Promised Delivey Date]]&lt;po_master[[#This Row],[Order Date]], "Invalid", "OK")</f>
        <v>OK</v>
      </c>
      <c r="Q42" s="1" t="str">
        <f>IF(ISBLANK(po_master[[#This Row],[Invoice Number]]), "No Invoice", "OK")</f>
        <v>OK</v>
      </c>
      <c r="R42" s="1" t="str">
        <f>IF(AND(NOT(ISBLANK(po_master[[#This Row],[GR Quantity]])), po_master[[#This Row],[GR Quantity]]&lt;&gt;po_master[[#This Row],[PO Quantity]]), "Qty Variance", "OK")</f>
        <v>OK</v>
      </c>
      <c r="S42" s="1" t="str">
        <f>IF(po_master[[#This Row],[Invoice Unit Price]]&gt;po_master[[#This Row],[PO Unit Price]]*1.01, "Price Variance", "OK")</f>
        <v>OK</v>
      </c>
      <c r="T42" s="1" t="str">
        <f>IF(po_master[[#This Row],[Actual Delivery Date]]&gt;po_master[[#This Row],[Promised Delivey Date]], "Late Delivery", "OK")</f>
        <v>OK</v>
      </c>
      <c r="U42" s="1" t="str">
        <f>IF(COUNTIF(po_master[PO Number],po_master[[#This Row],[PO Number]])&gt;1, "Duplicate Invoice", "OK")</f>
        <v>OK</v>
      </c>
    </row>
    <row r="43" spans="1:21" x14ac:dyDescent="0.25">
      <c r="A43" s="1" t="s">
        <v>43</v>
      </c>
      <c r="B43" s="1" t="s">
        <v>1461</v>
      </c>
      <c r="C43" s="2">
        <v>46048</v>
      </c>
      <c r="D43">
        <v>41</v>
      </c>
      <c r="E43">
        <v>83.51</v>
      </c>
      <c r="F43" s="1" t="s">
        <v>1472</v>
      </c>
      <c r="G43" s="2">
        <v>46056</v>
      </c>
      <c r="H43">
        <v>41</v>
      </c>
      <c r="I43" s="2">
        <v>46054</v>
      </c>
      <c r="J43" s="1" t="s">
        <v>693</v>
      </c>
      <c r="K43">
        <v>41</v>
      </c>
      <c r="L43">
        <v>99.99</v>
      </c>
      <c r="M43" s="2">
        <v>46061</v>
      </c>
      <c r="N43" t="str">
        <f>IF(po_master[[#This Row],[Approved By]]="", "Missing Approval", "OK")</f>
        <v>OK</v>
      </c>
      <c r="O43" t="str">
        <f>IF(ISBLANK(po_master[[#This Row],[GR Quantity]]), "No GR - Not received", "OK")</f>
        <v>OK</v>
      </c>
      <c r="P43" s="1" t="str">
        <f>IF(po_master[[#This Row],[Promised Delivey Date]]&lt;po_master[[#This Row],[Order Date]], "Invalid", "OK")</f>
        <v>OK</v>
      </c>
      <c r="Q43" s="1" t="str">
        <f>IF(ISBLANK(po_master[[#This Row],[Invoice Number]]), "No Invoice", "OK")</f>
        <v>OK</v>
      </c>
      <c r="R43" s="1" t="str">
        <f>IF(AND(NOT(ISBLANK(po_master[[#This Row],[GR Quantity]])), po_master[[#This Row],[GR Quantity]]&lt;&gt;po_master[[#This Row],[PO Quantity]]), "Qty Variance", "OK")</f>
        <v>OK</v>
      </c>
      <c r="S43" s="1" t="str">
        <f>IF(po_master[[#This Row],[Invoice Unit Price]]&gt;po_master[[#This Row],[PO Unit Price]]*1.01, "Price Variance", "OK")</f>
        <v>Price Variance</v>
      </c>
      <c r="T43" s="1" t="str">
        <f>IF(po_master[[#This Row],[Actual Delivery Date]]&gt;po_master[[#This Row],[Promised Delivey Date]], "Late Delivery", "OK")</f>
        <v>OK</v>
      </c>
      <c r="U43" s="1" t="str">
        <f>IF(COUNTIF(po_master[PO Number],po_master[[#This Row],[PO Number]])&gt;1, "Duplicate Invoice", "OK")</f>
        <v>OK</v>
      </c>
    </row>
    <row r="44" spans="1:21" x14ac:dyDescent="0.25">
      <c r="A44" s="1" t="s">
        <v>44</v>
      </c>
      <c r="B44" s="1" t="s">
        <v>1482</v>
      </c>
      <c r="C44" s="2">
        <v>46072</v>
      </c>
      <c r="D44">
        <v>107</v>
      </c>
      <c r="E44">
        <v>109.58</v>
      </c>
      <c r="F44" s="1" t="s">
        <v>1485</v>
      </c>
      <c r="G44" s="2">
        <v>46090</v>
      </c>
      <c r="H44">
        <v>107</v>
      </c>
      <c r="I44" s="2">
        <v>46091</v>
      </c>
      <c r="J44" s="1" t="s">
        <v>694</v>
      </c>
      <c r="K44">
        <v>107</v>
      </c>
      <c r="L44">
        <v>109.58</v>
      </c>
      <c r="M44" s="2">
        <v>46099</v>
      </c>
      <c r="N44" t="str">
        <f>IF(po_master[[#This Row],[Approved By]]="", "Missing Approval", "OK")</f>
        <v>OK</v>
      </c>
      <c r="O44" t="str">
        <f>IF(ISBLANK(po_master[[#This Row],[GR Quantity]]), "No GR - Not received", "OK")</f>
        <v>OK</v>
      </c>
      <c r="P44" s="1" t="str">
        <f>IF(po_master[[#This Row],[Promised Delivey Date]]&lt;po_master[[#This Row],[Order Date]], "Invalid", "OK")</f>
        <v>OK</v>
      </c>
      <c r="Q44" s="1" t="str">
        <f>IF(ISBLANK(po_master[[#This Row],[Invoice Number]]), "No Invoice", "OK")</f>
        <v>OK</v>
      </c>
      <c r="R44" s="1" t="str">
        <f>IF(AND(NOT(ISBLANK(po_master[[#This Row],[GR Quantity]])), po_master[[#This Row],[GR Quantity]]&lt;&gt;po_master[[#This Row],[PO Quantity]]), "Qty Variance", "OK")</f>
        <v>OK</v>
      </c>
      <c r="S44" s="1" t="str">
        <f>IF(po_master[[#This Row],[Invoice Unit Price]]&gt;po_master[[#This Row],[PO Unit Price]]*1.01, "Price Variance", "OK")</f>
        <v>OK</v>
      </c>
      <c r="T44" s="1" t="str">
        <f>IF(po_master[[#This Row],[Actual Delivery Date]]&gt;po_master[[#This Row],[Promised Delivey Date]], "Late Delivery", "OK")</f>
        <v>Late Delivery</v>
      </c>
      <c r="U44" s="1" t="str">
        <f>IF(COUNTIF(po_master[PO Number],po_master[[#This Row],[PO Number]])&gt;1, "Duplicate Invoice", "OK")</f>
        <v>Duplicate Invoice</v>
      </c>
    </row>
    <row r="45" spans="1:21" x14ac:dyDescent="0.25">
      <c r="A45" s="1" t="s">
        <v>44</v>
      </c>
      <c r="B45" s="1" t="s">
        <v>1482</v>
      </c>
      <c r="C45" s="2">
        <v>46072</v>
      </c>
      <c r="D45">
        <v>107</v>
      </c>
      <c r="E45">
        <v>109.58</v>
      </c>
      <c r="F45" s="1" t="s">
        <v>1485</v>
      </c>
      <c r="G45" s="2">
        <v>46090</v>
      </c>
      <c r="H45">
        <v>107</v>
      </c>
      <c r="I45" s="2">
        <v>46091</v>
      </c>
      <c r="J45" s="1" t="s">
        <v>695</v>
      </c>
      <c r="K45">
        <v>107</v>
      </c>
      <c r="L45">
        <v>109.58</v>
      </c>
      <c r="M45" s="2">
        <v>46103</v>
      </c>
      <c r="N45" t="str">
        <f>IF(po_master[[#This Row],[Approved By]]="", "Missing Approval", "OK")</f>
        <v>OK</v>
      </c>
      <c r="O45" t="str">
        <f>IF(ISBLANK(po_master[[#This Row],[GR Quantity]]), "No GR - Not received", "OK")</f>
        <v>OK</v>
      </c>
      <c r="P45" s="1" t="str">
        <f>IF(po_master[[#This Row],[Promised Delivey Date]]&lt;po_master[[#This Row],[Order Date]], "Invalid", "OK")</f>
        <v>OK</v>
      </c>
      <c r="Q45" s="1" t="str">
        <f>IF(ISBLANK(po_master[[#This Row],[Invoice Number]]), "No Invoice", "OK")</f>
        <v>OK</v>
      </c>
      <c r="R45" s="1" t="str">
        <f>IF(AND(NOT(ISBLANK(po_master[[#This Row],[GR Quantity]])), po_master[[#This Row],[GR Quantity]]&lt;&gt;po_master[[#This Row],[PO Quantity]]), "Qty Variance", "OK")</f>
        <v>OK</v>
      </c>
      <c r="S45" s="1" t="str">
        <f>IF(po_master[[#This Row],[Invoice Unit Price]]&gt;po_master[[#This Row],[PO Unit Price]]*1.01, "Price Variance", "OK")</f>
        <v>OK</v>
      </c>
      <c r="T45" s="1" t="str">
        <f>IF(po_master[[#This Row],[Actual Delivery Date]]&gt;po_master[[#This Row],[Promised Delivey Date]], "Late Delivery", "OK")</f>
        <v>Late Delivery</v>
      </c>
      <c r="U45" s="1" t="str">
        <f>IF(COUNTIF(po_master[PO Number],po_master[[#This Row],[PO Number]])&gt;1, "Duplicate Invoice", "OK")</f>
        <v>Duplicate Invoice</v>
      </c>
    </row>
    <row r="46" spans="1:21" x14ac:dyDescent="0.25">
      <c r="A46" s="1" t="s">
        <v>45</v>
      </c>
      <c r="B46" s="1" t="s">
        <v>1486</v>
      </c>
      <c r="C46" s="2">
        <v>46094</v>
      </c>
      <c r="D46">
        <v>246</v>
      </c>
      <c r="E46">
        <v>53.71</v>
      </c>
      <c r="F46" s="1" t="s">
        <v>1476</v>
      </c>
      <c r="G46" s="2">
        <v>46113</v>
      </c>
      <c r="H46">
        <v>243</v>
      </c>
      <c r="I46" s="2">
        <v>46115</v>
      </c>
      <c r="J46" s="1" t="s">
        <v>696</v>
      </c>
      <c r="K46">
        <v>246</v>
      </c>
      <c r="L46">
        <v>53.71</v>
      </c>
      <c r="M46" s="2">
        <v>46116</v>
      </c>
      <c r="N46" t="str">
        <f>IF(po_master[[#This Row],[Approved By]]="", "Missing Approval", "OK")</f>
        <v>OK</v>
      </c>
      <c r="O46" t="str">
        <f>IF(ISBLANK(po_master[[#This Row],[GR Quantity]]), "No GR - Not received", "OK")</f>
        <v>OK</v>
      </c>
      <c r="P46" s="1" t="str">
        <f>IF(po_master[[#This Row],[Promised Delivey Date]]&lt;po_master[[#This Row],[Order Date]], "Invalid", "OK")</f>
        <v>OK</v>
      </c>
      <c r="Q46" s="1" t="str">
        <f>IF(ISBLANK(po_master[[#This Row],[Invoice Number]]), "No Invoice", "OK")</f>
        <v>OK</v>
      </c>
      <c r="R46" s="1" t="str">
        <f>IF(AND(NOT(ISBLANK(po_master[[#This Row],[GR Quantity]])), po_master[[#This Row],[GR Quantity]]&lt;&gt;po_master[[#This Row],[PO Quantity]]), "Qty Variance", "OK")</f>
        <v>Qty Variance</v>
      </c>
      <c r="S46" s="1" t="str">
        <f>IF(po_master[[#This Row],[Invoice Unit Price]]&gt;po_master[[#This Row],[PO Unit Price]]*1.01, "Price Variance", "OK")</f>
        <v>OK</v>
      </c>
      <c r="T46" s="1" t="str">
        <f>IF(po_master[[#This Row],[Actual Delivery Date]]&gt;po_master[[#This Row],[Promised Delivey Date]], "Late Delivery", "OK")</f>
        <v>Late Delivery</v>
      </c>
      <c r="U46" s="1" t="str">
        <f>IF(COUNTIF(po_master[PO Number],po_master[[#This Row],[PO Number]])&gt;1, "Duplicate Invoice", "OK")</f>
        <v>OK</v>
      </c>
    </row>
    <row r="47" spans="1:21" x14ac:dyDescent="0.25">
      <c r="A47" s="1" t="s">
        <v>46</v>
      </c>
      <c r="B47" s="1" t="s">
        <v>1454</v>
      </c>
      <c r="C47" s="2">
        <v>46048</v>
      </c>
      <c r="D47">
        <v>35</v>
      </c>
      <c r="E47">
        <v>132.16999999999999</v>
      </c>
      <c r="F47" s="1" t="s">
        <v>1442</v>
      </c>
      <c r="G47" s="2">
        <v>46053</v>
      </c>
      <c r="H47">
        <v>35</v>
      </c>
      <c r="I47" s="2">
        <v>46053</v>
      </c>
      <c r="J47" s="1" t="s">
        <v>697</v>
      </c>
      <c r="K47">
        <v>35</v>
      </c>
      <c r="L47">
        <v>132.16999999999999</v>
      </c>
      <c r="M47" s="2">
        <v>46060</v>
      </c>
      <c r="N47" t="str">
        <f>IF(po_master[[#This Row],[Approved By]]="", "Missing Approval", "OK")</f>
        <v>OK</v>
      </c>
      <c r="O47" t="str">
        <f>IF(ISBLANK(po_master[[#This Row],[GR Quantity]]), "No GR - Not received", "OK")</f>
        <v>OK</v>
      </c>
      <c r="P47" s="1" t="str">
        <f>IF(po_master[[#This Row],[Promised Delivey Date]]&lt;po_master[[#This Row],[Order Date]], "Invalid", "OK")</f>
        <v>OK</v>
      </c>
      <c r="Q47" s="1" t="str">
        <f>IF(ISBLANK(po_master[[#This Row],[Invoice Number]]), "No Invoice", "OK")</f>
        <v>OK</v>
      </c>
      <c r="R47" s="1" t="str">
        <f>IF(AND(NOT(ISBLANK(po_master[[#This Row],[GR Quantity]])), po_master[[#This Row],[GR Quantity]]&lt;&gt;po_master[[#This Row],[PO Quantity]]), "Qty Variance", "OK")</f>
        <v>OK</v>
      </c>
      <c r="S47" s="1" t="str">
        <f>IF(po_master[[#This Row],[Invoice Unit Price]]&gt;po_master[[#This Row],[PO Unit Price]]*1.01, "Price Variance", "OK")</f>
        <v>OK</v>
      </c>
      <c r="T47" s="1" t="str">
        <f>IF(po_master[[#This Row],[Actual Delivery Date]]&gt;po_master[[#This Row],[Promised Delivey Date]], "Late Delivery", "OK")</f>
        <v>OK</v>
      </c>
      <c r="U47" s="1" t="str">
        <f>IF(COUNTIF(po_master[PO Number],po_master[[#This Row],[PO Number]])&gt;1, "Duplicate Invoice", "OK")</f>
        <v>OK</v>
      </c>
    </row>
    <row r="48" spans="1:21" x14ac:dyDescent="0.25">
      <c r="A48" s="1" t="s">
        <v>47</v>
      </c>
      <c r="B48" s="1" t="s">
        <v>1457</v>
      </c>
      <c r="C48" s="2">
        <v>46083</v>
      </c>
      <c r="D48">
        <v>95</v>
      </c>
      <c r="E48">
        <v>84.25</v>
      </c>
      <c r="F48" s="1" t="s">
        <v>1487</v>
      </c>
      <c r="G48" s="2">
        <v>46094</v>
      </c>
      <c r="H48">
        <v>95</v>
      </c>
      <c r="I48" s="2">
        <v>46093</v>
      </c>
      <c r="J48" s="1" t="s">
        <v>698</v>
      </c>
      <c r="K48">
        <v>95</v>
      </c>
      <c r="L48">
        <v>84.25</v>
      </c>
      <c r="M48" s="2">
        <v>46104</v>
      </c>
      <c r="N48" t="str">
        <f>IF(po_master[[#This Row],[Approved By]]="", "Missing Approval", "OK")</f>
        <v>OK</v>
      </c>
      <c r="O48" t="str">
        <f>IF(ISBLANK(po_master[[#This Row],[GR Quantity]]), "No GR - Not received", "OK")</f>
        <v>OK</v>
      </c>
      <c r="P48" s="1" t="str">
        <f>IF(po_master[[#This Row],[Promised Delivey Date]]&lt;po_master[[#This Row],[Order Date]], "Invalid", "OK")</f>
        <v>OK</v>
      </c>
      <c r="Q48" s="1" t="str">
        <f>IF(ISBLANK(po_master[[#This Row],[Invoice Number]]), "No Invoice", "OK")</f>
        <v>OK</v>
      </c>
      <c r="R48" s="1" t="str">
        <f>IF(AND(NOT(ISBLANK(po_master[[#This Row],[GR Quantity]])), po_master[[#This Row],[GR Quantity]]&lt;&gt;po_master[[#This Row],[PO Quantity]]), "Qty Variance", "OK")</f>
        <v>OK</v>
      </c>
      <c r="S48" s="1" t="str">
        <f>IF(po_master[[#This Row],[Invoice Unit Price]]&gt;po_master[[#This Row],[PO Unit Price]]*1.01, "Price Variance", "OK")</f>
        <v>OK</v>
      </c>
      <c r="T48" s="1" t="str">
        <f>IF(po_master[[#This Row],[Actual Delivery Date]]&gt;po_master[[#This Row],[Promised Delivey Date]], "Late Delivery", "OK")</f>
        <v>OK</v>
      </c>
      <c r="U48" s="1" t="str">
        <f>IF(COUNTIF(po_master[PO Number],po_master[[#This Row],[PO Number]])&gt;1, "Duplicate Invoice", "OK")</f>
        <v>OK</v>
      </c>
    </row>
    <row r="49" spans="1:21" x14ac:dyDescent="0.25">
      <c r="A49" s="1" t="s">
        <v>48</v>
      </c>
      <c r="B49" s="1" t="s">
        <v>1488</v>
      </c>
      <c r="C49" s="2">
        <v>46038</v>
      </c>
      <c r="D49">
        <v>94</v>
      </c>
      <c r="E49">
        <v>78.900000000000006</v>
      </c>
      <c r="F49" s="1" t="s">
        <v>1453</v>
      </c>
      <c r="G49" s="2">
        <v>46051</v>
      </c>
      <c r="H49">
        <v>80</v>
      </c>
      <c r="I49" s="2">
        <v>46058</v>
      </c>
      <c r="J49" s="1" t="s">
        <v>699</v>
      </c>
      <c r="K49">
        <v>94</v>
      </c>
      <c r="L49">
        <v>78.900000000000006</v>
      </c>
      <c r="M49" s="2">
        <v>46061</v>
      </c>
      <c r="N49" t="str">
        <f>IF(po_master[[#This Row],[Approved By]]="", "Missing Approval", "OK")</f>
        <v>OK</v>
      </c>
      <c r="O49" t="str">
        <f>IF(ISBLANK(po_master[[#This Row],[GR Quantity]]), "No GR - Not received", "OK")</f>
        <v>OK</v>
      </c>
      <c r="P49" s="1" t="str">
        <f>IF(po_master[[#This Row],[Promised Delivey Date]]&lt;po_master[[#This Row],[Order Date]], "Invalid", "OK")</f>
        <v>OK</v>
      </c>
      <c r="Q49" s="1" t="str">
        <f>IF(ISBLANK(po_master[[#This Row],[Invoice Number]]), "No Invoice", "OK")</f>
        <v>OK</v>
      </c>
      <c r="R49" s="1" t="str">
        <f>IF(AND(NOT(ISBLANK(po_master[[#This Row],[GR Quantity]])), po_master[[#This Row],[GR Quantity]]&lt;&gt;po_master[[#This Row],[PO Quantity]]), "Qty Variance", "OK")</f>
        <v>Qty Variance</v>
      </c>
      <c r="S49" s="1" t="str">
        <f>IF(po_master[[#This Row],[Invoice Unit Price]]&gt;po_master[[#This Row],[PO Unit Price]]*1.01, "Price Variance", "OK")</f>
        <v>OK</v>
      </c>
      <c r="T49" s="1" t="str">
        <f>IF(po_master[[#This Row],[Actual Delivery Date]]&gt;po_master[[#This Row],[Promised Delivey Date]], "Late Delivery", "OK")</f>
        <v>Late Delivery</v>
      </c>
      <c r="U49" s="1" t="str">
        <f>IF(COUNTIF(po_master[PO Number],po_master[[#This Row],[PO Number]])&gt;1, "Duplicate Invoice", "OK")</f>
        <v>OK</v>
      </c>
    </row>
    <row r="50" spans="1:21" x14ac:dyDescent="0.25">
      <c r="A50" s="1" t="s">
        <v>49</v>
      </c>
      <c r="B50" s="1" t="s">
        <v>1489</v>
      </c>
      <c r="C50" s="2">
        <v>46096</v>
      </c>
      <c r="D50">
        <v>226</v>
      </c>
      <c r="E50">
        <v>140.84</v>
      </c>
      <c r="F50" s="1" t="s">
        <v>1490</v>
      </c>
      <c r="G50" s="2">
        <v>46116</v>
      </c>
      <c r="H50">
        <v>226</v>
      </c>
      <c r="I50" s="2">
        <v>46114</v>
      </c>
      <c r="J50" s="1" t="s">
        <v>700</v>
      </c>
      <c r="K50">
        <v>226</v>
      </c>
      <c r="L50">
        <v>140.84</v>
      </c>
      <c r="M50" s="2">
        <v>46123</v>
      </c>
      <c r="N50" t="str">
        <f>IF(po_master[[#This Row],[Approved By]]="", "Missing Approval", "OK")</f>
        <v>OK</v>
      </c>
      <c r="O50" t="str">
        <f>IF(ISBLANK(po_master[[#This Row],[GR Quantity]]), "No GR - Not received", "OK")</f>
        <v>OK</v>
      </c>
      <c r="P50" s="1" t="str">
        <f>IF(po_master[[#This Row],[Promised Delivey Date]]&lt;po_master[[#This Row],[Order Date]], "Invalid", "OK")</f>
        <v>OK</v>
      </c>
      <c r="Q50" s="1" t="str">
        <f>IF(ISBLANK(po_master[[#This Row],[Invoice Number]]), "No Invoice", "OK")</f>
        <v>OK</v>
      </c>
      <c r="R50" s="1" t="str">
        <f>IF(AND(NOT(ISBLANK(po_master[[#This Row],[GR Quantity]])), po_master[[#This Row],[GR Quantity]]&lt;&gt;po_master[[#This Row],[PO Quantity]]), "Qty Variance", "OK")</f>
        <v>OK</v>
      </c>
      <c r="S50" s="1" t="str">
        <f>IF(po_master[[#This Row],[Invoice Unit Price]]&gt;po_master[[#This Row],[PO Unit Price]]*1.01, "Price Variance", "OK")</f>
        <v>OK</v>
      </c>
      <c r="T50" s="1" t="str">
        <f>IF(po_master[[#This Row],[Actual Delivery Date]]&gt;po_master[[#This Row],[Promised Delivey Date]], "Late Delivery", "OK")</f>
        <v>OK</v>
      </c>
      <c r="U50" s="1" t="str">
        <f>IF(COUNTIF(po_master[PO Number],po_master[[#This Row],[PO Number]])&gt;1, "Duplicate Invoice", "OK")</f>
        <v>OK</v>
      </c>
    </row>
    <row r="51" spans="1:21" x14ac:dyDescent="0.25">
      <c r="A51" s="1" t="s">
        <v>50</v>
      </c>
      <c r="B51" s="1" t="s">
        <v>1464</v>
      </c>
      <c r="C51" s="2">
        <v>46071</v>
      </c>
      <c r="D51">
        <v>161</v>
      </c>
      <c r="E51">
        <v>47.45</v>
      </c>
      <c r="F51" s="1" t="s">
        <v>1462</v>
      </c>
      <c r="G51" s="2">
        <v>46077</v>
      </c>
      <c r="H51">
        <v>161</v>
      </c>
      <c r="I51" s="2">
        <v>46079</v>
      </c>
      <c r="J51" s="1" t="s">
        <v>701</v>
      </c>
      <c r="K51">
        <v>161</v>
      </c>
      <c r="L51">
        <v>50.78</v>
      </c>
      <c r="M51" s="2">
        <v>46081</v>
      </c>
      <c r="N51" t="str">
        <f>IF(po_master[[#This Row],[Approved By]]="", "Missing Approval", "OK")</f>
        <v>OK</v>
      </c>
      <c r="O51" t="str">
        <f>IF(ISBLANK(po_master[[#This Row],[GR Quantity]]), "No GR - Not received", "OK")</f>
        <v>OK</v>
      </c>
      <c r="P51" s="1" t="str">
        <f>IF(po_master[[#This Row],[Promised Delivey Date]]&lt;po_master[[#This Row],[Order Date]], "Invalid", "OK")</f>
        <v>OK</v>
      </c>
      <c r="Q51" s="1" t="str">
        <f>IF(ISBLANK(po_master[[#This Row],[Invoice Number]]), "No Invoice", "OK")</f>
        <v>OK</v>
      </c>
      <c r="R51" s="1" t="str">
        <f>IF(AND(NOT(ISBLANK(po_master[[#This Row],[GR Quantity]])), po_master[[#This Row],[GR Quantity]]&lt;&gt;po_master[[#This Row],[PO Quantity]]), "Qty Variance", "OK")</f>
        <v>OK</v>
      </c>
      <c r="S51" s="1" t="str">
        <f>IF(po_master[[#This Row],[Invoice Unit Price]]&gt;po_master[[#This Row],[PO Unit Price]]*1.01, "Price Variance", "OK")</f>
        <v>Price Variance</v>
      </c>
      <c r="T51" s="1" t="str">
        <f>IF(po_master[[#This Row],[Actual Delivery Date]]&gt;po_master[[#This Row],[Promised Delivey Date]], "Late Delivery", "OK")</f>
        <v>Late Delivery</v>
      </c>
      <c r="U51" s="1" t="str">
        <f>IF(COUNTIF(po_master[PO Number],po_master[[#This Row],[PO Number]])&gt;1, "Duplicate Invoice", "OK")</f>
        <v>OK</v>
      </c>
    </row>
    <row r="52" spans="1:21" x14ac:dyDescent="0.25">
      <c r="A52" s="1" t="s">
        <v>51</v>
      </c>
      <c r="B52" s="1" t="s">
        <v>1465</v>
      </c>
      <c r="C52" s="2">
        <v>46103</v>
      </c>
      <c r="D52">
        <v>39</v>
      </c>
      <c r="E52">
        <v>14.78</v>
      </c>
      <c r="F52" s="1" t="s">
        <v>1487</v>
      </c>
      <c r="G52" s="2">
        <v>46124</v>
      </c>
      <c r="H52">
        <v>39</v>
      </c>
      <c r="I52" s="2">
        <v>46125</v>
      </c>
      <c r="J52" s="1" t="s">
        <v>702</v>
      </c>
      <c r="K52">
        <v>39</v>
      </c>
      <c r="L52">
        <v>17.670000000000002</v>
      </c>
      <c r="M52" s="2">
        <v>46125</v>
      </c>
      <c r="N52" t="str">
        <f>IF(po_master[[#This Row],[Approved By]]="", "Missing Approval", "OK")</f>
        <v>OK</v>
      </c>
      <c r="O52" t="str">
        <f>IF(ISBLANK(po_master[[#This Row],[GR Quantity]]), "No GR - Not received", "OK")</f>
        <v>OK</v>
      </c>
      <c r="P52" s="1" t="str">
        <f>IF(po_master[[#This Row],[Promised Delivey Date]]&lt;po_master[[#This Row],[Order Date]], "Invalid", "OK")</f>
        <v>OK</v>
      </c>
      <c r="Q52" s="1" t="str">
        <f>IF(ISBLANK(po_master[[#This Row],[Invoice Number]]), "No Invoice", "OK")</f>
        <v>OK</v>
      </c>
      <c r="R52" s="1" t="str">
        <f>IF(AND(NOT(ISBLANK(po_master[[#This Row],[GR Quantity]])), po_master[[#This Row],[GR Quantity]]&lt;&gt;po_master[[#This Row],[PO Quantity]]), "Qty Variance", "OK")</f>
        <v>OK</v>
      </c>
      <c r="S52" s="1" t="str">
        <f>IF(po_master[[#This Row],[Invoice Unit Price]]&gt;po_master[[#This Row],[PO Unit Price]]*1.01, "Price Variance", "OK")</f>
        <v>Price Variance</v>
      </c>
      <c r="T52" s="1" t="str">
        <f>IF(po_master[[#This Row],[Actual Delivery Date]]&gt;po_master[[#This Row],[Promised Delivey Date]], "Late Delivery", "OK")</f>
        <v>Late Delivery</v>
      </c>
      <c r="U52" s="1" t="str">
        <f>IF(COUNTIF(po_master[PO Number],po_master[[#This Row],[PO Number]])&gt;1, "Duplicate Invoice", "OK")</f>
        <v>OK</v>
      </c>
    </row>
    <row r="53" spans="1:21" x14ac:dyDescent="0.25">
      <c r="A53" s="1" t="s">
        <v>52</v>
      </c>
      <c r="B53" s="1" t="s">
        <v>1491</v>
      </c>
      <c r="C53" s="2">
        <v>46063</v>
      </c>
      <c r="D53">
        <v>39</v>
      </c>
      <c r="E53">
        <v>192.35</v>
      </c>
      <c r="F53" s="1" t="s">
        <v>1476</v>
      </c>
      <c r="G53" s="2">
        <v>46073</v>
      </c>
      <c r="H53">
        <v>39</v>
      </c>
      <c r="I53" s="2">
        <v>46074</v>
      </c>
      <c r="J53" s="1" t="s">
        <v>703</v>
      </c>
      <c r="K53">
        <v>39</v>
      </c>
      <c r="L53">
        <v>192.35</v>
      </c>
      <c r="M53" s="2">
        <v>46077</v>
      </c>
      <c r="N53" t="str">
        <f>IF(po_master[[#This Row],[Approved By]]="", "Missing Approval", "OK")</f>
        <v>OK</v>
      </c>
      <c r="O53" t="str">
        <f>IF(ISBLANK(po_master[[#This Row],[GR Quantity]]), "No GR - Not received", "OK")</f>
        <v>OK</v>
      </c>
      <c r="P53" s="1" t="str">
        <f>IF(po_master[[#This Row],[Promised Delivey Date]]&lt;po_master[[#This Row],[Order Date]], "Invalid", "OK")</f>
        <v>OK</v>
      </c>
      <c r="Q53" s="1" t="str">
        <f>IF(ISBLANK(po_master[[#This Row],[Invoice Number]]), "No Invoice", "OK")</f>
        <v>OK</v>
      </c>
      <c r="R53" s="1" t="str">
        <f>IF(AND(NOT(ISBLANK(po_master[[#This Row],[GR Quantity]])), po_master[[#This Row],[GR Quantity]]&lt;&gt;po_master[[#This Row],[PO Quantity]]), "Qty Variance", "OK")</f>
        <v>OK</v>
      </c>
      <c r="S53" s="1" t="str">
        <f>IF(po_master[[#This Row],[Invoice Unit Price]]&gt;po_master[[#This Row],[PO Unit Price]]*1.01, "Price Variance", "OK")</f>
        <v>OK</v>
      </c>
      <c r="T53" s="1" t="str">
        <f>IF(po_master[[#This Row],[Actual Delivery Date]]&gt;po_master[[#This Row],[Promised Delivey Date]], "Late Delivery", "OK")</f>
        <v>Late Delivery</v>
      </c>
      <c r="U53" s="1" t="str">
        <f>IF(COUNTIF(po_master[PO Number],po_master[[#This Row],[PO Number]])&gt;1, "Duplicate Invoice", "OK")</f>
        <v>OK</v>
      </c>
    </row>
    <row r="54" spans="1:21" x14ac:dyDescent="0.25">
      <c r="A54" s="1" t="s">
        <v>53</v>
      </c>
      <c r="B54" s="1" t="s">
        <v>1492</v>
      </c>
      <c r="C54" s="2">
        <v>46040</v>
      </c>
      <c r="D54">
        <v>355</v>
      </c>
      <c r="E54">
        <v>173.05</v>
      </c>
      <c r="F54" s="1" t="s">
        <v>1453</v>
      </c>
      <c r="G54" s="2">
        <v>46048</v>
      </c>
      <c r="H54">
        <v>355</v>
      </c>
      <c r="I54" s="2">
        <v>46055</v>
      </c>
      <c r="J54" s="1" t="s">
        <v>704</v>
      </c>
      <c r="K54">
        <v>355</v>
      </c>
      <c r="L54">
        <v>173.05</v>
      </c>
      <c r="M54" s="2">
        <v>46057</v>
      </c>
      <c r="N54" t="str">
        <f>IF(po_master[[#This Row],[Approved By]]="", "Missing Approval", "OK")</f>
        <v>OK</v>
      </c>
      <c r="O54" t="str">
        <f>IF(ISBLANK(po_master[[#This Row],[GR Quantity]]), "No GR - Not received", "OK")</f>
        <v>OK</v>
      </c>
      <c r="P54" s="1" t="str">
        <f>IF(po_master[[#This Row],[Promised Delivey Date]]&lt;po_master[[#This Row],[Order Date]], "Invalid", "OK")</f>
        <v>OK</v>
      </c>
      <c r="Q54" s="1" t="str">
        <f>IF(ISBLANK(po_master[[#This Row],[Invoice Number]]), "No Invoice", "OK")</f>
        <v>OK</v>
      </c>
      <c r="R54" s="1" t="str">
        <f>IF(AND(NOT(ISBLANK(po_master[[#This Row],[GR Quantity]])), po_master[[#This Row],[GR Quantity]]&lt;&gt;po_master[[#This Row],[PO Quantity]]), "Qty Variance", "OK")</f>
        <v>OK</v>
      </c>
      <c r="S54" s="1" t="str">
        <f>IF(po_master[[#This Row],[Invoice Unit Price]]&gt;po_master[[#This Row],[PO Unit Price]]*1.01, "Price Variance", "OK")</f>
        <v>OK</v>
      </c>
      <c r="T54" s="1" t="str">
        <f>IF(po_master[[#This Row],[Actual Delivery Date]]&gt;po_master[[#This Row],[Promised Delivey Date]], "Late Delivery", "OK")</f>
        <v>Late Delivery</v>
      </c>
      <c r="U54" s="1" t="str">
        <f>IF(COUNTIF(po_master[PO Number],po_master[[#This Row],[PO Number]])&gt;1, "Duplicate Invoice", "OK")</f>
        <v>OK</v>
      </c>
    </row>
    <row r="55" spans="1:21" x14ac:dyDescent="0.25">
      <c r="A55" s="1" t="s">
        <v>54</v>
      </c>
      <c r="B55" s="1" t="s">
        <v>1493</v>
      </c>
      <c r="C55" s="2">
        <v>46086</v>
      </c>
      <c r="D55">
        <v>306</v>
      </c>
      <c r="E55">
        <v>120.93</v>
      </c>
      <c r="F55" s="1" t="s">
        <v>1494</v>
      </c>
      <c r="G55" s="2">
        <v>46093</v>
      </c>
      <c r="H55">
        <v>306</v>
      </c>
      <c r="I55" s="2">
        <v>46092</v>
      </c>
      <c r="J55" s="1" t="s">
        <v>705</v>
      </c>
      <c r="K55">
        <v>306</v>
      </c>
      <c r="L55">
        <v>120.93</v>
      </c>
      <c r="M55" s="2">
        <v>46101</v>
      </c>
      <c r="N55" t="str">
        <f>IF(po_master[[#This Row],[Approved By]]="", "Missing Approval", "OK")</f>
        <v>OK</v>
      </c>
      <c r="O55" t="str">
        <f>IF(ISBLANK(po_master[[#This Row],[GR Quantity]]), "No GR - Not received", "OK")</f>
        <v>OK</v>
      </c>
      <c r="P55" s="1" t="str">
        <f>IF(po_master[[#This Row],[Promised Delivey Date]]&lt;po_master[[#This Row],[Order Date]], "Invalid", "OK")</f>
        <v>OK</v>
      </c>
      <c r="Q55" s="1" t="str">
        <f>IF(ISBLANK(po_master[[#This Row],[Invoice Number]]), "No Invoice", "OK")</f>
        <v>OK</v>
      </c>
      <c r="R55" s="1" t="str">
        <f>IF(AND(NOT(ISBLANK(po_master[[#This Row],[GR Quantity]])), po_master[[#This Row],[GR Quantity]]&lt;&gt;po_master[[#This Row],[PO Quantity]]), "Qty Variance", "OK")</f>
        <v>OK</v>
      </c>
      <c r="S55" s="1" t="str">
        <f>IF(po_master[[#This Row],[Invoice Unit Price]]&gt;po_master[[#This Row],[PO Unit Price]]*1.01, "Price Variance", "OK")</f>
        <v>OK</v>
      </c>
      <c r="T55" s="1" t="str">
        <f>IF(po_master[[#This Row],[Actual Delivery Date]]&gt;po_master[[#This Row],[Promised Delivey Date]], "Late Delivery", "OK")</f>
        <v>OK</v>
      </c>
      <c r="U55" s="1" t="str">
        <f>IF(COUNTIF(po_master[PO Number],po_master[[#This Row],[PO Number]])&gt;1, "Duplicate Invoice", "OK")</f>
        <v>OK</v>
      </c>
    </row>
    <row r="56" spans="1:21" x14ac:dyDescent="0.25">
      <c r="A56" s="1" t="s">
        <v>55</v>
      </c>
      <c r="B56" s="1" t="s">
        <v>1495</v>
      </c>
      <c r="C56" s="2">
        <v>46172</v>
      </c>
      <c r="D56">
        <v>299</v>
      </c>
      <c r="E56">
        <v>106.94</v>
      </c>
      <c r="F56" s="1" t="s">
        <v>1458</v>
      </c>
      <c r="G56" s="2">
        <v>46183</v>
      </c>
      <c r="H56">
        <v>299</v>
      </c>
      <c r="I56" s="2">
        <v>46183</v>
      </c>
      <c r="J56" s="1" t="s">
        <v>706</v>
      </c>
      <c r="K56">
        <v>299</v>
      </c>
      <c r="L56">
        <v>106.94</v>
      </c>
      <c r="M56" s="2">
        <v>46185</v>
      </c>
      <c r="N56" t="str">
        <f>IF(po_master[[#This Row],[Approved By]]="", "Missing Approval", "OK")</f>
        <v>OK</v>
      </c>
      <c r="O56" t="str">
        <f>IF(ISBLANK(po_master[[#This Row],[GR Quantity]]), "No GR - Not received", "OK")</f>
        <v>OK</v>
      </c>
      <c r="P56" s="1" t="str">
        <f>IF(po_master[[#This Row],[Promised Delivey Date]]&lt;po_master[[#This Row],[Order Date]], "Invalid", "OK")</f>
        <v>OK</v>
      </c>
      <c r="Q56" s="1" t="str">
        <f>IF(ISBLANK(po_master[[#This Row],[Invoice Number]]), "No Invoice", "OK")</f>
        <v>OK</v>
      </c>
      <c r="R56" s="1" t="str">
        <f>IF(AND(NOT(ISBLANK(po_master[[#This Row],[GR Quantity]])), po_master[[#This Row],[GR Quantity]]&lt;&gt;po_master[[#This Row],[PO Quantity]]), "Qty Variance", "OK")</f>
        <v>OK</v>
      </c>
      <c r="S56" s="1" t="str">
        <f>IF(po_master[[#This Row],[Invoice Unit Price]]&gt;po_master[[#This Row],[PO Unit Price]]*1.01, "Price Variance", "OK")</f>
        <v>OK</v>
      </c>
      <c r="T56" s="1" t="str">
        <f>IF(po_master[[#This Row],[Actual Delivery Date]]&gt;po_master[[#This Row],[Promised Delivey Date]], "Late Delivery", "OK")</f>
        <v>OK</v>
      </c>
      <c r="U56" s="1" t="str">
        <f>IF(COUNTIF(po_master[PO Number],po_master[[#This Row],[PO Number]])&gt;1, "Duplicate Invoice", "OK")</f>
        <v>OK</v>
      </c>
    </row>
    <row r="57" spans="1:21" x14ac:dyDescent="0.25">
      <c r="A57" s="1" t="s">
        <v>56</v>
      </c>
      <c r="B57" s="1" t="s">
        <v>1489</v>
      </c>
      <c r="C57" s="2">
        <v>46103</v>
      </c>
      <c r="D57">
        <v>485</v>
      </c>
      <c r="E57">
        <v>151.61000000000001</v>
      </c>
      <c r="F57" s="1" t="s">
        <v>1476</v>
      </c>
      <c r="G57" s="2">
        <v>46108</v>
      </c>
      <c r="H57">
        <v>485</v>
      </c>
      <c r="I57" s="2">
        <v>46106</v>
      </c>
      <c r="J57" s="1" t="s">
        <v>709</v>
      </c>
      <c r="K57">
        <v>485</v>
      </c>
      <c r="L57">
        <v>151.61000000000001</v>
      </c>
      <c r="M57" s="2">
        <v>46116</v>
      </c>
      <c r="N57" t="str">
        <f>IF(po_master[[#This Row],[Approved By]]="", "Missing Approval", "OK")</f>
        <v>OK</v>
      </c>
      <c r="O57" t="str">
        <f>IF(ISBLANK(po_master[[#This Row],[GR Quantity]]), "No GR - Not received", "OK")</f>
        <v>OK</v>
      </c>
      <c r="P57" s="1" t="str">
        <f>IF(po_master[[#This Row],[Promised Delivey Date]]&lt;po_master[[#This Row],[Order Date]], "Invalid", "OK")</f>
        <v>OK</v>
      </c>
      <c r="Q57" s="1" t="str">
        <f>IF(ISBLANK(po_master[[#This Row],[Invoice Number]]), "No Invoice", "OK")</f>
        <v>OK</v>
      </c>
      <c r="R57" s="1" t="str">
        <f>IF(AND(NOT(ISBLANK(po_master[[#This Row],[GR Quantity]])), po_master[[#This Row],[GR Quantity]]&lt;&gt;po_master[[#This Row],[PO Quantity]]), "Qty Variance", "OK")</f>
        <v>OK</v>
      </c>
      <c r="S57" s="1" t="str">
        <f>IF(po_master[[#This Row],[Invoice Unit Price]]&gt;po_master[[#This Row],[PO Unit Price]]*1.01, "Price Variance", "OK")</f>
        <v>OK</v>
      </c>
      <c r="T57" s="1" t="str">
        <f>IF(po_master[[#This Row],[Actual Delivery Date]]&gt;po_master[[#This Row],[Promised Delivey Date]], "Late Delivery", "OK")</f>
        <v>OK</v>
      </c>
      <c r="U57" s="1" t="str">
        <f>IF(COUNTIF(po_master[PO Number],po_master[[#This Row],[PO Number]])&gt;1, "Duplicate Invoice", "OK")</f>
        <v>OK</v>
      </c>
    </row>
    <row r="58" spans="1:21" x14ac:dyDescent="0.25">
      <c r="A58" s="1" t="s">
        <v>707</v>
      </c>
      <c r="B58" s="1" t="s">
        <v>1484</v>
      </c>
      <c r="C58" s="2">
        <v>46103</v>
      </c>
      <c r="D58">
        <v>132</v>
      </c>
      <c r="E58">
        <v>56.79</v>
      </c>
      <c r="F58" s="1" t="s">
        <v>1485</v>
      </c>
      <c r="G58" s="2">
        <v>46117</v>
      </c>
      <c r="I58" s="2"/>
      <c r="J58" s="1" t="s">
        <v>708</v>
      </c>
      <c r="K58">
        <v>132</v>
      </c>
      <c r="L58">
        <v>56.79</v>
      </c>
      <c r="M58" s="2">
        <v>46125</v>
      </c>
      <c r="N58" t="str">
        <f>IF(po_master[[#This Row],[Approved By]]="", "Missing Approval", "OK")</f>
        <v>OK</v>
      </c>
      <c r="O58" t="str">
        <f>IF(ISBLANK(po_master[[#This Row],[GR Quantity]]), "No GR - Not received", "OK")</f>
        <v>No GR - Not received</v>
      </c>
      <c r="P58" s="1" t="str">
        <f>IF(po_master[[#This Row],[Promised Delivey Date]]&lt;po_master[[#This Row],[Order Date]], "Invalid", "OK")</f>
        <v>OK</v>
      </c>
      <c r="Q58" s="1" t="str">
        <f>IF(ISBLANK(po_master[[#This Row],[Invoice Number]]), "No Invoice", "OK")</f>
        <v>OK</v>
      </c>
      <c r="R58" s="1" t="str">
        <f>IF(AND(NOT(ISBLANK(po_master[[#This Row],[GR Quantity]])), po_master[[#This Row],[GR Quantity]]&lt;&gt;po_master[[#This Row],[PO Quantity]]), "Qty Variance", "OK")</f>
        <v>OK</v>
      </c>
      <c r="S58" s="1" t="str">
        <f>IF(po_master[[#This Row],[Invoice Unit Price]]&gt;po_master[[#This Row],[PO Unit Price]]*1.01, "Price Variance", "OK")</f>
        <v>OK</v>
      </c>
      <c r="T58" s="1" t="str">
        <f>IF(po_master[[#This Row],[Actual Delivery Date]]&gt;po_master[[#This Row],[Promised Delivey Date]], "Late Delivery", "OK")</f>
        <v>OK</v>
      </c>
      <c r="U58" s="1" t="str">
        <f>IF(COUNTIF(po_master[PO Number],po_master[[#This Row],[PO Number]])&gt;1, "Duplicate Invoice", "OK")</f>
        <v>OK</v>
      </c>
    </row>
    <row r="59" spans="1:21" x14ac:dyDescent="0.25">
      <c r="A59" s="1" t="s">
        <v>57</v>
      </c>
      <c r="B59" s="1" t="s">
        <v>1489</v>
      </c>
      <c r="C59" s="2">
        <v>46167</v>
      </c>
      <c r="D59">
        <v>61</v>
      </c>
      <c r="E59">
        <v>19.29</v>
      </c>
      <c r="F59" s="1" t="s">
        <v>1444</v>
      </c>
      <c r="G59" s="2">
        <v>46188</v>
      </c>
      <c r="H59">
        <v>61</v>
      </c>
      <c r="I59" s="2">
        <v>46190</v>
      </c>
      <c r="J59" s="1" t="s">
        <v>710</v>
      </c>
      <c r="K59">
        <v>61</v>
      </c>
      <c r="L59">
        <v>19.29</v>
      </c>
      <c r="M59" s="2">
        <v>46198</v>
      </c>
      <c r="N59" t="str">
        <f>IF(po_master[[#This Row],[Approved By]]="", "Missing Approval", "OK")</f>
        <v>OK</v>
      </c>
      <c r="O59" t="str">
        <f>IF(ISBLANK(po_master[[#This Row],[GR Quantity]]), "No GR - Not received", "OK")</f>
        <v>OK</v>
      </c>
      <c r="P59" s="1" t="str">
        <f>IF(po_master[[#This Row],[Promised Delivey Date]]&lt;po_master[[#This Row],[Order Date]], "Invalid", "OK")</f>
        <v>OK</v>
      </c>
      <c r="Q59" s="1" t="str">
        <f>IF(ISBLANK(po_master[[#This Row],[Invoice Number]]), "No Invoice", "OK")</f>
        <v>OK</v>
      </c>
      <c r="R59" s="1" t="str">
        <f>IF(AND(NOT(ISBLANK(po_master[[#This Row],[GR Quantity]])), po_master[[#This Row],[GR Quantity]]&lt;&gt;po_master[[#This Row],[PO Quantity]]), "Qty Variance", "OK")</f>
        <v>OK</v>
      </c>
      <c r="S59" s="1" t="str">
        <f>IF(po_master[[#This Row],[Invoice Unit Price]]&gt;po_master[[#This Row],[PO Unit Price]]*1.01, "Price Variance", "OK")</f>
        <v>OK</v>
      </c>
      <c r="T59" s="1" t="str">
        <f>IF(po_master[[#This Row],[Actual Delivery Date]]&gt;po_master[[#This Row],[Promised Delivey Date]], "Late Delivery", "OK")</f>
        <v>Late Delivery</v>
      </c>
      <c r="U59" s="1" t="str">
        <f>IF(COUNTIF(po_master[PO Number],po_master[[#This Row],[PO Number]])&gt;1, "Duplicate Invoice", "OK")</f>
        <v>OK</v>
      </c>
    </row>
    <row r="60" spans="1:21" x14ac:dyDescent="0.25">
      <c r="A60" s="1" t="s">
        <v>58</v>
      </c>
      <c r="B60" s="1" t="s">
        <v>1470</v>
      </c>
      <c r="C60" s="2">
        <v>46056</v>
      </c>
      <c r="D60">
        <v>487</v>
      </c>
      <c r="E60">
        <v>73.06</v>
      </c>
      <c r="F60" s="1" t="s">
        <v>1476</v>
      </c>
      <c r="G60" s="2">
        <v>46068</v>
      </c>
      <c r="H60">
        <v>487</v>
      </c>
      <c r="I60" s="2">
        <v>46070</v>
      </c>
      <c r="J60" s="1" t="s">
        <v>711</v>
      </c>
      <c r="K60">
        <v>487</v>
      </c>
      <c r="L60">
        <v>73.06</v>
      </c>
      <c r="M60" s="2">
        <v>46074</v>
      </c>
      <c r="N60" t="str">
        <f>IF(po_master[[#This Row],[Approved By]]="", "Missing Approval", "OK")</f>
        <v>OK</v>
      </c>
      <c r="O60" t="str">
        <f>IF(ISBLANK(po_master[[#This Row],[GR Quantity]]), "No GR - Not received", "OK")</f>
        <v>OK</v>
      </c>
      <c r="P60" s="1" t="str">
        <f>IF(po_master[[#This Row],[Promised Delivey Date]]&lt;po_master[[#This Row],[Order Date]], "Invalid", "OK")</f>
        <v>OK</v>
      </c>
      <c r="Q60" s="1" t="str">
        <f>IF(ISBLANK(po_master[[#This Row],[Invoice Number]]), "No Invoice", "OK")</f>
        <v>OK</v>
      </c>
      <c r="R60" s="1" t="str">
        <f>IF(AND(NOT(ISBLANK(po_master[[#This Row],[GR Quantity]])), po_master[[#This Row],[GR Quantity]]&lt;&gt;po_master[[#This Row],[PO Quantity]]), "Qty Variance", "OK")</f>
        <v>OK</v>
      </c>
      <c r="S60" s="1" t="str">
        <f>IF(po_master[[#This Row],[Invoice Unit Price]]&gt;po_master[[#This Row],[PO Unit Price]]*1.01, "Price Variance", "OK")</f>
        <v>OK</v>
      </c>
      <c r="T60" s="1" t="str">
        <f>IF(po_master[[#This Row],[Actual Delivery Date]]&gt;po_master[[#This Row],[Promised Delivey Date]], "Late Delivery", "OK")</f>
        <v>Late Delivery</v>
      </c>
      <c r="U60" s="1" t="str">
        <f>IF(COUNTIF(po_master[PO Number],po_master[[#This Row],[PO Number]])&gt;1, "Duplicate Invoice", "OK")</f>
        <v>Duplicate Invoice</v>
      </c>
    </row>
    <row r="61" spans="1:21" x14ac:dyDescent="0.25">
      <c r="A61" s="1" t="s">
        <v>58</v>
      </c>
      <c r="B61" s="1" t="s">
        <v>1470</v>
      </c>
      <c r="C61" s="2">
        <v>46056</v>
      </c>
      <c r="D61">
        <v>487</v>
      </c>
      <c r="E61">
        <v>73.06</v>
      </c>
      <c r="F61" s="1" t="s">
        <v>1476</v>
      </c>
      <c r="G61" s="2">
        <v>46068</v>
      </c>
      <c r="H61">
        <v>487</v>
      </c>
      <c r="I61" s="2">
        <v>46070</v>
      </c>
      <c r="J61" s="1" t="s">
        <v>712</v>
      </c>
      <c r="K61">
        <v>487</v>
      </c>
      <c r="L61">
        <v>73.06</v>
      </c>
      <c r="M61" s="2">
        <v>46078</v>
      </c>
      <c r="N61" t="str">
        <f>IF(po_master[[#This Row],[Approved By]]="", "Missing Approval", "OK")</f>
        <v>OK</v>
      </c>
      <c r="O61" t="str">
        <f>IF(ISBLANK(po_master[[#This Row],[GR Quantity]]), "No GR - Not received", "OK")</f>
        <v>OK</v>
      </c>
      <c r="P61" s="1" t="str">
        <f>IF(po_master[[#This Row],[Promised Delivey Date]]&lt;po_master[[#This Row],[Order Date]], "Invalid", "OK")</f>
        <v>OK</v>
      </c>
      <c r="Q61" s="1" t="str">
        <f>IF(ISBLANK(po_master[[#This Row],[Invoice Number]]), "No Invoice", "OK")</f>
        <v>OK</v>
      </c>
      <c r="R61" s="1" t="str">
        <f>IF(AND(NOT(ISBLANK(po_master[[#This Row],[GR Quantity]])), po_master[[#This Row],[GR Quantity]]&lt;&gt;po_master[[#This Row],[PO Quantity]]), "Qty Variance", "OK")</f>
        <v>OK</v>
      </c>
      <c r="S61" s="1" t="str">
        <f>IF(po_master[[#This Row],[Invoice Unit Price]]&gt;po_master[[#This Row],[PO Unit Price]]*1.01, "Price Variance", "OK")</f>
        <v>OK</v>
      </c>
      <c r="T61" s="1" t="str">
        <f>IF(po_master[[#This Row],[Actual Delivery Date]]&gt;po_master[[#This Row],[Promised Delivey Date]], "Late Delivery", "OK")</f>
        <v>Late Delivery</v>
      </c>
      <c r="U61" s="1" t="str">
        <f>IF(COUNTIF(po_master[PO Number],po_master[[#This Row],[PO Number]])&gt;1, "Duplicate Invoice", "OK")</f>
        <v>Duplicate Invoice</v>
      </c>
    </row>
    <row r="62" spans="1:21" x14ac:dyDescent="0.25">
      <c r="A62" s="1" t="s">
        <v>59</v>
      </c>
      <c r="B62" s="1" t="s">
        <v>1496</v>
      </c>
      <c r="C62" s="2">
        <v>46095</v>
      </c>
      <c r="D62">
        <v>90</v>
      </c>
      <c r="E62">
        <v>90.45</v>
      </c>
      <c r="F62" s="1" t="s">
        <v>1442</v>
      </c>
      <c r="G62" s="2">
        <v>46109</v>
      </c>
      <c r="H62">
        <v>90</v>
      </c>
      <c r="I62" s="2">
        <v>46108</v>
      </c>
      <c r="J62" s="1" t="s">
        <v>713</v>
      </c>
      <c r="K62">
        <v>90</v>
      </c>
      <c r="L62">
        <v>90.45</v>
      </c>
      <c r="M62" s="2">
        <v>46117</v>
      </c>
      <c r="N62" t="str">
        <f>IF(po_master[[#This Row],[Approved By]]="", "Missing Approval", "OK")</f>
        <v>OK</v>
      </c>
      <c r="O62" t="str">
        <f>IF(ISBLANK(po_master[[#This Row],[GR Quantity]]), "No GR - Not received", "OK")</f>
        <v>OK</v>
      </c>
      <c r="P62" s="1" t="str">
        <f>IF(po_master[[#This Row],[Promised Delivey Date]]&lt;po_master[[#This Row],[Order Date]], "Invalid", "OK")</f>
        <v>OK</v>
      </c>
      <c r="Q62" s="1" t="str">
        <f>IF(ISBLANK(po_master[[#This Row],[Invoice Number]]), "No Invoice", "OK")</f>
        <v>OK</v>
      </c>
      <c r="R62" s="1" t="str">
        <f>IF(AND(NOT(ISBLANK(po_master[[#This Row],[GR Quantity]])), po_master[[#This Row],[GR Quantity]]&lt;&gt;po_master[[#This Row],[PO Quantity]]), "Qty Variance", "OK")</f>
        <v>OK</v>
      </c>
      <c r="S62" s="1" t="str">
        <f>IF(po_master[[#This Row],[Invoice Unit Price]]&gt;po_master[[#This Row],[PO Unit Price]]*1.01, "Price Variance", "OK")</f>
        <v>OK</v>
      </c>
      <c r="T62" s="1" t="str">
        <f>IF(po_master[[#This Row],[Actual Delivery Date]]&gt;po_master[[#This Row],[Promised Delivey Date]], "Late Delivery", "OK")</f>
        <v>OK</v>
      </c>
      <c r="U62" s="1" t="str">
        <f>IF(COUNTIF(po_master[PO Number],po_master[[#This Row],[PO Number]])&gt;1, "Duplicate Invoice", "OK")</f>
        <v>OK</v>
      </c>
    </row>
    <row r="63" spans="1:21" x14ac:dyDescent="0.25">
      <c r="A63" s="1" t="s">
        <v>60</v>
      </c>
      <c r="B63" s="1" t="s">
        <v>1497</v>
      </c>
      <c r="C63" s="2">
        <v>46158</v>
      </c>
      <c r="D63">
        <v>14</v>
      </c>
      <c r="E63">
        <v>135.22999999999999</v>
      </c>
      <c r="F63" s="1" t="s">
        <v>1442</v>
      </c>
      <c r="G63" s="2">
        <v>46172</v>
      </c>
      <c r="H63">
        <v>14</v>
      </c>
      <c r="I63" s="2">
        <v>46172</v>
      </c>
      <c r="J63" s="1" t="s">
        <v>714</v>
      </c>
      <c r="K63">
        <v>14</v>
      </c>
      <c r="L63">
        <v>135.22999999999999</v>
      </c>
      <c r="M63" s="2">
        <v>46181</v>
      </c>
      <c r="N63" t="str">
        <f>IF(po_master[[#This Row],[Approved By]]="", "Missing Approval", "OK")</f>
        <v>OK</v>
      </c>
      <c r="O63" t="str">
        <f>IF(ISBLANK(po_master[[#This Row],[GR Quantity]]), "No GR - Not received", "OK")</f>
        <v>OK</v>
      </c>
      <c r="P63" s="1" t="str">
        <f>IF(po_master[[#This Row],[Promised Delivey Date]]&lt;po_master[[#This Row],[Order Date]], "Invalid", "OK")</f>
        <v>OK</v>
      </c>
      <c r="Q63" s="1" t="str">
        <f>IF(ISBLANK(po_master[[#This Row],[Invoice Number]]), "No Invoice", "OK")</f>
        <v>OK</v>
      </c>
      <c r="R63" s="1" t="str">
        <f>IF(AND(NOT(ISBLANK(po_master[[#This Row],[GR Quantity]])), po_master[[#This Row],[GR Quantity]]&lt;&gt;po_master[[#This Row],[PO Quantity]]), "Qty Variance", "OK")</f>
        <v>OK</v>
      </c>
      <c r="S63" s="1" t="str">
        <f>IF(po_master[[#This Row],[Invoice Unit Price]]&gt;po_master[[#This Row],[PO Unit Price]]*1.01, "Price Variance", "OK")</f>
        <v>OK</v>
      </c>
      <c r="T63" s="1" t="str">
        <f>IF(po_master[[#This Row],[Actual Delivery Date]]&gt;po_master[[#This Row],[Promised Delivey Date]], "Late Delivery", "OK")</f>
        <v>OK</v>
      </c>
      <c r="U63" s="1" t="str">
        <f>IF(COUNTIF(po_master[PO Number],po_master[[#This Row],[PO Number]])&gt;1, "Duplicate Invoice", "OK")</f>
        <v>OK</v>
      </c>
    </row>
    <row r="64" spans="1:21" x14ac:dyDescent="0.25">
      <c r="A64" s="1" t="s">
        <v>61</v>
      </c>
      <c r="B64" s="1" t="s">
        <v>1484</v>
      </c>
      <c r="C64" s="2">
        <v>46049</v>
      </c>
      <c r="D64">
        <v>490</v>
      </c>
      <c r="E64">
        <v>176.23</v>
      </c>
      <c r="F64" s="1" t="s">
        <v>1458</v>
      </c>
      <c r="G64" s="2">
        <v>46057</v>
      </c>
      <c r="H64">
        <v>490</v>
      </c>
      <c r="I64" s="2">
        <v>46059</v>
      </c>
      <c r="J64" s="1" t="s">
        <v>715</v>
      </c>
      <c r="K64">
        <v>490</v>
      </c>
      <c r="L64">
        <v>195.61</v>
      </c>
      <c r="M64" s="2">
        <v>46066</v>
      </c>
      <c r="N64" t="str">
        <f>IF(po_master[[#This Row],[Approved By]]="", "Missing Approval", "OK")</f>
        <v>OK</v>
      </c>
      <c r="O64" t="str">
        <f>IF(ISBLANK(po_master[[#This Row],[GR Quantity]]), "No GR - Not received", "OK")</f>
        <v>OK</v>
      </c>
      <c r="P64" s="1" t="str">
        <f>IF(po_master[[#This Row],[Promised Delivey Date]]&lt;po_master[[#This Row],[Order Date]], "Invalid", "OK")</f>
        <v>OK</v>
      </c>
      <c r="Q64" s="1" t="str">
        <f>IF(ISBLANK(po_master[[#This Row],[Invoice Number]]), "No Invoice", "OK")</f>
        <v>OK</v>
      </c>
      <c r="R64" s="1" t="str">
        <f>IF(AND(NOT(ISBLANK(po_master[[#This Row],[GR Quantity]])), po_master[[#This Row],[GR Quantity]]&lt;&gt;po_master[[#This Row],[PO Quantity]]), "Qty Variance", "OK")</f>
        <v>OK</v>
      </c>
      <c r="S64" s="1" t="str">
        <f>IF(po_master[[#This Row],[Invoice Unit Price]]&gt;po_master[[#This Row],[PO Unit Price]]*1.01, "Price Variance", "OK")</f>
        <v>Price Variance</v>
      </c>
      <c r="T64" s="1" t="str">
        <f>IF(po_master[[#This Row],[Actual Delivery Date]]&gt;po_master[[#This Row],[Promised Delivey Date]], "Late Delivery", "OK")</f>
        <v>Late Delivery</v>
      </c>
      <c r="U64" s="1" t="str">
        <f>IF(COUNTIF(po_master[PO Number],po_master[[#This Row],[PO Number]])&gt;1, "Duplicate Invoice", "OK")</f>
        <v>OK</v>
      </c>
    </row>
    <row r="65" spans="1:21" x14ac:dyDescent="0.25">
      <c r="A65" s="1" t="s">
        <v>62</v>
      </c>
      <c r="B65" s="1" t="s">
        <v>1450</v>
      </c>
      <c r="C65" s="2">
        <v>46164</v>
      </c>
      <c r="D65">
        <v>89</v>
      </c>
      <c r="E65">
        <v>58.11</v>
      </c>
      <c r="F65" s="1" t="s">
        <v>1494</v>
      </c>
      <c r="G65" s="2">
        <v>46175</v>
      </c>
      <c r="H65">
        <v>89</v>
      </c>
      <c r="I65" s="2">
        <v>46173</v>
      </c>
      <c r="J65" s="1" t="s">
        <v>716</v>
      </c>
      <c r="K65">
        <v>89</v>
      </c>
      <c r="L65">
        <v>58.11</v>
      </c>
      <c r="M65" s="2">
        <v>46183</v>
      </c>
      <c r="N65" t="str">
        <f>IF(po_master[[#This Row],[Approved By]]="", "Missing Approval", "OK")</f>
        <v>OK</v>
      </c>
      <c r="O65" t="str">
        <f>IF(ISBLANK(po_master[[#This Row],[GR Quantity]]), "No GR - Not received", "OK")</f>
        <v>OK</v>
      </c>
      <c r="P65" s="1" t="str">
        <f>IF(po_master[[#This Row],[Promised Delivey Date]]&lt;po_master[[#This Row],[Order Date]], "Invalid", "OK")</f>
        <v>OK</v>
      </c>
      <c r="Q65" s="1" t="str">
        <f>IF(ISBLANK(po_master[[#This Row],[Invoice Number]]), "No Invoice", "OK")</f>
        <v>OK</v>
      </c>
      <c r="R65" s="1" t="str">
        <f>IF(AND(NOT(ISBLANK(po_master[[#This Row],[GR Quantity]])), po_master[[#This Row],[GR Quantity]]&lt;&gt;po_master[[#This Row],[PO Quantity]]), "Qty Variance", "OK")</f>
        <v>OK</v>
      </c>
      <c r="S65" s="1" t="str">
        <f>IF(po_master[[#This Row],[Invoice Unit Price]]&gt;po_master[[#This Row],[PO Unit Price]]*1.01, "Price Variance", "OK")</f>
        <v>OK</v>
      </c>
      <c r="T65" s="1" t="str">
        <f>IF(po_master[[#This Row],[Actual Delivery Date]]&gt;po_master[[#This Row],[Promised Delivey Date]], "Late Delivery", "OK")</f>
        <v>OK</v>
      </c>
      <c r="U65" s="1" t="str">
        <f>IF(COUNTIF(po_master[PO Number],po_master[[#This Row],[PO Number]])&gt;1, "Duplicate Invoice", "OK")</f>
        <v>OK</v>
      </c>
    </row>
    <row r="66" spans="1:21" x14ac:dyDescent="0.25">
      <c r="A66" s="1" t="s">
        <v>63</v>
      </c>
      <c r="B66" s="1" t="s">
        <v>1455</v>
      </c>
      <c r="C66" s="2">
        <v>46110</v>
      </c>
      <c r="D66">
        <v>114</v>
      </c>
      <c r="E66">
        <v>139.06</v>
      </c>
      <c r="F66" s="1" t="s">
        <v>1458</v>
      </c>
      <c r="G66" s="2">
        <v>46131</v>
      </c>
      <c r="H66">
        <v>114</v>
      </c>
      <c r="I66" s="2">
        <v>46133</v>
      </c>
      <c r="J66" s="1" t="s">
        <v>717</v>
      </c>
      <c r="K66">
        <v>114</v>
      </c>
      <c r="L66">
        <v>146.41</v>
      </c>
      <c r="M66" s="2">
        <v>46141</v>
      </c>
      <c r="N66" t="str">
        <f>IF(po_master[[#This Row],[Approved By]]="", "Missing Approval", "OK")</f>
        <v>OK</v>
      </c>
      <c r="O66" t="str">
        <f>IF(ISBLANK(po_master[[#This Row],[GR Quantity]]), "No GR - Not received", "OK")</f>
        <v>OK</v>
      </c>
      <c r="P66" s="1" t="str">
        <f>IF(po_master[[#This Row],[Promised Delivey Date]]&lt;po_master[[#This Row],[Order Date]], "Invalid", "OK")</f>
        <v>OK</v>
      </c>
      <c r="Q66" s="1" t="str">
        <f>IF(ISBLANK(po_master[[#This Row],[Invoice Number]]), "No Invoice", "OK")</f>
        <v>OK</v>
      </c>
      <c r="R66" s="1" t="str">
        <f>IF(AND(NOT(ISBLANK(po_master[[#This Row],[GR Quantity]])), po_master[[#This Row],[GR Quantity]]&lt;&gt;po_master[[#This Row],[PO Quantity]]), "Qty Variance", "OK")</f>
        <v>OK</v>
      </c>
      <c r="S66" s="1" t="str">
        <f>IF(po_master[[#This Row],[Invoice Unit Price]]&gt;po_master[[#This Row],[PO Unit Price]]*1.01, "Price Variance", "OK")</f>
        <v>Price Variance</v>
      </c>
      <c r="T66" s="1" t="str">
        <f>IF(po_master[[#This Row],[Actual Delivery Date]]&gt;po_master[[#This Row],[Promised Delivey Date]], "Late Delivery", "OK")</f>
        <v>Late Delivery</v>
      </c>
      <c r="U66" s="1" t="str">
        <f>IF(COUNTIF(po_master[PO Number],po_master[[#This Row],[PO Number]])&gt;1, "Duplicate Invoice", "OK")</f>
        <v>OK</v>
      </c>
    </row>
    <row r="67" spans="1:21" x14ac:dyDescent="0.25">
      <c r="A67" s="1" t="s">
        <v>64</v>
      </c>
      <c r="B67" s="1" t="s">
        <v>1498</v>
      </c>
      <c r="C67" s="2">
        <v>46087</v>
      </c>
      <c r="D67">
        <v>473</v>
      </c>
      <c r="E67">
        <v>182.09</v>
      </c>
      <c r="F67" s="1" t="s">
        <v>1462</v>
      </c>
      <c r="G67" s="2">
        <v>46094</v>
      </c>
      <c r="H67">
        <v>473</v>
      </c>
      <c r="I67" s="2">
        <v>46094</v>
      </c>
      <c r="J67" s="1" t="s">
        <v>718</v>
      </c>
      <c r="K67">
        <v>473</v>
      </c>
      <c r="L67">
        <v>215.58</v>
      </c>
      <c r="M67" s="2">
        <v>46101</v>
      </c>
      <c r="N67" t="str">
        <f>IF(po_master[[#This Row],[Approved By]]="", "Missing Approval", "OK")</f>
        <v>OK</v>
      </c>
      <c r="O67" t="str">
        <f>IF(ISBLANK(po_master[[#This Row],[GR Quantity]]), "No GR - Not received", "OK")</f>
        <v>OK</v>
      </c>
      <c r="P67" s="1" t="str">
        <f>IF(po_master[[#This Row],[Promised Delivey Date]]&lt;po_master[[#This Row],[Order Date]], "Invalid", "OK")</f>
        <v>OK</v>
      </c>
      <c r="Q67" s="1" t="str">
        <f>IF(ISBLANK(po_master[[#This Row],[Invoice Number]]), "No Invoice", "OK")</f>
        <v>OK</v>
      </c>
      <c r="R67" s="1" t="str">
        <f>IF(AND(NOT(ISBLANK(po_master[[#This Row],[GR Quantity]])), po_master[[#This Row],[GR Quantity]]&lt;&gt;po_master[[#This Row],[PO Quantity]]), "Qty Variance", "OK")</f>
        <v>OK</v>
      </c>
      <c r="S67" s="1" t="str">
        <f>IF(po_master[[#This Row],[Invoice Unit Price]]&gt;po_master[[#This Row],[PO Unit Price]]*1.01, "Price Variance", "OK")</f>
        <v>Price Variance</v>
      </c>
      <c r="T67" s="1" t="str">
        <f>IF(po_master[[#This Row],[Actual Delivery Date]]&gt;po_master[[#This Row],[Promised Delivey Date]], "Late Delivery", "OK")</f>
        <v>OK</v>
      </c>
      <c r="U67" s="1" t="str">
        <f>IF(COUNTIF(po_master[PO Number],po_master[[#This Row],[PO Number]])&gt;1, "Duplicate Invoice", "OK")</f>
        <v>OK</v>
      </c>
    </row>
    <row r="68" spans="1:21" x14ac:dyDescent="0.25">
      <c r="A68" s="1" t="s">
        <v>65</v>
      </c>
      <c r="B68" s="1" t="s">
        <v>1439</v>
      </c>
      <c r="C68" s="2">
        <v>46131</v>
      </c>
      <c r="D68">
        <v>434</v>
      </c>
      <c r="E68">
        <v>58.95</v>
      </c>
      <c r="F68" s="1" t="s">
        <v>1448</v>
      </c>
      <c r="G68" s="2">
        <v>46146</v>
      </c>
      <c r="H68">
        <v>434</v>
      </c>
      <c r="I68" s="2">
        <v>46146</v>
      </c>
      <c r="J68" s="1" t="s">
        <v>719</v>
      </c>
      <c r="K68">
        <v>434</v>
      </c>
      <c r="L68">
        <v>58.95</v>
      </c>
      <c r="M68" s="2">
        <v>46156</v>
      </c>
      <c r="N68" t="str">
        <f>IF(po_master[[#This Row],[Approved By]]="", "Missing Approval", "OK")</f>
        <v>OK</v>
      </c>
      <c r="O68" t="str">
        <f>IF(ISBLANK(po_master[[#This Row],[GR Quantity]]), "No GR - Not received", "OK")</f>
        <v>OK</v>
      </c>
      <c r="P68" s="1" t="str">
        <f>IF(po_master[[#This Row],[Promised Delivey Date]]&lt;po_master[[#This Row],[Order Date]], "Invalid", "OK")</f>
        <v>OK</v>
      </c>
      <c r="Q68" s="1" t="str">
        <f>IF(ISBLANK(po_master[[#This Row],[Invoice Number]]), "No Invoice", "OK")</f>
        <v>OK</v>
      </c>
      <c r="R68" s="1" t="str">
        <f>IF(AND(NOT(ISBLANK(po_master[[#This Row],[GR Quantity]])), po_master[[#This Row],[GR Quantity]]&lt;&gt;po_master[[#This Row],[PO Quantity]]), "Qty Variance", "OK")</f>
        <v>OK</v>
      </c>
      <c r="S68" s="1" t="str">
        <f>IF(po_master[[#This Row],[Invoice Unit Price]]&gt;po_master[[#This Row],[PO Unit Price]]*1.01, "Price Variance", "OK")</f>
        <v>OK</v>
      </c>
      <c r="T68" s="1" t="str">
        <f>IF(po_master[[#This Row],[Actual Delivery Date]]&gt;po_master[[#This Row],[Promised Delivey Date]], "Late Delivery", "OK")</f>
        <v>OK</v>
      </c>
      <c r="U68" s="1" t="str">
        <f>IF(COUNTIF(po_master[PO Number],po_master[[#This Row],[PO Number]])&gt;1, "Duplicate Invoice", "OK")</f>
        <v>OK</v>
      </c>
    </row>
    <row r="69" spans="1:21" x14ac:dyDescent="0.25">
      <c r="A69" s="1" t="s">
        <v>66</v>
      </c>
      <c r="B69" s="1" t="s">
        <v>1441</v>
      </c>
      <c r="C69" s="2">
        <v>46090</v>
      </c>
      <c r="D69">
        <v>92</v>
      </c>
      <c r="E69">
        <v>149.54</v>
      </c>
      <c r="F69" s="1" t="s">
        <v>1442</v>
      </c>
      <c r="G69" s="2">
        <v>46108</v>
      </c>
      <c r="H69">
        <v>92</v>
      </c>
      <c r="I69" s="2">
        <v>46108</v>
      </c>
      <c r="J69" s="1" t="s">
        <v>720</v>
      </c>
      <c r="K69">
        <v>92</v>
      </c>
      <c r="L69">
        <v>149.54</v>
      </c>
      <c r="M69" s="2">
        <v>46115</v>
      </c>
      <c r="N69" t="str">
        <f>IF(po_master[[#This Row],[Approved By]]="", "Missing Approval", "OK")</f>
        <v>OK</v>
      </c>
      <c r="O69" t="str">
        <f>IF(ISBLANK(po_master[[#This Row],[GR Quantity]]), "No GR - Not received", "OK")</f>
        <v>OK</v>
      </c>
      <c r="P69" s="1" t="str">
        <f>IF(po_master[[#This Row],[Promised Delivey Date]]&lt;po_master[[#This Row],[Order Date]], "Invalid", "OK")</f>
        <v>OK</v>
      </c>
      <c r="Q69" s="1" t="str">
        <f>IF(ISBLANK(po_master[[#This Row],[Invoice Number]]), "No Invoice", "OK")</f>
        <v>OK</v>
      </c>
      <c r="R69" s="1" t="str">
        <f>IF(AND(NOT(ISBLANK(po_master[[#This Row],[GR Quantity]])), po_master[[#This Row],[GR Quantity]]&lt;&gt;po_master[[#This Row],[PO Quantity]]), "Qty Variance", "OK")</f>
        <v>OK</v>
      </c>
      <c r="S69" s="1" t="str">
        <f>IF(po_master[[#This Row],[Invoice Unit Price]]&gt;po_master[[#This Row],[PO Unit Price]]*1.01, "Price Variance", "OK")</f>
        <v>OK</v>
      </c>
      <c r="T69" s="1" t="str">
        <f>IF(po_master[[#This Row],[Actual Delivery Date]]&gt;po_master[[#This Row],[Promised Delivey Date]], "Late Delivery", "OK")</f>
        <v>OK</v>
      </c>
      <c r="U69" s="1" t="str">
        <f>IF(COUNTIF(po_master[PO Number],po_master[[#This Row],[PO Number]])&gt;1, "Duplicate Invoice", "OK")</f>
        <v>Duplicate Invoice</v>
      </c>
    </row>
    <row r="70" spans="1:21" x14ac:dyDescent="0.25">
      <c r="A70" s="1" t="s">
        <v>66</v>
      </c>
      <c r="B70" s="1" t="s">
        <v>1441</v>
      </c>
      <c r="C70" s="2">
        <v>46090</v>
      </c>
      <c r="D70">
        <v>92</v>
      </c>
      <c r="E70">
        <v>149.54</v>
      </c>
      <c r="F70" s="1" t="s">
        <v>1442</v>
      </c>
      <c r="G70" s="2">
        <v>46108</v>
      </c>
      <c r="H70">
        <v>92</v>
      </c>
      <c r="I70" s="2">
        <v>46108</v>
      </c>
      <c r="J70" s="1" t="s">
        <v>721</v>
      </c>
      <c r="K70">
        <v>92</v>
      </c>
      <c r="L70">
        <v>149.54</v>
      </c>
      <c r="M70" s="2">
        <v>46118</v>
      </c>
      <c r="N70" t="str">
        <f>IF(po_master[[#This Row],[Approved By]]="", "Missing Approval", "OK")</f>
        <v>OK</v>
      </c>
      <c r="O70" t="str">
        <f>IF(ISBLANK(po_master[[#This Row],[GR Quantity]]), "No GR - Not received", "OK")</f>
        <v>OK</v>
      </c>
      <c r="P70" s="1" t="str">
        <f>IF(po_master[[#This Row],[Promised Delivey Date]]&lt;po_master[[#This Row],[Order Date]], "Invalid", "OK")</f>
        <v>OK</v>
      </c>
      <c r="Q70" s="1" t="str">
        <f>IF(ISBLANK(po_master[[#This Row],[Invoice Number]]), "No Invoice", "OK")</f>
        <v>OK</v>
      </c>
      <c r="R70" s="1" t="str">
        <f>IF(AND(NOT(ISBLANK(po_master[[#This Row],[GR Quantity]])), po_master[[#This Row],[GR Quantity]]&lt;&gt;po_master[[#This Row],[PO Quantity]]), "Qty Variance", "OK")</f>
        <v>OK</v>
      </c>
      <c r="S70" s="1" t="str">
        <f>IF(po_master[[#This Row],[Invoice Unit Price]]&gt;po_master[[#This Row],[PO Unit Price]]*1.01, "Price Variance", "OK")</f>
        <v>OK</v>
      </c>
      <c r="T70" s="1" t="str">
        <f>IF(po_master[[#This Row],[Actual Delivery Date]]&gt;po_master[[#This Row],[Promised Delivey Date]], "Late Delivery", "OK")</f>
        <v>OK</v>
      </c>
      <c r="U70" s="1" t="str">
        <f>IF(COUNTIF(po_master[PO Number],po_master[[#This Row],[PO Number]])&gt;1, "Duplicate Invoice", "OK")</f>
        <v>Duplicate Invoice</v>
      </c>
    </row>
    <row r="71" spans="1:21" x14ac:dyDescent="0.25">
      <c r="A71" s="1" t="s">
        <v>67</v>
      </c>
      <c r="B71" s="1" t="s">
        <v>1454</v>
      </c>
      <c r="C71" s="2">
        <v>46025</v>
      </c>
      <c r="D71">
        <v>67</v>
      </c>
      <c r="E71">
        <v>19.670000000000002</v>
      </c>
      <c r="F71" s="1" t="s">
        <v>1499</v>
      </c>
      <c r="G71" s="2">
        <v>46034</v>
      </c>
      <c r="H71">
        <v>67</v>
      </c>
      <c r="I71" s="2">
        <v>46036</v>
      </c>
      <c r="J71" s="1" t="s">
        <v>722</v>
      </c>
      <c r="K71">
        <v>67</v>
      </c>
      <c r="L71">
        <v>19.670000000000002</v>
      </c>
      <c r="M71" s="2">
        <v>46042</v>
      </c>
      <c r="N71" t="str">
        <f>IF(po_master[[#This Row],[Approved By]]="", "Missing Approval", "OK")</f>
        <v>OK</v>
      </c>
      <c r="O71" t="str">
        <f>IF(ISBLANK(po_master[[#This Row],[GR Quantity]]), "No GR - Not received", "OK")</f>
        <v>OK</v>
      </c>
      <c r="P71" s="1" t="str">
        <f>IF(po_master[[#This Row],[Promised Delivey Date]]&lt;po_master[[#This Row],[Order Date]], "Invalid", "OK")</f>
        <v>OK</v>
      </c>
      <c r="Q71" s="1" t="str">
        <f>IF(ISBLANK(po_master[[#This Row],[Invoice Number]]), "No Invoice", "OK")</f>
        <v>OK</v>
      </c>
      <c r="R71" s="1" t="str">
        <f>IF(AND(NOT(ISBLANK(po_master[[#This Row],[GR Quantity]])), po_master[[#This Row],[GR Quantity]]&lt;&gt;po_master[[#This Row],[PO Quantity]]), "Qty Variance", "OK")</f>
        <v>OK</v>
      </c>
      <c r="S71" s="1" t="str">
        <f>IF(po_master[[#This Row],[Invoice Unit Price]]&gt;po_master[[#This Row],[PO Unit Price]]*1.01, "Price Variance", "OK")</f>
        <v>OK</v>
      </c>
      <c r="T71" s="1" t="str">
        <f>IF(po_master[[#This Row],[Actual Delivery Date]]&gt;po_master[[#This Row],[Promised Delivey Date]], "Late Delivery", "OK")</f>
        <v>Late Delivery</v>
      </c>
      <c r="U71" s="1" t="str">
        <f>IF(COUNTIF(po_master[PO Number],po_master[[#This Row],[PO Number]])&gt;1, "Duplicate Invoice", "OK")</f>
        <v>OK</v>
      </c>
    </row>
    <row r="72" spans="1:21" x14ac:dyDescent="0.25">
      <c r="A72" s="1" t="s">
        <v>68</v>
      </c>
      <c r="B72" s="1" t="s">
        <v>1471</v>
      </c>
      <c r="C72" s="2">
        <v>46032</v>
      </c>
      <c r="D72">
        <v>437</v>
      </c>
      <c r="E72">
        <v>77</v>
      </c>
      <c r="F72" s="1" t="s">
        <v>1442</v>
      </c>
      <c r="G72" s="2">
        <v>46041</v>
      </c>
      <c r="H72">
        <v>437</v>
      </c>
      <c r="I72" s="2">
        <v>46043</v>
      </c>
      <c r="J72" s="1" t="s">
        <v>723</v>
      </c>
      <c r="K72">
        <v>437</v>
      </c>
      <c r="L72">
        <v>77</v>
      </c>
      <c r="M72" s="2">
        <v>46045</v>
      </c>
      <c r="N72" t="str">
        <f>IF(po_master[[#This Row],[Approved By]]="", "Missing Approval", "OK")</f>
        <v>OK</v>
      </c>
      <c r="O72" t="str">
        <f>IF(ISBLANK(po_master[[#This Row],[GR Quantity]]), "No GR - Not received", "OK")</f>
        <v>OK</v>
      </c>
      <c r="P72" s="1" t="str">
        <f>IF(po_master[[#This Row],[Promised Delivey Date]]&lt;po_master[[#This Row],[Order Date]], "Invalid", "OK")</f>
        <v>OK</v>
      </c>
      <c r="Q72" s="1" t="str">
        <f>IF(ISBLANK(po_master[[#This Row],[Invoice Number]]), "No Invoice", "OK")</f>
        <v>OK</v>
      </c>
      <c r="R72" s="1" t="str">
        <f>IF(AND(NOT(ISBLANK(po_master[[#This Row],[GR Quantity]])), po_master[[#This Row],[GR Quantity]]&lt;&gt;po_master[[#This Row],[PO Quantity]]), "Qty Variance", "OK")</f>
        <v>OK</v>
      </c>
      <c r="S72" s="1" t="str">
        <f>IF(po_master[[#This Row],[Invoice Unit Price]]&gt;po_master[[#This Row],[PO Unit Price]]*1.01, "Price Variance", "OK")</f>
        <v>OK</v>
      </c>
      <c r="T72" s="1" t="str">
        <f>IF(po_master[[#This Row],[Actual Delivery Date]]&gt;po_master[[#This Row],[Promised Delivey Date]], "Late Delivery", "OK")</f>
        <v>Late Delivery</v>
      </c>
      <c r="U72" s="1" t="str">
        <f>IF(COUNTIF(po_master[PO Number],po_master[[#This Row],[PO Number]])&gt;1, "Duplicate Invoice", "OK")</f>
        <v>OK</v>
      </c>
    </row>
    <row r="73" spans="1:21" x14ac:dyDescent="0.25">
      <c r="A73" s="1" t="s">
        <v>69</v>
      </c>
      <c r="B73" s="1" t="s">
        <v>1500</v>
      </c>
      <c r="C73" s="2">
        <v>46055</v>
      </c>
      <c r="D73">
        <v>31</v>
      </c>
      <c r="E73">
        <v>65.11</v>
      </c>
      <c r="F73" s="1" t="s">
        <v>1462</v>
      </c>
      <c r="G73" s="2">
        <v>46071</v>
      </c>
      <c r="H73">
        <v>31</v>
      </c>
      <c r="I73" s="2">
        <v>46072</v>
      </c>
      <c r="J73" s="1" t="s">
        <v>724</v>
      </c>
      <c r="K73">
        <v>31</v>
      </c>
      <c r="L73">
        <v>65.11</v>
      </c>
      <c r="M73" s="2">
        <v>46081</v>
      </c>
      <c r="N73" t="str">
        <f>IF(po_master[[#This Row],[Approved By]]="", "Missing Approval", "OK")</f>
        <v>OK</v>
      </c>
      <c r="O73" t="str">
        <f>IF(ISBLANK(po_master[[#This Row],[GR Quantity]]), "No GR - Not received", "OK")</f>
        <v>OK</v>
      </c>
      <c r="P73" s="1" t="str">
        <f>IF(po_master[[#This Row],[Promised Delivey Date]]&lt;po_master[[#This Row],[Order Date]], "Invalid", "OK")</f>
        <v>OK</v>
      </c>
      <c r="Q73" s="1" t="str">
        <f>IF(ISBLANK(po_master[[#This Row],[Invoice Number]]), "No Invoice", "OK")</f>
        <v>OK</v>
      </c>
      <c r="R73" s="1" t="str">
        <f>IF(AND(NOT(ISBLANK(po_master[[#This Row],[GR Quantity]])), po_master[[#This Row],[GR Quantity]]&lt;&gt;po_master[[#This Row],[PO Quantity]]), "Qty Variance", "OK")</f>
        <v>OK</v>
      </c>
      <c r="S73" s="1" t="str">
        <f>IF(po_master[[#This Row],[Invoice Unit Price]]&gt;po_master[[#This Row],[PO Unit Price]]*1.01, "Price Variance", "OK")</f>
        <v>OK</v>
      </c>
      <c r="T73" s="1" t="str">
        <f>IF(po_master[[#This Row],[Actual Delivery Date]]&gt;po_master[[#This Row],[Promised Delivey Date]], "Late Delivery", "OK")</f>
        <v>Late Delivery</v>
      </c>
      <c r="U73" s="1" t="str">
        <f>IF(COUNTIF(po_master[PO Number],po_master[[#This Row],[PO Number]])&gt;1, "Duplicate Invoice", "OK")</f>
        <v>OK</v>
      </c>
    </row>
    <row r="74" spans="1:21" x14ac:dyDescent="0.25">
      <c r="A74" s="1" t="s">
        <v>70</v>
      </c>
      <c r="B74" s="1" t="s">
        <v>1463</v>
      </c>
      <c r="C74" s="2">
        <v>46086</v>
      </c>
      <c r="D74">
        <v>351</v>
      </c>
      <c r="E74">
        <v>25.04</v>
      </c>
      <c r="F74" s="1" t="s">
        <v>1456</v>
      </c>
      <c r="G74" s="2">
        <v>46104</v>
      </c>
      <c r="H74">
        <v>351</v>
      </c>
      <c r="I74" s="2">
        <v>46115</v>
      </c>
      <c r="J74" s="1" t="s">
        <v>725</v>
      </c>
      <c r="K74">
        <v>351</v>
      </c>
      <c r="L74">
        <v>25.04</v>
      </c>
      <c r="M74" s="2">
        <v>46112</v>
      </c>
      <c r="N74" t="str">
        <f>IF(po_master[[#This Row],[Approved By]]="", "Missing Approval", "OK")</f>
        <v>OK</v>
      </c>
      <c r="O74" t="str">
        <f>IF(ISBLANK(po_master[[#This Row],[GR Quantity]]), "No GR - Not received", "OK")</f>
        <v>OK</v>
      </c>
      <c r="P74" s="1" t="str">
        <f>IF(po_master[[#This Row],[Promised Delivey Date]]&lt;po_master[[#This Row],[Order Date]], "Invalid", "OK")</f>
        <v>OK</v>
      </c>
      <c r="Q74" s="1" t="str">
        <f>IF(ISBLANK(po_master[[#This Row],[Invoice Number]]), "No Invoice", "OK")</f>
        <v>OK</v>
      </c>
      <c r="R74" s="1" t="str">
        <f>IF(AND(NOT(ISBLANK(po_master[[#This Row],[GR Quantity]])), po_master[[#This Row],[GR Quantity]]&lt;&gt;po_master[[#This Row],[PO Quantity]]), "Qty Variance", "OK")</f>
        <v>OK</v>
      </c>
      <c r="S74" s="1" t="str">
        <f>IF(po_master[[#This Row],[Invoice Unit Price]]&gt;po_master[[#This Row],[PO Unit Price]]*1.01, "Price Variance", "OK")</f>
        <v>OK</v>
      </c>
      <c r="T74" s="1" t="str">
        <f>IF(po_master[[#This Row],[Actual Delivery Date]]&gt;po_master[[#This Row],[Promised Delivey Date]], "Late Delivery", "OK")</f>
        <v>Late Delivery</v>
      </c>
      <c r="U74" s="1" t="str">
        <f>IF(COUNTIF(po_master[PO Number],po_master[[#This Row],[PO Number]])&gt;1, "Duplicate Invoice", "OK")</f>
        <v>OK</v>
      </c>
    </row>
    <row r="75" spans="1:21" x14ac:dyDescent="0.25">
      <c r="A75" s="1" t="s">
        <v>71</v>
      </c>
      <c r="B75" s="1" t="s">
        <v>1497</v>
      </c>
      <c r="C75" s="2">
        <v>46062</v>
      </c>
      <c r="D75">
        <v>483</v>
      </c>
      <c r="E75">
        <v>186.33</v>
      </c>
      <c r="F75" s="1" t="s">
        <v>1501</v>
      </c>
      <c r="G75" s="2">
        <v>46072</v>
      </c>
      <c r="H75">
        <v>483</v>
      </c>
      <c r="I75" s="2">
        <v>46072</v>
      </c>
      <c r="J75" s="1" t="s">
        <v>726</v>
      </c>
      <c r="K75">
        <v>483</v>
      </c>
      <c r="L75">
        <v>186.33</v>
      </c>
      <c r="M75" s="2">
        <v>46079</v>
      </c>
      <c r="N75" t="str">
        <f>IF(po_master[[#This Row],[Approved By]]="", "Missing Approval", "OK")</f>
        <v>OK</v>
      </c>
      <c r="O75" t="str">
        <f>IF(ISBLANK(po_master[[#This Row],[GR Quantity]]), "No GR - Not received", "OK")</f>
        <v>OK</v>
      </c>
      <c r="P75" s="1" t="str">
        <f>IF(po_master[[#This Row],[Promised Delivey Date]]&lt;po_master[[#This Row],[Order Date]], "Invalid", "OK")</f>
        <v>OK</v>
      </c>
      <c r="Q75" s="1" t="str">
        <f>IF(ISBLANK(po_master[[#This Row],[Invoice Number]]), "No Invoice", "OK")</f>
        <v>OK</v>
      </c>
      <c r="R75" s="1" t="str">
        <f>IF(AND(NOT(ISBLANK(po_master[[#This Row],[GR Quantity]])), po_master[[#This Row],[GR Quantity]]&lt;&gt;po_master[[#This Row],[PO Quantity]]), "Qty Variance", "OK")</f>
        <v>OK</v>
      </c>
      <c r="S75" s="1" t="str">
        <f>IF(po_master[[#This Row],[Invoice Unit Price]]&gt;po_master[[#This Row],[PO Unit Price]]*1.01, "Price Variance", "OK")</f>
        <v>OK</v>
      </c>
      <c r="T75" s="1" t="str">
        <f>IF(po_master[[#This Row],[Actual Delivery Date]]&gt;po_master[[#This Row],[Promised Delivey Date]], "Late Delivery", "OK")</f>
        <v>OK</v>
      </c>
      <c r="U75" s="1" t="str">
        <f>IF(COUNTIF(po_master[PO Number],po_master[[#This Row],[PO Number]])&gt;1, "Duplicate Invoice", "OK")</f>
        <v>OK</v>
      </c>
    </row>
    <row r="76" spans="1:21" x14ac:dyDescent="0.25">
      <c r="A76" s="1" t="s">
        <v>72</v>
      </c>
      <c r="B76" s="1" t="s">
        <v>1495</v>
      </c>
      <c r="C76" s="2">
        <v>46029</v>
      </c>
      <c r="D76">
        <v>101</v>
      </c>
      <c r="E76">
        <v>148.63</v>
      </c>
      <c r="F76" s="1" t="s">
        <v>1472</v>
      </c>
      <c r="G76" s="2">
        <v>46047</v>
      </c>
      <c r="H76">
        <v>101</v>
      </c>
      <c r="I76" s="2">
        <v>46046</v>
      </c>
      <c r="J76" s="1" t="s">
        <v>727</v>
      </c>
      <c r="K76">
        <v>101</v>
      </c>
      <c r="L76">
        <v>148.63</v>
      </c>
      <c r="M76" s="2">
        <v>46053</v>
      </c>
      <c r="N76" t="str">
        <f>IF(po_master[[#This Row],[Approved By]]="", "Missing Approval", "OK")</f>
        <v>OK</v>
      </c>
      <c r="O76" t="str">
        <f>IF(ISBLANK(po_master[[#This Row],[GR Quantity]]), "No GR - Not received", "OK")</f>
        <v>OK</v>
      </c>
      <c r="P76" s="1" t="str">
        <f>IF(po_master[[#This Row],[Promised Delivey Date]]&lt;po_master[[#This Row],[Order Date]], "Invalid", "OK")</f>
        <v>OK</v>
      </c>
      <c r="Q76" s="1" t="str">
        <f>IF(ISBLANK(po_master[[#This Row],[Invoice Number]]), "No Invoice", "OK")</f>
        <v>OK</v>
      </c>
      <c r="R76" s="1" t="str">
        <f>IF(AND(NOT(ISBLANK(po_master[[#This Row],[GR Quantity]])), po_master[[#This Row],[GR Quantity]]&lt;&gt;po_master[[#This Row],[PO Quantity]]), "Qty Variance", "OK")</f>
        <v>OK</v>
      </c>
      <c r="S76" s="1" t="str">
        <f>IF(po_master[[#This Row],[Invoice Unit Price]]&gt;po_master[[#This Row],[PO Unit Price]]*1.01, "Price Variance", "OK")</f>
        <v>OK</v>
      </c>
      <c r="T76" s="1" t="str">
        <f>IF(po_master[[#This Row],[Actual Delivery Date]]&gt;po_master[[#This Row],[Promised Delivey Date]], "Late Delivery", "OK")</f>
        <v>OK</v>
      </c>
      <c r="U76" s="1" t="str">
        <f>IF(COUNTIF(po_master[PO Number],po_master[[#This Row],[PO Number]])&gt;1, "Duplicate Invoice", "OK")</f>
        <v>OK</v>
      </c>
    </row>
    <row r="77" spans="1:21" x14ac:dyDescent="0.25">
      <c r="A77" s="1" t="s">
        <v>73</v>
      </c>
      <c r="B77" s="1" t="s">
        <v>1484</v>
      </c>
      <c r="C77" s="2">
        <v>46086</v>
      </c>
      <c r="D77">
        <v>146</v>
      </c>
      <c r="E77">
        <v>36.04</v>
      </c>
      <c r="F77" s="1" t="s">
        <v>1499</v>
      </c>
      <c r="G77" s="2">
        <v>46094</v>
      </c>
      <c r="H77">
        <v>146</v>
      </c>
      <c r="I77" s="2">
        <v>46093</v>
      </c>
      <c r="J77" s="1" t="s">
        <v>728</v>
      </c>
      <c r="K77">
        <v>146</v>
      </c>
      <c r="L77">
        <v>36.04</v>
      </c>
      <c r="M77" s="2">
        <v>46097</v>
      </c>
      <c r="N77" t="str">
        <f>IF(po_master[[#This Row],[Approved By]]="", "Missing Approval", "OK")</f>
        <v>OK</v>
      </c>
      <c r="O77" t="str">
        <f>IF(ISBLANK(po_master[[#This Row],[GR Quantity]]), "No GR - Not received", "OK")</f>
        <v>OK</v>
      </c>
      <c r="P77" s="1" t="str">
        <f>IF(po_master[[#This Row],[Promised Delivey Date]]&lt;po_master[[#This Row],[Order Date]], "Invalid", "OK")</f>
        <v>OK</v>
      </c>
      <c r="Q77" s="1" t="str">
        <f>IF(ISBLANK(po_master[[#This Row],[Invoice Number]]), "No Invoice", "OK")</f>
        <v>OK</v>
      </c>
      <c r="R77" s="1" t="str">
        <f>IF(AND(NOT(ISBLANK(po_master[[#This Row],[GR Quantity]])), po_master[[#This Row],[GR Quantity]]&lt;&gt;po_master[[#This Row],[PO Quantity]]), "Qty Variance", "OK")</f>
        <v>OK</v>
      </c>
      <c r="S77" s="1" t="str">
        <f>IF(po_master[[#This Row],[Invoice Unit Price]]&gt;po_master[[#This Row],[PO Unit Price]]*1.01, "Price Variance", "OK")</f>
        <v>OK</v>
      </c>
      <c r="T77" s="1" t="str">
        <f>IF(po_master[[#This Row],[Actual Delivery Date]]&gt;po_master[[#This Row],[Promised Delivey Date]], "Late Delivery", "OK")</f>
        <v>OK</v>
      </c>
      <c r="U77" s="1" t="str">
        <f>IF(COUNTIF(po_master[PO Number],po_master[[#This Row],[PO Number]])&gt;1, "Duplicate Invoice", "OK")</f>
        <v>OK</v>
      </c>
    </row>
    <row r="78" spans="1:21" x14ac:dyDescent="0.25">
      <c r="A78" s="1" t="s">
        <v>74</v>
      </c>
      <c r="B78" s="1" t="s">
        <v>1502</v>
      </c>
      <c r="C78" s="2">
        <v>46032</v>
      </c>
      <c r="D78">
        <v>449</v>
      </c>
      <c r="E78">
        <v>96.78</v>
      </c>
      <c r="F78" s="1" t="s">
        <v>1444</v>
      </c>
      <c r="G78" s="2">
        <v>46051</v>
      </c>
      <c r="H78">
        <v>449</v>
      </c>
      <c r="I78" s="2">
        <v>46051</v>
      </c>
      <c r="J78" s="1" t="s">
        <v>729</v>
      </c>
      <c r="K78">
        <v>449</v>
      </c>
      <c r="L78">
        <v>96.78</v>
      </c>
      <c r="M78" s="2">
        <v>46053</v>
      </c>
      <c r="N78" t="str">
        <f>IF(po_master[[#This Row],[Approved By]]="", "Missing Approval", "OK")</f>
        <v>OK</v>
      </c>
      <c r="O78" t="str">
        <f>IF(ISBLANK(po_master[[#This Row],[GR Quantity]]), "No GR - Not received", "OK")</f>
        <v>OK</v>
      </c>
      <c r="P78" s="1" t="str">
        <f>IF(po_master[[#This Row],[Promised Delivey Date]]&lt;po_master[[#This Row],[Order Date]], "Invalid", "OK")</f>
        <v>OK</v>
      </c>
      <c r="Q78" s="1" t="str">
        <f>IF(ISBLANK(po_master[[#This Row],[Invoice Number]]), "No Invoice", "OK")</f>
        <v>OK</v>
      </c>
      <c r="R78" s="1" t="str">
        <f>IF(AND(NOT(ISBLANK(po_master[[#This Row],[GR Quantity]])), po_master[[#This Row],[GR Quantity]]&lt;&gt;po_master[[#This Row],[PO Quantity]]), "Qty Variance", "OK")</f>
        <v>OK</v>
      </c>
      <c r="S78" s="1" t="str">
        <f>IF(po_master[[#This Row],[Invoice Unit Price]]&gt;po_master[[#This Row],[PO Unit Price]]*1.01, "Price Variance", "OK")</f>
        <v>OK</v>
      </c>
      <c r="T78" s="1" t="str">
        <f>IF(po_master[[#This Row],[Actual Delivery Date]]&gt;po_master[[#This Row],[Promised Delivey Date]], "Late Delivery", "OK")</f>
        <v>OK</v>
      </c>
      <c r="U78" s="1" t="str">
        <f>IF(COUNTIF(po_master[PO Number],po_master[[#This Row],[PO Number]])&gt;1, "Duplicate Invoice", "OK")</f>
        <v>OK</v>
      </c>
    </row>
    <row r="79" spans="1:21" x14ac:dyDescent="0.25">
      <c r="A79" s="1" t="s">
        <v>75</v>
      </c>
      <c r="B79" s="1" t="s">
        <v>1503</v>
      </c>
      <c r="C79" s="2">
        <v>46101</v>
      </c>
      <c r="D79">
        <v>430</v>
      </c>
      <c r="E79">
        <v>160.09</v>
      </c>
      <c r="F79" s="1" t="s">
        <v>1440</v>
      </c>
      <c r="G79" s="2">
        <v>46113</v>
      </c>
      <c r="H79">
        <v>430</v>
      </c>
      <c r="I79" s="2">
        <v>46125</v>
      </c>
      <c r="J79" s="1" t="s">
        <v>730</v>
      </c>
      <c r="K79">
        <v>430</v>
      </c>
      <c r="L79">
        <v>160.09</v>
      </c>
      <c r="M79" s="2">
        <v>46117</v>
      </c>
      <c r="N79" t="str">
        <f>IF(po_master[[#This Row],[Approved By]]="", "Missing Approval", "OK")</f>
        <v>OK</v>
      </c>
      <c r="O79" t="str">
        <f>IF(ISBLANK(po_master[[#This Row],[GR Quantity]]), "No GR - Not received", "OK")</f>
        <v>OK</v>
      </c>
      <c r="P79" s="1" t="str">
        <f>IF(po_master[[#This Row],[Promised Delivey Date]]&lt;po_master[[#This Row],[Order Date]], "Invalid", "OK")</f>
        <v>OK</v>
      </c>
      <c r="Q79" s="1" t="str">
        <f>IF(ISBLANK(po_master[[#This Row],[Invoice Number]]), "No Invoice", "OK")</f>
        <v>OK</v>
      </c>
      <c r="R79" s="1" t="str">
        <f>IF(AND(NOT(ISBLANK(po_master[[#This Row],[GR Quantity]])), po_master[[#This Row],[GR Quantity]]&lt;&gt;po_master[[#This Row],[PO Quantity]]), "Qty Variance", "OK")</f>
        <v>OK</v>
      </c>
      <c r="S79" s="1" t="str">
        <f>IF(po_master[[#This Row],[Invoice Unit Price]]&gt;po_master[[#This Row],[PO Unit Price]]*1.01, "Price Variance", "OK")</f>
        <v>OK</v>
      </c>
      <c r="T79" s="1" t="str">
        <f>IF(po_master[[#This Row],[Actual Delivery Date]]&gt;po_master[[#This Row],[Promised Delivey Date]], "Late Delivery", "OK")</f>
        <v>Late Delivery</v>
      </c>
      <c r="U79" s="1" t="str">
        <f>IF(COUNTIF(po_master[PO Number],po_master[[#This Row],[PO Number]])&gt;1, "Duplicate Invoice", "OK")</f>
        <v>OK</v>
      </c>
    </row>
    <row r="80" spans="1:21" x14ac:dyDescent="0.25">
      <c r="A80" s="1" t="s">
        <v>76</v>
      </c>
      <c r="B80" s="1" t="s">
        <v>1473</v>
      </c>
      <c r="C80" s="2">
        <v>46072</v>
      </c>
      <c r="D80">
        <v>214</v>
      </c>
      <c r="E80">
        <v>69.010000000000005</v>
      </c>
      <c r="F80" s="1" t="s">
        <v>1476</v>
      </c>
      <c r="G80" s="2">
        <v>46085</v>
      </c>
      <c r="H80">
        <v>214</v>
      </c>
      <c r="I80" s="2">
        <v>46084</v>
      </c>
      <c r="J80" s="1" t="s">
        <v>731</v>
      </c>
      <c r="K80">
        <v>214</v>
      </c>
      <c r="L80">
        <v>69.010000000000005</v>
      </c>
      <c r="M80" s="2">
        <v>46092</v>
      </c>
      <c r="N80" t="str">
        <f>IF(po_master[[#This Row],[Approved By]]="", "Missing Approval", "OK")</f>
        <v>OK</v>
      </c>
      <c r="O80" t="str">
        <f>IF(ISBLANK(po_master[[#This Row],[GR Quantity]]), "No GR - Not received", "OK")</f>
        <v>OK</v>
      </c>
      <c r="P80" s="1" t="str">
        <f>IF(po_master[[#This Row],[Promised Delivey Date]]&lt;po_master[[#This Row],[Order Date]], "Invalid", "OK")</f>
        <v>OK</v>
      </c>
      <c r="Q80" s="1" t="str">
        <f>IF(ISBLANK(po_master[[#This Row],[Invoice Number]]), "No Invoice", "OK")</f>
        <v>OK</v>
      </c>
      <c r="R80" s="1" t="str">
        <f>IF(AND(NOT(ISBLANK(po_master[[#This Row],[GR Quantity]])), po_master[[#This Row],[GR Quantity]]&lt;&gt;po_master[[#This Row],[PO Quantity]]), "Qty Variance", "OK")</f>
        <v>OK</v>
      </c>
      <c r="S80" s="1" t="str">
        <f>IF(po_master[[#This Row],[Invoice Unit Price]]&gt;po_master[[#This Row],[PO Unit Price]]*1.01, "Price Variance", "OK")</f>
        <v>OK</v>
      </c>
      <c r="T80" s="1" t="str">
        <f>IF(po_master[[#This Row],[Actual Delivery Date]]&gt;po_master[[#This Row],[Promised Delivey Date]], "Late Delivery", "OK")</f>
        <v>OK</v>
      </c>
      <c r="U80" s="1" t="str">
        <f>IF(COUNTIF(po_master[PO Number],po_master[[#This Row],[PO Number]])&gt;1, "Duplicate Invoice", "OK")</f>
        <v>OK</v>
      </c>
    </row>
    <row r="81" spans="1:21" x14ac:dyDescent="0.25">
      <c r="A81" s="1" t="s">
        <v>77</v>
      </c>
      <c r="B81" s="1" t="s">
        <v>1503</v>
      </c>
      <c r="C81" s="2">
        <v>46153</v>
      </c>
      <c r="D81">
        <v>214</v>
      </c>
      <c r="E81">
        <v>137.51</v>
      </c>
      <c r="F81" s="1" t="s">
        <v>1442</v>
      </c>
      <c r="G81" s="2">
        <v>46168</v>
      </c>
      <c r="H81">
        <v>214</v>
      </c>
      <c r="I81" s="2">
        <v>46167</v>
      </c>
      <c r="J81" s="1" t="s">
        <v>732</v>
      </c>
      <c r="K81">
        <v>214</v>
      </c>
      <c r="L81">
        <v>137.51</v>
      </c>
      <c r="M81" s="2">
        <v>46172</v>
      </c>
      <c r="N81" t="str">
        <f>IF(po_master[[#This Row],[Approved By]]="", "Missing Approval", "OK")</f>
        <v>OK</v>
      </c>
      <c r="O81" t="str">
        <f>IF(ISBLANK(po_master[[#This Row],[GR Quantity]]), "No GR - Not received", "OK")</f>
        <v>OK</v>
      </c>
      <c r="P81" s="1" t="str">
        <f>IF(po_master[[#This Row],[Promised Delivey Date]]&lt;po_master[[#This Row],[Order Date]], "Invalid", "OK")</f>
        <v>OK</v>
      </c>
      <c r="Q81" s="1" t="str">
        <f>IF(ISBLANK(po_master[[#This Row],[Invoice Number]]), "No Invoice", "OK")</f>
        <v>OK</v>
      </c>
      <c r="R81" s="1" t="str">
        <f>IF(AND(NOT(ISBLANK(po_master[[#This Row],[GR Quantity]])), po_master[[#This Row],[GR Quantity]]&lt;&gt;po_master[[#This Row],[PO Quantity]]), "Qty Variance", "OK")</f>
        <v>OK</v>
      </c>
      <c r="S81" s="1" t="str">
        <f>IF(po_master[[#This Row],[Invoice Unit Price]]&gt;po_master[[#This Row],[PO Unit Price]]*1.01, "Price Variance", "OK")</f>
        <v>OK</v>
      </c>
      <c r="T81" s="1" t="str">
        <f>IF(po_master[[#This Row],[Actual Delivery Date]]&gt;po_master[[#This Row],[Promised Delivey Date]], "Late Delivery", "OK")</f>
        <v>OK</v>
      </c>
      <c r="U81" s="1" t="str">
        <f>IF(COUNTIF(po_master[PO Number],po_master[[#This Row],[PO Number]])&gt;1, "Duplicate Invoice", "OK")</f>
        <v>OK</v>
      </c>
    </row>
    <row r="82" spans="1:21" x14ac:dyDescent="0.25">
      <c r="A82" s="1" t="s">
        <v>78</v>
      </c>
      <c r="B82" s="1" t="s">
        <v>1452</v>
      </c>
      <c r="C82" s="2">
        <v>46050</v>
      </c>
      <c r="D82">
        <v>315</v>
      </c>
      <c r="E82">
        <v>89.74</v>
      </c>
      <c r="F82" s="1" t="s">
        <v>1490</v>
      </c>
      <c r="G82" s="2">
        <v>46065</v>
      </c>
      <c r="H82">
        <v>315</v>
      </c>
      <c r="I82" s="2">
        <v>46067</v>
      </c>
      <c r="J82" s="1" t="s">
        <v>735</v>
      </c>
      <c r="K82">
        <v>315</v>
      </c>
      <c r="L82">
        <v>89.74</v>
      </c>
      <c r="M82" s="2">
        <v>46074</v>
      </c>
      <c r="N82" t="str">
        <f>IF(po_master[[#This Row],[Approved By]]="", "Missing Approval", "OK")</f>
        <v>OK</v>
      </c>
      <c r="O82" t="str">
        <f>IF(ISBLANK(po_master[[#This Row],[GR Quantity]]), "No GR - Not received", "OK")</f>
        <v>OK</v>
      </c>
      <c r="P82" s="1" t="str">
        <f>IF(po_master[[#This Row],[Promised Delivey Date]]&lt;po_master[[#This Row],[Order Date]], "Invalid", "OK")</f>
        <v>OK</v>
      </c>
      <c r="Q82" s="1" t="str">
        <f>IF(ISBLANK(po_master[[#This Row],[Invoice Number]]), "No Invoice", "OK")</f>
        <v>OK</v>
      </c>
      <c r="R82" s="1" t="str">
        <f>IF(AND(NOT(ISBLANK(po_master[[#This Row],[GR Quantity]])), po_master[[#This Row],[GR Quantity]]&lt;&gt;po_master[[#This Row],[PO Quantity]]), "Qty Variance", "OK")</f>
        <v>OK</v>
      </c>
      <c r="S82" s="1" t="str">
        <f>IF(po_master[[#This Row],[Invoice Unit Price]]&gt;po_master[[#This Row],[PO Unit Price]]*1.01, "Price Variance", "OK")</f>
        <v>OK</v>
      </c>
      <c r="T82" s="1" t="str">
        <f>IF(po_master[[#This Row],[Actual Delivery Date]]&gt;po_master[[#This Row],[Promised Delivey Date]], "Late Delivery", "OK")</f>
        <v>Late Delivery</v>
      </c>
      <c r="U82" s="1" t="str">
        <f>IF(COUNTIF(po_master[PO Number],po_master[[#This Row],[PO Number]])&gt;1, "Duplicate Invoice", "OK")</f>
        <v>Duplicate Invoice</v>
      </c>
    </row>
    <row r="83" spans="1:21" x14ac:dyDescent="0.25">
      <c r="A83" s="1" t="s">
        <v>78</v>
      </c>
      <c r="B83" s="1" t="s">
        <v>1452</v>
      </c>
      <c r="C83" s="2">
        <v>46050</v>
      </c>
      <c r="D83">
        <v>315</v>
      </c>
      <c r="E83">
        <v>89.74</v>
      </c>
      <c r="F83" s="1" t="s">
        <v>1490</v>
      </c>
      <c r="G83" s="2">
        <v>46065</v>
      </c>
      <c r="H83">
        <v>315</v>
      </c>
      <c r="I83" s="2">
        <v>46067</v>
      </c>
      <c r="J83" s="1" t="s">
        <v>736</v>
      </c>
      <c r="K83">
        <v>315</v>
      </c>
      <c r="L83">
        <v>89.74</v>
      </c>
      <c r="M83" s="2">
        <v>46075</v>
      </c>
      <c r="N83" t="str">
        <f>IF(po_master[[#This Row],[Approved By]]="", "Missing Approval", "OK")</f>
        <v>OK</v>
      </c>
      <c r="O83" t="str">
        <f>IF(ISBLANK(po_master[[#This Row],[GR Quantity]]), "No GR - Not received", "OK")</f>
        <v>OK</v>
      </c>
      <c r="P83" s="1" t="str">
        <f>IF(po_master[[#This Row],[Promised Delivey Date]]&lt;po_master[[#This Row],[Order Date]], "Invalid", "OK")</f>
        <v>OK</v>
      </c>
      <c r="Q83" s="1" t="str">
        <f>IF(ISBLANK(po_master[[#This Row],[Invoice Number]]), "No Invoice", "OK")</f>
        <v>OK</v>
      </c>
      <c r="R83" s="1" t="str">
        <f>IF(AND(NOT(ISBLANK(po_master[[#This Row],[GR Quantity]])), po_master[[#This Row],[GR Quantity]]&lt;&gt;po_master[[#This Row],[PO Quantity]]), "Qty Variance", "OK")</f>
        <v>OK</v>
      </c>
      <c r="S83" s="1" t="str">
        <f>IF(po_master[[#This Row],[Invoice Unit Price]]&gt;po_master[[#This Row],[PO Unit Price]]*1.01, "Price Variance", "OK")</f>
        <v>OK</v>
      </c>
      <c r="T83" s="1" t="str">
        <f>IF(po_master[[#This Row],[Actual Delivery Date]]&gt;po_master[[#This Row],[Promised Delivey Date]], "Late Delivery", "OK")</f>
        <v>Late Delivery</v>
      </c>
      <c r="U83" s="1" t="str">
        <f>IF(COUNTIF(po_master[PO Number],po_master[[#This Row],[PO Number]])&gt;1, "Duplicate Invoice", "OK")</f>
        <v>Duplicate Invoice</v>
      </c>
    </row>
    <row r="84" spans="1:21" x14ac:dyDescent="0.25">
      <c r="A84" s="1" t="s">
        <v>79</v>
      </c>
      <c r="B84" s="1" t="s">
        <v>1500</v>
      </c>
      <c r="C84" s="2">
        <v>46153</v>
      </c>
      <c r="D84">
        <v>69</v>
      </c>
      <c r="E84">
        <v>80.11</v>
      </c>
      <c r="F84" s="1" t="s">
        <v>1480</v>
      </c>
      <c r="G84" s="2">
        <v>46164</v>
      </c>
      <c r="H84">
        <v>69</v>
      </c>
      <c r="I84" s="2">
        <v>46164</v>
      </c>
      <c r="J84" s="1" t="s">
        <v>737</v>
      </c>
      <c r="K84">
        <v>69</v>
      </c>
      <c r="L84">
        <v>80.11</v>
      </c>
      <c r="M84" s="2">
        <v>46166</v>
      </c>
      <c r="N84" t="str">
        <f>IF(po_master[[#This Row],[Approved By]]="", "Missing Approval", "OK")</f>
        <v>OK</v>
      </c>
      <c r="O84" t="str">
        <f>IF(ISBLANK(po_master[[#This Row],[GR Quantity]]), "No GR - Not received", "OK")</f>
        <v>OK</v>
      </c>
      <c r="P84" s="1" t="str">
        <f>IF(po_master[[#This Row],[Promised Delivey Date]]&lt;po_master[[#This Row],[Order Date]], "Invalid", "OK")</f>
        <v>OK</v>
      </c>
      <c r="Q84" s="1" t="str">
        <f>IF(ISBLANK(po_master[[#This Row],[Invoice Number]]), "No Invoice", "OK")</f>
        <v>OK</v>
      </c>
      <c r="R84" s="1" t="str">
        <f>IF(AND(NOT(ISBLANK(po_master[[#This Row],[GR Quantity]])), po_master[[#This Row],[GR Quantity]]&lt;&gt;po_master[[#This Row],[PO Quantity]]), "Qty Variance", "OK")</f>
        <v>OK</v>
      </c>
      <c r="S84" s="1" t="str">
        <f>IF(po_master[[#This Row],[Invoice Unit Price]]&gt;po_master[[#This Row],[PO Unit Price]]*1.01, "Price Variance", "OK")</f>
        <v>OK</v>
      </c>
      <c r="T84" s="1" t="str">
        <f>IF(po_master[[#This Row],[Actual Delivery Date]]&gt;po_master[[#This Row],[Promised Delivey Date]], "Late Delivery", "OK")</f>
        <v>OK</v>
      </c>
      <c r="U84" s="1" t="str">
        <f>IF(COUNTIF(po_master[PO Number],po_master[[#This Row],[PO Number]])&gt;1, "Duplicate Invoice", "OK")</f>
        <v>OK</v>
      </c>
    </row>
    <row r="85" spans="1:21" x14ac:dyDescent="0.25">
      <c r="A85" s="1" t="s">
        <v>733</v>
      </c>
      <c r="B85" s="1" t="s">
        <v>1473</v>
      </c>
      <c r="C85" s="2">
        <v>46052</v>
      </c>
      <c r="D85">
        <v>459</v>
      </c>
      <c r="E85">
        <v>194.23</v>
      </c>
      <c r="F85" s="1" t="s">
        <v>1501</v>
      </c>
      <c r="G85" s="2">
        <v>46065</v>
      </c>
      <c r="I85" s="2"/>
      <c r="J85" s="1" t="s">
        <v>734</v>
      </c>
      <c r="K85">
        <v>459</v>
      </c>
      <c r="L85">
        <v>204.47</v>
      </c>
      <c r="M85" s="2">
        <v>46070</v>
      </c>
      <c r="N85" t="str">
        <f>IF(po_master[[#This Row],[Approved By]]="", "Missing Approval", "OK")</f>
        <v>OK</v>
      </c>
      <c r="O85" t="str">
        <f>IF(ISBLANK(po_master[[#This Row],[GR Quantity]]), "No GR - Not received", "OK")</f>
        <v>No GR - Not received</v>
      </c>
      <c r="P85" s="1" t="str">
        <f>IF(po_master[[#This Row],[Promised Delivey Date]]&lt;po_master[[#This Row],[Order Date]], "Invalid", "OK")</f>
        <v>OK</v>
      </c>
      <c r="Q85" s="1" t="str">
        <f>IF(ISBLANK(po_master[[#This Row],[Invoice Number]]), "No Invoice", "OK")</f>
        <v>OK</v>
      </c>
      <c r="R85" s="1" t="str">
        <f>IF(AND(NOT(ISBLANK(po_master[[#This Row],[GR Quantity]])), po_master[[#This Row],[GR Quantity]]&lt;&gt;po_master[[#This Row],[PO Quantity]]), "Qty Variance", "OK")</f>
        <v>OK</v>
      </c>
      <c r="S85" s="1" t="str">
        <f>IF(po_master[[#This Row],[Invoice Unit Price]]&gt;po_master[[#This Row],[PO Unit Price]]*1.01, "Price Variance", "OK")</f>
        <v>Price Variance</v>
      </c>
      <c r="T85" s="1" t="str">
        <f>IF(po_master[[#This Row],[Actual Delivery Date]]&gt;po_master[[#This Row],[Promised Delivey Date]], "Late Delivery", "OK")</f>
        <v>OK</v>
      </c>
      <c r="U85" s="1" t="str">
        <f>IF(COUNTIF(po_master[PO Number],po_master[[#This Row],[PO Number]])&gt;1, "Duplicate Invoice", "OK")</f>
        <v>OK</v>
      </c>
    </row>
    <row r="86" spans="1:21" x14ac:dyDescent="0.25">
      <c r="A86" s="1" t="s">
        <v>80</v>
      </c>
      <c r="B86" s="1" t="s">
        <v>1470</v>
      </c>
      <c r="C86" s="2">
        <v>46034</v>
      </c>
      <c r="D86">
        <v>372</v>
      </c>
      <c r="E86">
        <v>90.03</v>
      </c>
      <c r="F86" s="1" t="s">
        <v>1504</v>
      </c>
      <c r="G86" s="2">
        <v>46045</v>
      </c>
      <c r="H86">
        <v>372</v>
      </c>
      <c r="I86" s="2">
        <v>46058</v>
      </c>
      <c r="J86" s="1" t="s">
        <v>738</v>
      </c>
      <c r="K86">
        <v>372</v>
      </c>
      <c r="L86">
        <v>90.03</v>
      </c>
      <c r="M86" s="2">
        <v>46049</v>
      </c>
      <c r="N86" t="str">
        <f>IF(po_master[[#This Row],[Approved By]]="", "Missing Approval", "OK")</f>
        <v>OK</v>
      </c>
      <c r="O86" t="str">
        <f>IF(ISBLANK(po_master[[#This Row],[GR Quantity]]), "No GR - Not received", "OK")</f>
        <v>OK</v>
      </c>
      <c r="P86" s="1" t="str">
        <f>IF(po_master[[#This Row],[Promised Delivey Date]]&lt;po_master[[#This Row],[Order Date]], "Invalid", "OK")</f>
        <v>OK</v>
      </c>
      <c r="Q86" s="1" t="str">
        <f>IF(ISBLANK(po_master[[#This Row],[Invoice Number]]), "No Invoice", "OK")</f>
        <v>OK</v>
      </c>
      <c r="R86" s="1" t="str">
        <f>IF(AND(NOT(ISBLANK(po_master[[#This Row],[GR Quantity]])), po_master[[#This Row],[GR Quantity]]&lt;&gt;po_master[[#This Row],[PO Quantity]]), "Qty Variance", "OK")</f>
        <v>OK</v>
      </c>
      <c r="S86" s="1" t="str">
        <f>IF(po_master[[#This Row],[Invoice Unit Price]]&gt;po_master[[#This Row],[PO Unit Price]]*1.01, "Price Variance", "OK")</f>
        <v>OK</v>
      </c>
      <c r="T86" s="1" t="str">
        <f>IF(po_master[[#This Row],[Actual Delivery Date]]&gt;po_master[[#This Row],[Promised Delivey Date]], "Late Delivery", "OK")</f>
        <v>Late Delivery</v>
      </c>
      <c r="U86" s="1" t="str">
        <f>IF(COUNTIF(po_master[PO Number],po_master[[#This Row],[PO Number]])&gt;1, "Duplicate Invoice", "OK")</f>
        <v>OK</v>
      </c>
    </row>
    <row r="87" spans="1:21" x14ac:dyDescent="0.25">
      <c r="A87" s="1" t="s">
        <v>81</v>
      </c>
      <c r="B87" s="1" t="s">
        <v>1496</v>
      </c>
      <c r="C87" s="2">
        <v>46133</v>
      </c>
      <c r="D87">
        <v>45</v>
      </c>
      <c r="E87">
        <v>190.03</v>
      </c>
      <c r="F87" s="1" t="s">
        <v>1472</v>
      </c>
      <c r="G87" s="2">
        <v>46148</v>
      </c>
      <c r="H87">
        <v>45</v>
      </c>
      <c r="I87" s="2">
        <v>46149</v>
      </c>
      <c r="J87" s="1" t="s">
        <v>739</v>
      </c>
      <c r="K87">
        <v>45</v>
      </c>
      <c r="L87">
        <v>190.03</v>
      </c>
      <c r="M87" s="2">
        <v>46154</v>
      </c>
      <c r="N87" t="str">
        <f>IF(po_master[[#This Row],[Approved By]]="", "Missing Approval", "OK")</f>
        <v>OK</v>
      </c>
      <c r="O87" t="str">
        <f>IF(ISBLANK(po_master[[#This Row],[GR Quantity]]), "No GR - Not received", "OK")</f>
        <v>OK</v>
      </c>
      <c r="P87" s="1" t="str">
        <f>IF(po_master[[#This Row],[Promised Delivey Date]]&lt;po_master[[#This Row],[Order Date]], "Invalid", "OK")</f>
        <v>OK</v>
      </c>
      <c r="Q87" s="1" t="str">
        <f>IF(ISBLANK(po_master[[#This Row],[Invoice Number]]), "No Invoice", "OK")</f>
        <v>OK</v>
      </c>
      <c r="R87" s="1" t="str">
        <f>IF(AND(NOT(ISBLANK(po_master[[#This Row],[GR Quantity]])), po_master[[#This Row],[GR Quantity]]&lt;&gt;po_master[[#This Row],[PO Quantity]]), "Qty Variance", "OK")</f>
        <v>OK</v>
      </c>
      <c r="S87" s="1" t="str">
        <f>IF(po_master[[#This Row],[Invoice Unit Price]]&gt;po_master[[#This Row],[PO Unit Price]]*1.01, "Price Variance", "OK")</f>
        <v>OK</v>
      </c>
      <c r="T87" s="1" t="str">
        <f>IF(po_master[[#This Row],[Actual Delivery Date]]&gt;po_master[[#This Row],[Promised Delivey Date]], "Late Delivery", "OK")</f>
        <v>Late Delivery</v>
      </c>
      <c r="U87" s="1" t="str">
        <f>IF(COUNTIF(po_master[PO Number],po_master[[#This Row],[PO Number]])&gt;1, "Duplicate Invoice", "OK")</f>
        <v>OK</v>
      </c>
    </row>
    <row r="88" spans="1:21" x14ac:dyDescent="0.25">
      <c r="A88" s="1" t="s">
        <v>82</v>
      </c>
      <c r="B88" s="1" t="s">
        <v>1484</v>
      </c>
      <c r="C88" s="2">
        <v>46054</v>
      </c>
      <c r="D88">
        <v>378</v>
      </c>
      <c r="E88">
        <v>180.51</v>
      </c>
      <c r="F88" s="1" t="s">
        <v>1504</v>
      </c>
      <c r="G88" s="2">
        <v>46068</v>
      </c>
      <c r="H88">
        <v>378</v>
      </c>
      <c r="I88" s="2">
        <v>46070</v>
      </c>
      <c r="J88" s="1" t="s">
        <v>740</v>
      </c>
      <c r="K88">
        <v>378</v>
      </c>
      <c r="L88">
        <v>180.51</v>
      </c>
      <c r="M88" s="2">
        <v>46077</v>
      </c>
      <c r="N88" t="str">
        <f>IF(po_master[[#This Row],[Approved By]]="", "Missing Approval", "OK")</f>
        <v>OK</v>
      </c>
      <c r="O88" t="str">
        <f>IF(ISBLANK(po_master[[#This Row],[GR Quantity]]), "No GR - Not received", "OK")</f>
        <v>OK</v>
      </c>
      <c r="P88" s="1" t="str">
        <f>IF(po_master[[#This Row],[Promised Delivey Date]]&lt;po_master[[#This Row],[Order Date]], "Invalid", "OK")</f>
        <v>OK</v>
      </c>
      <c r="Q88" s="1" t="str">
        <f>IF(ISBLANK(po_master[[#This Row],[Invoice Number]]), "No Invoice", "OK")</f>
        <v>OK</v>
      </c>
      <c r="R88" s="1" t="str">
        <f>IF(AND(NOT(ISBLANK(po_master[[#This Row],[GR Quantity]])), po_master[[#This Row],[GR Quantity]]&lt;&gt;po_master[[#This Row],[PO Quantity]]), "Qty Variance", "OK")</f>
        <v>OK</v>
      </c>
      <c r="S88" s="1" t="str">
        <f>IF(po_master[[#This Row],[Invoice Unit Price]]&gt;po_master[[#This Row],[PO Unit Price]]*1.01, "Price Variance", "OK")</f>
        <v>OK</v>
      </c>
      <c r="T88" s="1" t="str">
        <f>IF(po_master[[#This Row],[Actual Delivery Date]]&gt;po_master[[#This Row],[Promised Delivey Date]], "Late Delivery", "OK")</f>
        <v>Late Delivery</v>
      </c>
      <c r="U88" s="1" t="str">
        <f>IF(COUNTIF(po_master[PO Number],po_master[[#This Row],[PO Number]])&gt;1, "Duplicate Invoice", "OK")</f>
        <v>OK</v>
      </c>
    </row>
    <row r="89" spans="1:21" x14ac:dyDescent="0.25">
      <c r="A89" s="1" t="s">
        <v>83</v>
      </c>
      <c r="B89" s="1" t="s">
        <v>1484</v>
      </c>
      <c r="C89" s="2">
        <v>46127</v>
      </c>
      <c r="D89">
        <v>177</v>
      </c>
      <c r="E89">
        <v>83.47</v>
      </c>
      <c r="F89" s="1" t="s">
        <v>1474</v>
      </c>
      <c r="G89" s="2">
        <v>46136</v>
      </c>
      <c r="H89">
        <v>165</v>
      </c>
      <c r="I89" s="2">
        <v>46138</v>
      </c>
      <c r="J89" s="1" t="s">
        <v>741</v>
      </c>
      <c r="K89">
        <v>177</v>
      </c>
      <c r="L89">
        <v>83.47</v>
      </c>
      <c r="M89" s="2">
        <v>46145</v>
      </c>
      <c r="N89" t="str">
        <f>IF(po_master[[#This Row],[Approved By]]="", "Missing Approval", "OK")</f>
        <v>OK</v>
      </c>
      <c r="O89" t="str">
        <f>IF(ISBLANK(po_master[[#This Row],[GR Quantity]]), "No GR - Not received", "OK")</f>
        <v>OK</v>
      </c>
      <c r="P89" s="1" t="str">
        <f>IF(po_master[[#This Row],[Promised Delivey Date]]&lt;po_master[[#This Row],[Order Date]], "Invalid", "OK")</f>
        <v>OK</v>
      </c>
      <c r="Q89" s="1" t="str">
        <f>IF(ISBLANK(po_master[[#This Row],[Invoice Number]]), "No Invoice", "OK")</f>
        <v>OK</v>
      </c>
      <c r="R89" s="1" t="str">
        <f>IF(AND(NOT(ISBLANK(po_master[[#This Row],[GR Quantity]])), po_master[[#This Row],[GR Quantity]]&lt;&gt;po_master[[#This Row],[PO Quantity]]), "Qty Variance", "OK")</f>
        <v>Qty Variance</v>
      </c>
      <c r="S89" s="1" t="str">
        <f>IF(po_master[[#This Row],[Invoice Unit Price]]&gt;po_master[[#This Row],[PO Unit Price]]*1.01, "Price Variance", "OK")</f>
        <v>OK</v>
      </c>
      <c r="T89" s="1" t="str">
        <f>IF(po_master[[#This Row],[Actual Delivery Date]]&gt;po_master[[#This Row],[Promised Delivey Date]], "Late Delivery", "OK")</f>
        <v>Late Delivery</v>
      </c>
      <c r="U89" s="1" t="str">
        <f>IF(COUNTIF(po_master[PO Number],po_master[[#This Row],[PO Number]])&gt;1, "Duplicate Invoice", "OK")</f>
        <v>OK</v>
      </c>
    </row>
    <row r="90" spans="1:21" x14ac:dyDescent="0.25">
      <c r="A90" s="1" t="s">
        <v>84</v>
      </c>
      <c r="B90" s="1" t="s">
        <v>1505</v>
      </c>
      <c r="C90" s="2">
        <v>46130</v>
      </c>
      <c r="D90">
        <v>350</v>
      </c>
      <c r="E90">
        <v>188.37</v>
      </c>
      <c r="F90" s="1" t="s">
        <v>1467</v>
      </c>
      <c r="G90" s="2">
        <v>46140</v>
      </c>
      <c r="H90">
        <v>350</v>
      </c>
      <c r="I90" s="2">
        <v>46139</v>
      </c>
      <c r="J90" s="1" t="s">
        <v>742</v>
      </c>
      <c r="K90">
        <v>350</v>
      </c>
      <c r="L90">
        <v>188.37</v>
      </c>
      <c r="M90" s="2">
        <v>46141</v>
      </c>
      <c r="N90" t="str">
        <f>IF(po_master[[#This Row],[Approved By]]="", "Missing Approval", "OK")</f>
        <v>OK</v>
      </c>
      <c r="O90" t="str">
        <f>IF(ISBLANK(po_master[[#This Row],[GR Quantity]]), "No GR - Not received", "OK")</f>
        <v>OK</v>
      </c>
      <c r="P90" s="1" t="str">
        <f>IF(po_master[[#This Row],[Promised Delivey Date]]&lt;po_master[[#This Row],[Order Date]], "Invalid", "OK")</f>
        <v>OK</v>
      </c>
      <c r="Q90" s="1" t="str">
        <f>IF(ISBLANK(po_master[[#This Row],[Invoice Number]]), "No Invoice", "OK")</f>
        <v>OK</v>
      </c>
      <c r="R90" s="1" t="str">
        <f>IF(AND(NOT(ISBLANK(po_master[[#This Row],[GR Quantity]])), po_master[[#This Row],[GR Quantity]]&lt;&gt;po_master[[#This Row],[PO Quantity]]), "Qty Variance", "OK")</f>
        <v>OK</v>
      </c>
      <c r="S90" s="1" t="str">
        <f>IF(po_master[[#This Row],[Invoice Unit Price]]&gt;po_master[[#This Row],[PO Unit Price]]*1.01, "Price Variance", "OK")</f>
        <v>OK</v>
      </c>
      <c r="T90" s="1" t="str">
        <f>IF(po_master[[#This Row],[Actual Delivery Date]]&gt;po_master[[#This Row],[Promised Delivey Date]], "Late Delivery", "OK")</f>
        <v>OK</v>
      </c>
      <c r="U90" s="1" t="str">
        <f>IF(COUNTIF(po_master[PO Number],po_master[[#This Row],[PO Number]])&gt;1, "Duplicate Invoice", "OK")</f>
        <v>OK</v>
      </c>
    </row>
    <row r="91" spans="1:21" x14ac:dyDescent="0.25">
      <c r="A91" s="1" t="s">
        <v>85</v>
      </c>
      <c r="B91" s="1" t="s">
        <v>1497</v>
      </c>
      <c r="C91" s="2">
        <v>46168</v>
      </c>
      <c r="D91">
        <v>164</v>
      </c>
      <c r="E91">
        <v>84.18</v>
      </c>
      <c r="F91" s="1" t="s">
        <v>1448</v>
      </c>
      <c r="G91" s="2">
        <v>46182</v>
      </c>
      <c r="H91">
        <v>164</v>
      </c>
      <c r="I91" s="2">
        <v>46184</v>
      </c>
      <c r="J91" s="1" t="s">
        <v>743</v>
      </c>
      <c r="K91">
        <v>164</v>
      </c>
      <c r="L91">
        <v>84.18</v>
      </c>
      <c r="M91" s="2">
        <v>46190</v>
      </c>
      <c r="N91" t="str">
        <f>IF(po_master[[#This Row],[Approved By]]="", "Missing Approval", "OK")</f>
        <v>OK</v>
      </c>
      <c r="O91" t="str">
        <f>IF(ISBLANK(po_master[[#This Row],[GR Quantity]]), "No GR - Not received", "OK")</f>
        <v>OK</v>
      </c>
      <c r="P91" s="1" t="str">
        <f>IF(po_master[[#This Row],[Promised Delivey Date]]&lt;po_master[[#This Row],[Order Date]], "Invalid", "OK")</f>
        <v>OK</v>
      </c>
      <c r="Q91" s="1" t="str">
        <f>IF(ISBLANK(po_master[[#This Row],[Invoice Number]]), "No Invoice", "OK")</f>
        <v>OK</v>
      </c>
      <c r="R91" s="1" t="str">
        <f>IF(AND(NOT(ISBLANK(po_master[[#This Row],[GR Quantity]])), po_master[[#This Row],[GR Quantity]]&lt;&gt;po_master[[#This Row],[PO Quantity]]), "Qty Variance", "OK")</f>
        <v>OK</v>
      </c>
      <c r="S91" s="1" t="str">
        <f>IF(po_master[[#This Row],[Invoice Unit Price]]&gt;po_master[[#This Row],[PO Unit Price]]*1.01, "Price Variance", "OK")</f>
        <v>OK</v>
      </c>
      <c r="T91" s="1" t="str">
        <f>IF(po_master[[#This Row],[Actual Delivery Date]]&gt;po_master[[#This Row],[Promised Delivey Date]], "Late Delivery", "OK")</f>
        <v>Late Delivery</v>
      </c>
      <c r="U91" s="1" t="str">
        <f>IF(COUNTIF(po_master[PO Number],po_master[[#This Row],[PO Number]])&gt;1, "Duplicate Invoice", "OK")</f>
        <v>OK</v>
      </c>
    </row>
    <row r="92" spans="1:21" x14ac:dyDescent="0.25">
      <c r="A92" s="1" t="s">
        <v>86</v>
      </c>
      <c r="B92" s="1" t="s">
        <v>1506</v>
      </c>
      <c r="C92" s="2">
        <v>46076</v>
      </c>
      <c r="D92">
        <v>230</v>
      </c>
      <c r="E92">
        <v>158.22</v>
      </c>
      <c r="F92" s="1" t="s">
        <v>1494</v>
      </c>
      <c r="G92" s="2">
        <v>46091</v>
      </c>
      <c r="H92">
        <v>230</v>
      </c>
      <c r="I92" s="2">
        <v>46092</v>
      </c>
      <c r="J92" s="1" t="s">
        <v>744</v>
      </c>
      <c r="K92">
        <v>230</v>
      </c>
      <c r="L92">
        <v>158.22</v>
      </c>
      <c r="M92" s="2">
        <v>46093</v>
      </c>
      <c r="N92" t="str">
        <f>IF(po_master[[#This Row],[Approved By]]="", "Missing Approval", "OK")</f>
        <v>OK</v>
      </c>
      <c r="O92" t="str">
        <f>IF(ISBLANK(po_master[[#This Row],[GR Quantity]]), "No GR - Not received", "OK")</f>
        <v>OK</v>
      </c>
      <c r="P92" s="1" t="str">
        <f>IF(po_master[[#This Row],[Promised Delivey Date]]&lt;po_master[[#This Row],[Order Date]], "Invalid", "OK")</f>
        <v>OK</v>
      </c>
      <c r="Q92" s="1" t="str">
        <f>IF(ISBLANK(po_master[[#This Row],[Invoice Number]]), "No Invoice", "OK")</f>
        <v>OK</v>
      </c>
      <c r="R92" s="1" t="str">
        <f>IF(AND(NOT(ISBLANK(po_master[[#This Row],[GR Quantity]])), po_master[[#This Row],[GR Quantity]]&lt;&gt;po_master[[#This Row],[PO Quantity]]), "Qty Variance", "OK")</f>
        <v>OK</v>
      </c>
      <c r="S92" s="1" t="str">
        <f>IF(po_master[[#This Row],[Invoice Unit Price]]&gt;po_master[[#This Row],[PO Unit Price]]*1.01, "Price Variance", "OK")</f>
        <v>OK</v>
      </c>
      <c r="T92" s="1" t="str">
        <f>IF(po_master[[#This Row],[Actual Delivery Date]]&gt;po_master[[#This Row],[Promised Delivey Date]], "Late Delivery", "OK")</f>
        <v>Late Delivery</v>
      </c>
      <c r="U92" s="1" t="str">
        <f>IF(COUNTIF(po_master[PO Number],po_master[[#This Row],[PO Number]])&gt;1, "Duplicate Invoice", "OK")</f>
        <v>OK</v>
      </c>
    </row>
    <row r="93" spans="1:21" x14ac:dyDescent="0.25">
      <c r="A93" s="1" t="s">
        <v>87</v>
      </c>
      <c r="B93" s="1" t="s">
        <v>1489</v>
      </c>
      <c r="C93" s="2">
        <v>46136</v>
      </c>
      <c r="D93">
        <v>236</v>
      </c>
      <c r="E93">
        <v>136.75</v>
      </c>
      <c r="F93" s="1" t="s">
        <v>1459</v>
      </c>
      <c r="G93" s="2">
        <v>46156</v>
      </c>
      <c r="H93">
        <v>236</v>
      </c>
      <c r="I93" s="2">
        <v>46155</v>
      </c>
      <c r="J93" s="1" t="s">
        <v>745</v>
      </c>
      <c r="K93">
        <v>236</v>
      </c>
      <c r="L93">
        <v>136.75</v>
      </c>
      <c r="M93" s="2">
        <v>46158</v>
      </c>
      <c r="N93" t="str">
        <f>IF(po_master[[#This Row],[Approved By]]="", "Missing Approval", "OK")</f>
        <v>Missing Approval</v>
      </c>
      <c r="O93" t="str">
        <f>IF(ISBLANK(po_master[[#This Row],[GR Quantity]]), "No GR - Not received", "OK")</f>
        <v>OK</v>
      </c>
      <c r="P93" s="1" t="str">
        <f>IF(po_master[[#This Row],[Promised Delivey Date]]&lt;po_master[[#This Row],[Order Date]], "Invalid", "OK")</f>
        <v>OK</v>
      </c>
      <c r="Q93" s="1" t="str">
        <f>IF(ISBLANK(po_master[[#This Row],[Invoice Number]]), "No Invoice", "OK")</f>
        <v>OK</v>
      </c>
      <c r="R93" s="1" t="str">
        <f>IF(AND(NOT(ISBLANK(po_master[[#This Row],[GR Quantity]])), po_master[[#This Row],[GR Quantity]]&lt;&gt;po_master[[#This Row],[PO Quantity]]), "Qty Variance", "OK")</f>
        <v>OK</v>
      </c>
      <c r="S93" s="1" t="str">
        <f>IF(po_master[[#This Row],[Invoice Unit Price]]&gt;po_master[[#This Row],[PO Unit Price]]*1.01, "Price Variance", "OK")</f>
        <v>OK</v>
      </c>
      <c r="T93" s="1" t="str">
        <f>IF(po_master[[#This Row],[Actual Delivery Date]]&gt;po_master[[#This Row],[Promised Delivey Date]], "Late Delivery", "OK")</f>
        <v>OK</v>
      </c>
      <c r="U93" s="1" t="str">
        <f>IF(COUNTIF(po_master[PO Number],po_master[[#This Row],[PO Number]])&gt;1, "Duplicate Invoice", "OK")</f>
        <v>OK</v>
      </c>
    </row>
    <row r="94" spans="1:21" x14ac:dyDescent="0.25">
      <c r="A94" s="1" t="s">
        <v>88</v>
      </c>
      <c r="B94" s="1" t="s">
        <v>1465</v>
      </c>
      <c r="C94" s="2">
        <v>46066</v>
      </c>
      <c r="D94">
        <v>347</v>
      </c>
      <c r="E94">
        <v>21.54</v>
      </c>
      <c r="F94" s="1" t="s">
        <v>1504</v>
      </c>
      <c r="G94" s="2">
        <v>46081</v>
      </c>
      <c r="H94">
        <v>347</v>
      </c>
      <c r="I94" s="2">
        <v>46083</v>
      </c>
      <c r="J94" s="1" t="s">
        <v>746</v>
      </c>
      <c r="K94">
        <v>347</v>
      </c>
      <c r="L94">
        <v>22.96</v>
      </c>
      <c r="M94" s="2">
        <v>46083</v>
      </c>
      <c r="N94" t="str">
        <f>IF(po_master[[#This Row],[Approved By]]="", "Missing Approval", "OK")</f>
        <v>OK</v>
      </c>
      <c r="O94" t="str">
        <f>IF(ISBLANK(po_master[[#This Row],[GR Quantity]]), "No GR - Not received", "OK")</f>
        <v>OK</v>
      </c>
      <c r="P94" s="1" t="str">
        <f>IF(po_master[[#This Row],[Promised Delivey Date]]&lt;po_master[[#This Row],[Order Date]], "Invalid", "OK")</f>
        <v>OK</v>
      </c>
      <c r="Q94" s="1" t="str">
        <f>IF(ISBLANK(po_master[[#This Row],[Invoice Number]]), "No Invoice", "OK")</f>
        <v>OK</v>
      </c>
      <c r="R94" s="1" t="str">
        <f>IF(AND(NOT(ISBLANK(po_master[[#This Row],[GR Quantity]])), po_master[[#This Row],[GR Quantity]]&lt;&gt;po_master[[#This Row],[PO Quantity]]), "Qty Variance", "OK")</f>
        <v>OK</v>
      </c>
      <c r="S94" s="1" t="str">
        <f>IF(po_master[[#This Row],[Invoice Unit Price]]&gt;po_master[[#This Row],[PO Unit Price]]*1.01, "Price Variance", "OK")</f>
        <v>Price Variance</v>
      </c>
      <c r="T94" s="1" t="str">
        <f>IF(po_master[[#This Row],[Actual Delivery Date]]&gt;po_master[[#This Row],[Promised Delivey Date]], "Late Delivery", "OK")</f>
        <v>Late Delivery</v>
      </c>
      <c r="U94" s="1" t="str">
        <f>IF(COUNTIF(po_master[PO Number],po_master[[#This Row],[PO Number]])&gt;1, "Duplicate Invoice", "OK")</f>
        <v>OK</v>
      </c>
    </row>
    <row r="95" spans="1:21" x14ac:dyDescent="0.25">
      <c r="A95" s="1" t="s">
        <v>89</v>
      </c>
      <c r="B95" s="1" t="s">
        <v>1457</v>
      </c>
      <c r="C95" s="2">
        <v>46083</v>
      </c>
      <c r="D95">
        <v>354</v>
      </c>
      <c r="E95">
        <v>65.53</v>
      </c>
      <c r="F95" s="1" t="s">
        <v>1444</v>
      </c>
      <c r="G95" s="2">
        <v>46092</v>
      </c>
      <c r="H95">
        <v>343</v>
      </c>
      <c r="I95" s="2">
        <v>46091</v>
      </c>
      <c r="J95" s="1" t="s">
        <v>747</v>
      </c>
      <c r="K95">
        <v>354</v>
      </c>
      <c r="L95">
        <v>65.53</v>
      </c>
      <c r="M95" s="2">
        <v>46095</v>
      </c>
      <c r="N95" t="str">
        <f>IF(po_master[[#This Row],[Approved By]]="", "Missing Approval", "OK")</f>
        <v>OK</v>
      </c>
      <c r="O95" t="str">
        <f>IF(ISBLANK(po_master[[#This Row],[GR Quantity]]), "No GR - Not received", "OK")</f>
        <v>OK</v>
      </c>
      <c r="P95" s="1" t="str">
        <f>IF(po_master[[#This Row],[Promised Delivey Date]]&lt;po_master[[#This Row],[Order Date]], "Invalid", "OK")</f>
        <v>OK</v>
      </c>
      <c r="Q95" s="1" t="str">
        <f>IF(ISBLANK(po_master[[#This Row],[Invoice Number]]), "No Invoice", "OK")</f>
        <v>OK</v>
      </c>
      <c r="R95" s="1" t="str">
        <f>IF(AND(NOT(ISBLANK(po_master[[#This Row],[GR Quantity]])), po_master[[#This Row],[GR Quantity]]&lt;&gt;po_master[[#This Row],[PO Quantity]]), "Qty Variance", "OK")</f>
        <v>Qty Variance</v>
      </c>
      <c r="S95" s="1" t="str">
        <f>IF(po_master[[#This Row],[Invoice Unit Price]]&gt;po_master[[#This Row],[PO Unit Price]]*1.01, "Price Variance", "OK")</f>
        <v>OK</v>
      </c>
      <c r="T95" s="1" t="str">
        <f>IF(po_master[[#This Row],[Actual Delivery Date]]&gt;po_master[[#This Row],[Promised Delivey Date]], "Late Delivery", "OK")</f>
        <v>OK</v>
      </c>
      <c r="U95" s="1" t="str">
        <f>IF(COUNTIF(po_master[PO Number],po_master[[#This Row],[PO Number]])&gt;1, "Duplicate Invoice", "OK")</f>
        <v>OK</v>
      </c>
    </row>
    <row r="96" spans="1:21" x14ac:dyDescent="0.25">
      <c r="A96" s="1" t="s">
        <v>90</v>
      </c>
      <c r="B96" s="1" t="s">
        <v>1473</v>
      </c>
      <c r="C96" s="2">
        <v>46034</v>
      </c>
      <c r="D96">
        <v>135</v>
      </c>
      <c r="E96">
        <v>196.87</v>
      </c>
      <c r="F96" s="1" t="s">
        <v>1494</v>
      </c>
      <c r="G96" s="2">
        <v>46041</v>
      </c>
      <c r="H96">
        <v>135</v>
      </c>
      <c r="I96" s="2">
        <v>46043</v>
      </c>
      <c r="J96" s="1" t="s">
        <v>748</v>
      </c>
      <c r="K96">
        <v>135</v>
      </c>
      <c r="L96">
        <v>196.87</v>
      </c>
      <c r="M96" s="2">
        <v>46050</v>
      </c>
      <c r="N96" t="str">
        <f>IF(po_master[[#This Row],[Approved By]]="", "Missing Approval", "OK")</f>
        <v>OK</v>
      </c>
      <c r="O96" t="str">
        <f>IF(ISBLANK(po_master[[#This Row],[GR Quantity]]), "No GR - Not received", "OK")</f>
        <v>OK</v>
      </c>
      <c r="P96" s="1" t="str">
        <f>IF(po_master[[#This Row],[Promised Delivey Date]]&lt;po_master[[#This Row],[Order Date]], "Invalid", "OK")</f>
        <v>OK</v>
      </c>
      <c r="Q96" s="1" t="str">
        <f>IF(ISBLANK(po_master[[#This Row],[Invoice Number]]), "No Invoice", "OK")</f>
        <v>OK</v>
      </c>
      <c r="R96" s="1" t="str">
        <f>IF(AND(NOT(ISBLANK(po_master[[#This Row],[GR Quantity]])), po_master[[#This Row],[GR Quantity]]&lt;&gt;po_master[[#This Row],[PO Quantity]]), "Qty Variance", "OK")</f>
        <v>OK</v>
      </c>
      <c r="S96" s="1" t="str">
        <f>IF(po_master[[#This Row],[Invoice Unit Price]]&gt;po_master[[#This Row],[PO Unit Price]]*1.01, "Price Variance", "OK")</f>
        <v>OK</v>
      </c>
      <c r="T96" s="1" t="str">
        <f>IF(po_master[[#This Row],[Actual Delivery Date]]&gt;po_master[[#This Row],[Promised Delivey Date]], "Late Delivery", "OK")</f>
        <v>Late Delivery</v>
      </c>
      <c r="U96" s="1" t="str">
        <f>IF(COUNTIF(po_master[PO Number],po_master[[#This Row],[PO Number]])&gt;1, "Duplicate Invoice", "OK")</f>
        <v>OK</v>
      </c>
    </row>
    <row r="97" spans="1:21" x14ac:dyDescent="0.25">
      <c r="A97" s="1" t="s">
        <v>91</v>
      </c>
      <c r="B97" s="1" t="s">
        <v>1489</v>
      </c>
      <c r="C97" s="2">
        <v>46129</v>
      </c>
      <c r="D97">
        <v>463</v>
      </c>
      <c r="E97">
        <v>127.8</v>
      </c>
      <c r="F97" s="1" t="s">
        <v>1444</v>
      </c>
      <c r="G97" s="2">
        <v>46146</v>
      </c>
      <c r="H97">
        <v>463</v>
      </c>
      <c r="I97" s="2">
        <v>46146</v>
      </c>
      <c r="J97" s="1" t="s">
        <v>749</v>
      </c>
      <c r="K97">
        <v>463</v>
      </c>
      <c r="L97">
        <v>127.8</v>
      </c>
      <c r="M97" s="2">
        <v>46149</v>
      </c>
      <c r="N97" t="str">
        <f>IF(po_master[[#This Row],[Approved By]]="", "Missing Approval", "OK")</f>
        <v>OK</v>
      </c>
      <c r="O97" t="str">
        <f>IF(ISBLANK(po_master[[#This Row],[GR Quantity]]), "No GR - Not received", "OK")</f>
        <v>OK</v>
      </c>
      <c r="P97" s="1" t="str">
        <f>IF(po_master[[#This Row],[Promised Delivey Date]]&lt;po_master[[#This Row],[Order Date]], "Invalid", "OK")</f>
        <v>OK</v>
      </c>
      <c r="Q97" s="1" t="str">
        <f>IF(ISBLANK(po_master[[#This Row],[Invoice Number]]), "No Invoice", "OK")</f>
        <v>OK</v>
      </c>
      <c r="R97" s="1" t="str">
        <f>IF(AND(NOT(ISBLANK(po_master[[#This Row],[GR Quantity]])), po_master[[#This Row],[GR Quantity]]&lt;&gt;po_master[[#This Row],[PO Quantity]]), "Qty Variance", "OK")</f>
        <v>OK</v>
      </c>
      <c r="S97" s="1" t="str">
        <f>IF(po_master[[#This Row],[Invoice Unit Price]]&gt;po_master[[#This Row],[PO Unit Price]]*1.01, "Price Variance", "OK")</f>
        <v>OK</v>
      </c>
      <c r="T97" s="1" t="str">
        <f>IF(po_master[[#This Row],[Actual Delivery Date]]&gt;po_master[[#This Row],[Promised Delivey Date]], "Late Delivery", "OK")</f>
        <v>OK</v>
      </c>
      <c r="U97" s="1" t="str">
        <f>IF(COUNTIF(po_master[PO Number],po_master[[#This Row],[PO Number]])&gt;1, "Duplicate Invoice", "OK")</f>
        <v>OK</v>
      </c>
    </row>
    <row r="98" spans="1:21" x14ac:dyDescent="0.25">
      <c r="A98" s="1" t="s">
        <v>92</v>
      </c>
      <c r="B98" s="1" t="s">
        <v>1498</v>
      </c>
      <c r="C98" s="2">
        <v>46125</v>
      </c>
      <c r="D98">
        <v>134</v>
      </c>
      <c r="E98">
        <v>33.78</v>
      </c>
      <c r="F98" s="1" t="s">
        <v>1499</v>
      </c>
      <c r="G98" s="2">
        <v>46130</v>
      </c>
      <c r="H98">
        <v>134</v>
      </c>
      <c r="I98" s="2">
        <v>46129</v>
      </c>
      <c r="J98" s="1" t="s">
        <v>750</v>
      </c>
      <c r="K98">
        <v>134</v>
      </c>
      <c r="L98">
        <v>33.78</v>
      </c>
      <c r="M98" s="2">
        <v>46133</v>
      </c>
      <c r="N98" t="str">
        <f>IF(po_master[[#This Row],[Approved By]]="", "Missing Approval", "OK")</f>
        <v>OK</v>
      </c>
      <c r="O98" t="str">
        <f>IF(ISBLANK(po_master[[#This Row],[GR Quantity]]), "No GR - Not received", "OK")</f>
        <v>OK</v>
      </c>
      <c r="P98" s="1" t="str">
        <f>IF(po_master[[#This Row],[Promised Delivey Date]]&lt;po_master[[#This Row],[Order Date]], "Invalid", "OK")</f>
        <v>OK</v>
      </c>
      <c r="Q98" s="1" t="str">
        <f>IF(ISBLANK(po_master[[#This Row],[Invoice Number]]), "No Invoice", "OK")</f>
        <v>OK</v>
      </c>
      <c r="R98" s="1" t="str">
        <f>IF(AND(NOT(ISBLANK(po_master[[#This Row],[GR Quantity]])), po_master[[#This Row],[GR Quantity]]&lt;&gt;po_master[[#This Row],[PO Quantity]]), "Qty Variance", "OK")</f>
        <v>OK</v>
      </c>
      <c r="S98" s="1" t="str">
        <f>IF(po_master[[#This Row],[Invoice Unit Price]]&gt;po_master[[#This Row],[PO Unit Price]]*1.01, "Price Variance", "OK")</f>
        <v>OK</v>
      </c>
      <c r="T98" s="1" t="str">
        <f>IF(po_master[[#This Row],[Actual Delivery Date]]&gt;po_master[[#This Row],[Promised Delivey Date]], "Late Delivery", "OK")</f>
        <v>OK</v>
      </c>
      <c r="U98" s="1" t="str">
        <f>IF(COUNTIF(po_master[PO Number],po_master[[#This Row],[PO Number]])&gt;1, "Duplicate Invoice", "OK")</f>
        <v>OK</v>
      </c>
    </row>
    <row r="99" spans="1:21" x14ac:dyDescent="0.25">
      <c r="A99" s="1" t="s">
        <v>93</v>
      </c>
      <c r="B99" s="1" t="s">
        <v>1489</v>
      </c>
      <c r="C99" s="2">
        <v>46035</v>
      </c>
      <c r="D99">
        <v>295</v>
      </c>
      <c r="E99">
        <v>53.59</v>
      </c>
      <c r="F99" s="1" t="s">
        <v>1459</v>
      </c>
      <c r="G99" s="2">
        <v>46054</v>
      </c>
      <c r="H99">
        <v>295</v>
      </c>
      <c r="I99" s="2">
        <v>46052</v>
      </c>
      <c r="J99" s="1" t="s">
        <v>753</v>
      </c>
      <c r="K99">
        <v>295</v>
      </c>
      <c r="L99">
        <v>62.98</v>
      </c>
      <c r="M99" s="2">
        <v>46062</v>
      </c>
      <c r="N99" t="str">
        <f>IF(po_master[[#This Row],[Approved By]]="", "Missing Approval", "OK")</f>
        <v>Missing Approval</v>
      </c>
      <c r="O99" t="str">
        <f>IF(ISBLANK(po_master[[#This Row],[GR Quantity]]), "No GR - Not received", "OK")</f>
        <v>OK</v>
      </c>
      <c r="P99" s="1" t="str">
        <f>IF(po_master[[#This Row],[Promised Delivey Date]]&lt;po_master[[#This Row],[Order Date]], "Invalid", "OK")</f>
        <v>OK</v>
      </c>
      <c r="Q99" s="1" t="str">
        <f>IF(ISBLANK(po_master[[#This Row],[Invoice Number]]), "No Invoice", "OK")</f>
        <v>OK</v>
      </c>
      <c r="R99" s="1" t="str">
        <f>IF(AND(NOT(ISBLANK(po_master[[#This Row],[GR Quantity]])), po_master[[#This Row],[GR Quantity]]&lt;&gt;po_master[[#This Row],[PO Quantity]]), "Qty Variance", "OK")</f>
        <v>OK</v>
      </c>
      <c r="S99" s="1" t="str">
        <f>IF(po_master[[#This Row],[Invoice Unit Price]]&gt;po_master[[#This Row],[PO Unit Price]]*1.01, "Price Variance", "OK")</f>
        <v>Price Variance</v>
      </c>
      <c r="T99" s="1" t="str">
        <f>IF(po_master[[#This Row],[Actual Delivery Date]]&gt;po_master[[#This Row],[Promised Delivey Date]], "Late Delivery", "OK")</f>
        <v>OK</v>
      </c>
      <c r="U99" s="1" t="str">
        <f>IF(COUNTIF(po_master[PO Number],po_master[[#This Row],[PO Number]])&gt;1, "Duplicate Invoice", "OK")</f>
        <v>OK</v>
      </c>
    </row>
    <row r="100" spans="1:21" x14ac:dyDescent="0.25">
      <c r="A100" s="1" t="s">
        <v>94</v>
      </c>
      <c r="B100" s="1" t="s">
        <v>1441</v>
      </c>
      <c r="C100" s="2">
        <v>46141</v>
      </c>
      <c r="D100">
        <v>351</v>
      </c>
      <c r="E100">
        <v>108.57</v>
      </c>
      <c r="F100" s="1" t="s">
        <v>1459</v>
      </c>
      <c r="G100" s="2">
        <v>46156</v>
      </c>
      <c r="H100">
        <v>351</v>
      </c>
      <c r="I100" s="2">
        <v>46157</v>
      </c>
      <c r="J100" s="1" t="s">
        <v>754</v>
      </c>
      <c r="K100">
        <v>351</v>
      </c>
      <c r="L100">
        <v>108.57</v>
      </c>
      <c r="M100" s="2">
        <v>46158</v>
      </c>
      <c r="N100" t="str">
        <f>IF(po_master[[#This Row],[Approved By]]="", "Missing Approval", "OK")</f>
        <v>Missing Approval</v>
      </c>
      <c r="O100" t="str">
        <f>IF(ISBLANK(po_master[[#This Row],[GR Quantity]]), "No GR - Not received", "OK")</f>
        <v>OK</v>
      </c>
      <c r="P100" s="1" t="str">
        <f>IF(po_master[[#This Row],[Promised Delivey Date]]&lt;po_master[[#This Row],[Order Date]], "Invalid", "OK")</f>
        <v>OK</v>
      </c>
      <c r="Q100" s="1" t="str">
        <f>IF(ISBLANK(po_master[[#This Row],[Invoice Number]]), "No Invoice", "OK")</f>
        <v>OK</v>
      </c>
      <c r="R100" s="1" t="str">
        <f>IF(AND(NOT(ISBLANK(po_master[[#This Row],[GR Quantity]])), po_master[[#This Row],[GR Quantity]]&lt;&gt;po_master[[#This Row],[PO Quantity]]), "Qty Variance", "OK")</f>
        <v>OK</v>
      </c>
      <c r="S100" s="1" t="str">
        <f>IF(po_master[[#This Row],[Invoice Unit Price]]&gt;po_master[[#This Row],[PO Unit Price]]*1.01, "Price Variance", "OK")</f>
        <v>OK</v>
      </c>
      <c r="T100" s="1" t="str">
        <f>IF(po_master[[#This Row],[Actual Delivery Date]]&gt;po_master[[#This Row],[Promised Delivey Date]], "Late Delivery", "OK")</f>
        <v>Late Delivery</v>
      </c>
      <c r="U100" s="1" t="str">
        <f>IF(COUNTIF(po_master[PO Number],po_master[[#This Row],[PO Number]])&gt;1, "Duplicate Invoice", "OK")</f>
        <v>OK</v>
      </c>
    </row>
    <row r="101" spans="1:21" x14ac:dyDescent="0.25">
      <c r="A101" s="1" t="s">
        <v>95</v>
      </c>
      <c r="B101" s="1" t="s">
        <v>1460</v>
      </c>
      <c r="C101" s="2">
        <v>46144</v>
      </c>
      <c r="D101">
        <v>240</v>
      </c>
      <c r="E101">
        <v>55.54</v>
      </c>
      <c r="F101" s="1" t="s">
        <v>1440</v>
      </c>
      <c r="G101" s="2">
        <v>46157</v>
      </c>
      <c r="H101">
        <v>240</v>
      </c>
      <c r="I101" s="2">
        <v>46166</v>
      </c>
      <c r="J101" s="1" t="s">
        <v>757</v>
      </c>
      <c r="K101">
        <v>240</v>
      </c>
      <c r="L101">
        <v>55.54</v>
      </c>
      <c r="M101" s="2">
        <v>46160</v>
      </c>
      <c r="N101" t="str">
        <f>IF(po_master[[#This Row],[Approved By]]="", "Missing Approval", "OK")</f>
        <v>OK</v>
      </c>
      <c r="O101" t="str">
        <f>IF(ISBLANK(po_master[[#This Row],[GR Quantity]]), "No GR - Not received", "OK")</f>
        <v>OK</v>
      </c>
      <c r="P101" s="1" t="str">
        <f>IF(po_master[[#This Row],[Promised Delivey Date]]&lt;po_master[[#This Row],[Order Date]], "Invalid", "OK")</f>
        <v>OK</v>
      </c>
      <c r="Q101" s="1" t="str">
        <f>IF(ISBLANK(po_master[[#This Row],[Invoice Number]]), "No Invoice", "OK")</f>
        <v>OK</v>
      </c>
      <c r="R101" s="1" t="str">
        <f>IF(AND(NOT(ISBLANK(po_master[[#This Row],[GR Quantity]])), po_master[[#This Row],[GR Quantity]]&lt;&gt;po_master[[#This Row],[PO Quantity]]), "Qty Variance", "OK")</f>
        <v>OK</v>
      </c>
      <c r="S101" s="1" t="str">
        <f>IF(po_master[[#This Row],[Invoice Unit Price]]&gt;po_master[[#This Row],[PO Unit Price]]*1.01, "Price Variance", "OK")</f>
        <v>OK</v>
      </c>
      <c r="T101" s="1" t="str">
        <f>IF(po_master[[#This Row],[Actual Delivery Date]]&gt;po_master[[#This Row],[Promised Delivey Date]], "Late Delivery", "OK")</f>
        <v>Late Delivery</v>
      </c>
      <c r="U101" s="1" t="str">
        <f>IF(COUNTIF(po_master[PO Number],po_master[[#This Row],[PO Number]])&gt;1, "Duplicate Invoice", "OK")</f>
        <v>OK</v>
      </c>
    </row>
    <row r="102" spans="1:21" x14ac:dyDescent="0.25">
      <c r="A102" s="1" t="s">
        <v>751</v>
      </c>
      <c r="B102" s="1" t="s">
        <v>1450</v>
      </c>
      <c r="C102" s="2">
        <v>46131</v>
      </c>
      <c r="D102">
        <v>122</v>
      </c>
      <c r="E102">
        <v>39.299999999999997</v>
      </c>
      <c r="F102" s="1" t="s">
        <v>1499</v>
      </c>
      <c r="G102" s="2">
        <v>46152</v>
      </c>
      <c r="I102" s="2"/>
      <c r="J102" s="1" t="s">
        <v>752</v>
      </c>
      <c r="K102">
        <v>122</v>
      </c>
      <c r="L102">
        <v>39.299999999999997</v>
      </c>
      <c r="M102" s="2">
        <v>46159</v>
      </c>
      <c r="N102" t="str">
        <f>IF(po_master[[#This Row],[Approved By]]="", "Missing Approval", "OK")</f>
        <v>OK</v>
      </c>
      <c r="O102" t="str">
        <f>IF(ISBLANK(po_master[[#This Row],[GR Quantity]]), "No GR - Not received", "OK")</f>
        <v>No GR - Not received</v>
      </c>
      <c r="P102" s="1" t="str">
        <f>IF(po_master[[#This Row],[Promised Delivey Date]]&lt;po_master[[#This Row],[Order Date]], "Invalid", "OK")</f>
        <v>OK</v>
      </c>
      <c r="Q102" s="1" t="str">
        <f>IF(ISBLANK(po_master[[#This Row],[Invoice Number]]), "No Invoice", "OK")</f>
        <v>OK</v>
      </c>
      <c r="R102" s="1" t="str">
        <f>IF(AND(NOT(ISBLANK(po_master[[#This Row],[GR Quantity]])), po_master[[#This Row],[GR Quantity]]&lt;&gt;po_master[[#This Row],[PO Quantity]]), "Qty Variance", "OK")</f>
        <v>OK</v>
      </c>
      <c r="S102" s="1" t="str">
        <f>IF(po_master[[#This Row],[Invoice Unit Price]]&gt;po_master[[#This Row],[PO Unit Price]]*1.01, "Price Variance", "OK")</f>
        <v>OK</v>
      </c>
      <c r="T102" s="1" t="str">
        <f>IF(po_master[[#This Row],[Actual Delivery Date]]&gt;po_master[[#This Row],[Promised Delivey Date]], "Late Delivery", "OK")</f>
        <v>OK</v>
      </c>
      <c r="U102" s="1" t="str">
        <f>IF(COUNTIF(po_master[PO Number],po_master[[#This Row],[PO Number]])&gt;1, "Duplicate Invoice", "OK")</f>
        <v>OK</v>
      </c>
    </row>
    <row r="103" spans="1:21" x14ac:dyDescent="0.25">
      <c r="A103" s="1" t="s">
        <v>96</v>
      </c>
      <c r="B103" s="1" t="s">
        <v>1491</v>
      </c>
      <c r="C103" s="2">
        <v>46147</v>
      </c>
      <c r="D103">
        <v>330</v>
      </c>
      <c r="E103">
        <v>51.65</v>
      </c>
      <c r="F103" s="1" t="s">
        <v>1469</v>
      </c>
      <c r="G103" s="2">
        <v>46154</v>
      </c>
      <c r="H103">
        <v>330</v>
      </c>
      <c r="I103" s="2">
        <v>46155</v>
      </c>
      <c r="J103" s="1" t="s">
        <v>758</v>
      </c>
      <c r="K103">
        <v>330</v>
      </c>
      <c r="L103">
        <v>51.65</v>
      </c>
      <c r="M103" s="2">
        <v>46158</v>
      </c>
      <c r="N103" t="str">
        <f>IF(po_master[[#This Row],[Approved By]]="", "Missing Approval", "OK")</f>
        <v>OK</v>
      </c>
      <c r="O103" t="str">
        <f>IF(ISBLANK(po_master[[#This Row],[GR Quantity]]), "No GR - Not received", "OK")</f>
        <v>OK</v>
      </c>
      <c r="P103" s="1" t="str">
        <f>IF(po_master[[#This Row],[Promised Delivey Date]]&lt;po_master[[#This Row],[Order Date]], "Invalid", "OK")</f>
        <v>OK</v>
      </c>
      <c r="Q103" s="1" t="str">
        <f>IF(ISBLANK(po_master[[#This Row],[Invoice Number]]), "No Invoice", "OK")</f>
        <v>OK</v>
      </c>
      <c r="R103" s="1" t="str">
        <f>IF(AND(NOT(ISBLANK(po_master[[#This Row],[GR Quantity]])), po_master[[#This Row],[GR Quantity]]&lt;&gt;po_master[[#This Row],[PO Quantity]]), "Qty Variance", "OK")</f>
        <v>OK</v>
      </c>
      <c r="S103" s="1" t="str">
        <f>IF(po_master[[#This Row],[Invoice Unit Price]]&gt;po_master[[#This Row],[PO Unit Price]]*1.01, "Price Variance", "OK")</f>
        <v>OK</v>
      </c>
      <c r="T103" s="1" t="str">
        <f>IF(po_master[[#This Row],[Actual Delivery Date]]&gt;po_master[[#This Row],[Promised Delivey Date]], "Late Delivery", "OK")</f>
        <v>Late Delivery</v>
      </c>
      <c r="U103" s="1" t="str">
        <f>IF(COUNTIF(po_master[PO Number],po_master[[#This Row],[PO Number]])&gt;1, "Duplicate Invoice", "OK")</f>
        <v>OK</v>
      </c>
    </row>
    <row r="104" spans="1:21" x14ac:dyDescent="0.25">
      <c r="A104" s="1" t="s">
        <v>97</v>
      </c>
      <c r="B104" s="1" t="s">
        <v>1455</v>
      </c>
      <c r="C104" s="2">
        <v>46096</v>
      </c>
      <c r="D104">
        <v>130</v>
      </c>
      <c r="E104">
        <v>57.98</v>
      </c>
      <c r="F104" s="1" t="s">
        <v>1472</v>
      </c>
      <c r="G104" s="2">
        <v>46103</v>
      </c>
      <c r="H104">
        <v>130</v>
      </c>
      <c r="I104" s="2">
        <v>46113</v>
      </c>
      <c r="J104" s="1" t="s">
        <v>759</v>
      </c>
      <c r="K104">
        <v>130</v>
      </c>
      <c r="L104">
        <v>57.98</v>
      </c>
      <c r="M104" s="2">
        <v>46110</v>
      </c>
      <c r="N104" t="str">
        <f>IF(po_master[[#This Row],[Approved By]]="", "Missing Approval", "OK")</f>
        <v>OK</v>
      </c>
      <c r="O104" t="str">
        <f>IF(ISBLANK(po_master[[#This Row],[GR Quantity]]), "No GR - Not received", "OK")</f>
        <v>OK</v>
      </c>
      <c r="P104" s="1" t="str">
        <f>IF(po_master[[#This Row],[Promised Delivey Date]]&lt;po_master[[#This Row],[Order Date]], "Invalid", "OK")</f>
        <v>OK</v>
      </c>
      <c r="Q104" s="1" t="str">
        <f>IF(ISBLANK(po_master[[#This Row],[Invoice Number]]), "No Invoice", "OK")</f>
        <v>OK</v>
      </c>
      <c r="R104" s="1" t="str">
        <f>IF(AND(NOT(ISBLANK(po_master[[#This Row],[GR Quantity]])), po_master[[#This Row],[GR Quantity]]&lt;&gt;po_master[[#This Row],[PO Quantity]]), "Qty Variance", "OK")</f>
        <v>OK</v>
      </c>
      <c r="S104" s="1" t="str">
        <f>IF(po_master[[#This Row],[Invoice Unit Price]]&gt;po_master[[#This Row],[PO Unit Price]]*1.01, "Price Variance", "OK")</f>
        <v>OK</v>
      </c>
      <c r="T104" s="1" t="str">
        <f>IF(po_master[[#This Row],[Actual Delivery Date]]&gt;po_master[[#This Row],[Promised Delivey Date]], "Late Delivery", "OK")</f>
        <v>Late Delivery</v>
      </c>
      <c r="U104" s="1" t="str">
        <f>IF(COUNTIF(po_master[PO Number],po_master[[#This Row],[PO Number]])&gt;1, "Duplicate Invoice", "OK")</f>
        <v>OK</v>
      </c>
    </row>
    <row r="105" spans="1:21" x14ac:dyDescent="0.25">
      <c r="A105" s="1" t="s">
        <v>98</v>
      </c>
      <c r="B105" s="1" t="s">
        <v>1492</v>
      </c>
      <c r="C105" s="2">
        <v>46129</v>
      </c>
      <c r="D105">
        <v>218</v>
      </c>
      <c r="E105">
        <v>69.52</v>
      </c>
      <c r="F105" s="1" t="s">
        <v>1469</v>
      </c>
      <c r="G105" s="2">
        <v>46147</v>
      </c>
      <c r="H105">
        <v>218</v>
      </c>
      <c r="I105" s="2">
        <v>46147</v>
      </c>
      <c r="J105" s="1" t="s">
        <v>762</v>
      </c>
      <c r="K105">
        <v>218</v>
      </c>
      <c r="L105">
        <v>69.52</v>
      </c>
      <c r="M105" s="2">
        <v>46148</v>
      </c>
      <c r="N105" t="str">
        <f>IF(po_master[[#This Row],[Approved By]]="", "Missing Approval", "OK")</f>
        <v>OK</v>
      </c>
      <c r="O105" t="str">
        <f>IF(ISBLANK(po_master[[#This Row],[GR Quantity]]), "No GR - Not received", "OK")</f>
        <v>OK</v>
      </c>
      <c r="P105" s="1" t="str">
        <f>IF(po_master[[#This Row],[Promised Delivey Date]]&lt;po_master[[#This Row],[Order Date]], "Invalid", "OK")</f>
        <v>OK</v>
      </c>
      <c r="Q105" s="1" t="str">
        <f>IF(ISBLANK(po_master[[#This Row],[Invoice Number]]), "No Invoice", "OK")</f>
        <v>OK</v>
      </c>
      <c r="R105" s="1" t="str">
        <f>IF(AND(NOT(ISBLANK(po_master[[#This Row],[GR Quantity]])), po_master[[#This Row],[GR Quantity]]&lt;&gt;po_master[[#This Row],[PO Quantity]]), "Qty Variance", "OK")</f>
        <v>OK</v>
      </c>
      <c r="S105" s="1" t="str">
        <f>IF(po_master[[#This Row],[Invoice Unit Price]]&gt;po_master[[#This Row],[PO Unit Price]]*1.01, "Price Variance", "OK")</f>
        <v>OK</v>
      </c>
      <c r="T105" s="1" t="str">
        <f>IF(po_master[[#This Row],[Actual Delivery Date]]&gt;po_master[[#This Row],[Promised Delivey Date]], "Late Delivery", "OK")</f>
        <v>OK</v>
      </c>
      <c r="U105" s="1" t="str">
        <f>IF(COUNTIF(po_master[PO Number],po_master[[#This Row],[PO Number]])&gt;1, "Duplicate Invoice", "OK")</f>
        <v>OK</v>
      </c>
    </row>
    <row r="106" spans="1:21" x14ac:dyDescent="0.25">
      <c r="A106" s="1" t="s">
        <v>755</v>
      </c>
      <c r="B106" s="1" t="s">
        <v>1478</v>
      </c>
      <c r="C106" s="2">
        <v>46152</v>
      </c>
      <c r="D106">
        <v>228</v>
      </c>
      <c r="E106">
        <v>166.96</v>
      </c>
      <c r="F106" s="1" t="s">
        <v>1442</v>
      </c>
      <c r="G106" s="2">
        <v>46171</v>
      </c>
      <c r="I106" s="2"/>
      <c r="J106" s="1" t="s">
        <v>756</v>
      </c>
      <c r="K106">
        <v>228</v>
      </c>
      <c r="L106">
        <v>166.96</v>
      </c>
      <c r="M106" s="2">
        <v>46178</v>
      </c>
      <c r="N106" t="str">
        <f>IF(po_master[[#This Row],[Approved By]]="", "Missing Approval", "OK")</f>
        <v>OK</v>
      </c>
      <c r="O106" t="str">
        <f>IF(ISBLANK(po_master[[#This Row],[GR Quantity]]), "No GR - Not received", "OK")</f>
        <v>No GR - Not received</v>
      </c>
      <c r="P106" s="1" t="str">
        <f>IF(po_master[[#This Row],[Promised Delivey Date]]&lt;po_master[[#This Row],[Order Date]], "Invalid", "OK")</f>
        <v>OK</v>
      </c>
      <c r="Q106" s="1" t="str">
        <f>IF(ISBLANK(po_master[[#This Row],[Invoice Number]]), "No Invoice", "OK")</f>
        <v>OK</v>
      </c>
      <c r="R106" s="1" t="str">
        <f>IF(AND(NOT(ISBLANK(po_master[[#This Row],[GR Quantity]])), po_master[[#This Row],[GR Quantity]]&lt;&gt;po_master[[#This Row],[PO Quantity]]), "Qty Variance", "OK")</f>
        <v>OK</v>
      </c>
      <c r="S106" s="1" t="str">
        <f>IF(po_master[[#This Row],[Invoice Unit Price]]&gt;po_master[[#This Row],[PO Unit Price]]*1.01, "Price Variance", "OK")</f>
        <v>OK</v>
      </c>
      <c r="T106" s="1" t="str">
        <f>IF(po_master[[#This Row],[Actual Delivery Date]]&gt;po_master[[#This Row],[Promised Delivey Date]], "Late Delivery", "OK")</f>
        <v>OK</v>
      </c>
      <c r="U106" s="1" t="str">
        <f>IF(COUNTIF(po_master[PO Number],po_master[[#This Row],[PO Number]])&gt;1, "Duplicate Invoice", "OK")</f>
        <v>OK</v>
      </c>
    </row>
    <row r="107" spans="1:21" x14ac:dyDescent="0.25">
      <c r="A107" s="1" t="s">
        <v>99</v>
      </c>
      <c r="B107" s="1" t="s">
        <v>1475</v>
      </c>
      <c r="C107" s="2">
        <v>46075</v>
      </c>
      <c r="D107">
        <v>436</v>
      </c>
      <c r="E107">
        <v>86.93</v>
      </c>
      <c r="F107" s="1" t="s">
        <v>1456</v>
      </c>
      <c r="G107" s="2">
        <v>46080</v>
      </c>
      <c r="H107">
        <v>436</v>
      </c>
      <c r="I107" s="2">
        <v>46080</v>
      </c>
      <c r="J107" s="1" t="s">
        <v>763</v>
      </c>
      <c r="K107">
        <v>436</v>
      </c>
      <c r="L107">
        <v>86.93</v>
      </c>
      <c r="M107" s="2">
        <v>46089</v>
      </c>
      <c r="N107" t="str">
        <f>IF(po_master[[#This Row],[Approved By]]="", "Missing Approval", "OK")</f>
        <v>OK</v>
      </c>
      <c r="O107" t="str">
        <f>IF(ISBLANK(po_master[[#This Row],[GR Quantity]]), "No GR - Not received", "OK")</f>
        <v>OK</v>
      </c>
      <c r="P107" s="1" t="str">
        <f>IF(po_master[[#This Row],[Promised Delivey Date]]&lt;po_master[[#This Row],[Order Date]], "Invalid", "OK")</f>
        <v>OK</v>
      </c>
      <c r="Q107" s="1" t="str">
        <f>IF(ISBLANK(po_master[[#This Row],[Invoice Number]]), "No Invoice", "OK")</f>
        <v>OK</v>
      </c>
      <c r="R107" s="1" t="str">
        <f>IF(AND(NOT(ISBLANK(po_master[[#This Row],[GR Quantity]])), po_master[[#This Row],[GR Quantity]]&lt;&gt;po_master[[#This Row],[PO Quantity]]), "Qty Variance", "OK")</f>
        <v>OK</v>
      </c>
      <c r="S107" s="1" t="str">
        <f>IF(po_master[[#This Row],[Invoice Unit Price]]&gt;po_master[[#This Row],[PO Unit Price]]*1.01, "Price Variance", "OK")</f>
        <v>OK</v>
      </c>
      <c r="T107" s="1" t="str">
        <f>IF(po_master[[#This Row],[Actual Delivery Date]]&gt;po_master[[#This Row],[Promised Delivey Date]], "Late Delivery", "OK")</f>
        <v>OK</v>
      </c>
      <c r="U107" s="1" t="str">
        <f>IF(COUNTIF(po_master[PO Number],po_master[[#This Row],[PO Number]])&gt;1, "Duplicate Invoice", "OK")</f>
        <v>OK</v>
      </c>
    </row>
    <row r="108" spans="1:21" x14ac:dyDescent="0.25">
      <c r="A108" s="1" t="s">
        <v>100</v>
      </c>
      <c r="B108" s="1" t="s">
        <v>1493</v>
      </c>
      <c r="C108" s="2">
        <v>46120</v>
      </c>
      <c r="D108">
        <v>254</v>
      </c>
      <c r="E108">
        <v>6.15</v>
      </c>
      <c r="F108" s="1" t="s">
        <v>1451</v>
      </c>
      <c r="G108" s="2">
        <v>46134</v>
      </c>
      <c r="H108">
        <v>254</v>
      </c>
      <c r="I108" s="2">
        <v>46136</v>
      </c>
      <c r="J108" s="1" t="s">
        <v>764</v>
      </c>
      <c r="K108">
        <v>254</v>
      </c>
      <c r="L108">
        <v>6.75</v>
      </c>
      <c r="M108" s="2">
        <v>46137</v>
      </c>
      <c r="N108" t="str">
        <f>IF(po_master[[#This Row],[Approved By]]="", "Missing Approval", "OK")</f>
        <v>OK</v>
      </c>
      <c r="O108" t="str">
        <f>IF(ISBLANK(po_master[[#This Row],[GR Quantity]]), "No GR - Not received", "OK")</f>
        <v>OK</v>
      </c>
      <c r="P108" s="1" t="str">
        <f>IF(po_master[[#This Row],[Promised Delivey Date]]&lt;po_master[[#This Row],[Order Date]], "Invalid", "OK")</f>
        <v>OK</v>
      </c>
      <c r="Q108" s="1" t="str">
        <f>IF(ISBLANK(po_master[[#This Row],[Invoice Number]]), "No Invoice", "OK")</f>
        <v>OK</v>
      </c>
      <c r="R108" s="1" t="str">
        <f>IF(AND(NOT(ISBLANK(po_master[[#This Row],[GR Quantity]])), po_master[[#This Row],[GR Quantity]]&lt;&gt;po_master[[#This Row],[PO Quantity]]), "Qty Variance", "OK")</f>
        <v>OK</v>
      </c>
      <c r="S108" s="1" t="str">
        <f>IF(po_master[[#This Row],[Invoice Unit Price]]&gt;po_master[[#This Row],[PO Unit Price]]*1.01, "Price Variance", "OK")</f>
        <v>Price Variance</v>
      </c>
      <c r="T108" s="1" t="str">
        <f>IF(po_master[[#This Row],[Actual Delivery Date]]&gt;po_master[[#This Row],[Promised Delivey Date]], "Late Delivery", "OK")</f>
        <v>Late Delivery</v>
      </c>
      <c r="U108" s="1" t="str">
        <f>IF(COUNTIF(po_master[PO Number],po_master[[#This Row],[PO Number]])&gt;1, "Duplicate Invoice", "OK")</f>
        <v>OK</v>
      </c>
    </row>
    <row r="109" spans="1:21" x14ac:dyDescent="0.25">
      <c r="A109" s="1" t="s">
        <v>101</v>
      </c>
      <c r="B109" s="1" t="s">
        <v>1502</v>
      </c>
      <c r="C109" s="2">
        <v>46130</v>
      </c>
      <c r="D109">
        <v>285</v>
      </c>
      <c r="E109">
        <v>150.77000000000001</v>
      </c>
      <c r="F109" s="1" t="s">
        <v>1459</v>
      </c>
      <c r="G109" s="2">
        <v>46142</v>
      </c>
      <c r="H109">
        <v>285</v>
      </c>
      <c r="I109" s="2">
        <v>46144</v>
      </c>
      <c r="J109" s="1" t="s">
        <v>765</v>
      </c>
      <c r="K109">
        <v>285</v>
      </c>
      <c r="L109">
        <v>150.77000000000001</v>
      </c>
      <c r="M109" s="2">
        <v>46143</v>
      </c>
      <c r="N109" t="str">
        <f>IF(po_master[[#This Row],[Approved By]]="", "Missing Approval", "OK")</f>
        <v>Missing Approval</v>
      </c>
      <c r="O109" t="str">
        <f>IF(ISBLANK(po_master[[#This Row],[GR Quantity]]), "No GR - Not received", "OK")</f>
        <v>OK</v>
      </c>
      <c r="P109" s="1" t="str">
        <f>IF(po_master[[#This Row],[Promised Delivey Date]]&lt;po_master[[#This Row],[Order Date]], "Invalid", "OK")</f>
        <v>OK</v>
      </c>
      <c r="Q109" s="1" t="str">
        <f>IF(ISBLANK(po_master[[#This Row],[Invoice Number]]), "No Invoice", "OK")</f>
        <v>OK</v>
      </c>
      <c r="R109" s="1" t="str">
        <f>IF(AND(NOT(ISBLANK(po_master[[#This Row],[GR Quantity]])), po_master[[#This Row],[GR Quantity]]&lt;&gt;po_master[[#This Row],[PO Quantity]]), "Qty Variance", "OK")</f>
        <v>OK</v>
      </c>
      <c r="S109" s="1" t="str">
        <f>IF(po_master[[#This Row],[Invoice Unit Price]]&gt;po_master[[#This Row],[PO Unit Price]]*1.01, "Price Variance", "OK")</f>
        <v>OK</v>
      </c>
      <c r="T109" s="1" t="str">
        <f>IF(po_master[[#This Row],[Actual Delivery Date]]&gt;po_master[[#This Row],[Promised Delivey Date]], "Late Delivery", "OK")</f>
        <v>Late Delivery</v>
      </c>
      <c r="U109" s="1" t="str">
        <f>IF(COUNTIF(po_master[PO Number],po_master[[#This Row],[PO Number]])&gt;1, "Duplicate Invoice", "OK")</f>
        <v>OK</v>
      </c>
    </row>
    <row r="110" spans="1:21" x14ac:dyDescent="0.25">
      <c r="A110" s="1" t="s">
        <v>102</v>
      </c>
      <c r="B110" s="1" t="s">
        <v>1498</v>
      </c>
      <c r="C110" s="2">
        <v>46079</v>
      </c>
      <c r="D110">
        <v>149</v>
      </c>
      <c r="E110">
        <v>89.99</v>
      </c>
      <c r="F110" s="1" t="s">
        <v>1448</v>
      </c>
      <c r="G110" s="2">
        <v>46096</v>
      </c>
      <c r="H110">
        <v>149</v>
      </c>
      <c r="I110" s="2">
        <v>46096</v>
      </c>
      <c r="J110" s="1" t="s">
        <v>766</v>
      </c>
      <c r="K110">
        <v>149</v>
      </c>
      <c r="L110">
        <v>89.99</v>
      </c>
      <c r="M110" s="2">
        <v>46106</v>
      </c>
      <c r="N110" t="str">
        <f>IF(po_master[[#This Row],[Approved By]]="", "Missing Approval", "OK")</f>
        <v>OK</v>
      </c>
      <c r="O110" t="str">
        <f>IF(ISBLANK(po_master[[#This Row],[GR Quantity]]), "No GR - Not received", "OK")</f>
        <v>OK</v>
      </c>
      <c r="P110" s="1" t="str">
        <f>IF(po_master[[#This Row],[Promised Delivey Date]]&lt;po_master[[#This Row],[Order Date]], "Invalid", "OK")</f>
        <v>OK</v>
      </c>
      <c r="Q110" s="1" t="str">
        <f>IF(ISBLANK(po_master[[#This Row],[Invoice Number]]), "No Invoice", "OK")</f>
        <v>OK</v>
      </c>
      <c r="R110" s="1" t="str">
        <f>IF(AND(NOT(ISBLANK(po_master[[#This Row],[GR Quantity]])), po_master[[#This Row],[GR Quantity]]&lt;&gt;po_master[[#This Row],[PO Quantity]]), "Qty Variance", "OK")</f>
        <v>OK</v>
      </c>
      <c r="S110" s="1" t="str">
        <f>IF(po_master[[#This Row],[Invoice Unit Price]]&gt;po_master[[#This Row],[PO Unit Price]]*1.01, "Price Variance", "OK")</f>
        <v>OK</v>
      </c>
      <c r="T110" s="1" t="str">
        <f>IF(po_master[[#This Row],[Actual Delivery Date]]&gt;po_master[[#This Row],[Promised Delivey Date]], "Late Delivery", "OK")</f>
        <v>OK</v>
      </c>
      <c r="U110" s="1" t="str">
        <f>IF(COUNTIF(po_master[PO Number],po_master[[#This Row],[PO Number]])&gt;1, "Duplicate Invoice", "OK")</f>
        <v>OK</v>
      </c>
    </row>
    <row r="111" spans="1:21" x14ac:dyDescent="0.25">
      <c r="A111" s="1" t="s">
        <v>760</v>
      </c>
      <c r="B111" s="1" t="s">
        <v>1441</v>
      </c>
      <c r="C111" s="2">
        <v>46061</v>
      </c>
      <c r="D111">
        <v>128</v>
      </c>
      <c r="E111">
        <v>79.69</v>
      </c>
      <c r="F111" s="1" t="s">
        <v>1485</v>
      </c>
      <c r="G111" s="2">
        <v>46072</v>
      </c>
      <c r="I111" s="2"/>
      <c r="J111" s="1" t="s">
        <v>761</v>
      </c>
      <c r="K111">
        <v>128</v>
      </c>
      <c r="L111">
        <v>79.69</v>
      </c>
      <c r="M111" s="2">
        <v>46081</v>
      </c>
      <c r="N111" t="str">
        <f>IF(po_master[[#This Row],[Approved By]]="", "Missing Approval", "OK")</f>
        <v>OK</v>
      </c>
      <c r="O111" t="str">
        <f>IF(ISBLANK(po_master[[#This Row],[GR Quantity]]), "No GR - Not received", "OK")</f>
        <v>No GR - Not received</v>
      </c>
      <c r="P111" s="1" t="str">
        <f>IF(po_master[[#This Row],[Promised Delivey Date]]&lt;po_master[[#This Row],[Order Date]], "Invalid", "OK")</f>
        <v>OK</v>
      </c>
      <c r="Q111" s="1" t="str">
        <f>IF(ISBLANK(po_master[[#This Row],[Invoice Number]]), "No Invoice", "OK")</f>
        <v>OK</v>
      </c>
      <c r="R111" s="1" t="str">
        <f>IF(AND(NOT(ISBLANK(po_master[[#This Row],[GR Quantity]])), po_master[[#This Row],[GR Quantity]]&lt;&gt;po_master[[#This Row],[PO Quantity]]), "Qty Variance", "OK")</f>
        <v>OK</v>
      </c>
      <c r="S111" s="1" t="str">
        <f>IF(po_master[[#This Row],[Invoice Unit Price]]&gt;po_master[[#This Row],[PO Unit Price]]*1.01, "Price Variance", "OK")</f>
        <v>OK</v>
      </c>
      <c r="T111" s="1" t="str">
        <f>IF(po_master[[#This Row],[Actual Delivery Date]]&gt;po_master[[#This Row],[Promised Delivey Date]], "Late Delivery", "OK")</f>
        <v>OK</v>
      </c>
      <c r="U111" s="1" t="str">
        <f>IF(COUNTIF(po_master[PO Number],po_master[[#This Row],[PO Number]])&gt;1, "Duplicate Invoice", "OK")</f>
        <v>OK</v>
      </c>
    </row>
    <row r="112" spans="1:21" x14ac:dyDescent="0.25">
      <c r="A112" s="1" t="s">
        <v>103</v>
      </c>
      <c r="B112" s="1" t="s">
        <v>1479</v>
      </c>
      <c r="C112" s="2">
        <v>46126</v>
      </c>
      <c r="D112">
        <v>380</v>
      </c>
      <c r="E112">
        <v>37.18</v>
      </c>
      <c r="F112" s="1" t="s">
        <v>1469</v>
      </c>
      <c r="G112" s="2">
        <v>46135</v>
      </c>
      <c r="H112">
        <v>380</v>
      </c>
      <c r="I112" s="2">
        <v>46135</v>
      </c>
      <c r="J112" s="1" t="s">
        <v>767</v>
      </c>
      <c r="K112">
        <v>380</v>
      </c>
      <c r="L112">
        <v>37.18</v>
      </c>
      <c r="M112" s="2">
        <v>46144</v>
      </c>
      <c r="N112" t="str">
        <f>IF(po_master[[#This Row],[Approved By]]="", "Missing Approval", "OK")</f>
        <v>OK</v>
      </c>
      <c r="O112" t="str">
        <f>IF(ISBLANK(po_master[[#This Row],[GR Quantity]]), "No GR - Not received", "OK")</f>
        <v>OK</v>
      </c>
      <c r="P112" s="1" t="str">
        <f>IF(po_master[[#This Row],[Promised Delivey Date]]&lt;po_master[[#This Row],[Order Date]], "Invalid", "OK")</f>
        <v>OK</v>
      </c>
      <c r="Q112" s="1" t="str">
        <f>IF(ISBLANK(po_master[[#This Row],[Invoice Number]]), "No Invoice", "OK")</f>
        <v>OK</v>
      </c>
      <c r="R112" s="1" t="str">
        <f>IF(AND(NOT(ISBLANK(po_master[[#This Row],[GR Quantity]])), po_master[[#This Row],[GR Quantity]]&lt;&gt;po_master[[#This Row],[PO Quantity]]), "Qty Variance", "OK")</f>
        <v>OK</v>
      </c>
      <c r="S112" s="1" t="str">
        <f>IF(po_master[[#This Row],[Invoice Unit Price]]&gt;po_master[[#This Row],[PO Unit Price]]*1.01, "Price Variance", "OK")</f>
        <v>OK</v>
      </c>
      <c r="T112" s="1" t="str">
        <f>IF(po_master[[#This Row],[Actual Delivery Date]]&gt;po_master[[#This Row],[Promised Delivey Date]], "Late Delivery", "OK")</f>
        <v>OK</v>
      </c>
      <c r="U112" s="1" t="str">
        <f>IF(COUNTIF(po_master[PO Number],po_master[[#This Row],[PO Number]])&gt;1, "Duplicate Invoice", "OK")</f>
        <v>OK</v>
      </c>
    </row>
    <row r="113" spans="1:21" x14ac:dyDescent="0.25">
      <c r="A113" s="1" t="s">
        <v>104</v>
      </c>
      <c r="B113" s="1" t="s">
        <v>1497</v>
      </c>
      <c r="C113" s="2">
        <v>46159</v>
      </c>
      <c r="D113">
        <v>23</v>
      </c>
      <c r="E113">
        <v>181.85</v>
      </c>
      <c r="F113" s="1" t="s">
        <v>1480</v>
      </c>
      <c r="G113" s="2">
        <v>46164</v>
      </c>
      <c r="H113">
        <v>23</v>
      </c>
      <c r="I113" s="2">
        <v>46162</v>
      </c>
      <c r="J113" s="1" t="s">
        <v>768</v>
      </c>
      <c r="K113">
        <v>23</v>
      </c>
      <c r="L113">
        <v>181.85</v>
      </c>
      <c r="M113" s="2">
        <v>46173</v>
      </c>
      <c r="N113" t="str">
        <f>IF(po_master[[#This Row],[Approved By]]="", "Missing Approval", "OK")</f>
        <v>OK</v>
      </c>
      <c r="O113" t="str">
        <f>IF(ISBLANK(po_master[[#This Row],[GR Quantity]]), "No GR - Not received", "OK")</f>
        <v>OK</v>
      </c>
      <c r="P113" s="1" t="str">
        <f>IF(po_master[[#This Row],[Promised Delivey Date]]&lt;po_master[[#This Row],[Order Date]], "Invalid", "OK")</f>
        <v>OK</v>
      </c>
      <c r="Q113" s="1" t="str">
        <f>IF(ISBLANK(po_master[[#This Row],[Invoice Number]]), "No Invoice", "OK")</f>
        <v>OK</v>
      </c>
      <c r="R113" s="1" t="str">
        <f>IF(AND(NOT(ISBLANK(po_master[[#This Row],[GR Quantity]])), po_master[[#This Row],[GR Quantity]]&lt;&gt;po_master[[#This Row],[PO Quantity]]), "Qty Variance", "OK")</f>
        <v>OK</v>
      </c>
      <c r="S113" s="1" t="str">
        <f>IF(po_master[[#This Row],[Invoice Unit Price]]&gt;po_master[[#This Row],[PO Unit Price]]*1.01, "Price Variance", "OK")</f>
        <v>OK</v>
      </c>
      <c r="T113" s="1" t="str">
        <f>IF(po_master[[#This Row],[Actual Delivery Date]]&gt;po_master[[#This Row],[Promised Delivey Date]], "Late Delivery", "OK")</f>
        <v>OK</v>
      </c>
      <c r="U113" s="1" t="str">
        <f>IF(COUNTIF(po_master[PO Number],po_master[[#This Row],[PO Number]])&gt;1, "Duplicate Invoice", "OK")</f>
        <v>OK</v>
      </c>
    </row>
    <row r="114" spans="1:21" x14ac:dyDescent="0.25">
      <c r="A114" s="1" t="s">
        <v>105</v>
      </c>
      <c r="B114" s="1" t="s">
        <v>1457</v>
      </c>
      <c r="C114" s="2">
        <v>46132</v>
      </c>
      <c r="D114">
        <v>79</v>
      </c>
      <c r="E114">
        <v>174.04</v>
      </c>
      <c r="F114" s="1" t="s">
        <v>1501</v>
      </c>
      <c r="G114" s="2">
        <v>46138</v>
      </c>
      <c r="H114">
        <v>79</v>
      </c>
      <c r="I114" s="2">
        <v>46138</v>
      </c>
      <c r="J114" s="1" t="s">
        <v>769</v>
      </c>
      <c r="K114">
        <v>79</v>
      </c>
      <c r="L114">
        <v>174.04</v>
      </c>
      <c r="M114" s="2">
        <v>46144</v>
      </c>
      <c r="N114" t="str">
        <f>IF(po_master[[#This Row],[Approved By]]="", "Missing Approval", "OK")</f>
        <v>OK</v>
      </c>
      <c r="O114" t="str">
        <f>IF(ISBLANK(po_master[[#This Row],[GR Quantity]]), "No GR - Not received", "OK")</f>
        <v>OK</v>
      </c>
      <c r="P114" s="1" t="str">
        <f>IF(po_master[[#This Row],[Promised Delivey Date]]&lt;po_master[[#This Row],[Order Date]], "Invalid", "OK")</f>
        <v>OK</v>
      </c>
      <c r="Q114" s="1" t="str">
        <f>IF(ISBLANK(po_master[[#This Row],[Invoice Number]]), "No Invoice", "OK")</f>
        <v>OK</v>
      </c>
      <c r="R114" s="1" t="str">
        <f>IF(AND(NOT(ISBLANK(po_master[[#This Row],[GR Quantity]])), po_master[[#This Row],[GR Quantity]]&lt;&gt;po_master[[#This Row],[PO Quantity]]), "Qty Variance", "OK")</f>
        <v>OK</v>
      </c>
      <c r="S114" s="1" t="str">
        <f>IF(po_master[[#This Row],[Invoice Unit Price]]&gt;po_master[[#This Row],[PO Unit Price]]*1.01, "Price Variance", "OK")</f>
        <v>OK</v>
      </c>
      <c r="T114" s="1" t="str">
        <f>IF(po_master[[#This Row],[Actual Delivery Date]]&gt;po_master[[#This Row],[Promised Delivey Date]], "Late Delivery", "OK")</f>
        <v>OK</v>
      </c>
      <c r="U114" s="1" t="str">
        <f>IF(COUNTIF(po_master[PO Number],po_master[[#This Row],[PO Number]])&gt;1, "Duplicate Invoice", "OK")</f>
        <v>OK</v>
      </c>
    </row>
    <row r="115" spans="1:21" x14ac:dyDescent="0.25">
      <c r="A115" s="1" t="s">
        <v>106</v>
      </c>
      <c r="B115" s="1" t="s">
        <v>1502</v>
      </c>
      <c r="C115" s="2">
        <v>46094</v>
      </c>
      <c r="D115">
        <v>395</v>
      </c>
      <c r="E115">
        <v>190.48</v>
      </c>
      <c r="F115" s="1" t="s">
        <v>1507</v>
      </c>
      <c r="G115" s="2">
        <v>46107</v>
      </c>
      <c r="H115">
        <v>395</v>
      </c>
      <c r="I115" s="2">
        <v>46108</v>
      </c>
      <c r="J115" s="1" t="s">
        <v>772</v>
      </c>
      <c r="K115">
        <v>395</v>
      </c>
      <c r="L115">
        <v>190.48</v>
      </c>
      <c r="M115" s="2">
        <v>46114</v>
      </c>
      <c r="N115" t="str">
        <f>IF(po_master[[#This Row],[Approved By]]="", "Missing Approval", "OK")</f>
        <v>OK</v>
      </c>
      <c r="O115" t="str">
        <f>IF(ISBLANK(po_master[[#This Row],[GR Quantity]]), "No GR - Not received", "OK")</f>
        <v>OK</v>
      </c>
      <c r="P115" s="1" t="str">
        <f>IF(po_master[[#This Row],[Promised Delivey Date]]&lt;po_master[[#This Row],[Order Date]], "Invalid", "OK")</f>
        <v>OK</v>
      </c>
      <c r="Q115" s="1" t="str">
        <f>IF(ISBLANK(po_master[[#This Row],[Invoice Number]]), "No Invoice", "OK")</f>
        <v>OK</v>
      </c>
      <c r="R115" s="1" t="str">
        <f>IF(AND(NOT(ISBLANK(po_master[[#This Row],[GR Quantity]])), po_master[[#This Row],[GR Quantity]]&lt;&gt;po_master[[#This Row],[PO Quantity]]), "Qty Variance", "OK")</f>
        <v>OK</v>
      </c>
      <c r="S115" s="1" t="str">
        <f>IF(po_master[[#This Row],[Invoice Unit Price]]&gt;po_master[[#This Row],[PO Unit Price]]*1.01, "Price Variance", "OK")</f>
        <v>OK</v>
      </c>
      <c r="T115" s="1" t="str">
        <f>IF(po_master[[#This Row],[Actual Delivery Date]]&gt;po_master[[#This Row],[Promised Delivey Date]], "Late Delivery", "OK")</f>
        <v>Late Delivery</v>
      </c>
      <c r="U115" s="1" t="str">
        <f>IF(COUNTIF(po_master[PO Number],po_master[[#This Row],[PO Number]])&gt;1, "Duplicate Invoice", "OK")</f>
        <v>OK</v>
      </c>
    </row>
    <row r="116" spans="1:21" x14ac:dyDescent="0.25">
      <c r="A116" s="1" t="s">
        <v>107</v>
      </c>
      <c r="B116" s="1" t="s">
        <v>1457</v>
      </c>
      <c r="C116" s="2">
        <v>46143</v>
      </c>
      <c r="D116">
        <v>19</v>
      </c>
      <c r="E116">
        <v>151.06</v>
      </c>
      <c r="F116" s="1" t="s">
        <v>1462</v>
      </c>
      <c r="G116" s="2">
        <v>46159</v>
      </c>
      <c r="H116">
        <v>19</v>
      </c>
      <c r="I116" s="2">
        <v>46161</v>
      </c>
      <c r="J116" s="1" t="s">
        <v>773</v>
      </c>
      <c r="K116">
        <v>19</v>
      </c>
      <c r="L116">
        <v>151.06</v>
      </c>
      <c r="M116" s="2">
        <v>46168</v>
      </c>
      <c r="N116" t="str">
        <f>IF(po_master[[#This Row],[Approved By]]="", "Missing Approval", "OK")</f>
        <v>OK</v>
      </c>
      <c r="O116" t="str">
        <f>IF(ISBLANK(po_master[[#This Row],[GR Quantity]]), "No GR - Not received", "OK")</f>
        <v>OK</v>
      </c>
      <c r="P116" s="1" t="str">
        <f>IF(po_master[[#This Row],[Promised Delivey Date]]&lt;po_master[[#This Row],[Order Date]], "Invalid", "OK")</f>
        <v>OK</v>
      </c>
      <c r="Q116" s="1" t="str">
        <f>IF(ISBLANK(po_master[[#This Row],[Invoice Number]]), "No Invoice", "OK")</f>
        <v>OK</v>
      </c>
      <c r="R116" s="1" t="str">
        <f>IF(AND(NOT(ISBLANK(po_master[[#This Row],[GR Quantity]])), po_master[[#This Row],[GR Quantity]]&lt;&gt;po_master[[#This Row],[PO Quantity]]), "Qty Variance", "OK")</f>
        <v>OK</v>
      </c>
      <c r="S116" s="1" t="str">
        <f>IF(po_master[[#This Row],[Invoice Unit Price]]&gt;po_master[[#This Row],[PO Unit Price]]*1.01, "Price Variance", "OK")</f>
        <v>OK</v>
      </c>
      <c r="T116" s="1" t="str">
        <f>IF(po_master[[#This Row],[Actual Delivery Date]]&gt;po_master[[#This Row],[Promised Delivey Date]], "Late Delivery", "OK")</f>
        <v>Late Delivery</v>
      </c>
      <c r="U116" s="1" t="str">
        <f>IF(COUNTIF(po_master[PO Number],po_master[[#This Row],[PO Number]])&gt;1, "Duplicate Invoice", "OK")</f>
        <v>OK</v>
      </c>
    </row>
    <row r="117" spans="1:21" x14ac:dyDescent="0.25">
      <c r="A117" s="1" t="s">
        <v>108</v>
      </c>
      <c r="B117" s="1" t="s">
        <v>1482</v>
      </c>
      <c r="C117" s="2">
        <v>46074</v>
      </c>
      <c r="D117">
        <v>439</v>
      </c>
      <c r="E117">
        <v>8.9700000000000006</v>
      </c>
      <c r="F117" s="1" t="s">
        <v>1485</v>
      </c>
      <c r="G117" s="2">
        <v>46086</v>
      </c>
      <c r="H117">
        <v>439</v>
      </c>
      <c r="I117" s="2">
        <v>46088</v>
      </c>
      <c r="J117" s="1" t="s">
        <v>776</v>
      </c>
      <c r="K117">
        <v>439</v>
      </c>
      <c r="L117">
        <v>8.9700000000000006</v>
      </c>
      <c r="M117" s="2">
        <v>46093</v>
      </c>
      <c r="N117" t="str">
        <f>IF(po_master[[#This Row],[Approved By]]="", "Missing Approval", "OK")</f>
        <v>OK</v>
      </c>
      <c r="O117" t="str">
        <f>IF(ISBLANK(po_master[[#This Row],[GR Quantity]]), "No GR - Not received", "OK")</f>
        <v>OK</v>
      </c>
      <c r="P117" s="1" t="str">
        <f>IF(po_master[[#This Row],[Promised Delivey Date]]&lt;po_master[[#This Row],[Order Date]], "Invalid", "OK")</f>
        <v>OK</v>
      </c>
      <c r="Q117" s="1" t="str">
        <f>IF(ISBLANK(po_master[[#This Row],[Invoice Number]]), "No Invoice", "OK")</f>
        <v>OK</v>
      </c>
      <c r="R117" s="1" t="str">
        <f>IF(AND(NOT(ISBLANK(po_master[[#This Row],[GR Quantity]])), po_master[[#This Row],[GR Quantity]]&lt;&gt;po_master[[#This Row],[PO Quantity]]), "Qty Variance", "OK")</f>
        <v>OK</v>
      </c>
      <c r="S117" s="1" t="str">
        <f>IF(po_master[[#This Row],[Invoice Unit Price]]&gt;po_master[[#This Row],[PO Unit Price]]*1.01, "Price Variance", "OK")</f>
        <v>OK</v>
      </c>
      <c r="T117" s="1" t="str">
        <f>IF(po_master[[#This Row],[Actual Delivery Date]]&gt;po_master[[#This Row],[Promised Delivey Date]], "Late Delivery", "OK")</f>
        <v>Late Delivery</v>
      </c>
      <c r="U117" s="1" t="str">
        <f>IF(COUNTIF(po_master[PO Number],po_master[[#This Row],[PO Number]])&gt;1, "Duplicate Invoice", "OK")</f>
        <v>OK</v>
      </c>
    </row>
    <row r="118" spans="1:21" x14ac:dyDescent="0.25">
      <c r="A118" s="1" t="s">
        <v>109</v>
      </c>
      <c r="B118" s="1" t="s">
        <v>1441</v>
      </c>
      <c r="C118" s="2">
        <v>46144</v>
      </c>
      <c r="D118">
        <v>352</v>
      </c>
      <c r="E118">
        <v>27.31</v>
      </c>
      <c r="F118" s="1" t="s">
        <v>1444</v>
      </c>
      <c r="G118" s="2">
        <v>46163</v>
      </c>
      <c r="H118">
        <v>352</v>
      </c>
      <c r="I118" s="2">
        <v>46164</v>
      </c>
      <c r="J118" s="1" t="s">
        <v>777</v>
      </c>
      <c r="K118">
        <v>352</v>
      </c>
      <c r="L118">
        <v>27.31</v>
      </c>
      <c r="M118" s="2">
        <v>46165</v>
      </c>
      <c r="N118" t="str">
        <f>IF(po_master[[#This Row],[Approved By]]="", "Missing Approval", "OK")</f>
        <v>OK</v>
      </c>
      <c r="O118" t="str">
        <f>IF(ISBLANK(po_master[[#This Row],[GR Quantity]]), "No GR - Not received", "OK")</f>
        <v>OK</v>
      </c>
      <c r="P118" s="1" t="str">
        <f>IF(po_master[[#This Row],[Promised Delivey Date]]&lt;po_master[[#This Row],[Order Date]], "Invalid", "OK")</f>
        <v>OK</v>
      </c>
      <c r="Q118" s="1" t="str">
        <f>IF(ISBLANK(po_master[[#This Row],[Invoice Number]]), "No Invoice", "OK")</f>
        <v>OK</v>
      </c>
      <c r="R118" s="1" t="str">
        <f>IF(AND(NOT(ISBLANK(po_master[[#This Row],[GR Quantity]])), po_master[[#This Row],[GR Quantity]]&lt;&gt;po_master[[#This Row],[PO Quantity]]), "Qty Variance", "OK")</f>
        <v>OK</v>
      </c>
      <c r="S118" s="1" t="str">
        <f>IF(po_master[[#This Row],[Invoice Unit Price]]&gt;po_master[[#This Row],[PO Unit Price]]*1.01, "Price Variance", "OK")</f>
        <v>OK</v>
      </c>
      <c r="T118" s="1" t="str">
        <f>IF(po_master[[#This Row],[Actual Delivery Date]]&gt;po_master[[#This Row],[Promised Delivey Date]], "Late Delivery", "OK")</f>
        <v>Late Delivery</v>
      </c>
      <c r="U118" s="1" t="str">
        <f>IF(COUNTIF(po_master[PO Number],po_master[[#This Row],[PO Number]])&gt;1, "Duplicate Invoice", "OK")</f>
        <v>Duplicate Invoice</v>
      </c>
    </row>
    <row r="119" spans="1:21" x14ac:dyDescent="0.25">
      <c r="A119" s="1" t="s">
        <v>109</v>
      </c>
      <c r="B119" s="1" t="s">
        <v>1441</v>
      </c>
      <c r="C119" s="2">
        <v>46144</v>
      </c>
      <c r="D119">
        <v>352</v>
      </c>
      <c r="E119">
        <v>27.31</v>
      </c>
      <c r="F119" s="1" t="s">
        <v>1444</v>
      </c>
      <c r="G119" s="2">
        <v>46163</v>
      </c>
      <c r="H119">
        <v>352</v>
      </c>
      <c r="I119" s="2">
        <v>46164</v>
      </c>
      <c r="J119" s="1" t="s">
        <v>778</v>
      </c>
      <c r="K119">
        <v>352</v>
      </c>
      <c r="L119">
        <v>27.31</v>
      </c>
      <c r="M119" s="2">
        <v>46168</v>
      </c>
      <c r="N119" t="str">
        <f>IF(po_master[[#This Row],[Approved By]]="", "Missing Approval", "OK")</f>
        <v>OK</v>
      </c>
      <c r="O119" t="str">
        <f>IF(ISBLANK(po_master[[#This Row],[GR Quantity]]), "No GR - Not received", "OK")</f>
        <v>OK</v>
      </c>
      <c r="P119" s="1" t="str">
        <f>IF(po_master[[#This Row],[Promised Delivey Date]]&lt;po_master[[#This Row],[Order Date]], "Invalid", "OK")</f>
        <v>OK</v>
      </c>
      <c r="Q119" s="1" t="str">
        <f>IF(ISBLANK(po_master[[#This Row],[Invoice Number]]), "No Invoice", "OK")</f>
        <v>OK</v>
      </c>
      <c r="R119" s="1" t="str">
        <f>IF(AND(NOT(ISBLANK(po_master[[#This Row],[GR Quantity]])), po_master[[#This Row],[GR Quantity]]&lt;&gt;po_master[[#This Row],[PO Quantity]]), "Qty Variance", "OK")</f>
        <v>OK</v>
      </c>
      <c r="S119" s="1" t="str">
        <f>IF(po_master[[#This Row],[Invoice Unit Price]]&gt;po_master[[#This Row],[PO Unit Price]]*1.01, "Price Variance", "OK")</f>
        <v>OK</v>
      </c>
      <c r="T119" s="1" t="str">
        <f>IF(po_master[[#This Row],[Actual Delivery Date]]&gt;po_master[[#This Row],[Promised Delivey Date]], "Late Delivery", "OK")</f>
        <v>Late Delivery</v>
      </c>
      <c r="U119" s="1" t="str">
        <f>IF(COUNTIF(po_master[PO Number],po_master[[#This Row],[PO Number]])&gt;1, "Duplicate Invoice", "OK")</f>
        <v>Duplicate Invoice</v>
      </c>
    </row>
    <row r="120" spans="1:21" x14ac:dyDescent="0.25">
      <c r="A120" s="1" t="s">
        <v>110</v>
      </c>
      <c r="B120" s="1" t="s">
        <v>1449</v>
      </c>
      <c r="C120" s="2">
        <v>46088</v>
      </c>
      <c r="D120">
        <v>402</v>
      </c>
      <c r="E120">
        <v>76.930000000000007</v>
      </c>
      <c r="F120" s="1" t="s">
        <v>1494</v>
      </c>
      <c r="G120" s="2">
        <v>46096</v>
      </c>
      <c r="H120">
        <v>385</v>
      </c>
      <c r="I120" s="2">
        <v>46098</v>
      </c>
      <c r="J120" s="1" t="s">
        <v>779</v>
      </c>
      <c r="K120">
        <v>402</v>
      </c>
      <c r="L120">
        <v>76.930000000000007</v>
      </c>
      <c r="M120" s="2">
        <v>46099</v>
      </c>
      <c r="N120" t="str">
        <f>IF(po_master[[#This Row],[Approved By]]="", "Missing Approval", "OK")</f>
        <v>OK</v>
      </c>
      <c r="O120" t="str">
        <f>IF(ISBLANK(po_master[[#This Row],[GR Quantity]]), "No GR - Not received", "OK")</f>
        <v>OK</v>
      </c>
      <c r="P120" s="1" t="str">
        <f>IF(po_master[[#This Row],[Promised Delivey Date]]&lt;po_master[[#This Row],[Order Date]], "Invalid", "OK")</f>
        <v>OK</v>
      </c>
      <c r="Q120" s="1" t="str">
        <f>IF(ISBLANK(po_master[[#This Row],[Invoice Number]]), "No Invoice", "OK")</f>
        <v>OK</v>
      </c>
      <c r="R120" s="1" t="str">
        <f>IF(AND(NOT(ISBLANK(po_master[[#This Row],[GR Quantity]])), po_master[[#This Row],[GR Quantity]]&lt;&gt;po_master[[#This Row],[PO Quantity]]), "Qty Variance", "OK")</f>
        <v>Qty Variance</v>
      </c>
      <c r="S120" s="1" t="str">
        <f>IF(po_master[[#This Row],[Invoice Unit Price]]&gt;po_master[[#This Row],[PO Unit Price]]*1.01, "Price Variance", "OK")</f>
        <v>OK</v>
      </c>
      <c r="T120" s="1" t="str">
        <f>IF(po_master[[#This Row],[Actual Delivery Date]]&gt;po_master[[#This Row],[Promised Delivey Date]], "Late Delivery", "OK")</f>
        <v>Late Delivery</v>
      </c>
      <c r="U120" s="1" t="str">
        <f>IF(COUNTIF(po_master[PO Number],po_master[[#This Row],[PO Number]])&gt;1, "Duplicate Invoice", "OK")</f>
        <v>OK</v>
      </c>
    </row>
    <row r="121" spans="1:21" x14ac:dyDescent="0.25">
      <c r="A121" s="1" t="s">
        <v>770</v>
      </c>
      <c r="B121" s="1" t="s">
        <v>1470</v>
      </c>
      <c r="C121" s="2">
        <v>46120</v>
      </c>
      <c r="D121">
        <v>177</v>
      </c>
      <c r="E121">
        <v>46.27</v>
      </c>
      <c r="F121" s="1" t="s">
        <v>1472</v>
      </c>
      <c r="G121" s="2">
        <v>46135</v>
      </c>
      <c r="I121" s="2"/>
      <c r="J121" s="1" t="s">
        <v>771</v>
      </c>
      <c r="K121">
        <v>177</v>
      </c>
      <c r="L121">
        <v>50.53</v>
      </c>
      <c r="M121" s="2">
        <v>46144</v>
      </c>
      <c r="N121" t="str">
        <f>IF(po_master[[#This Row],[Approved By]]="", "Missing Approval", "OK")</f>
        <v>OK</v>
      </c>
      <c r="O121" t="str">
        <f>IF(ISBLANK(po_master[[#This Row],[GR Quantity]]), "No GR - Not received", "OK")</f>
        <v>No GR - Not received</v>
      </c>
      <c r="P121" s="1" t="str">
        <f>IF(po_master[[#This Row],[Promised Delivey Date]]&lt;po_master[[#This Row],[Order Date]], "Invalid", "OK")</f>
        <v>OK</v>
      </c>
      <c r="Q121" s="1" t="str">
        <f>IF(ISBLANK(po_master[[#This Row],[Invoice Number]]), "No Invoice", "OK")</f>
        <v>OK</v>
      </c>
      <c r="R121" s="1" t="str">
        <f>IF(AND(NOT(ISBLANK(po_master[[#This Row],[GR Quantity]])), po_master[[#This Row],[GR Quantity]]&lt;&gt;po_master[[#This Row],[PO Quantity]]), "Qty Variance", "OK")</f>
        <v>OK</v>
      </c>
      <c r="S121" s="1" t="str">
        <f>IF(po_master[[#This Row],[Invoice Unit Price]]&gt;po_master[[#This Row],[PO Unit Price]]*1.01, "Price Variance", "OK")</f>
        <v>Price Variance</v>
      </c>
      <c r="T121" s="1" t="str">
        <f>IF(po_master[[#This Row],[Actual Delivery Date]]&gt;po_master[[#This Row],[Promised Delivey Date]], "Late Delivery", "OK")</f>
        <v>OK</v>
      </c>
      <c r="U121" s="1" t="str">
        <f>IF(COUNTIF(po_master[PO Number],po_master[[#This Row],[PO Number]])&gt;1, "Duplicate Invoice", "OK")</f>
        <v>OK</v>
      </c>
    </row>
    <row r="122" spans="1:21" x14ac:dyDescent="0.25">
      <c r="A122" s="1" t="s">
        <v>111</v>
      </c>
      <c r="B122" s="1" t="s">
        <v>1460</v>
      </c>
      <c r="C122" s="2">
        <v>46102</v>
      </c>
      <c r="D122">
        <v>65</v>
      </c>
      <c r="E122">
        <v>117.84</v>
      </c>
      <c r="F122" s="1" t="s">
        <v>1474</v>
      </c>
      <c r="G122" s="2">
        <v>46119</v>
      </c>
      <c r="H122">
        <v>65</v>
      </c>
      <c r="I122" s="2">
        <v>46121</v>
      </c>
      <c r="J122" s="1" t="s">
        <v>780</v>
      </c>
      <c r="K122">
        <v>65</v>
      </c>
      <c r="L122">
        <v>117.84</v>
      </c>
      <c r="M122" s="2">
        <v>46123</v>
      </c>
      <c r="N122" t="str">
        <f>IF(po_master[[#This Row],[Approved By]]="", "Missing Approval", "OK")</f>
        <v>OK</v>
      </c>
      <c r="O122" t="str">
        <f>IF(ISBLANK(po_master[[#This Row],[GR Quantity]]), "No GR - Not received", "OK")</f>
        <v>OK</v>
      </c>
      <c r="P122" s="1" t="str">
        <f>IF(po_master[[#This Row],[Promised Delivey Date]]&lt;po_master[[#This Row],[Order Date]], "Invalid", "OK")</f>
        <v>OK</v>
      </c>
      <c r="Q122" s="1" t="str">
        <f>IF(ISBLANK(po_master[[#This Row],[Invoice Number]]), "No Invoice", "OK")</f>
        <v>OK</v>
      </c>
      <c r="R122" s="1" t="str">
        <f>IF(AND(NOT(ISBLANK(po_master[[#This Row],[GR Quantity]])), po_master[[#This Row],[GR Quantity]]&lt;&gt;po_master[[#This Row],[PO Quantity]]), "Qty Variance", "OK")</f>
        <v>OK</v>
      </c>
      <c r="S122" s="1" t="str">
        <f>IF(po_master[[#This Row],[Invoice Unit Price]]&gt;po_master[[#This Row],[PO Unit Price]]*1.01, "Price Variance", "OK")</f>
        <v>OK</v>
      </c>
      <c r="T122" s="1" t="str">
        <f>IF(po_master[[#This Row],[Actual Delivery Date]]&gt;po_master[[#This Row],[Promised Delivey Date]], "Late Delivery", "OK")</f>
        <v>Late Delivery</v>
      </c>
      <c r="U122" s="1" t="str">
        <f>IF(COUNTIF(po_master[PO Number],po_master[[#This Row],[PO Number]])&gt;1, "Duplicate Invoice", "OK")</f>
        <v>OK</v>
      </c>
    </row>
    <row r="123" spans="1:21" x14ac:dyDescent="0.25">
      <c r="A123" s="1" t="s">
        <v>112</v>
      </c>
      <c r="B123" s="1" t="s">
        <v>1488</v>
      </c>
      <c r="C123" s="2">
        <v>46073</v>
      </c>
      <c r="D123">
        <v>48</v>
      </c>
      <c r="E123">
        <v>120.46</v>
      </c>
      <c r="F123" s="1" t="s">
        <v>1446</v>
      </c>
      <c r="G123" s="2">
        <v>46085</v>
      </c>
      <c r="H123">
        <v>48</v>
      </c>
      <c r="I123" s="2">
        <v>46093</v>
      </c>
      <c r="J123" s="1" t="s">
        <v>781</v>
      </c>
      <c r="K123">
        <v>48</v>
      </c>
      <c r="L123">
        <v>120.46</v>
      </c>
      <c r="M123" s="2">
        <v>46094</v>
      </c>
      <c r="N123" t="str">
        <f>IF(po_master[[#This Row],[Approved By]]="", "Missing Approval", "OK")</f>
        <v>OK</v>
      </c>
      <c r="O123" t="str">
        <f>IF(ISBLANK(po_master[[#This Row],[GR Quantity]]), "No GR - Not received", "OK")</f>
        <v>OK</v>
      </c>
      <c r="P123" s="1" t="str">
        <f>IF(po_master[[#This Row],[Promised Delivey Date]]&lt;po_master[[#This Row],[Order Date]], "Invalid", "OK")</f>
        <v>OK</v>
      </c>
      <c r="Q123" s="1" t="str">
        <f>IF(ISBLANK(po_master[[#This Row],[Invoice Number]]), "No Invoice", "OK")</f>
        <v>OK</v>
      </c>
      <c r="R123" s="1" t="str">
        <f>IF(AND(NOT(ISBLANK(po_master[[#This Row],[GR Quantity]])), po_master[[#This Row],[GR Quantity]]&lt;&gt;po_master[[#This Row],[PO Quantity]]), "Qty Variance", "OK")</f>
        <v>OK</v>
      </c>
      <c r="S123" s="1" t="str">
        <f>IF(po_master[[#This Row],[Invoice Unit Price]]&gt;po_master[[#This Row],[PO Unit Price]]*1.01, "Price Variance", "OK")</f>
        <v>OK</v>
      </c>
      <c r="T123" s="1" t="str">
        <f>IF(po_master[[#This Row],[Actual Delivery Date]]&gt;po_master[[#This Row],[Promised Delivey Date]], "Late Delivery", "OK")</f>
        <v>Late Delivery</v>
      </c>
      <c r="U123" s="1" t="str">
        <f>IF(COUNTIF(po_master[PO Number],po_master[[#This Row],[PO Number]])&gt;1, "Duplicate Invoice", "OK")</f>
        <v>OK</v>
      </c>
    </row>
    <row r="124" spans="1:21" x14ac:dyDescent="0.25">
      <c r="A124" s="1" t="s">
        <v>774</v>
      </c>
      <c r="B124" s="1" t="s">
        <v>1447</v>
      </c>
      <c r="C124" s="2">
        <v>46040</v>
      </c>
      <c r="D124">
        <v>409</v>
      </c>
      <c r="E124">
        <v>191.67</v>
      </c>
      <c r="F124" s="1" t="s">
        <v>1462</v>
      </c>
      <c r="G124" s="2">
        <v>46045</v>
      </c>
      <c r="I124" s="2"/>
      <c r="J124" s="1" t="s">
        <v>775</v>
      </c>
      <c r="K124">
        <v>409</v>
      </c>
      <c r="L124">
        <v>191.67</v>
      </c>
      <c r="M124" s="2">
        <v>46053</v>
      </c>
      <c r="N124" t="str">
        <f>IF(po_master[[#This Row],[Approved By]]="", "Missing Approval", "OK")</f>
        <v>OK</v>
      </c>
      <c r="O124" t="str">
        <f>IF(ISBLANK(po_master[[#This Row],[GR Quantity]]), "No GR - Not received", "OK")</f>
        <v>No GR - Not received</v>
      </c>
      <c r="P124" s="1" t="str">
        <f>IF(po_master[[#This Row],[Promised Delivey Date]]&lt;po_master[[#This Row],[Order Date]], "Invalid", "OK")</f>
        <v>OK</v>
      </c>
      <c r="Q124" s="1" t="str">
        <f>IF(ISBLANK(po_master[[#This Row],[Invoice Number]]), "No Invoice", "OK")</f>
        <v>OK</v>
      </c>
      <c r="R124" s="1" t="str">
        <f>IF(AND(NOT(ISBLANK(po_master[[#This Row],[GR Quantity]])), po_master[[#This Row],[GR Quantity]]&lt;&gt;po_master[[#This Row],[PO Quantity]]), "Qty Variance", "OK")</f>
        <v>OK</v>
      </c>
      <c r="S124" s="1" t="str">
        <f>IF(po_master[[#This Row],[Invoice Unit Price]]&gt;po_master[[#This Row],[PO Unit Price]]*1.01, "Price Variance", "OK")</f>
        <v>OK</v>
      </c>
      <c r="T124" s="1" t="str">
        <f>IF(po_master[[#This Row],[Actual Delivery Date]]&gt;po_master[[#This Row],[Promised Delivey Date]], "Late Delivery", "OK")</f>
        <v>OK</v>
      </c>
      <c r="U124" s="1" t="str">
        <f>IF(COUNTIF(po_master[PO Number],po_master[[#This Row],[PO Number]])&gt;1, "Duplicate Invoice", "OK")</f>
        <v>OK</v>
      </c>
    </row>
    <row r="125" spans="1:21" x14ac:dyDescent="0.25">
      <c r="A125" s="1" t="s">
        <v>113</v>
      </c>
      <c r="B125" s="1" t="s">
        <v>1450</v>
      </c>
      <c r="C125" s="2">
        <v>46100</v>
      </c>
      <c r="D125">
        <v>445</v>
      </c>
      <c r="E125">
        <v>138.43</v>
      </c>
      <c r="F125" s="1" t="s">
        <v>1459</v>
      </c>
      <c r="G125" s="2">
        <v>46106</v>
      </c>
      <c r="H125">
        <v>445</v>
      </c>
      <c r="I125" s="2">
        <v>46106</v>
      </c>
      <c r="J125" s="1" t="s">
        <v>782</v>
      </c>
      <c r="K125">
        <v>445</v>
      </c>
      <c r="L125">
        <v>138.43</v>
      </c>
      <c r="M125" s="2">
        <v>46107</v>
      </c>
      <c r="N125" t="str">
        <f>IF(po_master[[#This Row],[Approved By]]="", "Missing Approval", "OK")</f>
        <v>Missing Approval</v>
      </c>
      <c r="O125" t="str">
        <f>IF(ISBLANK(po_master[[#This Row],[GR Quantity]]), "No GR - Not received", "OK")</f>
        <v>OK</v>
      </c>
      <c r="P125" s="1" t="str">
        <f>IF(po_master[[#This Row],[Promised Delivey Date]]&lt;po_master[[#This Row],[Order Date]], "Invalid", "OK")</f>
        <v>OK</v>
      </c>
      <c r="Q125" s="1" t="str">
        <f>IF(ISBLANK(po_master[[#This Row],[Invoice Number]]), "No Invoice", "OK")</f>
        <v>OK</v>
      </c>
      <c r="R125" s="1" t="str">
        <f>IF(AND(NOT(ISBLANK(po_master[[#This Row],[GR Quantity]])), po_master[[#This Row],[GR Quantity]]&lt;&gt;po_master[[#This Row],[PO Quantity]]), "Qty Variance", "OK")</f>
        <v>OK</v>
      </c>
      <c r="S125" s="1" t="str">
        <f>IF(po_master[[#This Row],[Invoice Unit Price]]&gt;po_master[[#This Row],[PO Unit Price]]*1.01, "Price Variance", "OK")</f>
        <v>OK</v>
      </c>
      <c r="T125" s="1" t="str">
        <f>IF(po_master[[#This Row],[Actual Delivery Date]]&gt;po_master[[#This Row],[Promised Delivey Date]], "Late Delivery", "OK")</f>
        <v>OK</v>
      </c>
      <c r="U125" s="1" t="str">
        <f>IF(COUNTIF(po_master[PO Number],po_master[[#This Row],[PO Number]])&gt;1, "Duplicate Invoice", "OK")</f>
        <v>Duplicate Invoice</v>
      </c>
    </row>
    <row r="126" spans="1:21" x14ac:dyDescent="0.25">
      <c r="A126" s="1" t="s">
        <v>113</v>
      </c>
      <c r="B126" s="1" t="s">
        <v>1450</v>
      </c>
      <c r="C126" s="2">
        <v>46100</v>
      </c>
      <c r="D126">
        <v>445</v>
      </c>
      <c r="E126">
        <v>138.43</v>
      </c>
      <c r="F126" s="1" t="s">
        <v>1459</v>
      </c>
      <c r="G126" s="2">
        <v>46106</v>
      </c>
      <c r="H126">
        <v>445</v>
      </c>
      <c r="I126" s="2">
        <v>46106</v>
      </c>
      <c r="J126" s="1" t="s">
        <v>783</v>
      </c>
      <c r="K126">
        <v>445</v>
      </c>
      <c r="L126">
        <v>138.43</v>
      </c>
      <c r="M126" s="2">
        <v>46112</v>
      </c>
      <c r="N126" t="str">
        <f>IF(po_master[[#This Row],[Approved By]]="", "Missing Approval", "OK")</f>
        <v>Missing Approval</v>
      </c>
      <c r="O126" t="str">
        <f>IF(ISBLANK(po_master[[#This Row],[GR Quantity]]), "No GR - Not received", "OK")</f>
        <v>OK</v>
      </c>
      <c r="P126" s="1" t="str">
        <f>IF(po_master[[#This Row],[Promised Delivey Date]]&lt;po_master[[#This Row],[Order Date]], "Invalid", "OK")</f>
        <v>OK</v>
      </c>
      <c r="Q126" s="1" t="str">
        <f>IF(ISBLANK(po_master[[#This Row],[Invoice Number]]), "No Invoice", "OK")</f>
        <v>OK</v>
      </c>
      <c r="R126" s="1" t="str">
        <f>IF(AND(NOT(ISBLANK(po_master[[#This Row],[GR Quantity]])), po_master[[#This Row],[GR Quantity]]&lt;&gt;po_master[[#This Row],[PO Quantity]]), "Qty Variance", "OK")</f>
        <v>OK</v>
      </c>
      <c r="S126" s="1" t="str">
        <f>IF(po_master[[#This Row],[Invoice Unit Price]]&gt;po_master[[#This Row],[PO Unit Price]]*1.01, "Price Variance", "OK")</f>
        <v>OK</v>
      </c>
      <c r="T126" s="1" t="str">
        <f>IF(po_master[[#This Row],[Actual Delivery Date]]&gt;po_master[[#This Row],[Promised Delivey Date]], "Late Delivery", "OK")</f>
        <v>OK</v>
      </c>
      <c r="U126" s="1" t="str">
        <f>IF(COUNTIF(po_master[PO Number],po_master[[#This Row],[PO Number]])&gt;1, "Duplicate Invoice", "OK")</f>
        <v>Duplicate Invoice</v>
      </c>
    </row>
    <row r="127" spans="1:21" x14ac:dyDescent="0.25">
      <c r="A127" s="1" t="s">
        <v>114</v>
      </c>
      <c r="B127" s="1" t="s">
        <v>1503</v>
      </c>
      <c r="C127" s="2">
        <v>46159</v>
      </c>
      <c r="D127">
        <v>229</v>
      </c>
      <c r="E127">
        <v>134</v>
      </c>
      <c r="F127" s="1" t="s">
        <v>1476</v>
      </c>
      <c r="G127" s="2">
        <v>46180</v>
      </c>
      <c r="H127">
        <v>229</v>
      </c>
      <c r="I127" s="2">
        <v>46185</v>
      </c>
      <c r="J127" s="1" t="s">
        <v>784</v>
      </c>
      <c r="K127">
        <v>229</v>
      </c>
      <c r="L127">
        <v>134</v>
      </c>
      <c r="M127" s="2">
        <v>46184</v>
      </c>
      <c r="N127" t="str">
        <f>IF(po_master[[#This Row],[Approved By]]="", "Missing Approval", "OK")</f>
        <v>OK</v>
      </c>
      <c r="O127" t="str">
        <f>IF(ISBLANK(po_master[[#This Row],[GR Quantity]]), "No GR - Not received", "OK")</f>
        <v>OK</v>
      </c>
      <c r="P127" s="1" t="str">
        <f>IF(po_master[[#This Row],[Promised Delivey Date]]&lt;po_master[[#This Row],[Order Date]], "Invalid", "OK")</f>
        <v>OK</v>
      </c>
      <c r="Q127" s="1" t="str">
        <f>IF(ISBLANK(po_master[[#This Row],[Invoice Number]]), "No Invoice", "OK")</f>
        <v>OK</v>
      </c>
      <c r="R127" s="1" t="str">
        <f>IF(AND(NOT(ISBLANK(po_master[[#This Row],[GR Quantity]])), po_master[[#This Row],[GR Quantity]]&lt;&gt;po_master[[#This Row],[PO Quantity]]), "Qty Variance", "OK")</f>
        <v>OK</v>
      </c>
      <c r="S127" s="1" t="str">
        <f>IF(po_master[[#This Row],[Invoice Unit Price]]&gt;po_master[[#This Row],[PO Unit Price]]*1.01, "Price Variance", "OK")</f>
        <v>OK</v>
      </c>
      <c r="T127" s="1" t="str">
        <f>IF(po_master[[#This Row],[Actual Delivery Date]]&gt;po_master[[#This Row],[Promised Delivey Date]], "Late Delivery", "OK")</f>
        <v>Late Delivery</v>
      </c>
      <c r="U127" s="1" t="str">
        <f>IF(COUNTIF(po_master[PO Number],po_master[[#This Row],[PO Number]])&gt;1, "Duplicate Invoice", "OK")</f>
        <v>OK</v>
      </c>
    </row>
    <row r="128" spans="1:21" x14ac:dyDescent="0.25">
      <c r="A128" s="1" t="s">
        <v>115</v>
      </c>
      <c r="B128" s="1" t="s">
        <v>1508</v>
      </c>
      <c r="C128" s="2">
        <v>46110</v>
      </c>
      <c r="D128">
        <v>16</v>
      </c>
      <c r="E128">
        <v>170.67</v>
      </c>
      <c r="F128" s="1" t="s">
        <v>1487</v>
      </c>
      <c r="G128" s="2">
        <v>46118</v>
      </c>
      <c r="H128">
        <v>16</v>
      </c>
      <c r="I128" s="2">
        <v>46137</v>
      </c>
      <c r="J128" s="1" t="s">
        <v>785</v>
      </c>
      <c r="K128">
        <v>16</v>
      </c>
      <c r="L128">
        <v>170.67</v>
      </c>
      <c r="M128" s="2">
        <v>46125</v>
      </c>
      <c r="N128" t="str">
        <f>IF(po_master[[#This Row],[Approved By]]="", "Missing Approval", "OK")</f>
        <v>OK</v>
      </c>
      <c r="O128" t="str">
        <f>IF(ISBLANK(po_master[[#This Row],[GR Quantity]]), "No GR - Not received", "OK")</f>
        <v>OK</v>
      </c>
      <c r="P128" s="1" t="str">
        <f>IF(po_master[[#This Row],[Promised Delivey Date]]&lt;po_master[[#This Row],[Order Date]], "Invalid", "OK")</f>
        <v>OK</v>
      </c>
      <c r="Q128" s="1" t="str">
        <f>IF(ISBLANK(po_master[[#This Row],[Invoice Number]]), "No Invoice", "OK")</f>
        <v>OK</v>
      </c>
      <c r="R128" s="1" t="str">
        <f>IF(AND(NOT(ISBLANK(po_master[[#This Row],[GR Quantity]])), po_master[[#This Row],[GR Quantity]]&lt;&gt;po_master[[#This Row],[PO Quantity]]), "Qty Variance", "OK")</f>
        <v>OK</v>
      </c>
      <c r="S128" s="1" t="str">
        <f>IF(po_master[[#This Row],[Invoice Unit Price]]&gt;po_master[[#This Row],[PO Unit Price]]*1.01, "Price Variance", "OK")</f>
        <v>OK</v>
      </c>
      <c r="T128" s="1" t="str">
        <f>IF(po_master[[#This Row],[Actual Delivery Date]]&gt;po_master[[#This Row],[Promised Delivey Date]], "Late Delivery", "OK")</f>
        <v>Late Delivery</v>
      </c>
      <c r="U128" s="1" t="str">
        <f>IF(COUNTIF(po_master[PO Number],po_master[[#This Row],[PO Number]])&gt;1, "Duplicate Invoice", "OK")</f>
        <v>OK</v>
      </c>
    </row>
    <row r="129" spans="1:21" x14ac:dyDescent="0.25">
      <c r="A129" s="1" t="s">
        <v>116</v>
      </c>
      <c r="B129" s="1" t="s">
        <v>1500</v>
      </c>
      <c r="C129" s="2">
        <v>46115</v>
      </c>
      <c r="D129">
        <v>335</v>
      </c>
      <c r="E129">
        <v>178.86</v>
      </c>
      <c r="F129" s="1" t="s">
        <v>1469</v>
      </c>
      <c r="G129" s="2">
        <v>46124</v>
      </c>
      <c r="H129">
        <v>335</v>
      </c>
      <c r="I129" s="2">
        <v>46135</v>
      </c>
      <c r="J129" s="1" t="s">
        <v>786</v>
      </c>
      <c r="K129">
        <v>335</v>
      </c>
      <c r="L129">
        <v>178.86</v>
      </c>
      <c r="M129" s="2">
        <v>46125</v>
      </c>
      <c r="N129" t="str">
        <f>IF(po_master[[#This Row],[Approved By]]="", "Missing Approval", "OK")</f>
        <v>OK</v>
      </c>
      <c r="O129" t="str">
        <f>IF(ISBLANK(po_master[[#This Row],[GR Quantity]]), "No GR - Not received", "OK")</f>
        <v>OK</v>
      </c>
      <c r="P129" s="1" t="str">
        <f>IF(po_master[[#This Row],[Promised Delivey Date]]&lt;po_master[[#This Row],[Order Date]], "Invalid", "OK")</f>
        <v>OK</v>
      </c>
      <c r="Q129" s="1" t="str">
        <f>IF(ISBLANK(po_master[[#This Row],[Invoice Number]]), "No Invoice", "OK")</f>
        <v>OK</v>
      </c>
      <c r="R129" s="1" t="str">
        <f>IF(AND(NOT(ISBLANK(po_master[[#This Row],[GR Quantity]])), po_master[[#This Row],[GR Quantity]]&lt;&gt;po_master[[#This Row],[PO Quantity]]), "Qty Variance", "OK")</f>
        <v>OK</v>
      </c>
      <c r="S129" s="1" t="str">
        <f>IF(po_master[[#This Row],[Invoice Unit Price]]&gt;po_master[[#This Row],[PO Unit Price]]*1.01, "Price Variance", "OK")</f>
        <v>OK</v>
      </c>
      <c r="T129" s="1" t="str">
        <f>IF(po_master[[#This Row],[Actual Delivery Date]]&gt;po_master[[#This Row],[Promised Delivey Date]], "Late Delivery", "OK")</f>
        <v>Late Delivery</v>
      </c>
      <c r="U129" s="1" t="str">
        <f>IF(COUNTIF(po_master[PO Number],po_master[[#This Row],[PO Number]])&gt;1, "Duplicate Invoice", "OK")</f>
        <v>OK</v>
      </c>
    </row>
    <row r="130" spans="1:21" x14ac:dyDescent="0.25">
      <c r="A130" s="1" t="s">
        <v>117</v>
      </c>
      <c r="B130" s="1" t="s">
        <v>1500</v>
      </c>
      <c r="C130" s="2">
        <v>46068</v>
      </c>
      <c r="D130">
        <v>385</v>
      </c>
      <c r="E130">
        <v>106.74</v>
      </c>
      <c r="F130" s="1" t="s">
        <v>1459</v>
      </c>
      <c r="G130" s="2">
        <v>46081</v>
      </c>
      <c r="H130">
        <v>385</v>
      </c>
      <c r="I130" s="2">
        <v>46082</v>
      </c>
      <c r="J130" s="1" t="s">
        <v>787</v>
      </c>
      <c r="K130">
        <v>385</v>
      </c>
      <c r="L130">
        <v>106.74</v>
      </c>
      <c r="M130" s="2">
        <v>46090</v>
      </c>
      <c r="N130" t="str">
        <f>IF(po_master[[#This Row],[Approved By]]="", "Missing Approval", "OK")</f>
        <v>Missing Approval</v>
      </c>
      <c r="O130" t="str">
        <f>IF(ISBLANK(po_master[[#This Row],[GR Quantity]]), "No GR - Not received", "OK")</f>
        <v>OK</v>
      </c>
      <c r="P130" s="1" t="str">
        <f>IF(po_master[[#This Row],[Promised Delivey Date]]&lt;po_master[[#This Row],[Order Date]], "Invalid", "OK")</f>
        <v>OK</v>
      </c>
      <c r="Q130" s="1" t="str">
        <f>IF(ISBLANK(po_master[[#This Row],[Invoice Number]]), "No Invoice", "OK")</f>
        <v>OK</v>
      </c>
      <c r="R130" s="1" t="str">
        <f>IF(AND(NOT(ISBLANK(po_master[[#This Row],[GR Quantity]])), po_master[[#This Row],[GR Quantity]]&lt;&gt;po_master[[#This Row],[PO Quantity]]), "Qty Variance", "OK")</f>
        <v>OK</v>
      </c>
      <c r="S130" s="1" t="str">
        <f>IF(po_master[[#This Row],[Invoice Unit Price]]&gt;po_master[[#This Row],[PO Unit Price]]*1.01, "Price Variance", "OK")</f>
        <v>OK</v>
      </c>
      <c r="T130" s="1" t="str">
        <f>IF(po_master[[#This Row],[Actual Delivery Date]]&gt;po_master[[#This Row],[Promised Delivey Date]], "Late Delivery", "OK")</f>
        <v>Late Delivery</v>
      </c>
      <c r="U130" s="1" t="str">
        <f>IF(COUNTIF(po_master[PO Number],po_master[[#This Row],[PO Number]])&gt;1, "Duplicate Invoice", "OK")</f>
        <v>OK</v>
      </c>
    </row>
    <row r="131" spans="1:21" x14ac:dyDescent="0.25">
      <c r="A131" s="1" t="s">
        <v>118</v>
      </c>
      <c r="B131" s="1" t="s">
        <v>1497</v>
      </c>
      <c r="C131" s="2">
        <v>46160</v>
      </c>
      <c r="D131">
        <v>406</v>
      </c>
      <c r="E131">
        <v>99.28</v>
      </c>
      <c r="F131" s="1" t="s">
        <v>1507</v>
      </c>
      <c r="G131" s="2">
        <v>46173</v>
      </c>
      <c r="H131">
        <v>406</v>
      </c>
      <c r="I131" s="2">
        <v>46182</v>
      </c>
      <c r="J131" s="1" t="s">
        <v>788</v>
      </c>
      <c r="K131">
        <v>406</v>
      </c>
      <c r="L131">
        <v>113.94</v>
      </c>
      <c r="M131" s="2">
        <v>46175</v>
      </c>
      <c r="N131" t="str">
        <f>IF(po_master[[#This Row],[Approved By]]="", "Missing Approval", "OK")</f>
        <v>OK</v>
      </c>
      <c r="O131" t="str">
        <f>IF(ISBLANK(po_master[[#This Row],[GR Quantity]]), "No GR - Not received", "OK")</f>
        <v>OK</v>
      </c>
      <c r="P131" s="1" t="str">
        <f>IF(po_master[[#This Row],[Promised Delivey Date]]&lt;po_master[[#This Row],[Order Date]], "Invalid", "OK")</f>
        <v>OK</v>
      </c>
      <c r="Q131" s="1" t="str">
        <f>IF(ISBLANK(po_master[[#This Row],[Invoice Number]]), "No Invoice", "OK")</f>
        <v>OK</v>
      </c>
      <c r="R131" s="1" t="str">
        <f>IF(AND(NOT(ISBLANK(po_master[[#This Row],[GR Quantity]])), po_master[[#This Row],[GR Quantity]]&lt;&gt;po_master[[#This Row],[PO Quantity]]), "Qty Variance", "OK")</f>
        <v>OK</v>
      </c>
      <c r="S131" s="1" t="str">
        <f>IF(po_master[[#This Row],[Invoice Unit Price]]&gt;po_master[[#This Row],[PO Unit Price]]*1.01, "Price Variance", "OK")</f>
        <v>Price Variance</v>
      </c>
      <c r="T131" s="1" t="str">
        <f>IF(po_master[[#This Row],[Actual Delivery Date]]&gt;po_master[[#This Row],[Promised Delivey Date]], "Late Delivery", "OK")</f>
        <v>Late Delivery</v>
      </c>
      <c r="U131" s="1" t="str">
        <f>IF(COUNTIF(po_master[PO Number],po_master[[#This Row],[PO Number]])&gt;1, "Duplicate Invoice", "OK")</f>
        <v>OK</v>
      </c>
    </row>
    <row r="132" spans="1:21" x14ac:dyDescent="0.25">
      <c r="A132" s="1" t="s">
        <v>119</v>
      </c>
      <c r="B132" s="1" t="s">
        <v>1482</v>
      </c>
      <c r="C132" s="2">
        <v>46141</v>
      </c>
      <c r="D132">
        <v>301</v>
      </c>
      <c r="E132">
        <v>124.01</v>
      </c>
      <c r="F132" s="1" t="s">
        <v>1453</v>
      </c>
      <c r="G132" s="2">
        <v>46156</v>
      </c>
      <c r="H132">
        <v>307</v>
      </c>
      <c r="I132" s="2">
        <v>46155</v>
      </c>
      <c r="J132" s="1" t="s">
        <v>791</v>
      </c>
      <c r="K132">
        <v>301</v>
      </c>
      <c r="L132">
        <v>124.01</v>
      </c>
      <c r="M132" s="2">
        <v>46166</v>
      </c>
      <c r="N132" t="str">
        <f>IF(po_master[[#This Row],[Approved By]]="", "Missing Approval", "OK")</f>
        <v>OK</v>
      </c>
      <c r="O132" t="str">
        <f>IF(ISBLANK(po_master[[#This Row],[GR Quantity]]), "No GR - Not received", "OK")</f>
        <v>OK</v>
      </c>
      <c r="P132" s="1" t="str">
        <f>IF(po_master[[#This Row],[Promised Delivey Date]]&lt;po_master[[#This Row],[Order Date]], "Invalid", "OK")</f>
        <v>OK</v>
      </c>
      <c r="Q132" s="1" t="str">
        <f>IF(ISBLANK(po_master[[#This Row],[Invoice Number]]), "No Invoice", "OK")</f>
        <v>OK</v>
      </c>
      <c r="R132" s="1" t="str">
        <f>IF(AND(NOT(ISBLANK(po_master[[#This Row],[GR Quantity]])), po_master[[#This Row],[GR Quantity]]&lt;&gt;po_master[[#This Row],[PO Quantity]]), "Qty Variance", "OK")</f>
        <v>Qty Variance</v>
      </c>
      <c r="S132" s="1" t="str">
        <f>IF(po_master[[#This Row],[Invoice Unit Price]]&gt;po_master[[#This Row],[PO Unit Price]]*1.01, "Price Variance", "OK")</f>
        <v>OK</v>
      </c>
      <c r="T132" s="1" t="str">
        <f>IF(po_master[[#This Row],[Actual Delivery Date]]&gt;po_master[[#This Row],[Promised Delivey Date]], "Late Delivery", "OK")</f>
        <v>OK</v>
      </c>
      <c r="U132" s="1" t="str">
        <f>IF(COUNTIF(po_master[PO Number],po_master[[#This Row],[PO Number]])&gt;1, "Duplicate Invoice", "OK")</f>
        <v>OK</v>
      </c>
    </row>
    <row r="133" spans="1:21" x14ac:dyDescent="0.25">
      <c r="A133" s="1" t="s">
        <v>120</v>
      </c>
      <c r="B133" s="1" t="s">
        <v>1473</v>
      </c>
      <c r="C133" s="2">
        <v>46149</v>
      </c>
      <c r="D133">
        <v>445</v>
      </c>
      <c r="E133">
        <v>68.38</v>
      </c>
      <c r="F133" s="1" t="s">
        <v>1487</v>
      </c>
      <c r="G133" s="2">
        <v>46160</v>
      </c>
      <c r="H133">
        <v>445</v>
      </c>
      <c r="I133" s="2">
        <v>46172</v>
      </c>
      <c r="J133" s="1" t="s">
        <v>792</v>
      </c>
      <c r="K133">
        <v>445</v>
      </c>
      <c r="L133">
        <v>68.38</v>
      </c>
      <c r="M133" s="2">
        <v>46169</v>
      </c>
      <c r="N133" t="str">
        <f>IF(po_master[[#This Row],[Approved By]]="", "Missing Approval", "OK")</f>
        <v>OK</v>
      </c>
      <c r="O133" t="str">
        <f>IF(ISBLANK(po_master[[#This Row],[GR Quantity]]), "No GR - Not received", "OK")</f>
        <v>OK</v>
      </c>
      <c r="P133" s="1" t="str">
        <f>IF(po_master[[#This Row],[Promised Delivey Date]]&lt;po_master[[#This Row],[Order Date]], "Invalid", "OK")</f>
        <v>OK</v>
      </c>
      <c r="Q133" s="1" t="str">
        <f>IF(ISBLANK(po_master[[#This Row],[Invoice Number]]), "No Invoice", "OK")</f>
        <v>OK</v>
      </c>
      <c r="R133" s="1" t="str">
        <f>IF(AND(NOT(ISBLANK(po_master[[#This Row],[GR Quantity]])), po_master[[#This Row],[GR Quantity]]&lt;&gt;po_master[[#This Row],[PO Quantity]]), "Qty Variance", "OK")</f>
        <v>OK</v>
      </c>
      <c r="S133" s="1" t="str">
        <f>IF(po_master[[#This Row],[Invoice Unit Price]]&gt;po_master[[#This Row],[PO Unit Price]]*1.01, "Price Variance", "OK")</f>
        <v>OK</v>
      </c>
      <c r="T133" s="1" t="str">
        <f>IF(po_master[[#This Row],[Actual Delivery Date]]&gt;po_master[[#This Row],[Promised Delivey Date]], "Late Delivery", "OK")</f>
        <v>Late Delivery</v>
      </c>
      <c r="U133" s="1" t="str">
        <f>IF(COUNTIF(po_master[PO Number],po_master[[#This Row],[PO Number]])&gt;1, "Duplicate Invoice", "OK")</f>
        <v>OK</v>
      </c>
    </row>
    <row r="134" spans="1:21" x14ac:dyDescent="0.25">
      <c r="A134" s="1" t="s">
        <v>121</v>
      </c>
      <c r="B134" s="1" t="s">
        <v>1503</v>
      </c>
      <c r="C134" s="2">
        <v>46089</v>
      </c>
      <c r="D134">
        <v>184</v>
      </c>
      <c r="E134">
        <v>59.53</v>
      </c>
      <c r="F134" s="1" t="s">
        <v>1494</v>
      </c>
      <c r="G134" s="2">
        <v>46102</v>
      </c>
      <c r="H134">
        <v>184</v>
      </c>
      <c r="I134" s="2">
        <v>46101</v>
      </c>
      <c r="J134" s="1" t="s">
        <v>793</v>
      </c>
      <c r="K134">
        <v>184</v>
      </c>
      <c r="L134">
        <v>59.53</v>
      </c>
      <c r="M134" s="2">
        <v>46107</v>
      </c>
      <c r="N134" t="str">
        <f>IF(po_master[[#This Row],[Approved By]]="", "Missing Approval", "OK")</f>
        <v>OK</v>
      </c>
      <c r="O134" t="str">
        <f>IF(ISBLANK(po_master[[#This Row],[GR Quantity]]), "No GR - Not received", "OK")</f>
        <v>OK</v>
      </c>
      <c r="P134" s="1" t="str">
        <f>IF(po_master[[#This Row],[Promised Delivey Date]]&lt;po_master[[#This Row],[Order Date]], "Invalid", "OK")</f>
        <v>OK</v>
      </c>
      <c r="Q134" s="1" t="str">
        <f>IF(ISBLANK(po_master[[#This Row],[Invoice Number]]), "No Invoice", "OK")</f>
        <v>OK</v>
      </c>
      <c r="R134" s="1" t="str">
        <f>IF(AND(NOT(ISBLANK(po_master[[#This Row],[GR Quantity]])), po_master[[#This Row],[GR Quantity]]&lt;&gt;po_master[[#This Row],[PO Quantity]]), "Qty Variance", "OK")</f>
        <v>OK</v>
      </c>
      <c r="S134" s="1" t="str">
        <f>IF(po_master[[#This Row],[Invoice Unit Price]]&gt;po_master[[#This Row],[PO Unit Price]]*1.01, "Price Variance", "OK")</f>
        <v>OK</v>
      </c>
      <c r="T134" s="1" t="str">
        <f>IF(po_master[[#This Row],[Actual Delivery Date]]&gt;po_master[[#This Row],[Promised Delivey Date]], "Late Delivery", "OK")</f>
        <v>OK</v>
      </c>
      <c r="U134" s="1" t="str">
        <f>IF(COUNTIF(po_master[PO Number],po_master[[#This Row],[PO Number]])&gt;1, "Duplicate Invoice", "OK")</f>
        <v>OK</v>
      </c>
    </row>
    <row r="135" spans="1:21" x14ac:dyDescent="0.25">
      <c r="A135" s="1" t="s">
        <v>122</v>
      </c>
      <c r="B135" s="1" t="s">
        <v>1477</v>
      </c>
      <c r="C135" s="2">
        <v>46127</v>
      </c>
      <c r="D135">
        <v>260</v>
      </c>
      <c r="E135">
        <v>113.26</v>
      </c>
      <c r="F135" s="1" t="s">
        <v>1440</v>
      </c>
      <c r="G135" s="2">
        <v>46147</v>
      </c>
      <c r="H135">
        <v>260</v>
      </c>
      <c r="I135" s="2">
        <v>46149</v>
      </c>
      <c r="J135" s="1" t="s">
        <v>796</v>
      </c>
      <c r="K135">
        <v>260</v>
      </c>
      <c r="L135">
        <v>113.26</v>
      </c>
      <c r="M135" s="2">
        <v>46156</v>
      </c>
      <c r="N135" t="str">
        <f>IF(po_master[[#This Row],[Approved By]]="", "Missing Approval", "OK")</f>
        <v>OK</v>
      </c>
      <c r="O135" t="str">
        <f>IF(ISBLANK(po_master[[#This Row],[GR Quantity]]), "No GR - Not received", "OK")</f>
        <v>OK</v>
      </c>
      <c r="P135" s="1" t="str">
        <f>IF(po_master[[#This Row],[Promised Delivey Date]]&lt;po_master[[#This Row],[Order Date]], "Invalid", "OK")</f>
        <v>OK</v>
      </c>
      <c r="Q135" s="1" t="str">
        <f>IF(ISBLANK(po_master[[#This Row],[Invoice Number]]), "No Invoice", "OK")</f>
        <v>OK</v>
      </c>
      <c r="R135" s="1" t="str">
        <f>IF(AND(NOT(ISBLANK(po_master[[#This Row],[GR Quantity]])), po_master[[#This Row],[GR Quantity]]&lt;&gt;po_master[[#This Row],[PO Quantity]]), "Qty Variance", "OK")</f>
        <v>OK</v>
      </c>
      <c r="S135" s="1" t="str">
        <f>IF(po_master[[#This Row],[Invoice Unit Price]]&gt;po_master[[#This Row],[PO Unit Price]]*1.01, "Price Variance", "OK")</f>
        <v>OK</v>
      </c>
      <c r="T135" s="1" t="str">
        <f>IF(po_master[[#This Row],[Actual Delivery Date]]&gt;po_master[[#This Row],[Promised Delivey Date]], "Late Delivery", "OK")</f>
        <v>Late Delivery</v>
      </c>
      <c r="U135" s="1" t="str">
        <f>IF(COUNTIF(po_master[PO Number],po_master[[#This Row],[PO Number]])&gt;1, "Duplicate Invoice", "OK")</f>
        <v>OK</v>
      </c>
    </row>
    <row r="136" spans="1:21" x14ac:dyDescent="0.25">
      <c r="A136" s="1" t="s">
        <v>123</v>
      </c>
      <c r="B136" s="1" t="s">
        <v>1508</v>
      </c>
      <c r="C136" s="2">
        <v>46148</v>
      </c>
      <c r="D136">
        <v>239</v>
      </c>
      <c r="E136">
        <v>159.62</v>
      </c>
      <c r="F136" s="1" t="s">
        <v>1476</v>
      </c>
      <c r="G136" s="2">
        <v>46162</v>
      </c>
      <c r="H136">
        <v>239</v>
      </c>
      <c r="I136" s="2">
        <v>46162</v>
      </c>
      <c r="J136" s="1" t="s">
        <v>797</v>
      </c>
      <c r="K136">
        <v>239</v>
      </c>
      <c r="L136">
        <v>159.62</v>
      </c>
      <c r="M136" s="2">
        <v>46171</v>
      </c>
      <c r="N136" t="str">
        <f>IF(po_master[[#This Row],[Approved By]]="", "Missing Approval", "OK")</f>
        <v>OK</v>
      </c>
      <c r="O136" t="str">
        <f>IF(ISBLANK(po_master[[#This Row],[GR Quantity]]), "No GR - Not received", "OK")</f>
        <v>OK</v>
      </c>
      <c r="P136" s="1" t="str">
        <f>IF(po_master[[#This Row],[Promised Delivey Date]]&lt;po_master[[#This Row],[Order Date]], "Invalid", "OK")</f>
        <v>OK</v>
      </c>
      <c r="Q136" s="1" t="str">
        <f>IF(ISBLANK(po_master[[#This Row],[Invoice Number]]), "No Invoice", "OK")</f>
        <v>OK</v>
      </c>
      <c r="R136" s="1" t="str">
        <f>IF(AND(NOT(ISBLANK(po_master[[#This Row],[GR Quantity]])), po_master[[#This Row],[GR Quantity]]&lt;&gt;po_master[[#This Row],[PO Quantity]]), "Qty Variance", "OK")</f>
        <v>OK</v>
      </c>
      <c r="S136" s="1" t="str">
        <f>IF(po_master[[#This Row],[Invoice Unit Price]]&gt;po_master[[#This Row],[PO Unit Price]]*1.01, "Price Variance", "OK")</f>
        <v>OK</v>
      </c>
      <c r="T136" s="1" t="str">
        <f>IF(po_master[[#This Row],[Actual Delivery Date]]&gt;po_master[[#This Row],[Promised Delivey Date]], "Late Delivery", "OK")</f>
        <v>OK</v>
      </c>
      <c r="U136" s="1" t="str">
        <f>IF(COUNTIF(po_master[PO Number],po_master[[#This Row],[PO Number]])&gt;1, "Duplicate Invoice", "OK")</f>
        <v>OK</v>
      </c>
    </row>
    <row r="137" spans="1:21" x14ac:dyDescent="0.25">
      <c r="A137" s="1" t="s">
        <v>124</v>
      </c>
      <c r="B137" s="1" t="s">
        <v>1447</v>
      </c>
      <c r="C137" s="2">
        <v>46126</v>
      </c>
      <c r="D137">
        <v>364</v>
      </c>
      <c r="E137">
        <v>52.44</v>
      </c>
      <c r="F137" s="1" t="s">
        <v>1467</v>
      </c>
      <c r="G137" s="2">
        <v>46142</v>
      </c>
      <c r="H137">
        <v>364</v>
      </c>
      <c r="I137" s="2">
        <v>46144</v>
      </c>
      <c r="J137" s="1" t="s">
        <v>798</v>
      </c>
      <c r="K137">
        <v>364</v>
      </c>
      <c r="L137">
        <v>52.44</v>
      </c>
      <c r="M137" s="2">
        <v>46148</v>
      </c>
      <c r="N137" t="str">
        <f>IF(po_master[[#This Row],[Approved By]]="", "Missing Approval", "OK")</f>
        <v>OK</v>
      </c>
      <c r="O137" t="str">
        <f>IF(ISBLANK(po_master[[#This Row],[GR Quantity]]), "No GR - Not received", "OK")</f>
        <v>OK</v>
      </c>
      <c r="P137" s="1" t="str">
        <f>IF(po_master[[#This Row],[Promised Delivey Date]]&lt;po_master[[#This Row],[Order Date]], "Invalid", "OK")</f>
        <v>OK</v>
      </c>
      <c r="Q137" s="1" t="str">
        <f>IF(ISBLANK(po_master[[#This Row],[Invoice Number]]), "No Invoice", "OK")</f>
        <v>OK</v>
      </c>
      <c r="R137" s="1" t="str">
        <f>IF(AND(NOT(ISBLANK(po_master[[#This Row],[GR Quantity]])), po_master[[#This Row],[GR Quantity]]&lt;&gt;po_master[[#This Row],[PO Quantity]]), "Qty Variance", "OK")</f>
        <v>OK</v>
      </c>
      <c r="S137" s="1" t="str">
        <f>IF(po_master[[#This Row],[Invoice Unit Price]]&gt;po_master[[#This Row],[PO Unit Price]]*1.01, "Price Variance", "OK")</f>
        <v>OK</v>
      </c>
      <c r="T137" s="1" t="str">
        <f>IF(po_master[[#This Row],[Actual Delivery Date]]&gt;po_master[[#This Row],[Promised Delivey Date]], "Late Delivery", "OK")</f>
        <v>Late Delivery</v>
      </c>
      <c r="U137" s="1" t="str">
        <f>IF(COUNTIF(po_master[PO Number],po_master[[#This Row],[PO Number]])&gt;1, "Duplicate Invoice", "OK")</f>
        <v>OK</v>
      </c>
    </row>
    <row r="138" spans="1:21" x14ac:dyDescent="0.25">
      <c r="A138" s="1" t="s">
        <v>125</v>
      </c>
      <c r="B138" s="1" t="s">
        <v>1510</v>
      </c>
      <c r="C138" s="2">
        <v>46164</v>
      </c>
      <c r="D138">
        <v>281</v>
      </c>
      <c r="E138">
        <v>72.03</v>
      </c>
      <c r="F138" s="1" t="s">
        <v>1459</v>
      </c>
      <c r="G138" s="2">
        <v>46179</v>
      </c>
      <c r="H138">
        <v>281</v>
      </c>
      <c r="I138" s="2">
        <v>46178</v>
      </c>
      <c r="J138" s="1" t="s">
        <v>799</v>
      </c>
      <c r="K138">
        <v>281</v>
      </c>
      <c r="L138">
        <v>72.03</v>
      </c>
      <c r="M138" s="2">
        <v>46186</v>
      </c>
      <c r="N138" t="str">
        <f>IF(po_master[[#This Row],[Approved By]]="", "Missing Approval", "OK")</f>
        <v>Missing Approval</v>
      </c>
      <c r="O138" t="str">
        <f>IF(ISBLANK(po_master[[#This Row],[GR Quantity]]), "No GR - Not received", "OK")</f>
        <v>OK</v>
      </c>
      <c r="P138" s="1" t="str">
        <f>IF(po_master[[#This Row],[Promised Delivey Date]]&lt;po_master[[#This Row],[Order Date]], "Invalid", "OK")</f>
        <v>OK</v>
      </c>
      <c r="Q138" s="1" t="str">
        <f>IF(ISBLANK(po_master[[#This Row],[Invoice Number]]), "No Invoice", "OK")</f>
        <v>OK</v>
      </c>
      <c r="R138" s="1" t="str">
        <f>IF(AND(NOT(ISBLANK(po_master[[#This Row],[GR Quantity]])), po_master[[#This Row],[GR Quantity]]&lt;&gt;po_master[[#This Row],[PO Quantity]]), "Qty Variance", "OK")</f>
        <v>OK</v>
      </c>
      <c r="S138" s="1" t="str">
        <f>IF(po_master[[#This Row],[Invoice Unit Price]]&gt;po_master[[#This Row],[PO Unit Price]]*1.01, "Price Variance", "OK")</f>
        <v>OK</v>
      </c>
      <c r="T138" s="1" t="str">
        <f>IF(po_master[[#This Row],[Actual Delivery Date]]&gt;po_master[[#This Row],[Promised Delivey Date]], "Late Delivery", "OK")</f>
        <v>OK</v>
      </c>
      <c r="U138" s="1" t="str">
        <f>IF(COUNTIF(po_master[PO Number],po_master[[#This Row],[PO Number]])&gt;1, "Duplicate Invoice", "OK")</f>
        <v>OK</v>
      </c>
    </row>
    <row r="139" spans="1:21" x14ac:dyDescent="0.25">
      <c r="A139" s="1" t="s">
        <v>789</v>
      </c>
      <c r="B139" s="1" t="s">
        <v>1509</v>
      </c>
      <c r="C139" s="2">
        <v>46085</v>
      </c>
      <c r="D139">
        <v>435</v>
      </c>
      <c r="E139">
        <v>187.25</v>
      </c>
      <c r="F139" s="1" t="s">
        <v>1458</v>
      </c>
      <c r="G139" s="2">
        <v>46104</v>
      </c>
      <c r="I139" s="2"/>
      <c r="J139" s="1" t="s">
        <v>790</v>
      </c>
      <c r="K139">
        <v>435</v>
      </c>
      <c r="L139">
        <v>187.25</v>
      </c>
      <c r="M139" s="2">
        <v>46105</v>
      </c>
      <c r="N139" t="str">
        <f>IF(po_master[[#This Row],[Approved By]]="", "Missing Approval", "OK")</f>
        <v>OK</v>
      </c>
      <c r="O139" t="str">
        <f>IF(ISBLANK(po_master[[#This Row],[GR Quantity]]), "No GR - Not received", "OK")</f>
        <v>No GR - Not received</v>
      </c>
      <c r="P139" s="1" t="str">
        <f>IF(po_master[[#This Row],[Promised Delivey Date]]&lt;po_master[[#This Row],[Order Date]], "Invalid", "OK")</f>
        <v>OK</v>
      </c>
      <c r="Q139" s="1" t="str">
        <f>IF(ISBLANK(po_master[[#This Row],[Invoice Number]]), "No Invoice", "OK")</f>
        <v>OK</v>
      </c>
      <c r="R139" s="1" t="str">
        <f>IF(AND(NOT(ISBLANK(po_master[[#This Row],[GR Quantity]])), po_master[[#This Row],[GR Quantity]]&lt;&gt;po_master[[#This Row],[PO Quantity]]), "Qty Variance", "OK")</f>
        <v>OK</v>
      </c>
      <c r="S139" s="1" t="str">
        <f>IF(po_master[[#This Row],[Invoice Unit Price]]&gt;po_master[[#This Row],[PO Unit Price]]*1.01, "Price Variance", "OK")</f>
        <v>OK</v>
      </c>
      <c r="T139" s="1" t="str">
        <f>IF(po_master[[#This Row],[Actual Delivery Date]]&gt;po_master[[#This Row],[Promised Delivey Date]], "Late Delivery", "OK")</f>
        <v>OK</v>
      </c>
      <c r="U139" s="1" t="str">
        <f>IF(COUNTIF(po_master[PO Number],po_master[[#This Row],[PO Number]])&gt;1, "Duplicate Invoice", "OK")</f>
        <v>OK</v>
      </c>
    </row>
    <row r="140" spans="1:21" x14ac:dyDescent="0.25">
      <c r="A140" s="1" t="s">
        <v>126</v>
      </c>
      <c r="B140" s="1" t="s">
        <v>1477</v>
      </c>
      <c r="C140" s="2">
        <v>46072</v>
      </c>
      <c r="D140">
        <v>171</v>
      </c>
      <c r="E140">
        <v>28.31</v>
      </c>
      <c r="F140" s="1" t="s">
        <v>1442</v>
      </c>
      <c r="G140" s="2">
        <v>46082</v>
      </c>
      <c r="H140">
        <v>171</v>
      </c>
      <c r="I140" s="2">
        <v>46081</v>
      </c>
      <c r="J140" s="1" t="s">
        <v>802</v>
      </c>
      <c r="K140">
        <v>171</v>
      </c>
      <c r="L140">
        <v>28.31</v>
      </c>
      <c r="M140" s="2">
        <v>46088</v>
      </c>
      <c r="N140" t="str">
        <f>IF(po_master[[#This Row],[Approved By]]="", "Missing Approval", "OK")</f>
        <v>OK</v>
      </c>
      <c r="O140" t="str">
        <f>IF(ISBLANK(po_master[[#This Row],[GR Quantity]]), "No GR - Not received", "OK")</f>
        <v>OK</v>
      </c>
      <c r="P140" s="1" t="str">
        <f>IF(po_master[[#This Row],[Promised Delivey Date]]&lt;po_master[[#This Row],[Order Date]], "Invalid", "OK")</f>
        <v>OK</v>
      </c>
      <c r="Q140" s="1" t="str">
        <f>IF(ISBLANK(po_master[[#This Row],[Invoice Number]]), "No Invoice", "OK")</f>
        <v>OK</v>
      </c>
      <c r="R140" s="1" t="str">
        <f>IF(AND(NOT(ISBLANK(po_master[[#This Row],[GR Quantity]])), po_master[[#This Row],[GR Quantity]]&lt;&gt;po_master[[#This Row],[PO Quantity]]), "Qty Variance", "OK")</f>
        <v>OK</v>
      </c>
      <c r="S140" s="1" t="str">
        <f>IF(po_master[[#This Row],[Invoice Unit Price]]&gt;po_master[[#This Row],[PO Unit Price]]*1.01, "Price Variance", "OK")</f>
        <v>OK</v>
      </c>
      <c r="T140" s="1" t="str">
        <f>IF(po_master[[#This Row],[Actual Delivery Date]]&gt;po_master[[#This Row],[Promised Delivey Date]], "Late Delivery", "OK")</f>
        <v>OK</v>
      </c>
      <c r="U140" s="1" t="str">
        <f>IF(COUNTIF(po_master[PO Number],po_master[[#This Row],[PO Number]])&gt;1, "Duplicate Invoice", "OK")</f>
        <v>OK</v>
      </c>
    </row>
    <row r="141" spans="1:21" x14ac:dyDescent="0.25">
      <c r="A141" s="1" t="s">
        <v>127</v>
      </c>
      <c r="B141" s="1" t="s">
        <v>1505</v>
      </c>
      <c r="C141" s="2">
        <v>46078</v>
      </c>
      <c r="D141">
        <v>388</v>
      </c>
      <c r="E141">
        <v>99.42</v>
      </c>
      <c r="F141" s="1" t="s">
        <v>1459</v>
      </c>
      <c r="G141" s="2">
        <v>46099</v>
      </c>
      <c r="H141">
        <v>388</v>
      </c>
      <c r="I141" s="2">
        <v>46099</v>
      </c>
      <c r="J141" s="1" t="s">
        <v>803</v>
      </c>
      <c r="K141">
        <v>388</v>
      </c>
      <c r="L141">
        <v>99.42</v>
      </c>
      <c r="M141" s="2">
        <v>46108</v>
      </c>
      <c r="N141" t="str">
        <f>IF(po_master[[#This Row],[Approved By]]="", "Missing Approval", "OK")</f>
        <v>Missing Approval</v>
      </c>
      <c r="O141" t="str">
        <f>IF(ISBLANK(po_master[[#This Row],[GR Quantity]]), "No GR - Not received", "OK")</f>
        <v>OK</v>
      </c>
      <c r="P141" s="1" t="str">
        <f>IF(po_master[[#This Row],[Promised Delivey Date]]&lt;po_master[[#This Row],[Order Date]], "Invalid", "OK")</f>
        <v>OK</v>
      </c>
      <c r="Q141" s="1" t="str">
        <f>IF(ISBLANK(po_master[[#This Row],[Invoice Number]]), "No Invoice", "OK")</f>
        <v>OK</v>
      </c>
      <c r="R141" s="1" t="str">
        <f>IF(AND(NOT(ISBLANK(po_master[[#This Row],[GR Quantity]])), po_master[[#This Row],[GR Quantity]]&lt;&gt;po_master[[#This Row],[PO Quantity]]), "Qty Variance", "OK")</f>
        <v>OK</v>
      </c>
      <c r="S141" s="1" t="str">
        <f>IF(po_master[[#This Row],[Invoice Unit Price]]&gt;po_master[[#This Row],[PO Unit Price]]*1.01, "Price Variance", "OK")</f>
        <v>OK</v>
      </c>
      <c r="T141" s="1" t="str">
        <f>IF(po_master[[#This Row],[Actual Delivery Date]]&gt;po_master[[#This Row],[Promised Delivey Date]], "Late Delivery", "OK")</f>
        <v>OK</v>
      </c>
      <c r="U141" s="1" t="str">
        <f>IF(COUNTIF(po_master[PO Number],po_master[[#This Row],[PO Number]])&gt;1, "Duplicate Invoice", "OK")</f>
        <v>OK</v>
      </c>
    </row>
    <row r="142" spans="1:21" x14ac:dyDescent="0.25">
      <c r="A142" s="1" t="s">
        <v>128</v>
      </c>
      <c r="B142" s="1" t="s">
        <v>1468</v>
      </c>
      <c r="C142" s="2">
        <v>46095</v>
      </c>
      <c r="D142">
        <v>61</v>
      </c>
      <c r="E142">
        <v>167.36</v>
      </c>
      <c r="F142" s="1" t="s">
        <v>1474</v>
      </c>
      <c r="G142" s="2">
        <v>46107</v>
      </c>
      <c r="H142">
        <v>61</v>
      </c>
      <c r="I142" s="2">
        <v>46105</v>
      </c>
      <c r="J142" s="1" t="s">
        <v>804</v>
      </c>
      <c r="K142">
        <v>61</v>
      </c>
      <c r="L142">
        <v>167.36</v>
      </c>
      <c r="M142" s="2">
        <v>46112</v>
      </c>
      <c r="N142" t="str">
        <f>IF(po_master[[#This Row],[Approved By]]="", "Missing Approval", "OK")</f>
        <v>OK</v>
      </c>
      <c r="O142" t="str">
        <f>IF(ISBLANK(po_master[[#This Row],[GR Quantity]]), "No GR - Not received", "OK")</f>
        <v>OK</v>
      </c>
      <c r="P142" s="1" t="str">
        <f>IF(po_master[[#This Row],[Promised Delivey Date]]&lt;po_master[[#This Row],[Order Date]], "Invalid", "OK")</f>
        <v>OK</v>
      </c>
      <c r="Q142" s="1" t="str">
        <f>IF(ISBLANK(po_master[[#This Row],[Invoice Number]]), "No Invoice", "OK")</f>
        <v>OK</v>
      </c>
      <c r="R142" s="1" t="str">
        <f>IF(AND(NOT(ISBLANK(po_master[[#This Row],[GR Quantity]])), po_master[[#This Row],[GR Quantity]]&lt;&gt;po_master[[#This Row],[PO Quantity]]), "Qty Variance", "OK")</f>
        <v>OK</v>
      </c>
      <c r="S142" s="1" t="str">
        <f>IF(po_master[[#This Row],[Invoice Unit Price]]&gt;po_master[[#This Row],[PO Unit Price]]*1.01, "Price Variance", "OK")</f>
        <v>OK</v>
      </c>
      <c r="T142" s="1" t="str">
        <f>IF(po_master[[#This Row],[Actual Delivery Date]]&gt;po_master[[#This Row],[Promised Delivey Date]], "Late Delivery", "OK")</f>
        <v>OK</v>
      </c>
      <c r="U142" s="1" t="str">
        <f>IF(COUNTIF(po_master[PO Number],po_master[[#This Row],[PO Number]])&gt;1, "Duplicate Invoice", "OK")</f>
        <v>OK</v>
      </c>
    </row>
    <row r="143" spans="1:21" x14ac:dyDescent="0.25">
      <c r="A143" s="1" t="s">
        <v>794</v>
      </c>
      <c r="B143" s="1" t="s">
        <v>1454</v>
      </c>
      <c r="C143" s="2">
        <v>46025</v>
      </c>
      <c r="D143">
        <v>274</v>
      </c>
      <c r="E143">
        <v>189.87</v>
      </c>
      <c r="F143" s="1" t="s">
        <v>1476</v>
      </c>
      <c r="G143" s="2">
        <v>46037</v>
      </c>
      <c r="I143" s="2"/>
      <c r="J143" s="1" t="s">
        <v>795</v>
      </c>
      <c r="K143">
        <v>274</v>
      </c>
      <c r="L143">
        <v>189.87</v>
      </c>
      <c r="M143" s="2">
        <v>46047</v>
      </c>
      <c r="N143" t="str">
        <f>IF(po_master[[#This Row],[Approved By]]="", "Missing Approval", "OK")</f>
        <v>OK</v>
      </c>
      <c r="O143" t="str">
        <f>IF(ISBLANK(po_master[[#This Row],[GR Quantity]]), "No GR - Not received", "OK")</f>
        <v>No GR - Not received</v>
      </c>
      <c r="P143" s="1" t="str">
        <f>IF(po_master[[#This Row],[Promised Delivey Date]]&lt;po_master[[#This Row],[Order Date]], "Invalid", "OK")</f>
        <v>OK</v>
      </c>
      <c r="Q143" s="1" t="str">
        <f>IF(ISBLANK(po_master[[#This Row],[Invoice Number]]), "No Invoice", "OK")</f>
        <v>OK</v>
      </c>
      <c r="R143" s="1" t="str">
        <f>IF(AND(NOT(ISBLANK(po_master[[#This Row],[GR Quantity]])), po_master[[#This Row],[GR Quantity]]&lt;&gt;po_master[[#This Row],[PO Quantity]]), "Qty Variance", "OK")</f>
        <v>OK</v>
      </c>
      <c r="S143" s="1" t="str">
        <f>IF(po_master[[#This Row],[Invoice Unit Price]]&gt;po_master[[#This Row],[PO Unit Price]]*1.01, "Price Variance", "OK")</f>
        <v>OK</v>
      </c>
      <c r="T143" s="1" t="str">
        <f>IF(po_master[[#This Row],[Actual Delivery Date]]&gt;po_master[[#This Row],[Promised Delivey Date]], "Late Delivery", "OK")</f>
        <v>OK</v>
      </c>
      <c r="U143" s="1" t="str">
        <f>IF(COUNTIF(po_master[PO Number],po_master[[#This Row],[PO Number]])&gt;1, "Duplicate Invoice", "OK")</f>
        <v>OK</v>
      </c>
    </row>
    <row r="144" spans="1:21" x14ac:dyDescent="0.25">
      <c r="A144" s="1" t="s">
        <v>129</v>
      </c>
      <c r="B144" s="1" t="s">
        <v>1496</v>
      </c>
      <c r="C144" s="2">
        <v>46068</v>
      </c>
      <c r="D144">
        <v>164</v>
      </c>
      <c r="E144">
        <v>7.76</v>
      </c>
      <c r="F144" s="1" t="s">
        <v>1442</v>
      </c>
      <c r="G144" s="2">
        <v>46077</v>
      </c>
      <c r="H144">
        <v>164</v>
      </c>
      <c r="I144" s="2">
        <v>46076</v>
      </c>
      <c r="J144" s="1" t="s">
        <v>805</v>
      </c>
      <c r="K144">
        <v>164</v>
      </c>
      <c r="L144">
        <v>7.76</v>
      </c>
      <c r="M144" s="2">
        <v>46085</v>
      </c>
      <c r="N144" t="str">
        <f>IF(po_master[[#This Row],[Approved By]]="", "Missing Approval", "OK")</f>
        <v>OK</v>
      </c>
      <c r="O144" t="str">
        <f>IF(ISBLANK(po_master[[#This Row],[GR Quantity]]), "No GR - Not received", "OK")</f>
        <v>OK</v>
      </c>
      <c r="P144" s="1" t="str">
        <f>IF(po_master[[#This Row],[Promised Delivey Date]]&lt;po_master[[#This Row],[Order Date]], "Invalid", "OK")</f>
        <v>OK</v>
      </c>
      <c r="Q144" s="1" t="str">
        <f>IF(ISBLANK(po_master[[#This Row],[Invoice Number]]), "No Invoice", "OK")</f>
        <v>OK</v>
      </c>
      <c r="R144" s="1" t="str">
        <f>IF(AND(NOT(ISBLANK(po_master[[#This Row],[GR Quantity]])), po_master[[#This Row],[GR Quantity]]&lt;&gt;po_master[[#This Row],[PO Quantity]]), "Qty Variance", "OK")</f>
        <v>OK</v>
      </c>
      <c r="S144" s="1" t="str">
        <f>IF(po_master[[#This Row],[Invoice Unit Price]]&gt;po_master[[#This Row],[PO Unit Price]]*1.01, "Price Variance", "OK")</f>
        <v>OK</v>
      </c>
      <c r="T144" s="1" t="str">
        <f>IF(po_master[[#This Row],[Actual Delivery Date]]&gt;po_master[[#This Row],[Promised Delivey Date]], "Late Delivery", "OK")</f>
        <v>OK</v>
      </c>
      <c r="U144" s="1" t="str">
        <f>IF(COUNTIF(po_master[PO Number],po_master[[#This Row],[PO Number]])&gt;1, "Duplicate Invoice", "OK")</f>
        <v>OK</v>
      </c>
    </row>
    <row r="145" spans="1:21" x14ac:dyDescent="0.25">
      <c r="A145" s="1" t="s">
        <v>130</v>
      </c>
      <c r="B145" s="1" t="s">
        <v>1511</v>
      </c>
      <c r="C145" s="2">
        <v>46034</v>
      </c>
      <c r="D145">
        <v>37</v>
      </c>
      <c r="E145">
        <v>112.9</v>
      </c>
      <c r="F145" s="1" t="s">
        <v>1499</v>
      </c>
      <c r="G145" s="2">
        <v>46043</v>
      </c>
      <c r="H145">
        <v>37</v>
      </c>
      <c r="I145" s="2">
        <v>46041</v>
      </c>
      <c r="J145" s="1" t="s">
        <v>806</v>
      </c>
      <c r="K145">
        <v>37</v>
      </c>
      <c r="L145">
        <v>112.9</v>
      </c>
      <c r="M145" s="2">
        <v>46050</v>
      </c>
      <c r="N145" t="str">
        <f>IF(po_master[[#This Row],[Approved By]]="", "Missing Approval", "OK")</f>
        <v>OK</v>
      </c>
      <c r="O145" t="str">
        <f>IF(ISBLANK(po_master[[#This Row],[GR Quantity]]), "No GR - Not received", "OK")</f>
        <v>OK</v>
      </c>
      <c r="P145" s="1" t="str">
        <f>IF(po_master[[#This Row],[Promised Delivey Date]]&lt;po_master[[#This Row],[Order Date]], "Invalid", "OK")</f>
        <v>OK</v>
      </c>
      <c r="Q145" s="1" t="str">
        <f>IF(ISBLANK(po_master[[#This Row],[Invoice Number]]), "No Invoice", "OK")</f>
        <v>OK</v>
      </c>
      <c r="R145" s="1" t="str">
        <f>IF(AND(NOT(ISBLANK(po_master[[#This Row],[GR Quantity]])), po_master[[#This Row],[GR Quantity]]&lt;&gt;po_master[[#This Row],[PO Quantity]]), "Qty Variance", "OK")</f>
        <v>OK</v>
      </c>
      <c r="S145" s="1" t="str">
        <f>IF(po_master[[#This Row],[Invoice Unit Price]]&gt;po_master[[#This Row],[PO Unit Price]]*1.01, "Price Variance", "OK")</f>
        <v>OK</v>
      </c>
      <c r="T145" s="1" t="str">
        <f>IF(po_master[[#This Row],[Actual Delivery Date]]&gt;po_master[[#This Row],[Promised Delivey Date]], "Late Delivery", "OK")</f>
        <v>OK</v>
      </c>
      <c r="U145" s="1" t="str">
        <f>IF(COUNTIF(po_master[PO Number],po_master[[#This Row],[PO Number]])&gt;1, "Duplicate Invoice", "OK")</f>
        <v>OK</v>
      </c>
    </row>
    <row r="146" spans="1:21" x14ac:dyDescent="0.25">
      <c r="A146" s="1" t="s">
        <v>131</v>
      </c>
      <c r="B146" s="1" t="s">
        <v>1439</v>
      </c>
      <c r="C146" s="2">
        <v>46148</v>
      </c>
      <c r="D146">
        <v>62</v>
      </c>
      <c r="E146">
        <v>175.18</v>
      </c>
      <c r="F146" s="1" t="s">
        <v>1480</v>
      </c>
      <c r="G146" s="2">
        <v>46162</v>
      </c>
      <c r="H146">
        <v>62</v>
      </c>
      <c r="I146" s="2">
        <v>46171</v>
      </c>
      <c r="J146" s="1" t="s">
        <v>807</v>
      </c>
      <c r="K146">
        <v>62</v>
      </c>
      <c r="L146">
        <v>175.18</v>
      </c>
      <c r="M146" s="2">
        <v>46165</v>
      </c>
      <c r="N146" t="str">
        <f>IF(po_master[[#This Row],[Approved By]]="", "Missing Approval", "OK")</f>
        <v>OK</v>
      </c>
      <c r="O146" t="str">
        <f>IF(ISBLANK(po_master[[#This Row],[GR Quantity]]), "No GR - Not received", "OK")</f>
        <v>OK</v>
      </c>
      <c r="P146" s="1" t="str">
        <f>IF(po_master[[#This Row],[Promised Delivey Date]]&lt;po_master[[#This Row],[Order Date]], "Invalid", "OK")</f>
        <v>OK</v>
      </c>
      <c r="Q146" s="1" t="str">
        <f>IF(ISBLANK(po_master[[#This Row],[Invoice Number]]), "No Invoice", "OK")</f>
        <v>OK</v>
      </c>
      <c r="R146" s="1" t="str">
        <f>IF(AND(NOT(ISBLANK(po_master[[#This Row],[GR Quantity]])), po_master[[#This Row],[GR Quantity]]&lt;&gt;po_master[[#This Row],[PO Quantity]]), "Qty Variance", "OK")</f>
        <v>OK</v>
      </c>
      <c r="S146" s="1" t="str">
        <f>IF(po_master[[#This Row],[Invoice Unit Price]]&gt;po_master[[#This Row],[PO Unit Price]]*1.01, "Price Variance", "OK")</f>
        <v>OK</v>
      </c>
      <c r="T146" s="1" t="str">
        <f>IF(po_master[[#This Row],[Actual Delivery Date]]&gt;po_master[[#This Row],[Promised Delivey Date]], "Late Delivery", "OK")</f>
        <v>Late Delivery</v>
      </c>
      <c r="U146" s="1" t="str">
        <f>IF(COUNTIF(po_master[PO Number],po_master[[#This Row],[PO Number]])&gt;1, "Duplicate Invoice", "OK")</f>
        <v>OK</v>
      </c>
    </row>
    <row r="147" spans="1:21" x14ac:dyDescent="0.25">
      <c r="A147" s="1" t="s">
        <v>132</v>
      </c>
      <c r="B147" s="1" t="s">
        <v>1510</v>
      </c>
      <c r="C147" s="2">
        <v>46145</v>
      </c>
      <c r="D147">
        <v>235</v>
      </c>
      <c r="E147">
        <v>71.44</v>
      </c>
      <c r="F147" s="1" t="s">
        <v>1462</v>
      </c>
      <c r="G147" s="2">
        <v>46158</v>
      </c>
      <c r="H147">
        <v>235</v>
      </c>
      <c r="I147" s="2">
        <v>46157</v>
      </c>
      <c r="J147" s="1" t="s">
        <v>808</v>
      </c>
      <c r="K147">
        <v>235</v>
      </c>
      <c r="L147">
        <v>71.44</v>
      </c>
      <c r="M147" s="2">
        <v>46167</v>
      </c>
      <c r="N147" t="str">
        <f>IF(po_master[[#This Row],[Approved By]]="", "Missing Approval", "OK")</f>
        <v>OK</v>
      </c>
      <c r="O147" t="str">
        <f>IF(ISBLANK(po_master[[#This Row],[GR Quantity]]), "No GR - Not received", "OK")</f>
        <v>OK</v>
      </c>
      <c r="P147" s="1" t="str">
        <f>IF(po_master[[#This Row],[Promised Delivey Date]]&lt;po_master[[#This Row],[Order Date]], "Invalid", "OK")</f>
        <v>OK</v>
      </c>
      <c r="Q147" s="1" t="str">
        <f>IF(ISBLANK(po_master[[#This Row],[Invoice Number]]), "No Invoice", "OK")</f>
        <v>OK</v>
      </c>
      <c r="R147" s="1" t="str">
        <f>IF(AND(NOT(ISBLANK(po_master[[#This Row],[GR Quantity]])), po_master[[#This Row],[GR Quantity]]&lt;&gt;po_master[[#This Row],[PO Quantity]]), "Qty Variance", "OK")</f>
        <v>OK</v>
      </c>
      <c r="S147" s="1" t="str">
        <f>IF(po_master[[#This Row],[Invoice Unit Price]]&gt;po_master[[#This Row],[PO Unit Price]]*1.01, "Price Variance", "OK")</f>
        <v>OK</v>
      </c>
      <c r="T147" s="1" t="str">
        <f>IF(po_master[[#This Row],[Actual Delivery Date]]&gt;po_master[[#This Row],[Promised Delivey Date]], "Late Delivery", "OK")</f>
        <v>OK</v>
      </c>
      <c r="U147" s="1" t="str">
        <f>IF(COUNTIF(po_master[PO Number],po_master[[#This Row],[PO Number]])&gt;1, "Duplicate Invoice", "OK")</f>
        <v>OK</v>
      </c>
    </row>
    <row r="148" spans="1:21" x14ac:dyDescent="0.25">
      <c r="A148" s="1" t="s">
        <v>800</v>
      </c>
      <c r="B148" s="1" t="s">
        <v>1503</v>
      </c>
      <c r="C148" s="2">
        <v>46139</v>
      </c>
      <c r="D148">
        <v>148</v>
      </c>
      <c r="E148">
        <v>64.790000000000006</v>
      </c>
      <c r="F148" s="1" t="s">
        <v>1440</v>
      </c>
      <c r="G148" s="2">
        <v>46147</v>
      </c>
      <c r="I148" s="2"/>
      <c r="J148" s="1" t="s">
        <v>801</v>
      </c>
      <c r="K148">
        <v>148</v>
      </c>
      <c r="L148">
        <v>68.63</v>
      </c>
      <c r="M148" s="2">
        <v>46150</v>
      </c>
      <c r="N148" t="str">
        <f>IF(po_master[[#This Row],[Approved By]]="", "Missing Approval", "OK")</f>
        <v>OK</v>
      </c>
      <c r="O148" t="str">
        <f>IF(ISBLANK(po_master[[#This Row],[GR Quantity]]), "No GR - Not received", "OK")</f>
        <v>No GR - Not received</v>
      </c>
      <c r="P148" s="1" t="str">
        <f>IF(po_master[[#This Row],[Promised Delivey Date]]&lt;po_master[[#This Row],[Order Date]], "Invalid", "OK")</f>
        <v>OK</v>
      </c>
      <c r="Q148" s="1" t="str">
        <f>IF(ISBLANK(po_master[[#This Row],[Invoice Number]]), "No Invoice", "OK")</f>
        <v>OK</v>
      </c>
      <c r="R148" s="1" t="str">
        <f>IF(AND(NOT(ISBLANK(po_master[[#This Row],[GR Quantity]])), po_master[[#This Row],[GR Quantity]]&lt;&gt;po_master[[#This Row],[PO Quantity]]), "Qty Variance", "OK")</f>
        <v>OK</v>
      </c>
      <c r="S148" s="1" t="str">
        <f>IF(po_master[[#This Row],[Invoice Unit Price]]&gt;po_master[[#This Row],[PO Unit Price]]*1.01, "Price Variance", "OK")</f>
        <v>Price Variance</v>
      </c>
      <c r="T148" s="1" t="str">
        <f>IF(po_master[[#This Row],[Actual Delivery Date]]&gt;po_master[[#This Row],[Promised Delivey Date]], "Late Delivery", "OK")</f>
        <v>OK</v>
      </c>
      <c r="U148" s="1" t="str">
        <f>IF(COUNTIF(po_master[PO Number],po_master[[#This Row],[PO Number]])&gt;1, "Duplicate Invoice", "OK")</f>
        <v>OK</v>
      </c>
    </row>
    <row r="149" spans="1:21" x14ac:dyDescent="0.25">
      <c r="A149" s="1" t="s">
        <v>133</v>
      </c>
      <c r="B149" s="1" t="s">
        <v>1510</v>
      </c>
      <c r="C149" s="2">
        <v>46052</v>
      </c>
      <c r="D149">
        <v>430</v>
      </c>
      <c r="E149">
        <v>17.739999999999998</v>
      </c>
      <c r="F149" s="1" t="s">
        <v>1487</v>
      </c>
      <c r="G149" s="2">
        <v>46059</v>
      </c>
      <c r="H149">
        <v>430</v>
      </c>
      <c r="I149" s="2">
        <v>46059</v>
      </c>
      <c r="J149" s="1" t="s">
        <v>809</v>
      </c>
      <c r="K149">
        <v>430</v>
      </c>
      <c r="L149">
        <v>17.739999999999998</v>
      </c>
      <c r="M149" s="2">
        <v>46063</v>
      </c>
      <c r="N149" t="str">
        <f>IF(po_master[[#This Row],[Approved By]]="", "Missing Approval", "OK")</f>
        <v>OK</v>
      </c>
      <c r="O149" t="str">
        <f>IF(ISBLANK(po_master[[#This Row],[GR Quantity]]), "No GR - Not received", "OK")</f>
        <v>OK</v>
      </c>
      <c r="P149" s="1" t="str">
        <f>IF(po_master[[#This Row],[Promised Delivey Date]]&lt;po_master[[#This Row],[Order Date]], "Invalid", "OK")</f>
        <v>OK</v>
      </c>
      <c r="Q149" s="1" t="str">
        <f>IF(ISBLANK(po_master[[#This Row],[Invoice Number]]), "No Invoice", "OK")</f>
        <v>OK</v>
      </c>
      <c r="R149" s="1" t="str">
        <f>IF(AND(NOT(ISBLANK(po_master[[#This Row],[GR Quantity]])), po_master[[#This Row],[GR Quantity]]&lt;&gt;po_master[[#This Row],[PO Quantity]]), "Qty Variance", "OK")</f>
        <v>OK</v>
      </c>
      <c r="S149" s="1" t="str">
        <f>IF(po_master[[#This Row],[Invoice Unit Price]]&gt;po_master[[#This Row],[PO Unit Price]]*1.01, "Price Variance", "OK")</f>
        <v>OK</v>
      </c>
      <c r="T149" s="1" t="str">
        <f>IF(po_master[[#This Row],[Actual Delivery Date]]&gt;po_master[[#This Row],[Promised Delivey Date]], "Late Delivery", "OK")</f>
        <v>OK</v>
      </c>
      <c r="U149" s="1" t="str">
        <f>IF(COUNTIF(po_master[PO Number],po_master[[#This Row],[PO Number]])&gt;1, "Duplicate Invoice", "OK")</f>
        <v>OK</v>
      </c>
    </row>
    <row r="150" spans="1:21" x14ac:dyDescent="0.25">
      <c r="A150" s="1" t="s">
        <v>134</v>
      </c>
      <c r="B150" s="1" t="s">
        <v>1493</v>
      </c>
      <c r="C150" s="2">
        <v>46036</v>
      </c>
      <c r="D150">
        <v>87</v>
      </c>
      <c r="E150">
        <v>34.090000000000003</v>
      </c>
      <c r="F150" s="1" t="s">
        <v>1480</v>
      </c>
      <c r="G150" s="2">
        <v>46050</v>
      </c>
      <c r="H150">
        <v>87</v>
      </c>
      <c r="I150" s="2">
        <v>46051</v>
      </c>
      <c r="J150" s="1" t="s">
        <v>810</v>
      </c>
      <c r="K150">
        <v>87</v>
      </c>
      <c r="L150">
        <v>36.6</v>
      </c>
      <c r="M150" s="2">
        <v>46059</v>
      </c>
      <c r="N150" t="str">
        <f>IF(po_master[[#This Row],[Approved By]]="", "Missing Approval", "OK")</f>
        <v>OK</v>
      </c>
      <c r="O150" t="str">
        <f>IF(ISBLANK(po_master[[#This Row],[GR Quantity]]), "No GR - Not received", "OK")</f>
        <v>OK</v>
      </c>
      <c r="P150" s="1" t="str">
        <f>IF(po_master[[#This Row],[Promised Delivey Date]]&lt;po_master[[#This Row],[Order Date]], "Invalid", "OK")</f>
        <v>OK</v>
      </c>
      <c r="Q150" s="1" t="str">
        <f>IF(ISBLANK(po_master[[#This Row],[Invoice Number]]), "No Invoice", "OK")</f>
        <v>OK</v>
      </c>
      <c r="R150" s="1" t="str">
        <f>IF(AND(NOT(ISBLANK(po_master[[#This Row],[GR Quantity]])), po_master[[#This Row],[GR Quantity]]&lt;&gt;po_master[[#This Row],[PO Quantity]]), "Qty Variance", "OK")</f>
        <v>OK</v>
      </c>
      <c r="S150" s="1" t="str">
        <f>IF(po_master[[#This Row],[Invoice Unit Price]]&gt;po_master[[#This Row],[PO Unit Price]]*1.01, "Price Variance", "OK")</f>
        <v>Price Variance</v>
      </c>
      <c r="T150" s="1" t="str">
        <f>IF(po_master[[#This Row],[Actual Delivery Date]]&gt;po_master[[#This Row],[Promised Delivey Date]], "Late Delivery", "OK")</f>
        <v>Late Delivery</v>
      </c>
      <c r="U150" s="1" t="str">
        <f>IF(COUNTIF(po_master[PO Number],po_master[[#This Row],[PO Number]])&gt;1, "Duplicate Invoice", "OK")</f>
        <v>OK</v>
      </c>
    </row>
    <row r="151" spans="1:21" x14ac:dyDescent="0.25">
      <c r="A151" s="1" t="s">
        <v>135</v>
      </c>
      <c r="B151" s="1" t="s">
        <v>1457</v>
      </c>
      <c r="C151" s="2">
        <v>46086</v>
      </c>
      <c r="D151">
        <v>70</v>
      </c>
      <c r="E151">
        <v>113.82</v>
      </c>
      <c r="F151" s="1" t="s">
        <v>1459</v>
      </c>
      <c r="G151" s="2">
        <v>46098</v>
      </c>
      <c r="H151">
        <v>70</v>
      </c>
      <c r="I151" s="2">
        <v>46099</v>
      </c>
      <c r="J151" s="1" t="s">
        <v>811</v>
      </c>
      <c r="K151">
        <v>70</v>
      </c>
      <c r="L151">
        <v>113.82</v>
      </c>
      <c r="M151" s="2">
        <v>46108</v>
      </c>
      <c r="N151" t="str">
        <f>IF(po_master[[#This Row],[Approved By]]="", "Missing Approval", "OK")</f>
        <v>Missing Approval</v>
      </c>
      <c r="O151" t="str">
        <f>IF(ISBLANK(po_master[[#This Row],[GR Quantity]]), "No GR - Not received", "OK")</f>
        <v>OK</v>
      </c>
      <c r="P151" s="1" t="str">
        <f>IF(po_master[[#This Row],[Promised Delivey Date]]&lt;po_master[[#This Row],[Order Date]], "Invalid", "OK")</f>
        <v>OK</v>
      </c>
      <c r="Q151" s="1" t="str">
        <f>IF(ISBLANK(po_master[[#This Row],[Invoice Number]]), "No Invoice", "OK")</f>
        <v>OK</v>
      </c>
      <c r="R151" s="1" t="str">
        <f>IF(AND(NOT(ISBLANK(po_master[[#This Row],[GR Quantity]])), po_master[[#This Row],[GR Quantity]]&lt;&gt;po_master[[#This Row],[PO Quantity]]), "Qty Variance", "OK")</f>
        <v>OK</v>
      </c>
      <c r="S151" s="1" t="str">
        <f>IF(po_master[[#This Row],[Invoice Unit Price]]&gt;po_master[[#This Row],[PO Unit Price]]*1.01, "Price Variance", "OK")</f>
        <v>OK</v>
      </c>
      <c r="T151" s="1" t="str">
        <f>IF(po_master[[#This Row],[Actual Delivery Date]]&gt;po_master[[#This Row],[Promised Delivey Date]], "Late Delivery", "OK")</f>
        <v>Late Delivery</v>
      </c>
      <c r="U151" s="1" t="str">
        <f>IF(COUNTIF(po_master[PO Number],po_master[[#This Row],[PO Number]])&gt;1, "Duplicate Invoice", "OK")</f>
        <v>OK</v>
      </c>
    </row>
    <row r="152" spans="1:21" x14ac:dyDescent="0.25">
      <c r="A152" s="1" t="s">
        <v>136</v>
      </c>
      <c r="B152" s="1" t="s">
        <v>1491</v>
      </c>
      <c r="C152" s="2">
        <v>46120</v>
      </c>
      <c r="D152">
        <v>240</v>
      </c>
      <c r="E152">
        <v>182.16</v>
      </c>
      <c r="F152" s="1" t="s">
        <v>1474</v>
      </c>
      <c r="G152" s="2">
        <v>46138</v>
      </c>
      <c r="H152">
        <v>240</v>
      </c>
      <c r="I152" s="2">
        <v>46139</v>
      </c>
      <c r="J152" s="1" t="s">
        <v>812</v>
      </c>
      <c r="K152">
        <v>240</v>
      </c>
      <c r="L152">
        <v>182.16</v>
      </c>
      <c r="M152" s="2">
        <v>46144</v>
      </c>
      <c r="N152" t="str">
        <f>IF(po_master[[#This Row],[Approved By]]="", "Missing Approval", "OK")</f>
        <v>OK</v>
      </c>
      <c r="O152" t="str">
        <f>IF(ISBLANK(po_master[[#This Row],[GR Quantity]]), "No GR - Not received", "OK")</f>
        <v>OK</v>
      </c>
      <c r="P152" s="1" t="str">
        <f>IF(po_master[[#This Row],[Promised Delivey Date]]&lt;po_master[[#This Row],[Order Date]], "Invalid", "OK")</f>
        <v>OK</v>
      </c>
      <c r="Q152" s="1" t="str">
        <f>IF(ISBLANK(po_master[[#This Row],[Invoice Number]]), "No Invoice", "OK")</f>
        <v>OK</v>
      </c>
      <c r="R152" s="1" t="str">
        <f>IF(AND(NOT(ISBLANK(po_master[[#This Row],[GR Quantity]])), po_master[[#This Row],[GR Quantity]]&lt;&gt;po_master[[#This Row],[PO Quantity]]), "Qty Variance", "OK")</f>
        <v>OK</v>
      </c>
      <c r="S152" s="1" t="str">
        <f>IF(po_master[[#This Row],[Invoice Unit Price]]&gt;po_master[[#This Row],[PO Unit Price]]*1.01, "Price Variance", "OK")</f>
        <v>OK</v>
      </c>
      <c r="T152" s="1" t="str">
        <f>IF(po_master[[#This Row],[Actual Delivery Date]]&gt;po_master[[#This Row],[Promised Delivey Date]], "Late Delivery", "OK")</f>
        <v>Late Delivery</v>
      </c>
      <c r="U152" s="1" t="str">
        <f>IF(COUNTIF(po_master[PO Number],po_master[[#This Row],[PO Number]])&gt;1, "Duplicate Invoice", "OK")</f>
        <v>OK</v>
      </c>
    </row>
    <row r="153" spans="1:21" x14ac:dyDescent="0.25">
      <c r="A153" s="1" t="s">
        <v>137</v>
      </c>
      <c r="B153" s="1" t="s">
        <v>1512</v>
      </c>
      <c r="C153" s="2">
        <v>46168</v>
      </c>
      <c r="D153">
        <v>327</v>
      </c>
      <c r="E153">
        <v>16.739999999999998</v>
      </c>
      <c r="F153" s="1" t="s">
        <v>1490</v>
      </c>
      <c r="G153" s="2">
        <v>46176</v>
      </c>
      <c r="H153">
        <v>327</v>
      </c>
      <c r="I153" s="2">
        <v>46177</v>
      </c>
      <c r="J153" s="1" t="s">
        <v>813</v>
      </c>
      <c r="K153">
        <v>327</v>
      </c>
      <c r="L153">
        <v>17.96</v>
      </c>
      <c r="M153" s="2">
        <v>46182</v>
      </c>
      <c r="N153" t="str">
        <f>IF(po_master[[#This Row],[Approved By]]="", "Missing Approval", "OK")</f>
        <v>OK</v>
      </c>
      <c r="O153" t="str">
        <f>IF(ISBLANK(po_master[[#This Row],[GR Quantity]]), "No GR - Not received", "OK")</f>
        <v>OK</v>
      </c>
      <c r="P153" s="1" t="str">
        <f>IF(po_master[[#This Row],[Promised Delivey Date]]&lt;po_master[[#This Row],[Order Date]], "Invalid", "OK")</f>
        <v>OK</v>
      </c>
      <c r="Q153" s="1" t="str">
        <f>IF(ISBLANK(po_master[[#This Row],[Invoice Number]]), "No Invoice", "OK")</f>
        <v>OK</v>
      </c>
      <c r="R153" s="1" t="str">
        <f>IF(AND(NOT(ISBLANK(po_master[[#This Row],[GR Quantity]])), po_master[[#This Row],[GR Quantity]]&lt;&gt;po_master[[#This Row],[PO Quantity]]), "Qty Variance", "OK")</f>
        <v>OK</v>
      </c>
      <c r="S153" s="1" t="str">
        <f>IF(po_master[[#This Row],[Invoice Unit Price]]&gt;po_master[[#This Row],[PO Unit Price]]*1.01, "Price Variance", "OK")</f>
        <v>Price Variance</v>
      </c>
      <c r="T153" s="1" t="str">
        <f>IF(po_master[[#This Row],[Actual Delivery Date]]&gt;po_master[[#This Row],[Promised Delivey Date]], "Late Delivery", "OK")</f>
        <v>Late Delivery</v>
      </c>
      <c r="U153" s="1" t="str">
        <f>IF(COUNTIF(po_master[PO Number],po_master[[#This Row],[PO Number]])&gt;1, "Duplicate Invoice", "OK")</f>
        <v>OK</v>
      </c>
    </row>
    <row r="154" spans="1:21" x14ac:dyDescent="0.25">
      <c r="A154" s="1" t="s">
        <v>138</v>
      </c>
      <c r="B154" s="1" t="s">
        <v>1463</v>
      </c>
      <c r="C154" s="2">
        <v>46077</v>
      </c>
      <c r="D154">
        <v>145</v>
      </c>
      <c r="E154">
        <v>133.78</v>
      </c>
      <c r="F154" s="1" t="s">
        <v>1501</v>
      </c>
      <c r="G154" s="2">
        <v>46089</v>
      </c>
      <c r="H154">
        <v>145</v>
      </c>
      <c r="I154" s="2">
        <v>46091</v>
      </c>
      <c r="J154" s="1" t="s">
        <v>814</v>
      </c>
      <c r="K154">
        <v>145</v>
      </c>
      <c r="L154">
        <v>133.78</v>
      </c>
      <c r="M154" s="2">
        <v>46094</v>
      </c>
      <c r="N154" t="str">
        <f>IF(po_master[[#This Row],[Approved By]]="", "Missing Approval", "OK")</f>
        <v>OK</v>
      </c>
      <c r="O154" t="str">
        <f>IF(ISBLANK(po_master[[#This Row],[GR Quantity]]), "No GR - Not received", "OK")</f>
        <v>OK</v>
      </c>
      <c r="P154" s="1" t="str">
        <f>IF(po_master[[#This Row],[Promised Delivey Date]]&lt;po_master[[#This Row],[Order Date]], "Invalid", "OK")</f>
        <v>OK</v>
      </c>
      <c r="Q154" s="1" t="str">
        <f>IF(ISBLANK(po_master[[#This Row],[Invoice Number]]), "No Invoice", "OK")</f>
        <v>OK</v>
      </c>
      <c r="R154" s="1" t="str">
        <f>IF(AND(NOT(ISBLANK(po_master[[#This Row],[GR Quantity]])), po_master[[#This Row],[GR Quantity]]&lt;&gt;po_master[[#This Row],[PO Quantity]]), "Qty Variance", "OK")</f>
        <v>OK</v>
      </c>
      <c r="S154" s="1" t="str">
        <f>IF(po_master[[#This Row],[Invoice Unit Price]]&gt;po_master[[#This Row],[PO Unit Price]]*1.01, "Price Variance", "OK")</f>
        <v>OK</v>
      </c>
      <c r="T154" s="1" t="str">
        <f>IF(po_master[[#This Row],[Actual Delivery Date]]&gt;po_master[[#This Row],[Promised Delivey Date]], "Late Delivery", "OK")</f>
        <v>Late Delivery</v>
      </c>
      <c r="U154" s="1" t="str">
        <f>IF(COUNTIF(po_master[PO Number],po_master[[#This Row],[PO Number]])&gt;1, "Duplicate Invoice", "OK")</f>
        <v>OK</v>
      </c>
    </row>
    <row r="155" spans="1:21" x14ac:dyDescent="0.25">
      <c r="A155" s="1" t="s">
        <v>139</v>
      </c>
      <c r="B155" s="1" t="s">
        <v>1486</v>
      </c>
      <c r="C155" s="2">
        <v>46164</v>
      </c>
      <c r="D155">
        <v>48</v>
      </c>
      <c r="E155">
        <v>35.520000000000003</v>
      </c>
      <c r="F155" s="1" t="s">
        <v>1507</v>
      </c>
      <c r="G155" s="2">
        <v>46183</v>
      </c>
      <c r="H155">
        <v>48</v>
      </c>
      <c r="I155" s="2">
        <v>46183</v>
      </c>
      <c r="J155" s="1" t="s">
        <v>815</v>
      </c>
      <c r="K155">
        <v>48</v>
      </c>
      <c r="L155">
        <v>35.520000000000003</v>
      </c>
      <c r="M155" s="2">
        <v>46186</v>
      </c>
      <c r="N155" t="str">
        <f>IF(po_master[[#This Row],[Approved By]]="", "Missing Approval", "OK")</f>
        <v>OK</v>
      </c>
      <c r="O155" t="str">
        <f>IF(ISBLANK(po_master[[#This Row],[GR Quantity]]), "No GR - Not received", "OK")</f>
        <v>OK</v>
      </c>
      <c r="P155" s="1" t="str">
        <f>IF(po_master[[#This Row],[Promised Delivey Date]]&lt;po_master[[#This Row],[Order Date]], "Invalid", "OK")</f>
        <v>OK</v>
      </c>
      <c r="Q155" s="1" t="str">
        <f>IF(ISBLANK(po_master[[#This Row],[Invoice Number]]), "No Invoice", "OK")</f>
        <v>OK</v>
      </c>
      <c r="R155" s="1" t="str">
        <f>IF(AND(NOT(ISBLANK(po_master[[#This Row],[GR Quantity]])), po_master[[#This Row],[GR Quantity]]&lt;&gt;po_master[[#This Row],[PO Quantity]]), "Qty Variance", "OK")</f>
        <v>OK</v>
      </c>
      <c r="S155" s="1" t="str">
        <f>IF(po_master[[#This Row],[Invoice Unit Price]]&gt;po_master[[#This Row],[PO Unit Price]]*1.01, "Price Variance", "OK")</f>
        <v>OK</v>
      </c>
      <c r="T155" s="1" t="str">
        <f>IF(po_master[[#This Row],[Actual Delivery Date]]&gt;po_master[[#This Row],[Promised Delivey Date]], "Late Delivery", "OK")</f>
        <v>OK</v>
      </c>
      <c r="U155" s="1" t="str">
        <f>IF(COUNTIF(po_master[PO Number],po_master[[#This Row],[PO Number]])&gt;1, "Duplicate Invoice", "OK")</f>
        <v>OK</v>
      </c>
    </row>
    <row r="156" spans="1:21" x14ac:dyDescent="0.25">
      <c r="A156" s="1" t="s">
        <v>140</v>
      </c>
      <c r="B156" s="1" t="s">
        <v>1449</v>
      </c>
      <c r="C156" s="2">
        <v>46143</v>
      </c>
      <c r="D156">
        <v>159</v>
      </c>
      <c r="E156">
        <v>11.36</v>
      </c>
      <c r="F156" s="1" t="s">
        <v>1474</v>
      </c>
      <c r="G156" s="2">
        <v>46157</v>
      </c>
      <c r="H156">
        <v>159</v>
      </c>
      <c r="I156" s="2">
        <v>46159</v>
      </c>
      <c r="J156" s="1" t="s">
        <v>816</v>
      </c>
      <c r="K156">
        <v>159</v>
      </c>
      <c r="L156">
        <v>11.36</v>
      </c>
      <c r="M156" s="2">
        <v>46162</v>
      </c>
      <c r="N156" t="str">
        <f>IF(po_master[[#This Row],[Approved By]]="", "Missing Approval", "OK")</f>
        <v>OK</v>
      </c>
      <c r="O156" t="str">
        <f>IF(ISBLANK(po_master[[#This Row],[GR Quantity]]), "No GR - Not received", "OK")</f>
        <v>OK</v>
      </c>
      <c r="P156" s="1" t="str">
        <f>IF(po_master[[#This Row],[Promised Delivey Date]]&lt;po_master[[#This Row],[Order Date]], "Invalid", "OK")</f>
        <v>OK</v>
      </c>
      <c r="Q156" s="1" t="str">
        <f>IF(ISBLANK(po_master[[#This Row],[Invoice Number]]), "No Invoice", "OK")</f>
        <v>OK</v>
      </c>
      <c r="R156" s="1" t="str">
        <f>IF(AND(NOT(ISBLANK(po_master[[#This Row],[GR Quantity]])), po_master[[#This Row],[GR Quantity]]&lt;&gt;po_master[[#This Row],[PO Quantity]]), "Qty Variance", "OK")</f>
        <v>OK</v>
      </c>
      <c r="S156" s="1" t="str">
        <f>IF(po_master[[#This Row],[Invoice Unit Price]]&gt;po_master[[#This Row],[PO Unit Price]]*1.01, "Price Variance", "OK")</f>
        <v>OK</v>
      </c>
      <c r="T156" s="1" t="str">
        <f>IF(po_master[[#This Row],[Actual Delivery Date]]&gt;po_master[[#This Row],[Promised Delivey Date]], "Late Delivery", "OK")</f>
        <v>Late Delivery</v>
      </c>
      <c r="U156" s="1" t="str">
        <f>IF(COUNTIF(po_master[PO Number],po_master[[#This Row],[PO Number]])&gt;1, "Duplicate Invoice", "OK")</f>
        <v>OK</v>
      </c>
    </row>
    <row r="157" spans="1:21" x14ac:dyDescent="0.25">
      <c r="A157" s="1" t="s">
        <v>141</v>
      </c>
      <c r="B157" s="1" t="s">
        <v>1449</v>
      </c>
      <c r="C157" s="2">
        <v>46139</v>
      </c>
      <c r="D157">
        <v>46</v>
      </c>
      <c r="E157">
        <v>139.04</v>
      </c>
      <c r="F157" s="1" t="s">
        <v>1458</v>
      </c>
      <c r="G157" s="2">
        <v>46150</v>
      </c>
      <c r="H157">
        <v>66</v>
      </c>
      <c r="I157" s="2">
        <v>46149</v>
      </c>
      <c r="J157" s="1" t="s">
        <v>817</v>
      </c>
      <c r="K157">
        <v>46</v>
      </c>
      <c r="L157">
        <v>139.04</v>
      </c>
      <c r="M157" s="2">
        <v>46158</v>
      </c>
      <c r="N157" t="str">
        <f>IF(po_master[[#This Row],[Approved By]]="", "Missing Approval", "OK")</f>
        <v>OK</v>
      </c>
      <c r="O157" t="str">
        <f>IF(ISBLANK(po_master[[#This Row],[GR Quantity]]), "No GR - Not received", "OK")</f>
        <v>OK</v>
      </c>
      <c r="P157" s="1" t="str">
        <f>IF(po_master[[#This Row],[Promised Delivey Date]]&lt;po_master[[#This Row],[Order Date]], "Invalid", "OK")</f>
        <v>OK</v>
      </c>
      <c r="Q157" s="1" t="str">
        <f>IF(ISBLANK(po_master[[#This Row],[Invoice Number]]), "No Invoice", "OK")</f>
        <v>OK</v>
      </c>
      <c r="R157" s="1" t="str">
        <f>IF(AND(NOT(ISBLANK(po_master[[#This Row],[GR Quantity]])), po_master[[#This Row],[GR Quantity]]&lt;&gt;po_master[[#This Row],[PO Quantity]]), "Qty Variance", "OK")</f>
        <v>Qty Variance</v>
      </c>
      <c r="S157" s="1" t="str">
        <f>IF(po_master[[#This Row],[Invoice Unit Price]]&gt;po_master[[#This Row],[PO Unit Price]]*1.01, "Price Variance", "OK")</f>
        <v>OK</v>
      </c>
      <c r="T157" s="1" t="str">
        <f>IF(po_master[[#This Row],[Actual Delivery Date]]&gt;po_master[[#This Row],[Promised Delivey Date]], "Late Delivery", "OK")</f>
        <v>OK</v>
      </c>
      <c r="U157" s="1" t="str">
        <f>IF(COUNTIF(po_master[PO Number],po_master[[#This Row],[PO Number]])&gt;1, "Duplicate Invoice", "OK")</f>
        <v>Duplicate Invoice</v>
      </c>
    </row>
    <row r="158" spans="1:21" x14ac:dyDescent="0.25">
      <c r="A158" s="1" t="s">
        <v>141</v>
      </c>
      <c r="B158" s="1" t="s">
        <v>1449</v>
      </c>
      <c r="C158" s="2">
        <v>46139</v>
      </c>
      <c r="D158">
        <v>46</v>
      </c>
      <c r="E158">
        <v>139.04</v>
      </c>
      <c r="F158" s="1" t="s">
        <v>1458</v>
      </c>
      <c r="G158" s="2">
        <v>46150</v>
      </c>
      <c r="H158">
        <v>66</v>
      </c>
      <c r="I158" s="2">
        <v>46149</v>
      </c>
      <c r="J158" s="1" t="s">
        <v>818</v>
      </c>
      <c r="K158">
        <v>46</v>
      </c>
      <c r="L158">
        <v>139.04</v>
      </c>
      <c r="M158" s="2">
        <v>46163</v>
      </c>
      <c r="N158" t="str">
        <f>IF(po_master[[#This Row],[Approved By]]="", "Missing Approval", "OK")</f>
        <v>OK</v>
      </c>
      <c r="O158" t="str">
        <f>IF(ISBLANK(po_master[[#This Row],[GR Quantity]]), "No GR - Not received", "OK")</f>
        <v>OK</v>
      </c>
      <c r="P158" s="1" t="str">
        <f>IF(po_master[[#This Row],[Promised Delivey Date]]&lt;po_master[[#This Row],[Order Date]], "Invalid", "OK")</f>
        <v>OK</v>
      </c>
      <c r="Q158" s="1" t="str">
        <f>IF(ISBLANK(po_master[[#This Row],[Invoice Number]]), "No Invoice", "OK")</f>
        <v>OK</v>
      </c>
      <c r="R158" s="1" t="str">
        <f>IF(AND(NOT(ISBLANK(po_master[[#This Row],[GR Quantity]])), po_master[[#This Row],[GR Quantity]]&lt;&gt;po_master[[#This Row],[PO Quantity]]), "Qty Variance", "OK")</f>
        <v>Qty Variance</v>
      </c>
      <c r="S158" s="1" t="str">
        <f>IF(po_master[[#This Row],[Invoice Unit Price]]&gt;po_master[[#This Row],[PO Unit Price]]*1.01, "Price Variance", "OK")</f>
        <v>OK</v>
      </c>
      <c r="T158" s="1" t="str">
        <f>IF(po_master[[#This Row],[Actual Delivery Date]]&gt;po_master[[#This Row],[Promised Delivey Date]], "Late Delivery", "OK")</f>
        <v>OK</v>
      </c>
      <c r="U158" s="1" t="str">
        <f>IF(COUNTIF(po_master[PO Number],po_master[[#This Row],[PO Number]])&gt;1, "Duplicate Invoice", "OK")</f>
        <v>Duplicate Invoice</v>
      </c>
    </row>
    <row r="159" spans="1:21" x14ac:dyDescent="0.25">
      <c r="A159" s="1" t="s">
        <v>142</v>
      </c>
      <c r="B159" s="1" t="s">
        <v>1464</v>
      </c>
      <c r="C159" s="2">
        <v>46041</v>
      </c>
      <c r="D159">
        <v>40</v>
      </c>
      <c r="E159">
        <v>37.35</v>
      </c>
      <c r="F159" s="1" t="s">
        <v>1474</v>
      </c>
      <c r="G159" s="2">
        <v>46055</v>
      </c>
      <c r="H159">
        <v>40</v>
      </c>
      <c r="I159" s="2">
        <v>46054</v>
      </c>
      <c r="J159" s="1" t="s">
        <v>821</v>
      </c>
      <c r="K159">
        <v>40</v>
      </c>
      <c r="L159">
        <v>37.35</v>
      </c>
      <c r="M159" s="2">
        <v>46065</v>
      </c>
      <c r="N159" t="str">
        <f>IF(po_master[[#This Row],[Approved By]]="", "Missing Approval", "OK")</f>
        <v>OK</v>
      </c>
      <c r="O159" t="str">
        <f>IF(ISBLANK(po_master[[#This Row],[GR Quantity]]), "No GR - Not received", "OK")</f>
        <v>OK</v>
      </c>
      <c r="P159" s="1" t="str">
        <f>IF(po_master[[#This Row],[Promised Delivey Date]]&lt;po_master[[#This Row],[Order Date]], "Invalid", "OK")</f>
        <v>OK</v>
      </c>
      <c r="Q159" s="1" t="str">
        <f>IF(ISBLANK(po_master[[#This Row],[Invoice Number]]), "No Invoice", "OK")</f>
        <v>OK</v>
      </c>
      <c r="R159" s="1" t="str">
        <f>IF(AND(NOT(ISBLANK(po_master[[#This Row],[GR Quantity]])), po_master[[#This Row],[GR Quantity]]&lt;&gt;po_master[[#This Row],[PO Quantity]]), "Qty Variance", "OK")</f>
        <v>OK</v>
      </c>
      <c r="S159" s="1" t="str">
        <f>IF(po_master[[#This Row],[Invoice Unit Price]]&gt;po_master[[#This Row],[PO Unit Price]]*1.01, "Price Variance", "OK")</f>
        <v>OK</v>
      </c>
      <c r="T159" s="1" t="str">
        <f>IF(po_master[[#This Row],[Actual Delivery Date]]&gt;po_master[[#This Row],[Promised Delivey Date]], "Late Delivery", "OK")</f>
        <v>OK</v>
      </c>
      <c r="U159" s="1" t="str">
        <f>IF(COUNTIF(po_master[PO Number],po_master[[#This Row],[PO Number]])&gt;1, "Duplicate Invoice", "OK")</f>
        <v>OK</v>
      </c>
    </row>
    <row r="160" spans="1:21" x14ac:dyDescent="0.25">
      <c r="A160" s="1" t="s">
        <v>143</v>
      </c>
      <c r="B160" s="1" t="s">
        <v>1478</v>
      </c>
      <c r="C160" s="2">
        <v>46054</v>
      </c>
      <c r="D160">
        <v>249</v>
      </c>
      <c r="E160">
        <v>139.29</v>
      </c>
      <c r="F160" s="1" t="s">
        <v>1499</v>
      </c>
      <c r="G160" s="2">
        <v>46071</v>
      </c>
      <c r="H160">
        <v>249</v>
      </c>
      <c r="I160" s="2">
        <v>46073</v>
      </c>
      <c r="J160" s="1" t="s">
        <v>822</v>
      </c>
      <c r="K160">
        <v>249</v>
      </c>
      <c r="L160">
        <v>139.29</v>
      </c>
      <c r="M160" s="2">
        <v>46078</v>
      </c>
      <c r="N160" t="str">
        <f>IF(po_master[[#This Row],[Approved By]]="", "Missing Approval", "OK")</f>
        <v>OK</v>
      </c>
      <c r="O160" t="str">
        <f>IF(ISBLANK(po_master[[#This Row],[GR Quantity]]), "No GR - Not received", "OK")</f>
        <v>OK</v>
      </c>
      <c r="P160" s="1" t="str">
        <f>IF(po_master[[#This Row],[Promised Delivey Date]]&lt;po_master[[#This Row],[Order Date]], "Invalid", "OK")</f>
        <v>OK</v>
      </c>
      <c r="Q160" s="1" t="str">
        <f>IF(ISBLANK(po_master[[#This Row],[Invoice Number]]), "No Invoice", "OK")</f>
        <v>OK</v>
      </c>
      <c r="R160" s="1" t="str">
        <f>IF(AND(NOT(ISBLANK(po_master[[#This Row],[GR Quantity]])), po_master[[#This Row],[GR Quantity]]&lt;&gt;po_master[[#This Row],[PO Quantity]]), "Qty Variance", "OK")</f>
        <v>OK</v>
      </c>
      <c r="S160" s="1" t="str">
        <f>IF(po_master[[#This Row],[Invoice Unit Price]]&gt;po_master[[#This Row],[PO Unit Price]]*1.01, "Price Variance", "OK")</f>
        <v>OK</v>
      </c>
      <c r="T160" s="1" t="str">
        <f>IF(po_master[[#This Row],[Actual Delivery Date]]&gt;po_master[[#This Row],[Promised Delivey Date]], "Late Delivery", "OK")</f>
        <v>Late Delivery</v>
      </c>
      <c r="U160" s="1" t="str">
        <f>IF(COUNTIF(po_master[PO Number],po_master[[#This Row],[PO Number]])&gt;1, "Duplicate Invoice", "OK")</f>
        <v>OK</v>
      </c>
    </row>
    <row r="161" spans="1:21" x14ac:dyDescent="0.25">
      <c r="A161" s="1" t="s">
        <v>144</v>
      </c>
      <c r="B161" s="1" t="s">
        <v>1511</v>
      </c>
      <c r="C161" s="2">
        <v>46151</v>
      </c>
      <c r="D161">
        <v>286</v>
      </c>
      <c r="E161">
        <v>101.29</v>
      </c>
      <c r="F161" s="1" t="s">
        <v>1476</v>
      </c>
      <c r="G161" s="2">
        <v>46157</v>
      </c>
      <c r="H161">
        <v>286</v>
      </c>
      <c r="I161" s="2">
        <v>46155</v>
      </c>
      <c r="J161" s="1" t="s">
        <v>823</v>
      </c>
      <c r="K161">
        <v>286</v>
      </c>
      <c r="L161">
        <v>101.29</v>
      </c>
      <c r="M161" s="2">
        <v>46167</v>
      </c>
      <c r="N161" t="str">
        <f>IF(po_master[[#This Row],[Approved By]]="", "Missing Approval", "OK")</f>
        <v>OK</v>
      </c>
      <c r="O161" t="str">
        <f>IF(ISBLANK(po_master[[#This Row],[GR Quantity]]), "No GR - Not received", "OK")</f>
        <v>OK</v>
      </c>
      <c r="P161" s="1" t="str">
        <f>IF(po_master[[#This Row],[Promised Delivey Date]]&lt;po_master[[#This Row],[Order Date]], "Invalid", "OK")</f>
        <v>OK</v>
      </c>
      <c r="Q161" s="1" t="str">
        <f>IF(ISBLANK(po_master[[#This Row],[Invoice Number]]), "No Invoice", "OK")</f>
        <v>OK</v>
      </c>
      <c r="R161" s="1" t="str">
        <f>IF(AND(NOT(ISBLANK(po_master[[#This Row],[GR Quantity]])), po_master[[#This Row],[GR Quantity]]&lt;&gt;po_master[[#This Row],[PO Quantity]]), "Qty Variance", "OK")</f>
        <v>OK</v>
      </c>
      <c r="S161" s="1" t="str">
        <f>IF(po_master[[#This Row],[Invoice Unit Price]]&gt;po_master[[#This Row],[PO Unit Price]]*1.01, "Price Variance", "OK")</f>
        <v>OK</v>
      </c>
      <c r="T161" s="1" t="str">
        <f>IF(po_master[[#This Row],[Actual Delivery Date]]&gt;po_master[[#This Row],[Promised Delivey Date]], "Late Delivery", "OK")</f>
        <v>OK</v>
      </c>
      <c r="U161" s="1" t="str">
        <f>IF(COUNTIF(po_master[PO Number],po_master[[#This Row],[PO Number]])&gt;1, "Duplicate Invoice", "OK")</f>
        <v>OK</v>
      </c>
    </row>
    <row r="162" spans="1:21" x14ac:dyDescent="0.25">
      <c r="A162" s="1" t="s">
        <v>145</v>
      </c>
      <c r="B162" s="1" t="s">
        <v>1461</v>
      </c>
      <c r="C162" s="2">
        <v>46170</v>
      </c>
      <c r="D162">
        <v>310</v>
      </c>
      <c r="E162">
        <v>190.4</v>
      </c>
      <c r="F162" s="1" t="s">
        <v>1456</v>
      </c>
      <c r="G162" s="2">
        <v>46183</v>
      </c>
      <c r="H162">
        <v>310</v>
      </c>
      <c r="I162" s="2">
        <v>46181</v>
      </c>
      <c r="J162" s="1" t="s">
        <v>826</v>
      </c>
      <c r="K162">
        <v>310</v>
      </c>
      <c r="L162">
        <v>190.4</v>
      </c>
      <c r="M162" s="2">
        <v>46186</v>
      </c>
      <c r="N162" t="str">
        <f>IF(po_master[[#This Row],[Approved By]]="", "Missing Approval", "OK")</f>
        <v>OK</v>
      </c>
      <c r="O162" t="str">
        <f>IF(ISBLANK(po_master[[#This Row],[GR Quantity]]), "No GR - Not received", "OK")</f>
        <v>OK</v>
      </c>
      <c r="P162" s="1" t="str">
        <f>IF(po_master[[#This Row],[Promised Delivey Date]]&lt;po_master[[#This Row],[Order Date]], "Invalid", "OK")</f>
        <v>OK</v>
      </c>
      <c r="Q162" s="1" t="str">
        <f>IF(ISBLANK(po_master[[#This Row],[Invoice Number]]), "No Invoice", "OK")</f>
        <v>OK</v>
      </c>
      <c r="R162" s="1" t="str">
        <f>IF(AND(NOT(ISBLANK(po_master[[#This Row],[GR Quantity]])), po_master[[#This Row],[GR Quantity]]&lt;&gt;po_master[[#This Row],[PO Quantity]]), "Qty Variance", "OK")</f>
        <v>OK</v>
      </c>
      <c r="S162" s="1" t="str">
        <f>IF(po_master[[#This Row],[Invoice Unit Price]]&gt;po_master[[#This Row],[PO Unit Price]]*1.01, "Price Variance", "OK")</f>
        <v>OK</v>
      </c>
      <c r="T162" s="1" t="str">
        <f>IF(po_master[[#This Row],[Actual Delivery Date]]&gt;po_master[[#This Row],[Promised Delivey Date]], "Late Delivery", "OK")</f>
        <v>OK</v>
      </c>
      <c r="U162" s="1" t="str">
        <f>IF(COUNTIF(po_master[PO Number],po_master[[#This Row],[PO Number]])&gt;1, "Duplicate Invoice", "OK")</f>
        <v>OK</v>
      </c>
    </row>
    <row r="163" spans="1:21" x14ac:dyDescent="0.25">
      <c r="A163" s="1" t="s">
        <v>146</v>
      </c>
      <c r="B163" s="1" t="s">
        <v>1493</v>
      </c>
      <c r="C163" s="2">
        <v>46033</v>
      </c>
      <c r="D163">
        <v>400</v>
      </c>
      <c r="E163">
        <v>152.47</v>
      </c>
      <c r="F163" s="1" t="s">
        <v>1487</v>
      </c>
      <c r="G163" s="2">
        <v>46054</v>
      </c>
      <c r="H163">
        <v>400</v>
      </c>
      <c r="I163" s="2">
        <v>46056</v>
      </c>
      <c r="J163" s="1" t="s">
        <v>827</v>
      </c>
      <c r="K163">
        <v>400</v>
      </c>
      <c r="L163">
        <v>152.47</v>
      </c>
      <c r="M163" s="2">
        <v>46064</v>
      </c>
      <c r="N163" t="str">
        <f>IF(po_master[[#This Row],[Approved By]]="", "Missing Approval", "OK")</f>
        <v>OK</v>
      </c>
      <c r="O163" t="str">
        <f>IF(ISBLANK(po_master[[#This Row],[GR Quantity]]), "No GR - Not received", "OK")</f>
        <v>OK</v>
      </c>
      <c r="P163" s="1" t="str">
        <f>IF(po_master[[#This Row],[Promised Delivey Date]]&lt;po_master[[#This Row],[Order Date]], "Invalid", "OK")</f>
        <v>OK</v>
      </c>
      <c r="Q163" s="1" t="str">
        <f>IF(ISBLANK(po_master[[#This Row],[Invoice Number]]), "No Invoice", "OK")</f>
        <v>OK</v>
      </c>
      <c r="R163" s="1" t="str">
        <f>IF(AND(NOT(ISBLANK(po_master[[#This Row],[GR Quantity]])), po_master[[#This Row],[GR Quantity]]&lt;&gt;po_master[[#This Row],[PO Quantity]]), "Qty Variance", "OK")</f>
        <v>OK</v>
      </c>
      <c r="S163" s="1" t="str">
        <f>IF(po_master[[#This Row],[Invoice Unit Price]]&gt;po_master[[#This Row],[PO Unit Price]]*1.01, "Price Variance", "OK")</f>
        <v>OK</v>
      </c>
      <c r="T163" s="1" t="str">
        <f>IF(po_master[[#This Row],[Actual Delivery Date]]&gt;po_master[[#This Row],[Promised Delivey Date]], "Late Delivery", "OK")</f>
        <v>Late Delivery</v>
      </c>
      <c r="U163" s="1" t="str">
        <f>IF(COUNTIF(po_master[PO Number],po_master[[#This Row],[PO Number]])&gt;1, "Duplicate Invoice", "OK")</f>
        <v>OK</v>
      </c>
    </row>
    <row r="164" spans="1:21" x14ac:dyDescent="0.25">
      <c r="A164" s="1" t="s">
        <v>147</v>
      </c>
      <c r="B164" s="1" t="s">
        <v>1508</v>
      </c>
      <c r="C164" s="2">
        <v>46136</v>
      </c>
      <c r="D164">
        <v>479</v>
      </c>
      <c r="E164">
        <v>59.24</v>
      </c>
      <c r="F164" s="1" t="s">
        <v>1480</v>
      </c>
      <c r="G164" s="2">
        <v>46154</v>
      </c>
      <c r="H164">
        <v>479</v>
      </c>
      <c r="I164" s="2">
        <v>46156</v>
      </c>
      <c r="J164" s="1" t="s">
        <v>828</v>
      </c>
      <c r="K164">
        <v>479</v>
      </c>
      <c r="L164">
        <v>59.24</v>
      </c>
      <c r="M164" s="2">
        <v>46158</v>
      </c>
      <c r="N164" t="str">
        <f>IF(po_master[[#This Row],[Approved By]]="", "Missing Approval", "OK")</f>
        <v>OK</v>
      </c>
      <c r="O164" t="str">
        <f>IF(ISBLANK(po_master[[#This Row],[GR Quantity]]), "No GR - Not received", "OK")</f>
        <v>OK</v>
      </c>
      <c r="P164" s="1" t="str">
        <f>IF(po_master[[#This Row],[Promised Delivey Date]]&lt;po_master[[#This Row],[Order Date]], "Invalid", "OK")</f>
        <v>OK</v>
      </c>
      <c r="Q164" s="1" t="str">
        <f>IF(ISBLANK(po_master[[#This Row],[Invoice Number]]), "No Invoice", "OK")</f>
        <v>OK</v>
      </c>
      <c r="R164" s="1" t="str">
        <f>IF(AND(NOT(ISBLANK(po_master[[#This Row],[GR Quantity]])), po_master[[#This Row],[GR Quantity]]&lt;&gt;po_master[[#This Row],[PO Quantity]]), "Qty Variance", "OK")</f>
        <v>OK</v>
      </c>
      <c r="S164" s="1" t="str">
        <f>IF(po_master[[#This Row],[Invoice Unit Price]]&gt;po_master[[#This Row],[PO Unit Price]]*1.01, "Price Variance", "OK")</f>
        <v>OK</v>
      </c>
      <c r="T164" s="1" t="str">
        <f>IF(po_master[[#This Row],[Actual Delivery Date]]&gt;po_master[[#This Row],[Promised Delivey Date]], "Late Delivery", "OK")</f>
        <v>Late Delivery</v>
      </c>
      <c r="U164" s="1" t="str">
        <f>IF(COUNTIF(po_master[PO Number],po_master[[#This Row],[PO Number]])&gt;1, "Duplicate Invoice", "OK")</f>
        <v>OK</v>
      </c>
    </row>
    <row r="165" spans="1:21" x14ac:dyDescent="0.25">
      <c r="A165" s="1" t="s">
        <v>148</v>
      </c>
      <c r="B165" s="1" t="s">
        <v>1439</v>
      </c>
      <c r="C165" s="2">
        <v>46148</v>
      </c>
      <c r="D165">
        <v>56</v>
      </c>
      <c r="E165">
        <v>96.65</v>
      </c>
      <c r="F165" s="1" t="s">
        <v>1507</v>
      </c>
      <c r="G165" s="2">
        <v>46163</v>
      </c>
      <c r="H165">
        <v>56</v>
      </c>
      <c r="I165" s="2">
        <v>46165</v>
      </c>
      <c r="J165" s="1" t="s">
        <v>829</v>
      </c>
      <c r="K165">
        <v>56</v>
      </c>
      <c r="L165">
        <v>96.65</v>
      </c>
      <c r="M165" s="2">
        <v>46164</v>
      </c>
      <c r="N165" t="str">
        <f>IF(po_master[[#This Row],[Approved By]]="", "Missing Approval", "OK")</f>
        <v>OK</v>
      </c>
      <c r="O165" t="str">
        <f>IF(ISBLANK(po_master[[#This Row],[GR Quantity]]), "No GR - Not received", "OK")</f>
        <v>OK</v>
      </c>
      <c r="P165" s="1" t="str">
        <f>IF(po_master[[#This Row],[Promised Delivey Date]]&lt;po_master[[#This Row],[Order Date]], "Invalid", "OK")</f>
        <v>OK</v>
      </c>
      <c r="Q165" s="1" t="str">
        <f>IF(ISBLANK(po_master[[#This Row],[Invoice Number]]), "No Invoice", "OK")</f>
        <v>OK</v>
      </c>
      <c r="R165" s="1" t="str">
        <f>IF(AND(NOT(ISBLANK(po_master[[#This Row],[GR Quantity]])), po_master[[#This Row],[GR Quantity]]&lt;&gt;po_master[[#This Row],[PO Quantity]]), "Qty Variance", "OK")</f>
        <v>OK</v>
      </c>
      <c r="S165" s="1" t="str">
        <f>IF(po_master[[#This Row],[Invoice Unit Price]]&gt;po_master[[#This Row],[PO Unit Price]]*1.01, "Price Variance", "OK")</f>
        <v>OK</v>
      </c>
      <c r="T165" s="1" t="str">
        <f>IF(po_master[[#This Row],[Actual Delivery Date]]&gt;po_master[[#This Row],[Promised Delivey Date]], "Late Delivery", "OK")</f>
        <v>Late Delivery</v>
      </c>
      <c r="U165" s="1" t="str">
        <f>IF(COUNTIF(po_master[PO Number],po_master[[#This Row],[PO Number]])&gt;1, "Duplicate Invoice", "OK")</f>
        <v>OK</v>
      </c>
    </row>
    <row r="166" spans="1:21" x14ac:dyDescent="0.25">
      <c r="A166" s="1" t="s">
        <v>149</v>
      </c>
      <c r="B166" s="1" t="s">
        <v>1506</v>
      </c>
      <c r="C166" s="2">
        <v>46125</v>
      </c>
      <c r="D166">
        <v>426</v>
      </c>
      <c r="E166">
        <v>153.30000000000001</v>
      </c>
      <c r="F166" s="1" t="s">
        <v>1462</v>
      </c>
      <c r="G166" s="2">
        <v>46144</v>
      </c>
      <c r="H166">
        <v>426</v>
      </c>
      <c r="I166" s="2">
        <v>46142</v>
      </c>
      <c r="J166" s="1" t="s">
        <v>832</v>
      </c>
      <c r="K166">
        <v>426</v>
      </c>
      <c r="L166">
        <v>153.30000000000001</v>
      </c>
      <c r="M166" s="2">
        <v>46145</v>
      </c>
      <c r="N166" t="str">
        <f>IF(po_master[[#This Row],[Approved By]]="", "Missing Approval", "OK")</f>
        <v>OK</v>
      </c>
      <c r="O166" t="str">
        <f>IF(ISBLANK(po_master[[#This Row],[GR Quantity]]), "No GR - Not received", "OK")</f>
        <v>OK</v>
      </c>
      <c r="P166" s="1" t="str">
        <f>IF(po_master[[#This Row],[Promised Delivey Date]]&lt;po_master[[#This Row],[Order Date]], "Invalid", "OK")</f>
        <v>OK</v>
      </c>
      <c r="Q166" s="1" t="str">
        <f>IF(ISBLANK(po_master[[#This Row],[Invoice Number]]), "No Invoice", "OK")</f>
        <v>OK</v>
      </c>
      <c r="R166" s="1" t="str">
        <f>IF(AND(NOT(ISBLANK(po_master[[#This Row],[GR Quantity]])), po_master[[#This Row],[GR Quantity]]&lt;&gt;po_master[[#This Row],[PO Quantity]]), "Qty Variance", "OK")</f>
        <v>OK</v>
      </c>
      <c r="S166" s="1" t="str">
        <f>IF(po_master[[#This Row],[Invoice Unit Price]]&gt;po_master[[#This Row],[PO Unit Price]]*1.01, "Price Variance", "OK")</f>
        <v>OK</v>
      </c>
      <c r="T166" s="1" t="str">
        <f>IF(po_master[[#This Row],[Actual Delivery Date]]&gt;po_master[[#This Row],[Promised Delivey Date]], "Late Delivery", "OK")</f>
        <v>OK</v>
      </c>
      <c r="U166" s="1" t="str">
        <f>IF(COUNTIF(po_master[PO Number],po_master[[#This Row],[PO Number]])&gt;1, "Duplicate Invoice", "OK")</f>
        <v>OK</v>
      </c>
    </row>
    <row r="167" spans="1:21" x14ac:dyDescent="0.25">
      <c r="A167" s="1" t="s">
        <v>819</v>
      </c>
      <c r="B167" s="1" t="s">
        <v>1500</v>
      </c>
      <c r="C167" s="2">
        <v>46052</v>
      </c>
      <c r="D167">
        <v>288</v>
      </c>
      <c r="E167">
        <v>48.84</v>
      </c>
      <c r="F167" s="1" t="s">
        <v>1485</v>
      </c>
      <c r="G167" s="2">
        <v>46065</v>
      </c>
      <c r="I167" s="2"/>
      <c r="J167" s="1" t="s">
        <v>820</v>
      </c>
      <c r="K167">
        <v>288</v>
      </c>
      <c r="L167">
        <v>48.84</v>
      </c>
      <c r="M167" s="2">
        <v>46066</v>
      </c>
      <c r="N167" t="str">
        <f>IF(po_master[[#This Row],[Approved By]]="", "Missing Approval", "OK")</f>
        <v>OK</v>
      </c>
      <c r="O167" t="str">
        <f>IF(ISBLANK(po_master[[#This Row],[GR Quantity]]), "No GR - Not received", "OK")</f>
        <v>No GR - Not received</v>
      </c>
      <c r="P167" s="1" t="str">
        <f>IF(po_master[[#This Row],[Promised Delivey Date]]&lt;po_master[[#This Row],[Order Date]], "Invalid", "OK")</f>
        <v>OK</v>
      </c>
      <c r="Q167" s="1" t="str">
        <f>IF(ISBLANK(po_master[[#This Row],[Invoice Number]]), "No Invoice", "OK")</f>
        <v>OK</v>
      </c>
      <c r="R167" s="1" t="str">
        <f>IF(AND(NOT(ISBLANK(po_master[[#This Row],[GR Quantity]])), po_master[[#This Row],[GR Quantity]]&lt;&gt;po_master[[#This Row],[PO Quantity]]), "Qty Variance", "OK")</f>
        <v>OK</v>
      </c>
      <c r="S167" s="1" t="str">
        <f>IF(po_master[[#This Row],[Invoice Unit Price]]&gt;po_master[[#This Row],[PO Unit Price]]*1.01, "Price Variance", "OK")</f>
        <v>OK</v>
      </c>
      <c r="T167" s="1" t="str">
        <f>IF(po_master[[#This Row],[Actual Delivery Date]]&gt;po_master[[#This Row],[Promised Delivey Date]], "Late Delivery", "OK")</f>
        <v>OK</v>
      </c>
      <c r="U167" s="1" t="str">
        <f>IF(COUNTIF(po_master[PO Number],po_master[[#This Row],[PO Number]])&gt;1, "Duplicate Invoice", "OK")</f>
        <v>OK</v>
      </c>
    </row>
    <row r="168" spans="1:21" x14ac:dyDescent="0.25">
      <c r="A168" s="1" t="s">
        <v>150</v>
      </c>
      <c r="B168" s="1" t="s">
        <v>1457</v>
      </c>
      <c r="C168" s="2">
        <v>46103</v>
      </c>
      <c r="D168">
        <v>139</v>
      </c>
      <c r="E168">
        <v>68.040000000000006</v>
      </c>
      <c r="F168" s="1" t="s">
        <v>1456</v>
      </c>
      <c r="G168" s="2">
        <v>46120</v>
      </c>
      <c r="H168">
        <v>139</v>
      </c>
      <c r="I168" s="2">
        <v>46121</v>
      </c>
      <c r="J168" s="1" t="s">
        <v>833</v>
      </c>
      <c r="K168">
        <v>139</v>
      </c>
      <c r="L168">
        <v>68.040000000000006</v>
      </c>
      <c r="M168" s="2">
        <v>46125</v>
      </c>
      <c r="N168" t="str">
        <f>IF(po_master[[#This Row],[Approved By]]="", "Missing Approval", "OK")</f>
        <v>OK</v>
      </c>
      <c r="O168" t="str">
        <f>IF(ISBLANK(po_master[[#This Row],[GR Quantity]]), "No GR - Not received", "OK")</f>
        <v>OK</v>
      </c>
      <c r="P168" s="1" t="str">
        <f>IF(po_master[[#This Row],[Promised Delivey Date]]&lt;po_master[[#This Row],[Order Date]], "Invalid", "OK")</f>
        <v>OK</v>
      </c>
      <c r="Q168" s="1" t="str">
        <f>IF(ISBLANK(po_master[[#This Row],[Invoice Number]]), "No Invoice", "OK")</f>
        <v>OK</v>
      </c>
      <c r="R168" s="1" t="str">
        <f>IF(AND(NOT(ISBLANK(po_master[[#This Row],[GR Quantity]])), po_master[[#This Row],[GR Quantity]]&lt;&gt;po_master[[#This Row],[PO Quantity]]), "Qty Variance", "OK")</f>
        <v>OK</v>
      </c>
      <c r="S168" s="1" t="str">
        <f>IF(po_master[[#This Row],[Invoice Unit Price]]&gt;po_master[[#This Row],[PO Unit Price]]*1.01, "Price Variance", "OK")</f>
        <v>OK</v>
      </c>
      <c r="T168" s="1" t="str">
        <f>IF(po_master[[#This Row],[Actual Delivery Date]]&gt;po_master[[#This Row],[Promised Delivey Date]], "Late Delivery", "OK")</f>
        <v>Late Delivery</v>
      </c>
      <c r="U168" s="1" t="str">
        <f>IF(COUNTIF(po_master[PO Number],po_master[[#This Row],[PO Number]])&gt;1, "Duplicate Invoice", "OK")</f>
        <v>OK</v>
      </c>
    </row>
    <row r="169" spans="1:21" x14ac:dyDescent="0.25">
      <c r="A169" s="1" t="s">
        <v>151</v>
      </c>
      <c r="B169" s="1" t="s">
        <v>1445</v>
      </c>
      <c r="C169" s="2">
        <v>46023</v>
      </c>
      <c r="D169">
        <v>346</v>
      </c>
      <c r="E169">
        <v>174.53</v>
      </c>
      <c r="F169" s="1" t="s">
        <v>1469</v>
      </c>
      <c r="G169" s="2">
        <v>46041</v>
      </c>
      <c r="H169">
        <v>363</v>
      </c>
      <c r="I169" s="2">
        <v>46039</v>
      </c>
      <c r="J169" s="1" t="s">
        <v>834</v>
      </c>
      <c r="K169">
        <v>346</v>
      </c>
      <c r="L169">
        <v>174.53</v>
      </c>
      <c r="M169" s="2">
        <v>46050</v>
      </c>
      <c r="N169" t="str">
        <f>IF(po_master[[#This Row],[Approved By]]="", "Missing Approval", "OK")</f>
        <v>OK</v>
      </c>
      <c r="O169" t="str">
        <f>IF(ISBLANK(po_master[[#This Row],[GR Quantity]]), "No GR - Not received", "OK")</f>
        <v>OK</v>
      </c>
      <c r="P169" s="1" t="str">
        <f>IF(po_master[[#This Row],[Promised Delivey Date]]&lt;po_master[[#This Row],[Order Date]], "Invalid", "OK")</f>
        <v>OK</v>
      </c>
      <c r="Q169" s="1" t="str">
        <f>IF(ISBLANK(po_master[[#This Row],[Invoice Number]]), "No Invoice", "OK")</f>
        <v>OK</v>
      </c>
      <c r="R169" s="1" t="str">
        <f>IF(AND(NOT(ISBLANK(po_master[[#This Row],[GR Quantity]])), po_master[[#This Row],[GR Quantity]]&lt;&gt;po_master[[#This Row],[PO Quantity]]), "Qty Variance", "OK")</f>
        <v>Qty Variance</v>
      </c>
      <c r="S169" s="1" t="str">
        <f>IF(po_master[[#This Row],[Invoice Unit Price]]&gt;po_master[[#This Row],[PO Unit Price]]*1.01, "Price Variance", "OK")</f>
        <v>OK</v>
      </c>
      <c r="T169" s="1" t="str">
        <f>IF(po_master[[#This Row],[Actual Delivery Date]]&gt;po_master[[#This Row],[Promised Delivey Date]], "Late Delivery", "OK")</f>
        <v>OK</v>
      </c>
      <c r="U169" s="1" t="str">
        <f>IF(COUNTIF(po_master[PO Number],po_master[[#This Row],[PO Number]])&gt;1, "Duplicate Invoice", "OK")</f>
        <v>OK</v>
      </c>
    </row>
    <row r="170" spans="1:21" x14ac:dyDescent="0.25">
      <c r="A170" s="1" t="s">
        <v>152</v>
      </c>
      <c r="B170" s="1" t="s">
        <v>1475</v>
      </c>
      <c r="C170" s="2">
        <v>46071</v>
      </c>
      <c r="D170">
        <v>275</v>
      </c>
      <c r="E170">
        <v>75.55</v>
      </c>
      <c r="F170" s="1" t="s">
        <v>1456</v>
      </c>
      <c r="G170" s="2">
        <v>46091</v>
      </c>
      <c r="H170">
        <v>258</v>
      </c>
      <c r="I170" s="2">
        <v>46103</v>
      </c>
      <c r="J170" s="1" t="s">
        <v>835</v>
      </c>
      <c r="K170">
        <v>275</v>
      </c>
      <c r="L170">
        <v>75.55</v>
      </c>
      <c r="M170" s="2">
        <v>46100</v>
      </c>
      <c r="N170" t="str">
        <f>IF(po_master[[#This Row],[Approved By]]="", "Missing Approval", "OK")</f>
        <v>OK</v>
      </c>
      <c r="O170" t="str">
        <f>IF(ISBLANK(po_master[[#This Row],[GR Quantity]]), "No GR - Not received", "OK")</f>
        <v>OK</v>
      </c>
      <c r="P170" s="1" t="str">
        <f>IF(po_master[[#This Row],[Promised Delivey Date]]&lt;po_master[[#This Row],[Order Date]], "Invalid", "OK")</f>
        <v>OK</v>
      </c>
      <c r="Q170" s="1" t="str">
        <f>IF(ISBLANK(po_master[[#This Row],[Invoice Number]]), "No Invoice", "OK")</f>
        <v>OK</v>
      </c>
      <c r="R170" s="1" t="str">
        <f>IF(AND(NOT(ISBLANK(po_master[[#This Row],[GR Quantity]])), po_master[[#This Row],[GR Quantity]]&lt;&gt;po_master[[#This Row],[PO Quantity]]), "Qty Variance", "OK")</f>
        <v>Qty Variance</v>
      </c>
      <c r="S170" s="1" t="str">
        <f>IF(po_master[[#This Row],[Invoice Unit Price]]&gt;po_master[[#This Row],[PO Unit Price]]*1.01, "Price Variance", "OK")</f>
        <v>OK</v>
      </c>
      <c r="T170" s="1" t="str">
        <f>IF(po_master[[#This Row],[Actual Delivery Date]]&gt;po_master[[#This Row],[Promised Delivey Date]], "Late Delivery", "OK")</f>
        <v>Late Delivery</v>
      </c>
      <c r="U170" s="1" t="str">
        <f>IF(COUNTIF(po_master[PO Number],po_master[[#This Row],[PO Number]])&gt;1, "Duplicate Invoice", "OK")</f>
        <v>OK</v>
      </c>
    </row>
    <row r="171" spans="1:21" x14ac:dyDescent="0.25">
      <c r="A171" s="1" t="s">
        <v>824</v>
      </c>
      <c r="B171" s="1" t="s">
        <v>1500</v>
      </c>
      <c r="C171" s="2">
        <v>46105</v>
      </c>
      <c r="D171">
        <v>319</v>
      </c>
      <c r="E171">
        <v>53.82</v>
      </c>
      <c r="F171" s="1" t="s">
        <v>1476</v>
      </c>
      <c r="G171" s="2">
        <v>46117</v>
      </c>
      <c r="I171" s="2"/>
      <c r="J171" s="1" t="s">
        <v>825</v>
      </c>
      <c r="K171">
        <v>319</v>
      </c>
      <c r="L171">
        <v>53.82</v>
      </c>
      <c r="M171" s="2">
        <v>46125</v>
      </c>
      <c r="N171" t="str">
        <f>IF(po_master[[#This Row],[Approved By]]="", "Missing Approval", "OK")</f>
        <v>OK</v>
      </c>
      <c r="O171" t="str">
        <f>IF(ISBLANK(po_master[[#This Row],[GR Quantity]]), "No GR - Not received", "OK")</f>
        <v>No GR - Not received</v>
      </c>
      <c r="P171" s="1" t="str">
        <f>IF(po_master[[#This Row],[Promised Delivey Date]]&lt;po_master[[#This Row],[Order Date]], "Invalid", "OK")</f>
        <v>OK</v>
      </c>
      <c r="Q171" s="1" t="str">
        <f>IF(ISBLANK(po_master[[#This Row],[Invoice Number]]), "No Invoice", "OK")</f>
        <v>OK</v>
      </c>
      <c r="R171" s="1" t="str">
        <f>IF(AND(NOT(ISBLANK(po_master[[#This Row],[GR Quantity]])), po_master[[#This Row],[GR Quantity]]&lt;&gt;po_master[[#This Row],[PO Quantity]]), "Qty Variance", "OK")</f>
        <v>OK</v>
      </c>
      <c r="S171" s="1" t="str">
        <f>IF(po_master[[#This Row],[Invoice Unit Price]]&gt;po_master[[#This Row],[PO Unit Price]]*1.01, "Price Variance", "OK")</f>
        <v>OK</v>
      </c>
      <c r="T171" s="1" t="str">
        <f>IF(po_master[[#This Row],[Actual Delivery Date]]&gt;po_master[[#This Row],[Promised Delivey Date]], "Late Delivery", "OK")</f>
        <v>OK</v>
      </c>
      <c r="U171" s="1" t="str">
        <f>IF(COUNTIF(po_master[PO Number],po_master[[#This Row],[PO Number]])&gt;1, "Duplicate Invoice", "OK")</f>
        <v>OK</v>
      </c>
    </row>
    <row r="172" spans="1:21" x14ac:dyDescent="0.25">
      <c r="A172" s="1" t="s">
        <v>153</v>
      </c>
      <c r="B172" s="1" t="s">
        <v>1439</v>
      </c>
      <c r="C172" s="2">
        <v>46136</v>
      </c>
      <c r="D172">
        <v>399</v>
      </c>
      <c r="E172">
        <v>15.06</v>
      </c>
      <c r="F172" s="1" t="s">
        <v>1458</v>
      </c>
      <c r="G172" s="2">
        <v>46145</v>
      </c>
      <c r="H172">
        <v>399</v>
      </c>
      <c r="I172" s="2">
        <v>46147</v>
      </c>
      <c r="J172" s="1" t="s">
        <v>836</v>
      </c>
      <c r="K172">
        <v>399</v>
      </c>
      <c r="L172">
        <v>17.100000000000001</v>
      </c>
      <c r="M172" s="2">
        <v>46149</v>
      </c>
      <c r="N172" t="str">
        <f>IF(po_master[[#This Row],[Approved By]]="", "Missing Approval", "OK")</f>
        <v>OK</v>
      </c>
      <c r="O172" t="str">
        <f>IF(ISBLANK(po_master[[#This Row],[GR Quantity]]), "No GR - Not received", "OK")</f>
        <v>OK</v>
      </c>
      <c r="P172" s="1" t="str">
        <f>IF(po_master[[#This Row],[Promised Delivey Date]]&lt;po_master[[#This Row],[Order Date]], "Invalid", "OK")</f>
        <v>OK</v>
      </c>
      <c r="Q172" s="1" t="str">
        <f>IF(ISBLANK(po_master[[#This Row],[Invoice Number]]), "No Invoice", "OK")</f>
        <v>OK</v>
      </c>
      <c r="R172" s="1" t="str">
        <f>IF(AND(NOT(ISBLANK(po_master[[#This Row],[GR Quantity]])), po_master[[#This Row],[GR Quantity]]&lt;&gt;po_master[[#This Row],[PO Quantity]]), "Qty Variance", "OK")</f>
        <v>OK</v>
      </c>
      <c r="S172" s="1" t="str">
        <f>IF(po_master[[#This Row],[Invoice Unit Price]]&gt;po_master[[#This Row],[PO Unit Price]]*1.01, "Price Variance", "OK")</f>
        <v>Price Variance</v>
      </c>
      <c r="T172" s="1" t="str">
        <f>IF(po_master[[#This Row],[Actual Delivery Date]]&gt;po_master[[#This Row],[Promised Delivey Date]], "Late Delivery", "OK")</f>
        <v>Late Delivery</v>
      </c>
      <c r="U172" s="1" t="str">
        <f>IF(COUNTIF(po_master[PO Number],po_master[[#This Row],[PO Number]])&gt;1, "Duplicate Invoice", "OK")</f>
        <v>OK</v>
      </c>
    </row>
    <row r="173" spans="1:21" x14ac:dyDescent="0.25">
      <c r="A173" s="1" t="s">
        <v>154</v>
      </c>
      <c r="B173" s="1" t="s">
        <v>1506</v>
      </c>
      <c r="C173" s="2">
        <v>46135</v>
      </c>
      <c r="D173">
        <v>460</v>
      </c>
      <c r="E173">
        <v>141.16</v>
      </c>
      <c r="F173" s="1" t="s">
        <v>1483</v>
      </c>
      <c r="G173" s="2">
        <v>46140</v>
      </c>
      <c r="H173">
        <v>460</v>
      </c>
      <c r="I173" s="2">
        <v>46142</v>
      </c>
      <c r="J173" s="1" t="s">
        <v>837</v>
      </c>
      <c r="K173">
        <v>460</v>
      </c>
      <c r="L173">
        <v>141.16</v>
      </c>
      <c r="M173" s="2">
        <v>46141</v>
      </c>
      <c r="N173" t="str">
        <f>IF(po_master[[#This Row],[Approved By]]="", "Missing Approval", "OK")</f>
        <v>OK</v>
      </c>
      <c r="O173" t="str">
        <f>IF(ISBLANK(po_master[[#This Row],[GR Quantity]]), "No GR - Not received", "OK")</f>
        <v>OK</v>
      </c>
      <c r="P173" s="1" t="str">
        <f>IF(po_master[[#This Row],[Promised Delivey Date]]&lt;po_master[[#This Row],[Order Date]], "Invalid", "OK")</f>
        <v>OK</v>
      </c>
      <c r="Q173" s="1" t="str">
        <f>IF(ISBLANK(po_master[[#This Row],[Invoice Number]]), "No Invoice", "OK")</f>
        <v>OK</v>
      </c>
      <c r="R173" s="1" t="str">
        <f>IF(AND(NOT(ISBLANK(po_master[[#This Row],[GR Quantity]])), po_master[[#This Row],[GR Quantity]]&lt;&gt;po_master[[#This Row],[PO Quantity]]), "Qty Variance", "OK")</f>
        <v>OK</v>
      </c>
      <c r="S173" s="1" t="str">
        <f>IF(po_master[[#This Row],[Invoice Unit Price]]&gt;po_master[[#This Row],[PO Unit Price]]*1.01, "Price Variance", "OK")</f>
        <v>OK</v>
      </c>
      <c r="T173" s="1" t="str">
        <f>IF(po_master[[#This Row],[Actual Delivery Date]]&gt;po_master[[#This Row],[Promised Delivey Date]], "Late Delivery", "OK")</f>
        <v>Late Delivery</v>
      </c>
      <c r="U173" s="1" t="str">
        <f>IF(COUNTIF(po_master[PO Number],po_master[[#This Row],[PO Number]])&gt;1, "Duplicate Invoice", "OK")</f>
        <v>OK</v>
      </c>
    </row>
    <row r="174" spans="1:21" x14ac:dyDescent="0.25">
      <c r="A174" s="1" t="s">
        <v>155</v>
      </c>
      <c r="B174" s="1" t="s">
        <v>1439</v>
      </c>
      <c r="C174" s="2">
        <v>46084</v>
      </c>
      <c r="D174">
        <v>373</v>
      </c>
      <c r="E174">
        <v>35.880000000000003</v>
      </c>
      <c r="F174" s="1" t="s">
        <v>1442</v>
      </c>
      <c r="G174" s="2">
        <v>46089</v>
      </c>
      <c r="H174">
        <v>373</v>
      </c>
      <c r="I174" s="2">
        <v>46091</v>
      </c>
      <c r="J174" s="1" t="s">
        <v>838</v>
      </c>
      <c r="K174">
        <v>373</v>
      </c>
      <c r="L174">
        <v>35.880000000000003</v>
      </c>
      <c r="M174" s="2">
        <v>46092</v>
      </c>
      <c r="N174" t="str">
        <f>IF(po_master[[#This Row],[Approved By]]="", "Missing Approval", "OK")</f>
        <v>OK</v>
      </c>
      <c r="O174" t="str">
        <f>IF(ISBLANK(po_master[[#This Row],[GR Quantity]]), "No GR - Not received", "OK")</f>
        <v>OK</v>
      </c>
      <c r="P174" s="1" t="str">
        <f>IF(po_master[[#This Row],[Promised Delivey Date]]&lt;po_master[[#This Row],[Order Date]], "Invalid", "OK")</f>
        <v>OK</v>
      </c>
      <c r="Q174" s="1" t="str">
        <f>IF(ISBLANK(po_master[[#This Row],[Invoice Number]]), "No Invoice", "OK")</f>
        <v>OK</v>
      </c>
      <c r="R174" s="1" t="str">
        <f>IF(AND(NOT(ISBLANK(po_master[[#This Row],[GR Quantity]])), po_master[[#This Row],[GR Quantity]]&lt;&gt;po_master[[#This Row],[PO Quantity]]), "Qty Variance", "OK")</f>
        <v>OK</v>
      </c>
      <c r="S174" s="1" t="str">
        <f>IF(po_master[[#This Row],[Invoice Unit Price]]&gt;po_master[[#This Row],[PO Unit Price]]*1.01, "Price Variance", "OK")</f>
        <v>OK</v>
      </c>
      <c r="T174" s="1" t="str">
        <f>IF(po_master[[#This Row],[Actual Delivery Date]]&gt;po_master[[#This Row],[Promised Delivey Date]], "Late Delivery", "OK")</f>
        <v>Late Delivery</v>
      </c>
      <c r="U174" s="1" t="str">
        <f>IF(COUNTIF(po_master[PO Number],po_master[[#This Row],[PO Number]])&gt;1, "Duplicate Invoice", "OK")</f>
        <v>OK</v>
      </c>
    </row>
    <row r="175" spans="1:21" x14ac:dyDescent="0.25">
      <c r="A175" s="1" t="s">
        <v>156</v>
      </c>
      <c r="B175" s="1" t="s">
        <v>1454</v>
      </c>
      <c r="C175" s="2">
        <v>46127</v>
      </c>
      <c r="D175">
        <v>57</v>
      </c>
      <c r="E175">
        <v>48.82</v>
      </c>
      <c r="F175" s="1" t="s">
        <v>1483</v>
      </c>
      <c r="G175" s="2">
        <v>46146</v>
      </c>
      <c r="H175">
        <v>57</v>
      </c>
      <c r="I175" s="2">
        <v>46144</v>
      </c>
      <c r="J175" s="1" t="s">
        <v>839</v>
      </c>
      <c r="K175">
        <v>57</v>
      </c>
      <c r="L175">
        <v>48.82</v>
      </c>
      <c r="M175" s="2">
        <v>46150</v>
      </c>
      <c r="N175" t="str">
        <f>IF(po_master[[#This Row],[Approved By]]="", "Missing Approval", "OK")</f>
        <v>OK</v>
      </c>
      <c r="O175" t="str">
        <f>IF(ISBLANK(po_master[[#This Row],[GR Quantity]]), "No GR - Not received", "OK")</f>
        <v>OK</v>
      </c>
      <c r="P175" s="1" t="str">
        <f>IF(po_master[[#This Row],[Promised Delivey Date]]&lt;po_master[[#This Row],[Order Date]], "Invalid", "OK")</f>
        <v>OK</v>
      </c>
      <c r="Q175" s="1" t="str">
        <f>IF(ISBLANK(po_master[[#This Row],[Invoice Number]]), "No Invoice", "OK")</f>
        <v>OK</v>
      </c>
      <c r="R175" s="1" t="str">
        <f>IF(AND(NOT(ISBLANK(po_master[[#This Row],[GR Quantity]])), po_master[[#This Row],[GR Quantity]]&lt;&gt;po_master[[#This Row],[PO Quantity]]), "Qty Variance", "OK")</f>
        <v>OK</v>
      </c>
      <c r="S175" s="1" t="str">
        <f>IF(po_master[[#This Row],[Invoice Unit Price]]&gt;po_master[[#This Row],[PO Unit Price]]*1.01, "Price Variance", "OK")</f>
        <v>OK</v>
      </c>
      <c r="T175" s="1" t="str">
        <f>IF(po_master[[#This Row],[Actual Delivery Date]]&gt;po_master[[#This Row],[Promised Delivey Date]], "Late Delivery", "OK")</f>
        <v>OK</v>
      </c>
      <c r="U175" s="1" t="str">
        <f>IF(COUNTIF(po_master[PO Number],po_master[[#This Row],[PO Number]])&gt;1, "Duplicate Invoice", "OK")</f>
        <v>OK</v>
      </c>
    </row>
    <row r="176" spans="1:21" x14ac:dyDescent="0.25">
      <c r="A176" s="1" t="s">
        <v>830</v>
      </c>
      <c r="B176" s="1" t="s">
        <v>1509</v>
      </c>
      <c r="C176" s="2">
        <v>46049</v>
      </c>
      <c r="D176">
        <v>449</v>
      </c>
      <c r="E176">
        <v>36.36</v>
      </c>
      <c r="F176" s="1" t="s">
        <v>1507</v>
      </c>
      <c r="G176" s="2">
        <v>46069</v>
      </c>
      <c r="I176" s="2"/>
      <c r="J176" s="1" t="s">
        <v>831</v>
      </c>
      <c r="K176">
        <v>449</v>
      </c>
      <c r="L176">
        <v>36.36</v>
      </c>
      <c r="M176" s="2">
        <v>46074</v>
      </c>
      <c r="N176" t="str">
        <f>IF(po_master[[#This Row],[Approved By]]="", "Missing Approval", "OK")</f>
        <v>OK</v>
      </c>
      <c r="O176" t="str">
        <f>IF(ISBLANK(po_master[[#This Row],[GR Quantity]]), "No GR - Not received", "OK")</f>
        <v>No GR - Not received</v>
      </c>
      <c r="P176" s="1" t="str">
        <f>IF(po_master[[#This Row],[Promised Delivey Date]]&lt;po_master[[#This Row],[Order Date]], "Invalid", "OK")</f>
        <v>OK</v>
      </c>
      <c r="Q176" s="1" t="str">
        <f>IF(ISBLANK(po_master[[#This Row],[Invoice Number]]), "No Invoice", "OK")</f>
        <v>OK</v>
      </c>
      <c r="R176" s="1" t="str">
        <f>IF(AND(NOT(ISBLANK(po_master[[#This Row],[GR Quantity]])), po_master[[#This Row],[GR Quantity]]&lt;&gt;po_master[[#This Row],[PO Quantity]]), "Qty Variance", "OK")</f>
        <v>OK</v>
      </c>
      <c r="S176" s="1" t="str">
        <f>IF(po_master[[#This Row],[Invoice Unit Price]]&gt;po_master[[#This Row],[PO Unit Price]]*1.01, "Price Variance", "OK")</f>
        <v>OK</v>
      </c>
      <c r="T176" s="1" t="str">
        <f>IF(po_master[[#This Row],[Actual Delivery Date]]&gt;po_master[[#This Row],[Promised Delivey Date]], "Late Delivery", "OK")</f>
        <v>OK</v>
      </c>
      <c r="U176" s="1" t="str">
        <f>IF(COUNTIF(po_master[PO Number],po_master[[#This Row],[PO Number]])&gt;1, "Duplicate Invoice", "OK")</f>
        <v>OK</v>
      </c>
    </row>
    <row r="177" spans="1:21" x14ac:dyDescent="0.25">
      <c r="A177" s="1" t="s">
        <v>157</v>
      </c>
      <c r="B177" s="1" t="s">
        <v>1466</v>
      </c>
      <c r="C177" s="2">
        <v>46062</v>
      </c>
      <c r="D177">
        <v>265</v>
      </c>
      <c r="E177">
        <v>186.87</v>
      </c>
      <c r="F177" s="1" t="s">
        <v>1459</v>
      </c>
      <c r="G177" s="2">
        <v>46083</v>
      </c>
      <c r="H177">
        <v>265</v>
      </c>
      <c r="I177" s="2">
        <v>46083</v>
      </c>
      <c r="J177" s="1" t="s">
        <v>840</v>
      </c>
      <c r="K177">
        <v>265</v>
      </c>
      <c r="L177">
        <v>186.87</v>
      </c>
      <c r="M177" s="2">
        <v>46093</v>
      </c>
      <c r="N177" t="str">
        <f>IF(po_master[[#This Row],[Approved By]]="", "Missing Approval", "OK")</f>
        <v>Missing Approval</v>
      </c>
      <c r="O177" t="str">
        <f>IF(ISBLANK(po_master[[#This Row],[GR Quantity]]), "No GR - Not received", "OK")</f>
        <v>OK</v>
      </c>
      <c r="P177" s="1" t="str">
        <f>IF(po_master[[#This Row],[Promised Delivey Date]]&lt;po_master[[#This Row],[Order Date]], "Invalid", "OK")</f>
        <v>OK</v>
      </c>
      <c r="Q177" s="1" t="str">
        <f>IF(ISBLANK(po_master[[#This Row],[Invoice Number]]), "No Invoice", "OK")</f>
        <v>OK</v>
      </c>
      <c r="R177" s="1" t="str">
        <f>IF(AND(NOT(ISBLANK(po_master[[#This Row],[GR Quantity]])), po_master[[#This Row],[GR Quantity]]&lt;&gt;po_master[[#This Row],[PO Quantity]]), "Qty Variance", "OK")</f>
        <v>OK</v>
      </c>
      <c r="S177" s="1" t="str">
        <f>IF(po_master[[#This Row],[Invoice Unit Price]]&gt;po_master[[#This Row],[PO Unit Price]]*1.01, "Price Variance", "OK")</f>
        <v>OK</v>
      </c>
      <c r="T177" s="1" t="str">
        <f>IF(po_master[[#This Row],[Actual Delivery Date]]&gt;po_master[[#This Row],[Promised Delivey Date]], "Late Delivery", "OK")</f>
        <v>OK</v>
      </c>
      <c r="U177" s="1" t="str">
        <f>IF(COUNTIF(po_master[PO Number],po_master[[#This Row],[PO Number]])&gt;1, "Duplicate Invoice", "OK")</f>
        <v>OK</v>
      </c>
    </row>
    <row r="178" spans="1:21" x14ac:dyDescent="0.25">
      <c r="A178" s="1" t="s">
        <v>158</v>
      </c>
      <c r="B178" s="1" t="s">
        <v>1455</v>
      </c>
      <c r="C178" s="2">
        <v>46092</v>
      </c>
      <c r="D178">
        <v>222</v>
      </c>
      <c r="E178">
        <v>167.77</v>
      </c>
      <c r="F178" s="1" t="s">
        <v>1487</v>
      </c>
      <c r="G178" s="2">
        <v>46104</v>
      </c>
      <c r="H178">
        <v>222</v>
      </c>
      <c r="I178" s="2">
        <v>46104</v>
      </c>
      <c r="J178" s="1" t="s">
        <v>841</v>
      </c>
      <c r="K178">
        <v>222</v>
      </c>
      <c r="L178">
        <v>167.77</v>
      </c>
      <c r="M178" s="2">
        <v>46114</v>
      </c>
      <c r="N178" t="str">
        <f>IF(po_master[[#This Row],[Approved By]]="", "Missing Approval", "OK")</f>
        <v>OK</v>
      </c>
      <c r="O178" t="str">
        <f>IF(ISBLANK(po_master[[#This Row],[GR Quantity]]), "No GR - Not received", "OK")</f>
        <v>OK</v>
      </c>
      <c r="P178" s="1" t="str">
        <f>IF(po_master[[#This Row],[Promised Delivey Date]]&lt;po_master[[#This Row],[Order Date]], "Invalid", "OK")</f>
        <v>OK</v>
      </c>
      <c r="Q178" s="1" t="str">
        <f>IF(ISBLANK(po_master[[#This Row],[Invoice Number]]), "No Invoice", "OK")</f>
        <v>OK</v>
      </c>
      <c r="R178" s="1" t="str">
        <f>IF(AND(NOT(ISBLANK(po_master[[#This Row],[GR Quantity]])), po_master[[#This Row],[GR Quantity]]&lt;&gt;po_master[[#This Row],[PO Quantity]]), "Qty Variance", "OK")</f>
        <v>OK</v>
      </c>
      <c r="S178" s="1" t="str">
        <f>IF(po_master[[#This Row],[Invoice Unit Price]]&gt;po_master[[#This Row],[PO Unit Price]]*1.01, "Price Variance", "OK")</f>
        <v>OK</v>
      </c>
      <c r="T178" s="1" t="str">
        <f>IF(po_master[[#This Row],[Actual Delivery Date]]&gt;po_master[[#This Row],[Promised Delivey Date]], "Late Delivery", "OK")</f>
        <v>OK</v>
      </c>
      <c r="U178" s="1" t="str">
        <f>IF(COUNTIF(po_master[PO Number],po_master[[#This Row],[PO Number]])&gt;1, "Duplicate Invoice", "OK")</f>
        <v>OK</v>
      </c>
    </row>
    <row r="179" spans="1:21" x14ac:dyDescent="0.25">
      <c r="A179" s="1" t="s">
        <v>159</v>
      </c>
      <c r="B179" s="1" t="s">
        <v>1489</v>
      </c>
      <c r="C179" s="2">
        <v>46164</v>
      </c>
      <c r="D179">
        <v>84</v>
      </c>
      <c r="E179">
        <v>79.8</v>
      </c>
      <c r="F179" s="1" t="s">
        <v>1494</v>
      </c>
      <c r="G179" s="2">
        <v>46185</v>
      </c>
      <c r="H179">
        <v>84</v>
      </c>
      <c r="I179" s="2">
        <v>46185</v>
      </c>
      <c r="J179" s="1" t="s">
        <v>842</v>
      </c>
      <c r="K179">
        <v>84</v>
      </c>
      <c r="L179">
        <v>79.8</v>
      </c>
      <c r="M179" s="2">
        <v>46193</v>
      </c>
      <c r="N179" t="str">
        <f>IF(po_master[[#This Row],[Approved By]]="", "Missing Approval", "OK")</f>
        <v>OK</v>
      </c>
      <c r="O179" t="str">
        <f>IF(ISBLANK(po_master[[#This Row],[GR Quantity]]), "No GR - Not received", "OK")</f>
        <v>OK</v>
      </c>
      <c r="P179" s="1" t="str">
        <f>IF(po_master[[#This Row],[Promised Delivey Date]]&lt;po_master[[#This Row],[Order Date]], "Invalid", "OK")</f>
        <v>OK</v>
      </c>
      <c r="Q179" s="1" t="str">
        <f>IF(ISBLANK(po_master[[#This Row],[Invoice Number]]), "No Invoice", "OK")</f>
        <v>OK</v>
      </c>
      <c r="R179" s="1" t="str">
        <f>IF(AND(NOT(ISBLANK(po_master[[#This Row],[GR Quantity]])), po_master[[#This Row],[GR Quantity]]&lt;&gt;po_master[[#This Row],[PO Quantity]]), "Qty Variance", "OK")</f>
        <v>OK</v>
      </c>
      <c r="S179" s="1" t="str">
        <f>IF(po_master[[#This Row],[Invoice Unit Price]]&gt;po_master[[#This Row],[PO Unit Price]]*1.01, "Price Variance", "OK")</f>
        <v>OK</v>
      </c>
      <c r="T179" s="1" t="str">
        <f>IF(po_master[[#This Row],[Actual Delivery Date]]&gt;po_master[[#This Row],[Promised Delivey Date]], "Late Delivery", "OK")</f>
        <v>OK</v>
      </c>
      <c r="U179" s="1" t="str">
        <f>IF(COUNTIF(po_master[PO Number],po_master[[#This Row],[PO Number]])&gt;1, "Duplicate Invoice", "OK")</f>
        <v>OK</v>
      </c>
    </row>
    <row r="180" spans="1:21" x14ac:dyDescent="0.25">
      <c r="A180" s="1" t="s">
        <v>160</v>
      </c>
      <c r="B180" s="1" t="s">
        <v>1465</v>
      </c>
      <c r="C180" s="2">
        <v>46057</v>
      </c>
      <c r="D180">
        <v>452</v>
      </c>
      <c r="E180">
        <v>18.61</v>
      </c>
      <c r="F180" s="1" t="s">
        <v>1456</v>
      </c>
      <c r="G180" s="2">
        <v>46075</v>
      </c>
      <c r="H180">
        <v>452</v>
      </c>
      <c r="I180" s="2">
        <v>46075</v>
      </c>
      <c r="J180" s="1" t="s">
        <v>843</v>
      </c>
      <c r="K180">
        <v>452</v>
      </c>
      <c r="L180">
        <v>20.76</v>
      </c>
      <c r="M180" s="2">
        <v>46082</v>
      </c>
      <c r="N180" t="str">
        <f>IF(po_master[[#This Row],[Approved By]]="", "Missing Approval", "OK")</f>
        <v>OK</v>
      </c>
      <c r="O180" t="str">
        <f>IF(ISBLANK(po_master[[#This Row],[GR Quantity]]), "No GR - Not received", "OK")</f>
        <v>OK</v>
      </c>
      <c r="P180" s="1" t="str">
        <f>IF(po_master[[#This Row],[Promised Delivey Date]]&lt;po_master[[#This Row],[Order Date]], "Invalid", "OK")</f>
        <v>OK</v>
      </c>
      <c r="Q180" s="1" t="str">
        <f>IF(ISBLANK(po_master[[#This Row],[Invoice Number]]), "No Invoice", "OK")</f>
        <v>OK</v>
      </c>
      <c r="R180" s="1" t="str">
        <f>IF(AND(NOT(ISBLANK(po_master[[#This Row],[GR Quantity]])), po_master[[#This Row],[GR Quantity]]&lt;&gt;po_master[[#This Row],[PO Quantity]]), "Qty Variance", "OK")</f>
        <v>OK</v>
      </c>
      <c r="S180" s="1" t="str">
        <f>IF(po_master[[#This Row],[Invoice Unit Price]]&gt;po_master[[#This Row],[PO Unit Price]]*1.01, "Price Variance", "OK")</f>
        <v>Price Variance</v>
      </c>
      <c r="T180" s="1" t="str">
        <f>IF(po_master[[#This Row],[Actual Delivery Date]]&gt;po_master[[#This Row],[Promised Delivey Date]], "Late Delivery", "OK")</f>
        <v>OK</v>
      </c>
      <c r="U180" s="1" t="str">
        <f>IF(COUNTIF(po_master[PO Number],po_master[[#This Row],[PO Number]])&gt;1, "Duplicate Invoice", "OK")</f>
        <v>Duplicate Invoice</v>
      </c>
    </row>
    <row r="181" spans="1:21" x14ac:dyDescent="0.25">
      <c r="A181" s="1" t="s">
        <v>160</v>
      </c>
      <c r="B181" s="1" t="s">
        <v>1465</v>
      </c>
      <c r="C181" s="2">
        <v>46057</v>
      </c>
      <c r="D181">
        <v>452</v>
      </c>
      <c r="E181">
        <v>18.61</v>
      </c>
      <c r="F181" s="1" t="s">
        <v>1456</v>
      </c>
      <c r="G181" s="2">
        <v>46075</v>
      </c>
      <c r="H181">
        <v>452</v>
      </c>
      <c r="I181" s="2">
        <v>46075</v>
      </c>
      <c r="J181" s="1" t="s">
        <v>844</v>
      </c>
      <c r="K181">
        <v>452</v>
      </c>
      <c r="L181">
        <v>20.76</v>
      </c>
      <c r="M181" s="2">
        <v>46087</v>
      </c>
      <c r="N181" t="str">
        <f>IF(po_master[[#This Row],[Approved By]]="", "Missing Approval", "OK")</f>
        <v>OK</v>
      </c>
      <c r="O181" t="str">
        <f>IF(ISBLANK(po_master[[#This Row],[GR Quantity]]), "No GR - Not received", "OK")</f>
        <v>OK</v>
      </c>
      <c r="P181" s="1" t="str">
        <f>IF(po_master[[#This Row],[Promised Delivey Date]]&lt;po_master[[#This Row],[Order Date]], "Invalid", "OK")</f>
        <v>OK</v>
      </c>
      <c r="Q181" s="1" t="str">
        <f>IF(ISBLANK(po_master[[#This Row],[Invoice Number]]), "No Invoice", "OK")</f>
        <v>OK</v>
      </c>
      <c r="R181" s="1" t="str">
        <f>IF(AND(NOT(ISBLANK(po_master[[#This Row],[GR Quantity]])), po_master[[#This Row],[GR Quantity]]&lt;&gt;po_master[[#This Row],[PO Quantity]]), "Qty Variance", "OK")</f>
        <v>OK</v>
      </c>
      <c r="S181" s="1" t="str">
        <f>IF(po_master[[#This Row],[Invoice Unit Price]]&gt;po_master[[#This Row],[PO Unit Price]]*1.01, "Price Variance", "OK")</f>
        <v>Price Variance</v>
      </c>
      <c r="T181" s="1" t="str">
        <f>IF(po_master[[#This Row],[Actual Delivery Date]]&gt;po_master[[#This Row],[Promised Delivey Date]], "Late Delivery", "OK")</f>
        <v>OK</v>
      </c>
      <c r="U181" s="1" t="str">
        <f>IF(COUNTIF(po_master[PO Number],po_master[[#This Row],[PO Number]])&gt;1, "Duplicate Invoice", "OK")</f>
        <v>Duplicate Invoice</v>
      </c>
    </row>
    <row r="182" spans="1:21" x14ac:dyDescent="0.25">
      <c r="A182" s="1" t="s">
        <v>161</v>
      </c>
      <c r="B182" s="1" t="s">
        <v>1479</v>
      </c>
      <c r="C182" s="2">
        <v>46152</v>
      </c>
      <c r="D182">
        <v>146</v>
      </c>
      <c r="E182">
        <v>165.01</v>
      </c>
      <c r="F182" s="1" t="s">
        <v>1474</v>
      </c>
      <c r="G182" s="2">
        <v>46166</v>
      </c>
      <c r="H182">
        <v>146</v>
      </c>
      <c r="I182" s="2">
        <v>46168</v>
      </c>
      <c r="J182" s="1" t="s">
        <v>845</v>
      </c>
      <c r="K182">
        <v>146</v>
      </c>
      <c r="L182">
        <v>165.01</v>
      </c>
      <c r="M182" s="2">
        <v>46171</v>
      </c>
      <c r="N182" t="str">
        <f>IF(po_master[[#This Row],[Approved By]]="", "Missing Approval", "OK")</f>
        <v>OK</v>
      </c>
      <c r="O182" t="str">
        <f>IF(ISBLANK(po_master[[#This Row],[GR Quantity]]), "No GR - Not received", "OK")</f>
        <v>OK</v>
      </c>
      <c r="P182" s="1" t="str">
        <f>IF(po_master[[#This Row],[Promised Delivey Date]]&lt;po_master[[#This Row],[Order Date]], "Invalid", "OK")</f>
        <v>OK</v>
      </c>
      <c r="Q182" s="1" t="str">
        <f>IF(ISBLANK(po_master[[#This Row],[Invoice Number]]), "No Invoice", "OK")</f>
        <v>OK</v>
      </c>
      <c r="R182" s="1" t="str">
        <f>IF(AND(NOT(ISBLANK(po_master[[#This Row],[GR Quantity]])), po_master[[#This Row],[GR Quantity]]&lt;&gt;po_master[[#This Row],[PO Quantity]]), "Qty Variance", "OK")</f>
        <v>OK</v>
      </c>
      <c r="S182" s="1" t="str">
        <f>IF(po_master[[#This Row],[Invoice Unit Price]]&gt;po_master[[#This Row],[PO Unit Price]]*1.01, "Price Variance", "OK")</f>
        <v>OK</v>
      </c>
      <c r="T182" s="1" t="str">
        <f>IF(po_master[[#This Row],[Actual Delivery Date]]&gt;po_master[[#This Row],[Promised Delivey Date]], "Late Delivery", "OK")</f>
        <v>Late Delivery</v>
      </c>
      <c r="U182" s="1" t="str">
        <f>IF(COUNTIF(po_master[PO Number],po_master[[#This Row],[PO Number]])&gt;1, "Duplicate Invoice", "OK")</f>
        <v>OK</v>
      </c>
    </row>
    <row r="183" spans="1:21" x14ac:dyDescent="0.25">
      <c r="A183" s="1" t="s">
        <v>162</v>
      </c>
      <c r="B183" s="1" t="s">
        <v>1443</v>
      </c>
      <c r="C183" s="2">
        <v>46171</v>
      </c>
      <c r="D183">
        <v>347</v>
      </c>
      <c r="E183">
        <v>100.48</v>
      </c>
      <c r="F183" s="1" t="s">
        <v>1485</v>
      </c>
      <c r="G183" s="2">
        <v>46190</v>
      </c>
      <c r="H183">
        <v>347</v>
      </c>
      <c r="I183" s="2">
        <v>46191</v>
      </c>
      <c r="J183" s="1" t="s">
        <v>846</v>
      </c>
      <c r="K183">
        <v>347</v>
      </c>
      <c r="L183">
        <v>100.48</v>
      </c>
      <c r="M183" s="2">
        <v>46199</v>
      </c>
      <c r="N183" t="str">
        <f>IF(po_master[[#This Row],[Approved By]]="", "Missing Approval", "OK")</f>
        <v>OK</v>
      </c>
      <c r="O183" t="str">
        <f>IF(ISBLANK(po_master[[#This Row],[GR Quantity]]), "No GR - Not received", "OK")</f>
        <v>OK</v>
      </c>
      <c r="P183" s="1" t="str">
        <f>IF(po_master[[#This Row],[Promised Delivey Date]]&lt;po_master[[#This Row],[Order Date]], "Invalid", "OK")</f>
        <v>OK</v>
      </c>
      <c r="Q183" s="1" t="str">
        <f>IF(ISBLANK(po_master[[#This Row],[Invoice Number]]), "No Invoice", "OK")</f>
        <v>OK</v>
      </c>
      <c r="R183" s="1" t="str">
        <f>IF(AND(NOT(ISBLANK(po_master[[#This Row],[GR Quantity]])), po_master[[#This Row],[GR Quantity]]&lt;&gt;po_master[[#This Row],[PO Quantity]]), "Qty Variance", "OK")</f>
        <v>OK</v>
      </c>
      <c r="S183" s="1" t="str">
        <f>IF(po_master[[#This Row],[Invoice Unit Price]]&gt;po_master[[#This Row],[PO Unit Price]]*1.01, "Price Variance", "OK")</f>
        <v>OK</v>
      </c>
      <c r="T183" s="1" t="str">
        <f>IF(po_master[[#This Row],[Actual Delivery Date]]&gt;po_master[[#This Row],[Promised Delivey Date]], "Late Delivery", "OK")</f>
        <v>Late Delivery</v>
      </c>
      <c r="U183" s="1" t="str">
        <f>IF(COUNTIF(po_master[PO Number],po_master[[#This Row],[PO Number]])&gt;1, "Duplicate Invoice", "OK")</f>
        <v>OK</v>
      </c>
    </row>
    <row r="184" spans="1:21" x14ac:dyDescent="0.25">
      <c r="A184" s="1" t="s">
        <v>163</v>
      </c>
      <c r="B184" s="1" t="s">
        <v>1493</v>
      </c>
      <c r="C184" s="2">
        <v>46121</v>
      </c>
      <c r="D184">
        <v>129</v>
      </c>
      <c r="E184">
        <v>171.92</v>
      </c>
      <c r="F184" s="1" t="s">
        <v>1507</v>
      </c>
      <c r="G184" s="2">
        <v>46127</v>
      </c>
      <c r="H184">
        <v>119</v>
      </c>
      <c r="I184" s="2">
        <v>46125</v>
      </c>
      <c r="J184" s="1" t="s">
        <v>851</v>
      </c>
      <c r="K184">
        <v>129</v>
      </c>
      <c r="L184">
        <v>205.3</v>
      </c>
      <c r="M184" s="2">
        <v>46130</v>
      </c>
      <c r="N184" t="str">
        <f>IF(po_master[[#This Row],[Approved By]]="", "Missing Approval", "OK")</f>
        <v>OK</v>
      </c>
      <c r="O184" t="str">
        <f>IF(ISBLANK(po_master[[#This Row],[GR Quantity]]), "No GR - Not received", "OK")</f>
        <v>OK</v>
      </c>
      <c r="P184" s="1" t="str">
        <f>IF(po_master[[#This Row],[Promised Delivey Date]]&lt;po_master[[#This Row],[Order Date]], "Invalid", "OK")</f>
        <v>OK</v>
      </c>
      <c r="Q184" s="1" t="str">
        <f>IF(ISBLANK(po_master[[#This Row],[Invoice Number]]), "No Invoice", "OK")</f>
        <v>OK</v>
      </c>
      <c r="R184" s="1" t="str">
        <f>IF(AND(NOT(ISBLANK(po_master[[#This Row],[GR Quantity]])), po_master[[#This Row],[GR Quantity]]&lt;&gt;po_master[[#This Row],[PO Quantity]]), "Qty Variance", "OK")</f>
        <v>Qty Variance</v>
      </c>
      <c r="S184" s="1" t="str">
        <f>IF(po_master[[#This Row],[Invoice Unit Price]]&gt;po_master[[#This Row],[PO Unit Price]]*1.01, "Price Variance", "OK")</f>
        <v>Price Variance</v>
      </c>
      <c r="T184" s="1" t="str">
        <f>IF(po_master[[#This Row],[Actual Delivery Date]]&gt;po_master[[#This Row],[Promised Delivey Date]], "Late Delivery", "OK")</f>
        <v>OK</v>
      </c>
      <c r="U184" s="1" t="str">
        <f>IF(COUNTIF(po_master[PO Number],po_master[[#This Row],[PO Number]])&gt;1, "Duplicate Invoice", "OK")</f>
        <v>Duplicate Invoice</v>
      </c>
    </row>
    <row r="185" spans="1:21" x14ac:dyDescent="0.25">
      <c r="A185" s="1" t="s">
        <v>163</v>
      </c>
      <c r="B185" s="1" t="s">
        <v>1493</v>
      </c>
      <c r="C185" s="2">
        <v>46121</v>
      </c>
      <c r="D185">
        <v>129</v>
      </c>
      <c r="E185">
        <v>171.92</v>
      </c>
      <c r="F185" s="1" t="s">
        <v>1507</v>
      </c>
      <c r="G185" s="2">
        <v>46127</v>
      </c>
      <c r="H185">
        <v>119</v>
      </c>
      <c r="I185" s="2">
        <v>46125</v>
      </c>
      <c r="J185" s="1" t="s">
        <v>852</v>
      </c>
      <c r="K185">
        <v>129</v>
      </c>
      <c r="L185">
        <v>205.3</v>
      </c>
      <c r="M185" s="2">
        <v>46131</v>
      </c>
      <c r="N185" t="str">
        <f>IF(po_master[[#This Row],[Approved By]]="", "Missing Approval", "OK")</f>
        <v>OK</v>
      </c>
      <c r="O185" t="str">
        <f>IF(ISBLANK(po_master[[#This Row],[GR Quantity]]), "No GR - Not received", "OK")</f>
        <v>OK</v>
      </c>
      <c r="P185" s="1" t="str">
        <f>IF(po_master[[#This Row],[Promised Delivey Date]]&lt;po_master[[#This Row],[Order Date]], "Invalid", "OK")</f>
        <v>OK</v>
      </c>
      <c r="Q185" s="1" t="str">
        <f>IF(ISBLANK(po_master[[#This Row],[Invoice Number]]), "No Invoice", "OK")</f>
        <v>OK</v>
      </c>
      <c r="R185" s="1" t="str">
        <f>IF(AND(NOT(ISBLANK(po_master[[#This Row],[GR Quantity]])), po_master[[#This Row],[GR Quantity]]&lt;&gt;po_master[[#This Row],[PO Quantity]]), "Qty Variance", "OK")</f>
        <v>Qty Variance</v>
      </c>
      <c r="S185" s="1" t="str">
        <f>IF(po_master[[#This Row],[Invoice Unit Price]]&gt;po_master[[#This Row],[PO Unit Price]]*1.01, "Price Variance", "OK")</f>
        <v>Price Variance</v>
      </c>
      <c r="T185" s="1" t="str">
        <f>IF(po_master[[#This Row],[Actual Delivery Date]]&gt;po_master[[#This Row],[Promised Delivey Date]], "Late Delivery", "OK")</f>
        <v>OK</v>
      </c>
      <c r="U185" s="1" t="str">
        <f>IF(COUNTIF(po_master[PO Number],po_master[[#This Row],[PO Number]])&gt;1, "Duplicate Invoice", "OK")</f>
        <v>Duplicate Invoice</v>
      </c>
    </row>
    <row r="186" spans="1:21" x14ac:dyDescent="0.25">
      <c r="A186" s="1" t="s">
        <v>164</v>
      </c>
      <c r="B186" s="1" t="s">
        <v>1509</v>
      </c>
      <c r="C186" s="2">
        <v>46144</v>
      </c>
      <c r="D186">
        <v>371</v>
      </c>
      <c r="E186">
        <v>183.12</v>
      </c>
      <c r="F186" s="1" t="s">
        <v>1453</v>
      </c>
      <c r="G186" s="2">
        <v>46161</v>
      </c>
      <c r="H186">
        <v>371</v>
      </c>
      <c r="I186" s="2">
        <v>46159</v>
      </c>
      <c r="J186" s="1" t="s">
        <v>853</v>
      </c>
      <c r="K186">
        <v>371</v>
      </c>
      <c r="L186">
        <v>183.12</v>
      </c>
      <c r="M186" s="2">
        <v>46163</v>
      </c>
      <c r="N186" t="str">
        <f>IF(po_master[[#This Row],[Approved By]]="", "Missing Approval", "OK")</f>
        <v>OK</v>
      </c>
      <c r="O186" t="str">
        <f>IF(ISBLANK(po_master[[#This Row],[GR Quantity]]), "No GR - Not received", "OK")</f>
        <v>OK</v>
      </c>
      <c r="P186" s="1" t="str">
        <f>IF(po_master[[#This Row],[Promised Delivey Date]]&lt;po_master[[#This Row],[Order Date]], "Invalid", "OK")</f>
        <v>OK</v>
      </c>
      <c r="Q186" s="1" t="str">
        <f>IF(ISBLANK(po_master[[#This Row],[Invoice Number]]), "No Invoice", "OK")</f>
        <v>OK</v>
      </c>
      <c r="R186" s="1" t="str">
        <f>IF(AND(NOT(ISBLANK(po_master[[#This Row],[GR Quantity]])), po_master[[#This Row],[GR Quantity]]&lt;&gt;po_master[[#This Row],[PO Quantity]]), "Qty Variance", "OK")</f>
        <v>OK</v>
      </c>
      <c r="S186" s="1" t="str">
        <f>IF(po_master[[#This Row],[Invoice Unit Price]]&gt;po_master[[#This Row],[PO Unit Price]]*1.01, "Price Variance", "OK")</f>
        <v>OK</v>
      </c>
      <c r="T186" s="1" t="str">
        <f>IF(po_master[[#This Row],[Actual Delivery Date]]&gt;po_master[[#This Row],[Promised Delivey Date]], "Late Delivery", "OK")</f>
        <v>OK</v>
      </c>
      <c r="U186" s="1" t="str">
        <f>IF(COUNTIF(po_master[PO Number],po_master[[#This Row],[PO Number]])&gt;1, "Duplicate Invoice", "OK")</f>
        <v>OK</v>
      </c>
    </row>
    <row r="187" spans="1:21" x14ac:dyDescent="0.25">
      <c r="A187" s="1" t="s">
        <v>165</v>
      </c>
      <c r="B187" s="1" t="s">
        <v>1484</v>
      </c>
      <c r="C187" s="2">
        <v>46061</v>
      </c>
      <c r="D187">
        <v>263</v>
      </c>
      <c r="E187">
        <v>193.14</v>
      </c>
      <c r="F187" s="1" t="s">
        <v>1485</v>
      </c>
      <c r="G187" s="2">
        <v>46082</v>
      </c>
      <c r="H187">
        <v>263</v>
      </c>
      <c r="I187" s="2">
        <v>46084</v>
      </c>
      <c r="J187" s="1" t="s">
        <v>854</v>
      </c>
      <c r="K187">
        <v>263</v>
      </c>
      <c r="L187">
        <v>193.14</v>
      </c>
      <c r="M187" s="2">
        <v>46088</v>
      </c>
      <c r="N187" t="str">
        <f>IF(po_master[[#This Row],[Approved By]]="", "Missing Approval", "OK")</f>
        <v>OK</v>
      </c>
      <c r="O187" t="str">
        <f>IF(ISBLANK(po_master[[#This Row],[GR Quantity]]), "No GR - Not received", "OK")</f>
        <v>OK</v>
      </c>
      <c r="P187" s="1" t="str">
        <f>IF(po_master[[#This Row],[Promised Delivey Date]]&lt;po_master[[#This Row],[Order Date]], "Invalid", "OK")</f>
        <v>OK</v>
      </c>
      <c r="Q187" s="1" t="str">
        <f>IF(ISBLANK(po_master[[#This Row],[Invoice Number]]), "No Invoice", "OK")</f>
        <v>OK</v>
      </c>
      <c r="R187" s="1" t="str">
        <f>IF(AND(NOT(ISBLANK(po_master[[#This Row],[GR Quantity]])), po_master[[#This Row],[GR Quantity]]&lt;&gt;po_master[[#This Row],[PO Quantity]]), "Qty Variance", "OK")</f>
        <v>OK</v>
      </c>
      <c r="S187" s="1" t="str">
        <f>IF(po_master[[#This Row],[Invoice Unit Price]]&gt;po_master[[#This Row],[PO Unit Price]]*1.01, "Price Variance", "OK")</f>
        <v>OK</v>
      </c>
      <c r="T187" s="1" t="str">
        <f>IF(po_master[[#This Row],[Actual Delivery Date]]&gt;po_master[[#This Row],[Promised Delivey Date]], "Late Delivery", "OK")</f>
        <v>Late Delivery</v>
      </c>
      <c r="U187" s="1" t="str">
        <f>IF(COUNTIF(po_master[PO Number],po_master[[#This Row],[PO Number]])&gt;1, "Duplicate Invoice", "OK")</f>
        <v>OK</v>
      </c>
    </row>
    <row r="188" spans="1:21" x14ac:dyDescent="0.25">
      <c r="A188" s="1" t="s">
        <v>166</v>
      </c>
      <c r="B188" s="1" t="s">
        <v>1443</v>
      </c>
      <c r="C188" s="2">
        <v>46107</v>
      </c>
      <c r="D188">
        <v>455</v>
      </c>
      <c r="E188">
        <v>24.57</v>
      </c>
      <c r="F188" s="1" t="s">
        <v>1469</v>
      </c>
      <c r="G188" s="2">
        <v>46115</v>
      </c>
      <c r="H188">
        <v>455</v>
      </c>
      <c r="I188" s="2">
        <v>46131</v>
      </c>
      <c r="J188" s="1" t="s">
        <v>855</v>
      </c>
      <c r="K188">
        <v>455</v>
      </c>
      <c r="L188">
        <v>24.57</v>
      </c>
      <c r="M188" s="2">
        <v>46117</v>
      </c>
      <c r="N188" t="str">
        <f>IF(po_master[[#This Row],[Approved By]]="", "Missing Approval", "OK")</f>
        <v>OK</v>
      </c>
      <c r="O188" t="str">
        <f>IF(ISBLANK(po_master[[#This Row],[GR Quantity]]), "No GR - Not received", "OK")</f>
        <v>OK</v>
      </c>
      <c r="P188" s="1" t="str">
        <f>IF(po_master[[#This Row],[Promised Delivey Date]]&lt;po_master[[#This Row],[Order Date]], "Invalid", "OK")</f>
        <v>OK</v>
      </c>
      <c r="Q188" s="1" t="str">
        <f>IF(ISBLANK(po_master[[#This Row],[Invoice Number]]), "No Invoice", "OK")</f>
        <v>OK</v>
      </c>
      <c r="R188" s="1" t="str">
        <f>IF(AND(NOT(ISBLANK(po_master[[#This Row],[GR Quantity]])), po_master[[#This Row],[GR Quantity]]&lt;&gt;po_master[[#This Row],[PO Quantity]]), "Qty Variance", "OK")</f>
        <v>OK</v>
      </c>
      <c r="S188" s="1" t="str">
        <f>IF(po_master[[#This Row],[Invoice Unit Price]]&gt;po_master[[#This Row],[PO Unit Price]]*1.01, "Price Variance", "OK")</f>
        <v>OK</v>
      </c>
      <c r="T188" s="1" t="str">
        <f>IF(po_master[[#This Row],[Actual Delivery Date]]&gt;po_master[[#This Row],[Promised Delivey Date]], "Late Delivery", "OK")</f>
        <v>Late Delivery</v>
      </c>
      <c r="U188" s="1" t="str">
        <f>IF(COUNTIF(po_master[PO Number],po_master[[#This Row],[PO Number]])&gt;1, "Duplicate Invoice", "OK")</f>
        <v>OK</v>
      </c>
    </row>
    <row r="189" spans="1:21" x14ac:dyDescent="0.25">
      <c r="A189" s="1" t="s">
        <v>167</v>
      </c>
      <c r="B189" s="1" t="s">
        <v>1491</v>
      </c>
      <c r="C189" s="2">
        <v>46139</v>
      </c>
      <c r="D189">
        <v>17</v>
      </c>
      <c r="E189">
        <v>145.88</v>
      </c>
      <c r="F189" s="1" t="s">
        <v>1507</v>
      </c>
      <c r="G189" s="2">
        <v>46148</v>
      </c>
      <c r="H189">
        <v>17</v>
      </c>
      <c r="I189" s="2">
        <v>46150</v>
      </c>
      <c r="J189" s="1" t="s">
        <v>856</v>
      </c>
      <c r="K189">
        <v>17</v>
      </c>
      <c r="L189">
        <v>145.88</v>
      </c>
      <c r="M189" s="2">
        <v>46158</v>
      </c>
      <c r="N189" t="str">
        <f>IF(po_master[[#This Row],[Approved By]]="", "Missing Approval", "OK")</f>
        <v>OK</v>
      </c>
      <c r="O189" t="str">
        <f>IF(ISBLANK(po_master[[#This Row],[GR Quantity]]), "No GR - Not received", "OK")</f>
        <v>OK</v>
      </c>
      <c r="P189" s="1" t="str">
        <f>IF(po_master[[#This Row],[Promised Delivey Date]]&lt;po_master[[#This Row],[Order Date]], "Invalid", "OK")</f>
        <v>OK</v>
      </c>
      <c r="Q189" s="1" t="str">
        <f>IF(ISBLANK(po_master[[#This Row],[Invoice Number]]), "No Invoice", "OK")</f>
        <v>OK</v>
      </c>
      <c r="R189" s="1" t="str">
        <f>IF(AND(NOT(ISBLANK(po_master[[#This Row],[GR Quantity]])), po_master[[#This Row],[GR Quantity]]&lt;&gt;po_master[[#This Row],[PO Quantity]]), "Qty Variance", "OK")</f>
        <v>OK</v>
      </c>
      <c r="S189" s="1" t="str">
        <f>IF(po_master[[#This Row],[Invoice Unit Price]]&gt;po_master[[#This Row],[PO Unit Price]]*1.01, "Price Variance", "OK")</f>
        <v>OK</v>
      </c>
      <c r="T189" s="1" t="str">
        <f>IF(po_master[[#This Row],[Actual Delivery Date]]&gt;po_master[[#This Row],[Promised Delivey Date]], "Late Delivery", "OK")</f>
        <v>Late Delivery</v>
      </c>
      <c r="U189" s="1" t="str">
        <f>IF(COUNTIF(po_master[PO Number],po_master[[#This Row],[PO Number]])&gt;1, "Duplicate Invoice", "OK")</f>
        <v>OK</v>
      </c>
    </row>
    <row r="190" spans="1:21" x14ac:dyDescent="0.25">
      <c r="A190" s="1" t="s">
        <v>168</v>
      </c>
      <c r="B190" s="1" t="s">
        <v>1492</v>
      </c>
      <c r="C190" s="2">
        <v>46143</v>
      </c>
      <c r="D190">
        <v>410</v>
      </c>
      <c r="E190">
        <v>193.99</v>
      </c>
      <c r="F190" s="1" t="s">
        <v>1472</v>
      </c>
      <c r="G190" s="2">
        <v>46160</v>
      </c>
      <c r="H190">
        <v>410</v>
      </c>
      <c r="I190" s="2">
        <v>46162</v>
      </c>
      <c r="J190" s="1" t="s">
        <v>857</v>
      </c>
      <c r="K190">
        <v>410</v>
      </c>
      <c r="L190">
        <v>193.99</v>
      </c>
      <c r="M190" s="2">
        <v>46169</v>
      </c>
      <c r="N190" t="str">
        <f>IF(po_master[[#This Row],[Approved By]]="", "Missing Approval", "OK")</f>
        <v>OK</v>
      </c>
      <c r="O190" t="str">
        <f>IF(ISBLANK(po_master[[#This Row],[GR Quantity]]), "No GR - Not received", "OK")</f>
        <v>OK</v>
      </c>
      <c r="P190" s="1" t="str">
        <f>IF(po_master[[#This Row],[Promised Delivey Date]]&lt;po_master[[#This Row],[Order Date]], "Invalid", "OK")</f>
        <v>OK</v>
      </c>
      <c r="Q190" s="1" t="str">
        <f>IF(ISBLANK(po_master[[#This Row],[Invoice Number]]), "No Invoice", "OK")</f>
        <v>OK</v>
      </c>
      <c r="R190" s="1" t="str">
        <f>IF(AND(NOT(ISBLANK(po_master[[#This Row],[GR Quantity]])), po_master[[#This Row],[GR Quantity]]&lt;&gt;po_master[[#This Row],[PO Quantity]]), "Qty Variance", "OK")</f>
        <v>OK</v>
      </c>
      <c r="S190" s="1" t="str">
        <f>IF(po_master[[#This Row],[Invoice Unit Price]]&gt;po_master[[#This Row],[PO Unit Price]]*1.01, "Price Variance", "OK")</f>
        <v>OK</v>
      </c>
      <c r="T190" s="1" t="str">
        <f>IF(po_master[[#This Row],[Actual Delivery Date]]&gt;po_master[[#This Row],[Promised Delivey Date]], "Late Delivery", "OK")</f>
        <v>Late Delivery</v>
      </c>
      <c r="U190" s="1" t="str">
        <f>IF(COUNTIF(po_master[PO Number],po_master[[#This Row],[PO Number]])&gt;1, "Duplicate Invoice", "OK")</f>
        <v>OK</v>
      </c>
    </row>
    <row r="191" spans="1:21" x14ac:dyDescent="0.25">
      <c r="A191" s="1" t="s">
        <v>169</v>
      </c>
      <c r="B191" s="1" t="s">
        <v>1508</v>
      </c>
      <c r="C191" s="2">
        <v>46043</v>
      </c>
      <c r="D191">
        <v>446</v>
      </c>
      <c r="E191">
        <v>69.069999999999993</v>
      </c>
      <c r="F191" s="1" t="s">
        <v>1467</v>
      </c>
      <c r="G191" s="2">
        <v>46060</v>
      </c>
      <c r="H191">
        <v>446</v>
      </c>
      <c r="I191" s="2">
        <v>46060</v>
      </c>
      <c r="J191" s="1" t="s">
        <v>858</v>
      </c>
      <c r="K191">
        <v>446</v>
      </c>
      <c r="L191">
        <v>69.069999999999993</v>
      </c>
      <c r="M191" s="2">
        <v>46061</v>
      </c>
      <c r="N191" t="str">
        <f>IF(po_master[[#This Row],[Approved By]]="", "Missing Approval", "OK")</f>
        <v>OK</v>
      </c>
      <c r="O191" t="str">
        <f>IF(ISBLANK(po_master[[#This Row],[GR Quantity]]), "No GR - Not received", "OK")</f>
        <v>OK</v>
      </c>
      <c r="P191" s="1" t="str">
        <f>IF(po_master[[#This Row],[Promised Delivey Date]]&lt;po_master[[#This Row],[Order Date]], "Invalid", "OK")</f>
        <v>OK</v>
      </c>
      <c r="Q191" s="1" t="str">
        <f>IF(ISBLANK(po_master[[#This Row],[Invoice Number]]), "No Invoice", "OK")</f>
        <v>OK</v>
      </c>
      <c r="R191" s="1" t="str">
        <f>IF(AND(NOT(ISBLANK(po_master[[#This Row],[GR Quantity]])), po_master[[#This Row],[GR Quantity]]&lt;&gt;po_master[[#This Row],[PO Quantity]]), "Qty Variance", "OK")</f>
        <v>OK</v>
      </c>
      <c r="S191" s="1" t="str">
        <f>IF(po_master[[#This Row],[Invoice Unit Price]]&gt;po_master[[#This Row],[PO Unit Price]]*1.01, "Price Variance", "OK")</f>
        <v>OK</v>
      </c>
      <c r="T191" s="1" t="str">
        <f>IF(po_master[[#This Row],[Actual Delivery Date]]&gt;po_master[[#This Row],[Promised Delivey Date]], "Late Delivery", "OK")</f>
        <v>OK</v>
      </c>
      <c r="U191" s="1" t="str">
        <f>IF(COUNTIF(po_master[PO Number],po_master[[#This Row],[PO Number]])&gt;1, "Duplicate Invoice", "OK")</f>
        <v>OK</v>
      </c>
    </row>
    <row r="192" spans="1:21" x14ac:dyDescent="0.25">
      <c r="A192" s="1" t="s">
        <v>170</v>
      </c>
      <c r="B192" s="1" t="s">
        <v>1509</v>
      </c>
      <c r="C192" s="2">
        <v>46147</v>
      </c>
      <c r="D192">
        <v>456</v>
      </c>
      <c r="E192">
        <v>110.5</v>
      </c>
      <c r="F192" s="1" t="s">
        <v>1494</v>
      </c>
      <c r="G192" s="2">
        <v>46154</v>
      </c>
      <c r="H192">
        <v>456</v>
      </c>
      <c r="I192" s="2">
        <v>46156</v>
      </c>
      <c r="J192" s="1" t="s">
        <v>859</v>
      </c>
      <c r="K192">
        <v>456</v>
      </c>
      <c r="L192">
        <v>110.5</v>
      </c>
      <c r="M192" s="2">
        <v>46156</v>
      </c>
      <c r="N192" t="str">
        <f>IF(po_master[[#This Row],[Approved By]]="", "Missing Approval", "OK")</f>
        <v>OK</v>
      </c>
      <c r="O192" t="str">
        <f>IF(ISBLANK(po_master[[#This Row],[GR Quantity]]), "No GR - Not received", "OK")</f>
        <v>OK</v>
      </c>
      <c r="P192" s="1" t="str">
        <f>IF(po_master[[#This Row],[Promised Delivey Date]]&lt;po_master[[#This Row],[Order Date]], "Invalid", "OK")</f>
        <v>OK</v>
      </c>
      <c r="Q192" s="1" t="str">
        <f>IF(ISBLANK(po_master[[#This Row],[Invoice Number]]), "No Invoice", "OK")</f>
        <v>OK</v>
      </c>
      <c r="R192" s="1" t="str">
        <f>IF(AND(NOT(ISBLANK(po_master[[#This Row],[GR Quantity]])), po_master[[#This Row],[GR Quantity]]&lt;&gt;po_master[[#This Row],[PO Quantity]]), "Qty Variance", "OK")</f>
        <v>OK</v>
      </c>
      <c r="S192" s="1" t="str">
        <f>IF(po_master[[#This Row],[Invoice Unit Price]]&gt;po_master[[#This Row],[PO Unit Price]]*1.01, "Price Variance", "OK")</f>
        <v>OK</v>
      </c>
      <c r="T192" s="1" t="str">
        <f>IF(po_master[[#This Row],[Actual Delivery Date]]&gt;po_master[[#This Row],[Promised Delivey Date]], "Late Delivery", "OK")</f>
        <v>Late Delivery</v>
      </c>
      <c r="U192" s="1" t="str">
        <f>IF(COUNTIF(po_master[PO Number],po_master[[#This Row],[PO Number]])&gt;1, "Duplicate Invoice", "OK")</f>
        <v>OK</v>
      </c>
    </row>
    <row r="193" spans="1:21" x14ac:dyDescent="0.25">
      <c r="A193" s="1" t="s">
        <v>171</v>
      </c>
      <c r="B193" s="1" t="s">
        <v>1482</v>
      </c>
      <c r="C193" s="2">
        <v>46096</v>
      </c>
      <c r="D193">
        <v>126</v>
      </c>
      <c r="E193">
        <v>150.62</v>
      </c>
      <c r="F193" s="1" t="s">
        <v>1507</v>
      </c>
      <c r="G193" s="2">
        <v>46104</v>
      </c>
      <c r="H193">
        <v>126</v>
      </c>
      <c r="I193" s="2">
        <v>46102</v>
      </c>
      <c r="J193" s="1" t="s">
        <v>860</v>
      </c>
      <c r="K193">
        <v>126</v>
      </c>
      <c r="L193">
        <v>150.62</v>
      </c>
      <c r="M193" s="2">
        <v>46108</v>
      </c>
      <c r="N193" t="str">
        <f>IF(po_master[[#This Row],[Approved By]]="", "Missing Approval", "OK")</f>
        <v>OK</v>
      </c>
      <c r="O193" t="str">
        <f>IF(ISBLANK(po_master[[#This Row],[GR Quantity]]), "No GR - Not received", "OK")</f>
        <v>OK</v>
      </c>
      <c r="P193" s="1" t="str">
        <f>IF(po_master[[#This Row],[Promised Delivey Date]]&lt;po_master[[#This Row],[Order Date]], "Invalid", "OK")</f>
        <v>OK</v>
      </c>
      <c r="Q193" s="1" t="str">
        <f>IF(ISBLANK(po_master[[#This Row],[Invoice Number]]), "No Invoice", "OK")</f>
        <v>OK</v>
      </c>
      <c r="R193" s="1" t="str">
        <f>IF(AND(NOT(ISBLANK(po_master[[#This Row],[GR Quantity]])), po_master[[#This Row],[GR Quantity]]&lt;&gt;po_master[[#This Row],[PO Quantity]]), "Qty Variance", "OK")</f>
        <v>OK</v>
      </c>
      <c r="S193" s="1" t="str">
        <f>IF(po_master[[#This Row],[Invoice Unit Price]]&gt;po_master[[#This Row],[PO Unit Price]]*1.01, "Price Variance", "OK")</f>
        <v>OK</v>
      </c>
      <c r="T193" s="1" t="str">
        <f>IF(po_master[[#This Row],[Actual Delivery Date]]&gt;po_master[[#This Row],[Promised Delivey Date]], "Late Delivery", "OK")</f>
        <v>OK</v>
      </c>
      <c r="U193" s="1" t="str">
        <f>IF(COUNTIF(po_master[PO Number],po_master[[#This Row],[PO Number]])&gt;1, "Duplicate Invoice", "OK")</f>
        <v>OK</v>
      </c>
    </row>
    <row r="194" spans="1:21" x14ac:dyDescent="0.25">
      <c r="A194" s="1" t="s">
        <v>847</v>
      </c>
      <c r="B194" s="1" t="s">
        <v>1471</v>
      </c>
      <c r="C194" s="2">
        <v>46146</v>
      </c>
      <c r="D194">
        <v>186</v>
      </c>
      <c r="E194">
        <v>69.83</v>
      </c>
      <c r="F194" s="1" t="s">
        <v>1456</v>
      </c>
      <c r="G194" s="2">
        <v>46163</v>
      </c>
      <c r="I194" s="2"/>
      <c r="J194" s="1" t="s">
        <v>848</v>
      </c>
      <c r="K194">
        <v>186</v>
      </c>
      <c r="L194">
        <v>69.83</v>
      </c>
      <c r="M194" s="2">
        <v>46168</v>
      </c>
      <c r="N194" t="str">
        <f>IF(po_master[[#This Row],[Approved By]]="", "Missing Approval", "OK")</f>
        <v>OK</v>
      </c>
      <c r="O194" t="str">
        <f>IF(ISBLANK(po_master[[#This Row],[GR Quantity]]), "No GR - Not received", "OK")</f>
        <v>No GR - Not received</v>
      </c>
      <c r="P194" s="1" t="str">
        <f>IF(po_master[[#This Row],[Promised Delivey Date]]&lt;po_master[[#This Row],[Order Date]], "Invalid", "OK")</f>
        <v>OK</v>
      </c>
      <c r="Q194" s="1" t="str">
        <f>IF(ISBLANK(po_master[[#This Row],[Invoice Number]]), "No Invoice", "OK")</f>
        <v>OK</v>
      </c>
      <c r="R194" s="1" t="str">
        <f>IF(AND(NOT(ISBLANK(po_master[[#This Row],[GR Quantity]])), po_master[[#This Row],[GR Quantity]]&lt;&gt;po_master[[#This Row],[PO Quantity]]), "Qty Variance", "OK")</f>
        <v>OK</v>
      </c>
      <c r="S194" s="1" t="str">
        <f>IF(po_master[[#This Row],[Invoice Unit Price]]&gt;po_master[[#This Row],[PO Unit Price]]*1.01, "Price Variance", "OK")</f>
        <v>OK</v>
      </c>
      <c r="T194" s="1" t="str">
        <f>IF(po_master[[#This Row],[Actual Delivery Date]]&gt;po_master[[#This Row],[Promised Delivey Date]], "Late Delivery", "OK")</f>
        <v>OK</v>
      </c>
      <c r="U194" s="1" t="str">
        <f>IF(COUNTIF(po_master[PO Number],po_master[[#This Row],[PO Number]])&gt;1, "Duplicate Invoice", "OK")</f>
        <v>OK</v>
      </c>
    </row>
    <row r="195" spans="1:21" x14ac:dyDescent="0.25">
      <c r="A195" s="1" t="s">
        <v>172</v>
      </c>
      <c r="B195" s="1" t="s">
        <v>1439</v>
      </c>
      <c r="C195" s="2">
        <v>46048</v>
      </c>
      <c r="D195">
        <v>237</v>
      </c>
      <c r="E195">
        <v>37.44</v>
      </c>
      <c r="F195" s="1" t="s">
        <v>1474</v>
      </c>
      <c r="G195" s="2">
        <v>46053</v>
      </c>
      <c r="H195">
        <v>226</v>
      </c>
      <c r="I195" s="2">
        <v>46053</v>
      </c>
      <c r="J195" s="1" t="s">
        <v>861</v>
      </c>
      <c r="K195">
        <v>237</v>
      </c>
      <c r="L195">
        <v>42.42</v>
      </c>
      <c r="M195" s="2">
        <v>46063</v>
      </c>
      <c r="N195" t="str">
        <f>IF(po_master[[#This Row],[Approved By]]="", "Missing Approval", "OK")</f>
        <v>OK</v>
      </c>
      <c r="O195" t="str">
        <f>IF(ISBLANK(po_master[[#This Row],[GR Quantity]]), "No GR - Not received", "OK")</f>
        <v>OK</v>
      </c>
      <c r="P195" s="1" t="str">
        <f>IF(po_master[[#This Row],[Promised Delivey Date]]&lt;po_master[[#This Row],[Order Date]], "Invalid", "OK")</f>
        <v>OK</v>
      </c>
      <c r="Q195" s="1" t="str">
        <f>IF(ISBLANK(po_master[[#This Row],[Invoice Number]]), "No Invoice", "OK")</f>
        <v>OK</v>
      </c>
      <c r="R195" s="1" t="str">
        <f>IF(AND(NOT(ISBLANK(po_master[[#This Row],[GR Quantity]])), po_master[[#This Row],[GR Quantity]]&lt;&gt;po_master[[#This Row],[PO Quantity]]), "Qty Variance", "OK")</f>
        <v>Qty Variance</v>
      </c>
      <c r="S195" s="1" t="str">
        <f>IF(po_master[[#This Row],[Invoice Unit Price]]&gt;po_master[[#This Row],[PO Unit Price]]*1.01, "Price Variance", "OK")</f>
        <v>Price Variance</v>
      </c>
      <c r="T195" s="1" t="str">
        <f>IF(po_master[[#This Row],[Actual Delivery Date]]&gt;po_master[[#This Row],[Promised Delivey Date]], "Late Delivery", "OK")</f>
        <v>OK</v>
      </c>
      <c r="U195" s="1" t="str">
        <f>IF(COUNTIF(po_master[PO Number],po_master[[#This Row],[PO Number]])&gt;1, "Duplicate Invoice", "OK")</f>
        <v>OK</v>
      </c>
    </row>
    <row r="196" spans="1:21" x14ac:dyDescent="0.25">
      <c r="A196" s="1" t="s">
        <v>849</v>
      </c>
      <c r="B196" s="1" t="s">
        <v>1489</v>
      </c>
      <c r="C196" s="2">
        <v>46105</v>
      </c>
      <c r="D196">
        <v>455</v>
      </c>
      <c r="E196">
        <v>41.79</v>
      </c>
      <c r="F196" s="1" t="s">
        <v>1499</v>
      </c>
      <c r="G196" s="2">
        <v>46117</v>
      </c>
      <c r="I196" s="2"/>
      <c r="J196" s="1" t="s">
        <v>850</v>
      </c>
      <c r="K196">
        <v>455</v>
      </c>
      <c r="L196">
        <v>41.79</v>
      </c>
      <c r="M196" s="2">
        <v>46124</v>
      </c>
      <c r="N196" t="str">
        <f>IF(po_master[[#This Row],[Approved By]]="", "Missing Approval", "OK")</f>
        <v>OK</v>
      </c>
      <c r="O196" t="str">
        <f>IF(ISBLANK(po_master[[#This Row],[GR Quantity]]), "No GR - Not received", "OK")</f>
        <v>No GR - Not received</v>
      </c>
      <c r="P196" s="1" t="str">
        <f>IF(po_master[[#This Row],[Promised Delivey Date]]&lt;po_master[[#This Row],[Order Date]], "Invalid", "OK")</f>
        <v>OK</v>
      </c>
      <c r="Q196" s="1" t="str">
        <f>IF(ISBLANK(po_master[[#This Row],[Invoice Number]]), "No Invoice", "OK")</f>
        <v>OK</v>
      </c>
      <c r="R196" s="1" t="str">
        <f>IF(AND(NOT(ISBLANK(po_master[[#This Row],[GR Quantity]])), po_master[[#This Row],[GR Quantity]]&lt;&gt;po_master[[#This Row],[PO Quantity]]), "Qty Variance", "OK")</f>
        <v>OK</v>
      </c>
      <c r="S196" s="1" t="str">
        <f>IF(po_master[[#This Row],[Invoice Unit Price]]&gt;po_master[[#This Row],[PO Unit Price]]*1.01, "Price Variance", "OK")</f>
        <v>OK</v>
      </c>
      <c r="T196" s="1" t="str">
        <f>IF(po_master[[#This Row],[Actual Delivery Date]]&gt;po_master[[#This Row],[Promised Delivey Date]], "Late Delivery", "OK")</f>
        <v>OK</v>
      </c>
      <c r="U196" s="1" t="str">
        <f>IF(COUNTIF(po_master[PO Number],po_master[[#This Row],[PO Number]])&gt;1, "Duplicate Invoice", "OK")</f>
        <v>OK</v>
      </c>
    </row>
    <row r="197" spans="1:21" x14ac:dyDescent="0.25">
      <c r="A197" s="1" t="s">
        <v>173</v>
      </c>
      <c r="B197" s="1" t="s">
        <v>1452</v>
      </c>
      <c r="C197" s="2">
        <v>46106</v>
      </c>
      <c r="D197">
        <v>417</v>
      </c>
      <c r="E197">
        <v>15.94</v>
      </c>
      <c r="F197" s="1" t="s">
        <v>1451</v>
      </c>
      <c r="G197" s="2">
        <v>46122</v>
      </c>
      <c r="H197">
        <v>417</v>
      </c>
      <c r="I197" s="2">
        <v>46120</v>
      </c>
      <c r="J197" s="1" t="s">
        <v>862</v>
      </c>
      <c r="K197">
        <v>417</v>
      </c>
      <c r="L197">
        <v>15.94</v>
      </c>
      <c r="M197" s="2">
        <v>46131</v>
      </c>
      <c r="N197" t="str">
        <f>IF(po_master[[#This Row],[Approved By]]="", "Missing Approval", "OK")</f>
        <v>OK</v>
      </c>
      <c r="O197" t="str">
        <f>IF(ISBLANK(po_master[[#This Row],[GR Quantity]]), "No GR - Not received", "OK")</f>
        <v>OK</v>
      </c>
      <c r="P197" s="1" t="str">
        <f>IF(po_master[[#This Row],[Promised Delivey Date]]&lt;po_master[[#This Row],[Order Date]], "Invalid", "OK")</f>
        <v>OK</v>
      </c>
      <c r="Q197" s="1" t="str">
        <f>IF(ISBLANK(po_master[[#This Row],[Invoice Number]]), "No Invoice", "OK")</f>
        <v>OK</v>
      </c>
      <c r="R197" s="1" t="str">
        <f>IF(AND(NOT(ISBLANK(po_master[[#This Row],[GR Quantity]])), po_master[[#This Row],[GR Quantity]]&lt;&gt;po_master[[#This Row],[PO Quantity]]), "Qty Variance", "OK")</f>
        <v>OK</v>
      </c>
      <c r="S197" s="1" t="str">
        <f>IF(po_master[[#This Row],[Invoice Unit Price]]&gt;po_master[[#This Row],[PO Unit Price]]*1.01, "Price Variance", "OK")</f>
        <v>OK</v>
      </c>
      <c r="T197" s="1" t="str">
        <f>IF(po_master[[#This Row],[Actual Delivery Date]]&gt;po_master[[#This Row],[Promised Delivey Date]], "Late Delivery", "OK")</f>
        <v>OK</v>
      </c>
      <c r="U197" s="1" t="str">
        <f>IF(COUNTIF(po_master[PO Number],po_master[[#This Row],[PO Number]])&gt;1, "Duplicate Invoice", "OK")</f>
        <v>OK</v>
      </c>
    </row>
    <row r="198" spans="1:21" x14ac:dyDescent="0.25">
      <c r="A198" s="1" t="s">
        <v>174</v>
      </c>
      <c r="B198" s="1" t="s">
        <v>1500</v>
      </c>
      <c r="C198" s="2">
        <v>46060</v>
      </c>
      <c r="D198">
        <v>135</v>
      </c>
      <c r="E198">
        <v>108.58</v>
      </c>
      <c r="F198" s="1" t="s">
        <v>1480</v>
      </c>
      <c r="G198" s="2">
        <v>46070</v>
      </c>
      <c r="H198">
        <v>135</v>
      </c>
      <c r="I198" s="2">
        <v>46072</v>
      </c>
      <c r="J198" s="1" t="s">
        <v>863</v>
      </c>
      <c r="K198">
        <v>135</v>
      </c>
      <c r="L198">
        <v>108.58</v>
      </c>
      <c r="M198" s="2">
        <v>46080</v>
      </c>
      <c r="N198" t="str">
        <f>IF(po_master[[#This Row],[Approved By]]="", "Missing Approval", "OK")</f>
        <v>OK</v>
      </c>
      <c r="O198" t="str">
        <f>IF(ISBLANK(po_master[[#This Row],[GR Quantity]]), "No GR - Not received", "OK")</f>
        <v>OK</v>
      </c>
      <c r="P198" s="1" t="str">
        <f>IF(po_master[[#This Row],[Promised Delivey Date]]&lt;po_master[[#This Row],[Order Date]], "Invalid", "OK")</f>
        <v>OK</v>
      </c>
      <c r="Q198" s="1" t="str">
        <f>IF(ISBLANK(po_master[[#This Row],[Invoice Number]]), "No Invoice", "OK")</f>
        <v>OK</v>
      </c>
      <c r="R198" s="1" t="str">
        <f>IF(AND(NOT(ISBLANK(po_master[[#This Row],[GR Quantity]])), po_master[[#This Row],[GR Quantity]]&lt;&gt;po_master[[#This Row],[PO Quantity]]), "Qty Variance", "OK")</f>
        <v>OK</v>
      </c>
      <c r="S198" s="1" t="str">
        <f>IF(po_master[[#This Row],[Invoice Unit Price]]&gt;po_master[[#This Row],[PO Unit Price]]*1.01, "Price Variance", "OK")</f>
        <v>OK</v>
      </c>
      <c r="T198" s="1" t="str">
        <f>IF(po_master[[#This Row],[Actual Delivery Date]]&gt;po_master[[#This Row],[Promised Delivey Date]], "Late Delivery", "OK")</f>
        <v>Late Delivery</v>
      </c>
      <c r="U198" s="1" t="str">
        <f>IF(COUNTIF(po_master[PO Number],po_master[[#This Row],[PO Number]])&gt;1, "Duplicate Invoice", "OK")</f>
        <v>OK</v>
      </c>
    </row>
    <row r="199" spans="1:21" x14ac:dyDescent="0.25">
      <c r="A199" s="1" t="s">
        <v>175</v>
      </c>
      <c r="B199" s="1" t="s">
        <v>1460</v>
      </c>
      <c r="C199" s="2">
        <v>46067</v>
      </c>
      <c r="D199">
        <v>50</v>
      </c>
      <c r="E199">
        <v>123.85</v>
      </c>
      <c r="F199" s="1" t="s">
        <v>1453</v>
      </c>
      <c r="G199" s="2">
        <v>46079</v>
      </c>
      <c r="H199">
        <v>50</v>
      </c>
      <c r="I199" s="2">
        <v>46077</v>
      </c>
      <c r="J199" s="1" t="s">
        <v>864</v>
      </c>
      <c r="K199">
        <v>50</v>
      </c>
      <c r="L199">
        <v>141.85</v>
      </c>
      <c r="M199" s="2">
        <v>46083</v>
      </c>
      <c r="N199" t="str">
        <f>IF(po_master[[#This Row],[Approved By]]="", "Missing Approval", "OK")</f>
        <v>OK</v>
      </c>
      <c r="O199" t="str">
        <f>IF(ISBLANK(po_master[[#This Row],[GR Quantity]]), "No GR - Not received", "OK")</f>
        <v>OK</v>
      </c>
      <c r="P199" s="1" t="str">
        <f>IF(po_master[[#This Row],[Promised Delivey Date]]&lt;po_master[[#This Row],[Order Date]], "Invalid", "OK")</f>
        <v>OK</v>
      </c>
      <c r="Q199" s="1" t="str">
        <f>IF(ISBLANK(po_master[[#This Row],[Invoice Number]]), "No Invoice", "OK")</f>
        <v>OK</v>
      </c>
      <c r="R199" s="1" t="str">
        <f>IF(AND(NOT(ISBLANK(po_master[[#This Row],[GR Quantity]])), po_master[[#This Row],[GR Quantity]]&lt;&gt;po_master[[#This Row],[PO Quantity]]), "Qty Variance", "OK")</f>
        <v>OK</v>
      </c>
      <c r="S199" s="1" t="str">
        <f>IF(po_master[[#This Row],[Invoice Unit Price]]&gt;po_master[[#This Row],[PO Unit Price]]*1.01, "Price Variance", "OK")</f>
        <v>Price Variance</v>
      </c>
      <c r="T199" s="1" t="str">
        <f>IF(po_master[[#This Row],[Actual Delivery Date]]&gt;po_master[[#This Row],[Promised Delivey Date]], "Late Delivery", "OK")</f>
        <v>OK</v>
      </c>
      <c r="U199" s="1" t="str">
        <f>IF(COUNTIF(po_master[PO Number],po_master[[#This Row],[PO Number]])&gt;1, "Duplicate Invoice", "OK")</f>
        <v>OK</v>
      </c>
    </row>
    <row r="200" spans="1:21" x14ac:dyDescent="0.25">
      <c r="A200" s="1" t="s">
        <v>176</v>
      </c>
      <c r="B200" s="1" t="s">
        <v>1489</v>
      </c>
      <c r="C200" s="2">
        <v>46088</v>
      </c>
      <c r="D200">
        <v>351</v>
      </c>
      <c r="E200">
        <v>6.83</v>
      </c>
      <c r="F200" s="1" t="s">
        <v>1469</v>
      </c>
      <c r="G200" s="2">
        <v>46102</v>
      </c>
      <c r="H200">
        <v>351</v>
      </c>
      <c r="I200" s="2">
        <v>46104</v>
      </c>
      <c r="J200" s="1" t="s">
        <v>867</v>
      </c>
      <c r="K200">
        <v>351</v>
      </c>
      <c r="L200">
        <v>6.83</v>
      </c>
      <c r="M200" s="2">
        <v>46111</v>
      </c>
      <c r="N200" t="str">
        <f>IF(po_master[[#This Row],[Approved By]]="", "Missing Approval", "OK")</f>
        <v>OK</v>
      </c>
      <c r="O200" t="str">
        <f>IF(ISBLANK(po_master[[#This Row],[GR Quantity]]), "No GR - Not received", "OK")</f>
        <v>OK</v>
      </c>
      <c r="P200" s="1" t="str">
        <f>IF(po_master[[#This Row],[Promised Delivey Date]]&lt;po_master[[#This Row],[Order Date]], "Invalid", "OK")</f>
        <v>OK</v>
      </c>
      <c r="Q200" s="1" t="str">
        <f>IF(ISBLANK(po_master[[#This Row],[Invoice Number]]), "No Invoice", "OK")</f>
        <v>OK</v>
      </c>
      <c r="R200" s="1" t="str">
        <f>IF(AND(NOT(ISBLANK(po_master[[#This Row],[GR Quantity]])), po_master[[#This Row],[GR Quantity]]&lt;&gt;po_master[[#This Row],[PO Quantity]]), "Qty Variance", "OK")</f>
        <v>OK</v>
      </c>
      <c r="S200" s="1" t="str">
        <f>IF(po_master[[#This Row],[Invoice Unit Price]]&gt;po_master[[#This Row],[PO Unit Price]]*1.01, "Price Variance", "OK")</f>
        <v>OK</v>
      </c>
      <c r="T200" s="1" t="str">
        <f>IF(po_master[[#This Row],[Actual Delivery Date]]&gt;po_master[[#This Row],[Promised Delivey Date]], "Late Delivery", "OK")</f>
        <v>Late Delivery</v>
      </c>
      <c r="U200" s="1" t="str">
        <f>IF(COUNTIF(po_master[PO Number],po_master[[#This Row],[PO Number]])&gt;1, "Duplicate Invoice", "OK")</f>
        <v>OK</v>
      </c>
    </row>
    <row r="201" spans="1:21" x14ac:dyDescent="0.25">
      <c r="A201" s="1" t="s">
        <v>177</v>
      </c>
      <c r="B201" s="1" t="s">
        <v>1461</v>
      </c>
      <c r="C201" s="2">
        <v>46162</v>
      </c>
      <c r="D201">
        <v>90</v>
      </c>
      <c r="E201">
        <v>19.399999999999999</v>
      </c>
      <c r="F201" s="1" t="s">
        <v>1451</v>
      </c>
      <c r="G201" s="2">
        <v>46176</v>
      </c>
      <c r="H201">
        <v>90</v>
      </c>
      <c r="I201" s="2">
        <v>46177</v>
      </c>
      <c r="J201" s="1" t="s">
        <v>868</v>
      </c>
      <c r="K201">
        <v>90</v>
      </c>
      <c r="L201">
        <v>19.399999999999999</v>
      </c>
      <c r="M201" s="2">
        <v>46185</v>
      </c>
      <c r="N201" t="str">
        <f>IF(po_master[[#This Row],[Approved By]]="", "Missing Approval", "OK")</f>
        <v>OK</v>
      </c>
      <c r="O201" t="str">
        <f>IF(ISBLANK(po_master[[#This Row],[GR Quantity]]), "No GR - Not received", "OK")</f>
        <v>OK</v>
      </c>
      <c r="P201" s="1" t="str">
        <f>IF(po_master[[#This Row],[Promised Delivey Date]]&lt;po_master[[#This Row],[Order Date]], "Invalid", "OK")</f>
        <v>OK</v>
      </c>
      <c r="Q201" s="1" t="str">
        <f>IF(ISBLANK(po_master[[#This Row],[Invoice Number]]), "No Invoice", "OK")</f>
        <v>OK</v>
      </c>
      <c r="R201" s="1" t="str">
        <f>IF(AND(NOT(ISBLANK(po_master[[#This Row],[GR Quantity]])), po_master[[#This Row],[GR Quantity]]&lt;&gt;po_master[[#This Row],[PO Quantity]]), "Qty Variance", "OK")</f>
        <v>OK</v>
      </c>
      <c r="S201" s="1" t="str">
        <f>IF(po_master[[#This Row],[Invoice Unit Price]]&gt;po_master[[#This Row],[PO Unit Price]]*1.01, "Price Variance", "OK")</f>
        <v>OK</v>
      </c>
      <c r="T201" s="1" t="str">
        <f>IF(po_master[[#This Row],[Actual Delivery Date]]&gt;po_master[[#This Row],[Promised Delivey Date]], "Late Delivery", "OK")</f>
        <v>Late Delivery</v>
      </c>
      <c r="U201" s="1" t="str">
        <f>IF(COUNTIF(po_master[PO Number],po_master[[#This Row],[PO Number]])&gt;1, "Duplicate Invoice", "OK")</f>
        <v>OK</v>
      </c>
    </row>
    <row r="202" spans="1:21" x14ac:dyDescent="0.25">
      <c r="A202" s="1" t="s">
        <v>178</v>
      </c>
      <c r="B202" s="1" t="s">
        <v>1439</v>
      </c>
      <c r="C202" s="2">
        <v>46131</v>
      </c>
      <c r="D202">
        <v>363</v>
      </c>
      <c r="E202">
        <v>53.77</v>
      </c>
      <c r="F202" s="1" t="s">
        <v>1459</v>
      </c>
      <c r="G202" s="2">
        <v>46142</v>
      </c>
      <c r="H202">
        <v>363</v>
      </c>
      <c r="I202" s="2">
        <v>46140</v>
      </c>
      <c r="J202" s="1" t="s">
        <v>869</v>
      </c>
      <c r="K202">
        <v>363</v>
      </c>
      <c r="L202">
        <v>60.21</v>
      </c>
      <c r="M202" s="2">
        <v>46152</v>
      </c>
      <c r="N202" t="str">
        <f>IF(po_master[[#This Row],[Approved By]]="", "Missing Approval", "OK")</f>
        <v>Missing Approval</v>
      </c>
      <c r="O202" t="str">
        <f>IF(ISBLANK(po_master[[#This Row],[GR Quantity]]), "No GR - Not received", "OK")</f>
        <v>OK</v>
      </c>
      <c r="P202" s="1" t="str">
        <f>IF(po_master[[#This Row],[Promised Delivey Date]]&lt;po_master[[#This Row],[Order Date]], "Invalid", "OK")</f>
        <v>OK</v>
      </c>
      <c r="Q202" s="1" t="str">
        <f>IF(ISBLANK(po_master[[#This Row],[Invoice Number]]), "No Invoice", "OK")</f>
        <v>OK</v>
      </c>
      <c r="R202" s="1" t="str">
        <f>IF(AND(NOT(ISBLANK(po_master[[#This Row],[GR Quantity]])), po_master[[#This Row],[GR Quantity]]&lt;&gt;po_master[[#This Row],[PO Quantity]]), "Qty Variance", "OK")</f>
        <v>OK</v>
      </c>
      <c r="S202" s="1" t="str">
        <f>IF(po_master[[#This Row],[Invoice Unit Price]]&gt;po_master[[#This Row],[PO Unit Price]]*1.01, "Price Variance", "OK")</f>
        <v>Price Variance</v>
      </c>
      <c r="T202" s="1" t="str">
        <f>IF(po_master[[#This Row],[Actual Delivery Date]]&gt;po_master[[#This Row],[Promised Delivey Date]], "Late Delivery", "OK")</f>
        <v>OK</v>
      </c>
      <c r="U202" s="1" t="str">
        <f>IF(COUNTIF(po_master[PO Number],po_master[[#This Row],[PO Number]])&gt;1, "Duplicate Invoice", "OK")</f>
        <v>OK</v>
      </c>
    </row>
    <row r="203" spans="1:21" x14ac:dyDescent="0.25">
      <c r="A203" s="1" t="s">
        <v>179</v>
      </c>
      <c r="B203" s="1" t="s">
        <v>1502</v>
      </c>
      <c r="C203" s="2">
        <v>46146</v>
      </c>
      <c r="D203">
        <v>64</v>
      </c>
      <c r="E203">
        <v>51.26</v>
      </c>
      <c r="F203" s="1" t="s">
        <v>1480</v>
      </c>
      <c r="G203" s="2">
        <v>46162</v>
      </c>
      <c r="H203">
        <v>64</v>
      </c>
      <c r="I203" s="2">
        <v>46161</v>
      </c>
      <c r="J203" s="1" t="s">
        <v>870</v>
      </c>
      <c r="K203">
        <v>64</v>
      </c>
      <c r="L203">
        <v>51.26</v>
      </c>
      <c r="M203" s="2">
        <v>46163</v>
      </c>
      <c r="N203" t="str">
        <f>IF(po_master[[#This Row],[Approved By]]="", "Missing Approval", "OK")</f>
        <v>OK</v>
      </c>
      <c r="O203" t="str">
        <f>IF(ISBLANK(po_master[[#This Row],[GR Quantity]]), "No GR - Not received", "OK")</f>
        <v>OK</v>
      </c>
      <c r="P203" s="1" t="str">
        <f>IF(po_master[[#This Row],[Promised Delivey Date]]&lt;po_master[[#This Row],[Order Date]], "Invalid", "OK")</f>
        <v>OK</v>
      </c>
      <c r="Q203" s="1" t="str">
        <f>IF(ISBLANK(po_master[[#This Row],[Invoice Number]]), "No Invoice", "OK")</f>
        <v>OK</v>
      </c>
      <c r="R203" s="1" t="str">
        <f>IF(AND(NOT(ISBLANK(po_master[[#This Row],[GR Quantity]])), po_master[[#This Row],[GR Quantity]]&lt;&gt;po_master[[#This Row],[PO Quantity]]), "Qty Variance", "OK")</f>
        <v>OK</v>
      </c>
      <c r="S203" s="1" t="str">
        <f>IF(po_master[[#This Row],[Invoice Unit Price]]&gt;po_master[[#This Row],[PO Unit Price]]*1.01, "Price Variance", "OK")</f>
        <v>OK</v>
      </c>
      <c r="T203" s="1" t="str">
        <f>IF(po_master[[#This Row],[Actual Delivery Date]]&gt;po_master[[#This Row],[Promised Delivey Date]], "Late Delivery", "OK")</f>
        <v>OK</v>
      </c>
      <c r="U203" s="1" t="str">
        <f>IF(COUNTIF(po_master[PO Number],po_master[[#This Row],[PO Number]])&gt;1, "Duplicate Invoice", "OK")</f>
        <v>OK</v>
      </c>
    </row>
    <row r="204" spans="1:21" x14ac:dyDescent="0.25">
      <c r="A204" s="1" t="s">
        <v>180</v>
      </c>
      <c r="B204" s="1" t="s">
        <v>1493</v>
      </c>
      <c r="C204" s="2">
        <v>46098</v>
      </c>
      <c r="D204">
        <v>368</v>
      </c>
      <c r="E204">
        <v>62.57</v>
      </c>
      <c r="F204" s="1" t="s">
        <v>1467</v>
      </c>
      <c r="G204" s="2">
        <v>46115</v>
      </c>
      <c r="H204">
        <v>368</v>
      </c>
      <c r="I204" s="2">
        <v>46117</v>
      </c>
      <c r="J204" s="1" t="s">
        <v>871</v>
      </c>
      <c r="K204">
        <v>368</v>
      </c>
      <c r="L204">
        <v>62.57</v>
      </c>
      <c r="M204" s="2">
        <v>46120</v>
      </c>
      <c r="N204" t="str">
        <f>IF(po_master[[#This Row],[Approved By]]="", "Missing Approval", "OK")</f>
        <v>OK</v>
      </c>
      <c r="O204" t="str">
        <f>IF(ISBLANK(po_master[[#This Row],[GR Quantity]]), "No GR - Not received", "OK")</f>
        <v>OK</v>
      </c>
      <c r="P204" s="1" t="str">
        <f>IF(po_master[[#This Row],[Promised Delivey Date]]&lt;po_master[[#This Row],[Order Date]], "Invalid", "OK")</f>
        <v>OK</v>
      </c>
      <c r="Q204" s="1" t="str">
        <f>IF(ISBLANK(po_master[[#This Row],[Invoice Number]]), "No Invoice", "OK")</f>
        <v>OK</v>
      </c>
      <c r="R204" s="1" t="str">
        <f>IF(AND(NOT(ISBLANK(po_master[[#This Row],[GR Quantity]])), po_master[[#This Row],[GR Quantity]]&lt;&gt;po_master[[#This Row],[PO Quantity]]), "Qty Variance", "OK")</f>
        <v>OK</v>
      </c>
      <c r="S204" s="1" t="str">
        <f>IF(po_master[[#This Row],[Invoice Unit Price]]&gt;po_master[[#This Row],[PO Unit Price]]*1.01, "Price Variance", "OK")</f>
        <v>OK</v>
      </c>
      <c r="T204" s="1" t="str">
        <f>IF(po_master[[#This Row],[Actual Delivery Date]]&gt;po_master[[#This Row],[Promised Delivey Date]], "Late Delivery", "OK")</f>
        <v>Late Delivery</v>
      </c>
      <c r="U204" s="1" t="str">
        <f>IF(COUNTIF(po_master[PO Number],po_master[[#This Row],[PO Number]])&gt;1, "Duplicate Invoice", "OK")</f>
        <v>OK</v>
      </c>
    </row>
    <row r="205" spans="1:21" x14ac:dyDescent="0.25">
      <c r="A205" s="1" t="s">
        <v>181</v>
      </c>
      <c r="B205" s="1" t="s">
        <v>1511</v>
      </c>
      <c r="C205" s="2">
        <v>46025</v>
      </c>
      <c r="D205">
        <v>299</v>
      </c>
      <c r="E205">
        <v>173.69</v>
      </c>
      <c r="F205" s="1" t="s">
        <v>1456</v>
      </c>
      <c r="G205" s="2">
        <v>46031</v>
      </c>
      <c r="H205">
        <v>299</v>
      </c>
      <c r="I205" s="2">
        <v>46030</v>
      </c>
      <c r="J205" s="1" t="s">
        <v>872</v>
      </c>
      <c r="K205">
        <v>299</v>
      </c>
      <c r="L205">
        <v>173.69</v>
      </c>
      <c r="M205" s="2">
        <v>46038</v>
      </c>
      <c r="N205" t="str">
        <f>IF(po_master[[#This Row],[Approved By]]="", "Missing Approval", "OK")</f>
        <v>OK</v>
      </c>
      <c r="O205" t="str">
        <f>IF(ISBLANK(po_master[[#This Row],[GR Quantity]]), "No GR - Not received", "OK")</f>
        <v>OK</v>
      </c>
      <c r="P205" s="1" t="str">
        <f>IF(po_master[[#This Row],[Promised Delivey Date]]&lt;po_master[[#This Row],[Order Date]], "Invalid", "OK")</f>
        <v>OK</v>
      </c>
      <c r="Q205" s="1" t="str">
        <f>IF(ISBLANK(po_master[[#This Row],[Invoice Number]]), "No Invoice", "OK")</f>
        <v>OK</v>
      </c>
      <c r="R205" s="1" t="str">
        <f>IF(AND(NOT(ISBLANK(po_master[[#This Row],[GR Quantity]])), po_master[[#This Row],[GR Quantity]]&lt;&gt;po_master[[#This Row],[PO Quantity]]), "Qty Variance", "OK")</f>
        <v>OK</v>
      </c>
      <c r="S205" s="1" t="str">
        <f>IF(po_master[[#This Row],[Invoice Unit Price]]&gt;po_master[[#This Row],[PO Unit Price]]*1.01, "Price Variance", "OK")</f>
        <v>OK</v>
      </c>
      <c r="T205" s="1" t="str">
        <f>IF(po_master[[#This Row],[Actual Delivery Date]]&gt;po_master[[#This Row],[Promised Delivey Date]], "Late Delivery", "OK")</f>
        <v>OK</v>
      </c>
      <c r="U205" s="1" t="str">
        <f>IF(COUNTIF(po_master[PO Number],po_master[[#This Row],[PO Number]])&gt;1, "Duplicate Invoice", "OK")</f>
        <v>OK</v>
      </c>
    </row>
    <row r="206" spans="1:21" x14ac:dyDescent="0.25">
      <c r="A206" s="1" t="s">
        <v>182</v>
      </c>
      <c r="B206" s="1" t="s">
        <v>1468</v>
      </c>
      <c r="C206" s="2">
        <v>46150</v>
      </c>
      <c r="D206">
        <v>436</v>
      </c>
      <c r="E206">
        <v>181.31</v>
      </c>
      <c r="F206" s="1" t="s">
        <v>1474</v>
      </c>
      <c r="G206" s="2">
        <v>46162</v>
      </c>
      <c r="H206">
        <v>436</v>
      </c>
      <c r="I206" s="2">
        <v>46163</v>
      </c>
      <c r="J206" s="1" t="s">
        <v>873</v>
      </c>
      <c r="K206">
        <v>436</v>
      </c>
      <c r="L206">
        <v>181.31</v>
      </c>
      <c r="M206" s="2">
        <v>46166</v>
      </c>
      <c r="N206" t="str">
        <f>IF(po_master[[#This Row],[Approved By]]="", "Missing Approval", "OK")</f>
        <v>OK</v>
      </c>
      <c r="O206" t="str">
        <f>IF(ISBLANK(po_master[[#This Row],[GR Quantity]]), "No GR - Not received", "OK")</f>
        <v>OK</v>
      </c>
      <c r="P206" s="1" t="str">
        <f>IF(po_master[[#This Row],[Promised Delivey Date]]&lt;po_master[[#This Row],[Order Date]], "Invalid", "OK")</f>
        <v>OK</v>
      </c>
      <c r="Q206" s="1" t="str">
        <f>IF(ISBLANK(po_master[[#This Row],[Invoice Number]]), "No Invoice", "OK")</f>
        <v>OK</v>
      </c>
      <c r="R206" s="1" t="str">
        <f>IF(AND(NOT(ISBLANK(po_master[[#This Row],[GR Quantity]])), po_master[[#This Row],[GR Quantity]]&lt;&gt;po_master[[#This Row],[PO Quantity]]), "Qty Variance", "OK")</f>
        <v>OK</v>
      </c>
      <c r="S206" s="1" t="str">
        <f>IF(po_master[[#This Row],[Invoice Unit Price]]&gt;po_master[[#This Row],[PO Unit Price]]*1.01, "Price Variance", "OK")</f>
        <v>OK</v>
      </c>
      <c r="T206" s="1" t="str">
        <f>IF(po_master[[#This Row],[Actual Delivery Date]]&gt;po_master[[#This Row],[Promised Delivey Date]], "Late Delivery", "OK")</f>
        <v>Late Delivery</v>
      </c>
      <c r="U206" s="1" t="str">
        <f>IF(COUNTIF(po_master[PO Number],po_master[[#This Row],[PO Number]])&gt;1, "Duplicate Invoice", "OK")</f>
        <v>OK</v>
      </c>
    </row>
    <row r="207" spans="1:21" x14ac:dyDescent="0.25">
      <c r="A207" s="1" t="s">
        <v>183</v>
      </c>
      <c r="B207" s="1" t="s">
        <v>1468</v>
      </c>
      <c r="C207" s="2">
        <v>46113</v>
      </c>
      <c r="D207">
        <v>122</v>
      </c>
      <c r="E207">
        <v>129.13999999999999</v>
      </c>
      <c r="F207" s="1" t="s">
        <v>1494</v>
      </c>
      <c r="G207" s="2">
        <v>46126</v>
      </c>
      <c r="H207">
        <v>122</v>
      </c>
      <c r="I207" s="2">
        <v>46128</v>
      </c>
      <c r="J207" s="1" t="s">
        <v>874</v>
      </c>
      <c r="K207">
        <v>122</v>
      </c>
      <c r="L207">
        <v>129.13999999999999</v>
      </c>
      <c r="M207" s="2">
        <v>46127</v>
      </c>
      <c r="N207" t="str">
        <f>IF(po_master[[#This Row],[Approved By]]="", "Missing Approval", "OK")</f>
        <v>OK</v>
      </c>
      <c r="O207" t="str">
        <f>IF(ISBLANK(po_master[[#This Row],[GR Quantity]]), "No GR - Not received", "OK")</f>
        <v>OK</v>
      </c>
      <c r="P207" s="1" t="str">
        <f>IF(po_master[[#This Row],[Promised Delivey Date]]&lt;po_master[[#This Row],[Order Date]], "Invalid", "OK")</f>
        <v>OK</v>
      </c>
      <c r="Q207" s="1" t="str">
        <f>IF(ISBLANK(po_master[[#This Row],[Invoice Number]]), "No Invoice", "OK")</f>
        <v>OK</v>
      </c>
      <c r="R207" s="1" t="str">
        <f>IF(AND(NOT(ISBLANK(po_master[[#This Row],[GR Quantity]])), po_master[[#This Row],[GR Quantity]]&lt;&gt;po_master[[#This Row],[PO Quantity]]), "Qty Variance", "OK")</f>
        <v>OK</v>
      </c>
      <c r="S207" s="1" t="str">
        <f>IF(po_master[[#This Row],[Invoice Unit Price]]&gt;po_master[[#This Row],[PO Unit Price]]*1.01, "Price Variance", "OK")</f>
        <v>OK</v>
      </c>
      <c r="T207" s="1" t="str">
        <f>IF(po_master[[#This Row],[Actual Delivery Date]]&gt;po_master[[#This Row],[Promised Delivey Date]], "Late Delivery", "OK")</f>
        <v>Late Delivery</v>
      </c>
      <c r="U207" s="1" t="str">
        <f>IF(COUNTIF(po_master[PO Number],po_master[[#This Row],[PO Number]])&gt;1, "Duplicate Invoice", "OK")</f>
        <v>OK</v>
      </c>
    </row>
    <row r="208" spans="1:21" x14ac:dyDescent="0.25">
      <c r="A208" s="1" t="s">
        <v>184</v>
      </c>
      <c r="B208" s="1" t="s">
        <v>1512</v>
      </c>
      <c r="C208" s="2">
        <v>46135</v>
      </c>
      <c r="D208">
        <v>27</v>
      </c>
      <c r="E208">
        <v>118.02</v>
      </c>
      <c r="F208" s="1" t="s">
        <v>1490</v>
      </c>
      <c r="G208" s="2">
        <v>46144</v>
      </c>
      <c r="H208">
        <v>27</v>
      </c>
      <c r="I208" s="2">
        <v>46162</v>
      </c>
      <c r="J208" s="1" t="s">
        <v>877</v>
      </c>
      <c r="K208">
        <v>27</v>
      </c>
      <c r="L208">
        <v>118.02</v>
      </c>
      <c r="M208" s="2">
        <v>46146</v>
      </c>
      <c r="N208" t="str">
        <f>IF(po_master[[#This Row],[Approved By]]="", "Missing Approval", "OK")</f>
        <v>OK</v>
      </c>
      <c r="O208" t="str">
        <f>IF(ISBLANK(po_master[[#This Row],[GR Quantity]]), "No GR - Not received", "OK")</f>
        <v>OK</v>
      </c>
      <c r="P208" s="1" t="str">
        <f>IF(po_master[[#This Row],[Promised Delivey Date]]&lt;po_master[[#This Row],[Order Date]], "Invalid", "OK")</f>
        <v>OK</v>
      </c>
      <c r="Q208" s="1" t="str">
        <f>IF(ISBLANK(po_master[[#This Row],[Invoice Number]]), "No Invoice", "OK")</f>
        <v>OK</v>
      </c>
      <c r="R208" s="1" t="str">
        <f>IF(AND(NOT(ISBLANK(po_master[[#This Row],[GR Quantity]])), po_master[[#This Row],[GR Quantity]]&lt;&gt;po_master[[#This Row],[PO Quantity]]), "Qty Variance", "OK")</f>
        <v>OK</v>
      </c>
      <c r="S208" s="1" t="str">
        <f>IF(po_master[[#This Row],[Invoice Unit Price]]&gt;po_master[[#This Row],[PO Unit Price]]*1.01, "Price Variance", "OK")</f>
        <v>OK</v>
      </c>
      <c r="T208" s="1" t="str">
        <f>IF(po_master[[#This Row],[Actual Delivery Date]]&gt;po_master[[#This Row],[Promised Delivey Date]], "Late Delivery", "OK")</f>
        <v>Late Delivery</v>
      </c>
      <c r="U208" s="1" t="str">
        <f>IF(COUNTIF(po_master[PO Number],po_master[[#This Row],[PO Number]])&gt;1, "Duplicate Invoice", "OK")</f>
        <v>OK</v>
      </c>
    </row>
    <row r="209" spans="1:21" x14ac:dyDescent="0.25">
      <c r="A209" s="1" t="s">
        <v>185</v>
      </c>
      <c r="B209" s="1" t="s">
        <v>1457</v>
      </c>
      <c r="C209" s="2">
        <v>46098</v>
      </c>
      <c r="D209">
        <v>177</v>
      </c>
      <c r="E209">
        <v>150.76</v>
      </c>
      <c r="F209" s="1" t="s">
        <v>1501</v>
      </c>
      <c r="G209" s="2">
        <v>46109</v>
      </c>
      <c r="H209">
        <v>177</v>
      </c>
      <c r="I209" s="2">
        <v>46109</v>
      </c>
      <c r="J209" s="1" t="s">
        <v>878</v>
      </c>
      <c r="K209">
        <v>177</v>
      </c>
      <c r="L209">
        <v>150.76</v>
      </c>
      <c r="M209" s="2">
        <v>46114</v>
      </c>
      <c r="N209" t="str">
        <f>IF(po_master[[#This Row],[Approved By]]="", "Missing Approval", "OK")</f>
        <v>OK</v>
      </c>
      <c r="O209" t="str">
        <f>IF(ISBLANK(po_master[[#This Row],[GR Quantity]]), "No GR - Not received", "OK")</f>
        <v>OK</v>
      </c>
      <c r="P209" s="1" t="str">
        <f>IF(po_master[[#This Row],[Promised Delivey Date]]&lt;po_master[[#This Row],[Order Date]], "Invalid", "OK")</f>
        <v>OK</v>
      </c>
      <c r="Q209" s="1" t="str">
        <f>IF(ISBLANK(po_master[[#This Row],[Invoice Number]]), "No Invoice", "OK")</f>
        <v>OK</v>
      </c>
      <c r="R209" s="1" t="str">
        <f>IF(AND(NOT(ISBLANK(po_master[[#This Row],[GR Quantity]])), po_master[[#This Row],[GR Quantity]]&lt;&gt;po_master[[#This Row],[PO Quantity]]), "Qty Variance", "OK")</f>
        <v>OK</v>
      </c>
      <c r="S209" s="1" t="str">
        <f>IF(po_master[[#This Row],[Invoice Unit Price]]&gt;po_master[[#This Row],[PO Unit Price]]*1.01, "Price Variance", "OK")</f>
        <v>OK</v>
      </c>
      <c r="T209" s="1" t="str">
        <f>IF(po_master[[#This Row],[Actual Delivery Date]]&gt;po_master[[#This Row],[Promised Delivey Date]], "Late Delivery", "OK")</f>
        <v>OK</v>
      </c>
      <c r="U209" s="1" t="str">
        <f>IF(COUNTIF(po_master[PO Number],po_master[[#This Row],[PO Number]])&gt;1, "Duplicate Invoice", "OK")</f>
        <v>OK</v>
      </c>
    </row>
    <row r="210" spans="1:21" x14ac:dyDescent="0.25">
      <c r="A210" s="1" t="s">
        <v>865</v>
      </c>
      <c r="B210" s="1" t="s">
        <v>1498</v>
      </c>
      <c r="C210" s="2">
        <v>46172</v>
      </c>
      <c r="D210">
        <v>83</v>
      </c>
      <c r="E210">
        <v>50.28</v>
      </c>
      <c r="F210" s="1" t="s">
        <v>1446</v>
      </c>
      <c r="G210" s="2">
        <v>46185</v>
      </c>
      <c r="I210" s="2"/>
      <c r="J210" s="1" t="s">
        <v>866</v>
      </c>
      <c r="K210">
        <v>83</v>
      </c>
      <c r="L210">
        <v>50.28</v>
      </c>
      <c r="M210" s="2">
        <v>46194</v>
      </c>
      <c r="N210" t="str">
        <f>IF(po_master[[#This Row],[Approved By]]="", "Missing Approval", "OK")</f>
        <v>OK</v>
      </c>
      <c r="O210" t="str">
        <f>IF(ISBLANK(po_master[[#This Row],[GR Quantity]]), "No GR - Not received", "OK")</f>
        <v>No GR - Not received</v>
      </c>
      <c r="P210" s="1" t="str">
        <f>IF(po_master[[#This Row],[Promised Delivey Date]]&lt;po_master[[#This Row],[Order Date]], "Invalid", "OK")</f>
        <v>OK</v>
      </c>
      <c r="Q210" s="1" t="str">
        <f>IF(ISBLANK(po_master[[#This Row],[Invoice Number]]), "No Invoice", "OK")</f>
        <v>OK</v>
      </c>
      <c r="R210" s="1" t="str">
        <f>IF(AND(NOT(ISBLANK(po_master[[#This Row],[GR Quantity]])), po_master[[#This Row],[GR Quantity]]&lt;&gt;po_master[[#This Row],[PO Quantity]]), "Qty Variance", "OK")</f>
        <v>OK</v>
      </c>
      <c r="S210" s="1" t="str">
        <f>IF(po_master[[#This Row],[Invoice Unit Price]]&gt;po_master[[#This Row],[PO Unit Price]]*1.01, "Price Variance", "OK")</f>
        <v>OK</v>
      </c>
      <c r="T210" s="1" t="str">
        <f>IF(po_master[[#This Row],[Actual Delivery Date]]&gt;po_master[[#This Row],[Promised Delivey Date]], "Late Delivery", "OK")</f>
        <v>OK</v>
      </c>
      <c r="U210" s="1" t="str">
        <f>IF(COUNTIF(po_master[PO Number],po_master[[#This Row],[PO Number]])&gt;1, "Duplicate Invoice", "OK")</f>
        <v>OK</v>
      </c>
    </row>
    <row r="211" spans="1:21" x14ac:dyDescent="0.25">
      <c r="A211" s="1" t="s">
        <v>186</v>
      </c>
      <c r="B211" s="1" t="s">
        <v>1441</v>
      </c>
      <c r="C211" s="2">
        <v>46161</v>
      </c>
      <c r="D211">
        <v>458</v>
      </c>
      <c r="E211">
        <v>194.44</v>
      </c>
      <c r="F211" s="1" t="s">
        <v>1504</v>
      </c>
      <c r="G211" s="2">
        <v>46182</v>
      </c>
      <c r="H211">
        <v>458</v>
      </c>
      <c r="I211" s="2">
        <v>46181</v>
      </c>
      <c r="J211" s="1" t="s">
        <v>879</v>
      </c>
      <c r="K211">
        <v>458</v>
      </c>
      <c r="L211">
        <v>194.44</v>
      </c>
      <c r="M211" s="2">
        <v>46191</v>
      </c>
      <c r="N211" t="str">
        <f>IF(po_master[[#This Row],[Approved By]]="", "Missing Approval", "OK")</f>
        <v>OK</v>
      </c>
      <c r="O211" t="str">
        <f>IF(ISBLANK(po_master[[#This Row],[GR Quantity]]), "No GR - Not received", "OK")</f>
        <v>OK</v>
      </c>
      <c r="P211" s="1" t="str">
        <f>IF(po_master[[#This Row],[Promised Delivey Date]]&lt;po_master[[#This Row],[Order Date]], "Invalid", "OK")</f>
        <v>OK</v>
      </c>
      <c r="Q211" s="1" t="str">
        <f>IF(ISBLANK(po_master[[#This Row],[Invoice Number]]), "No Invoice", "OK")</f>
        <v>OK</v>
      </c>
      <c r="R211" s="1" t="str">
        <f>IF(AND(NOT(ISBLANK(po_master[[#This Row],[GR Quantity]])), po_master[[#This Row],[GR Quantity]]&lt;&gt;po_master[[#This Row],[PO Quantity]]), "Qty Variance", "OK")</f>
        <v>OK</v>
      </c>
      <c r="S211" s="1" t="str">
        <f>IF(po_master[[#This Row],[Invoice Unit Price]]&gt;po_master[[#This Row],[PO Unit Price]]*1.01, "Price Variance", "OK")</f>
        <v>OK</v>
      </c>
      <c r="T211" s="1" t="str">
        <f>IF(po_master[[#This Row],[Actual Delivery Date]]&gt;po_master[[#This Row],[Promised Delivey Date]], "Late Delivery", "OK")</f>
        <v>OK</v>
      </c>
      <c r="U211" s="1" t="str">
        <f>IF(COUNTIF(po_master[PO Number],po_master[[#This Row],[PO Number]])&gt;1, "Duplicate Invoice", "OK")</f>
        <v>OK</v>
      </c>
    </row>
    <row r="212" spans="1:21" x14ac:dyDescent="0.25">
      <c r="A212" s="1" t="s">
        <v>187</v>
      </c>
      <c r="B212" s="1" t="s">
        <v>1511</v>
      </c>
      <c r="C212" s="2">
        <v>46065</v>
      </c>
      <c r="D212">
        <v>141</v>
      </c>
      <c r="E212">
        <v>183.24</v>
      </c>
      <c r="F212" s="1" t="s">
        <v>1487</v>
      </c>
      <c r="G212" s="2">
        <v>46079</v>
      </c>
      <c r="H212">
        <v>141</v>
      </c>
      <c r="I212" s="2">
        <v>46080</v>
      </c>
      <c r="J212" s="1" t="s">
        <v>880</v>
      </c>
      <c r="K212">
        <v>141</v>
      </c>
      <c r="L212">
        <v>183.24</v>
      </c>
      <c r="M212" s="2">
        <v>46085</v>
      </c>
      <c r="N212" t="str">
        <f>IF(po_master[[#This Row],[Approved By]]="", "Missing Approval", "OK")</f>
        <v>OK</v>
      </c>
      <c r="O212" t="str">
        <f>IF(ISBLANK(po_master[[#This Row],[GR Quantity]]), "No GR - Not received", "OK")</f>
        <v>OK</v>
      </c>
      <c r="P212" s="1" t="str">
        <f>IF(po_master[[#This Row],[Promised Delivey Date]]&lt;po_master[[#This Row],[Order Date]], "Invalid", "OK")</f>
        <v>OK</v>
      </c>
      <c r="Q212" s="1" t="str">
        <f>IF(ISBLANK(po_master[[#This Row],[Invoice Number]]), "No Invoice", "OK")</f>
        <v>OK</v>
      </c>
      <c r="R212" s="1" t="str">
        <f>IF(AND(NOT(ISBLANK(po_master[[#This Row],[GR Quantity]])), po_master[[#This Row],[GR Quantity]]&lt;&gt;po_master[[#This Row],[PO Quantity]]), "Qty Variance", "OK")</f>
        <v>OK</v>
      </c>
      <c r="S212" s="1" t="str">
        <f>IF(po_master[[#This Row],[Invoice Unit Price]]&gt;po_master[[#This Row],[PO Unit Price]]*1.01, "Price Variance", "OK")</f>
        <v>OK</v>
      </c>
      <c r="T212" s="1" t="str">
        <f>IF(po_master[[#This Row],[Actual Delivery Date]]&gt;po_master[[#This Row],[Promised Delivey Date]], "Late Delivery", "OK")</f>
        <v>Late Delivery</v>
      </c>
      <c r="U212" s="1" t="str">
        <f>IF(COUNTIF(po_master[PO Number],po_master[[#This Row],[PO Number]])&gt;1, "Duplicate Invoice", "OK")</f>
        <v>OK</v>
      </c>
    </row>
    <row r="213" spans="1:21" x14ac:dyDescent="0.25">
      <c r="A213" s="1" t="s">
        <v>188</v>
      </c>
      <c r="B213" s="1" t="s">
        <v>1465</v>
      </c>
      <c r="C213" s="2">
        <v>46109</v>
      </c>
      <c r="D213">
        <v>421</v>
      </c>
      <c r="E213">
        <v>27.46</v>
      </c>
      <c r="F213" s="1" t="s">
        <v>1476</v>
      </c>
      <c r="G213" s="2">
        <v>46118</v>
      </c>
      <c r="H213">
        <v>421</v>
      </c>
      <c r="I213" s="2">
        <v>46117</v>
      </c>
      <c r="J213" s="1" t="s">
        <v>881</v>
      </c>
      <c r="K213">
        <v>421</v>
      </c>
      <c r="L213">
        <v>27.46</v>
      </c>
      <c r="M213" s="2">
        <v>46126</v>
      </c>
      <c r="N213" t="str">
        <f>IF(po_master[[#This Row],[Approved By]]="", "Missing Approval", "OK")</f>
        <v>OK</v>
      </c>
      <c r="O213" t="str">
        <f>IF(ISBLANK(po_master[[#This Row],[GR Quantity]]), "No GR - Not received", "OK")</f>
        <v>OK</v>
      </c>
      <c r="P213" s="1" t="str">
        <f>IF(po_master[[#This Row],[Promised Delivey Date]]&lt;po_master[[#This Row],[Order Date]], "Invalid", "OK")</f>
        <v>OK</v>
      </c>
      <c r="Q213" s="1" t="str">
        <f>IF(ISBLANK(po_master[[#This Row],[Invoice Number]]), "No Invoice", "OK")</f>
        <v>OK</v>
      </c>
      <c r="R213" s="1" t="str">
        <f>IF(AND(NOT(ISBLANK(po_master[[#This Row],[GR Quantity]])), po_master[[#This Row],[GR Quantity]]&lt;&gt;po_master[[#This Row],[PO Quantity]]), "Qty Variance", "OK")</f>
        <v>OK</v>
      </c>
      <c r="S213" s="1" t="str">
        <f>IF(po_master[[#This Row],[Invoice Unit Price]]&gt;po_master[[#This Row],[PO Unit Price]]*1.01, "Price Variance", "OK")</f>
        <v>OK</v>
      </c>
      <c r="T213" s="1" t="str">
        <f>IF(po_master[[#This Row],[Actual Delivery Date]]&gt;po_master[[#This Row],[Promised Delivey Date]], "Late Delivery", "OK")</f>
        <v>OK</v>
      </c>
      <c r="U213" s="1" t="str">
        <f>IF(COUNTIF(po_master[PO Number],po_master[[#This Row],[PO Number]])&gt;1, "Duplicate Invoice", "OK")</f>
        <v>OK</v>
      </c>
    </row>
    <row r="214" spans="1:21" x14ac:dyDescent="0.25">
      <c r="A214" s="1" t="s">
        <v>189</v>
      </c>
      <c r="B214" s="1" t="s">
        <v>1447</v>
      </c>
      <c r="C214" s="2">
        <v>46124</v>
      </c>
      <c r="D214">
        <v>443</v>
      </c>
      <c r="E214">
        <v>161.88999999999999</v>
      </c>
      <c r="F214" s="1" t="s">
        <v>1451</v>
      </c>
      <c r="G214" s="2">
        <v>46131</v>
      </c>
      <c r="H214">
        <v>443</v>
      </c>
      <c r="I214" s="2">
        <v>46137</v>
      </c>
      <c r="J214" s="1" t="s">
        <v>882</v>
      </c>
      <c r="K214">
        <v>443</v>
      </c>
      <c r="L214">
        <v>161.88999999999999</v>
      </c>
      <c r="M214" s="2">
        <v>46137</v>
      </c>
      <c r="N214" t="str">
        <f>IF(po_master[[#This Row],[Approved By]]="", "Missing Approval", "OK")</f>
        <v>OK</v>
      </c>
      <c r="O214" t="str">
        <f>IF(ISBLANK(po_master[[#This Row],[GR Quantity]]), "No GR - Not received", "OK")</f>
        <v>OK</v>
      </c>
      <c r="P214" s="1" t="str">
        <f>IF(po_master[[#This Row],[Promised Delivey Date]]&lt;po_master[[#This Row],[Order Date]], "Invalid", "OK")</f>
        <v>OK</v>
      </c>
      <c r="Q214" s="1" t="str">
        <f>IF(ISBLANK(po_master[[#This Row],[Invoice Number]]), "No Invoice", "OK")</f>
        <v>OK</v>
      </c>
      <c r="R214" s="1" t="str">
        <f>IF(AND(NOT(ISBLANK(po_master[[#This Row],[GR Quantity]])), po_master[[#This Row],[GR Quantity]]&lt;&gt;po_master[[#This Row],[PO Quantity]]), "Qty Variance", "OK")</f>
        <v>OK</v>
      </c>
      <c r="S214" s="1" t="str">
        <f>IF(po_master[[#This Row],[Invoice Unit Price]]&gt;po_master[[#This Row],[PO Unit Price]]*1.01, "Price Variance", "OK")</f>
        <v>OK</v>
      </c>
      <c r="T214" s="1" t="str">
        <f>IF(po_master[[#This Row],[Actual Delivery Date]]&gt;po_master[[#This Row],[Promised Delivey Date]], "Late Delivery", "OK")</f>
        <v>Late Delivery</v>
      </c>
      <c r="U214" s="1" t="str">
        <f>IF(COUNTIF(po_master[PO Number],po_master[[#This Row],[PO Number]])&gt;1, "Duplicate Invoice", "OK")</f>
        <v>OK</v>
      </c>
    </row>
    <row r="215" spans="1:21" x14ac:dyDescent="0.25">
      <c r="A215" s="1" t="s">
        <v>190</v>
      </c>
      <c r="B215" s="1" t="s">
        <v>1488</v>
      </c>
      <c r="C215" s="2">
        <v>46026</v>
      </c>
      <c r="D215">
        <v>145</v>
      </c>
      <c r="E215">
        <v>109.63</v>
      </c>
      <c r="F215" s="1" t="s">
        <v>1469</v>
      </c>
      <c r="G215" s="2">
        <v>46042</v>
      </c>
      <c r="H215">
        <v>145</v>
      </c>
      <c r="I215" s="2">
        <v>46041</v>
      </c>
      <c r="J215" s="1" t="s">
        <v>883</v>
      </c>
      <c r="K215">
        <v>145</v>
      </c>
      <c r="L215">
        <v>109.63</v>
      </c>
      <c r="M215" s="2">
        <v>46052</v>
      </c>
      <c r="N215" t="str">
        <f>IF(po_master[[#This Row],[Approved By]]="", "Missing Approval", "OK")</f>
        <v>OK</v>
      </c>
      <c r="O215" t="str">
        <f>IF(ISBLANK(po_master[[#This Row],[GR Quantity]]), "No GR - Not received", "OK")</f>
        <v>OK</v>
      </c>
      <c r="P215" s="1" t="str">
        <f>IF(po_master[[#This Row],[Promised Delivey Date]]&lt;po_master[[#This Row],[Order Date]], "Invalid", "OK")</f>
        <v>OK</v>
      </c>
      <c r="Q215" s="1" t="str">
        <f>IF(ISBLANK(po_master[[#This Row],[Invoice Number]]), "No Invoice", "OK")</f>
        <v>OK</v>
      </c>
      <c r="R215" s="1" t="str">
        <f>IF(AND(NOT(ISBLANK(po_master[[#This Row],[GR Quantity]])), po_master[[#This Row],[GR Quantity]]&lt;&gt;po_master[[#This Row],[PO Quantity]]), "Qty Variance", "OK")</f>
        <v>OK</v>
      </c>
      <c r="S215" s="1" t="str">
        <f>IF(po_master[[#This Row],[Invoice Unit Price]]&gt;po_master[[#This Row],[PO Unit Price]]*1.01, "Price Variance", "OK")</f>
        <v>OK</v>
      </c>
      <c r="T215" s="1" t="str">
        <f>IF(po_master[[#This Row],[Actual Delivery Date]]&gt;po_master[[#This Row],[Promised Delivey Date]], "Late Delivery", "OK")</f>
        <v>OK</v>
      </c>
      <c r="U215" s="1" t="str">
        <f>IF(COUNTIF(po_master[PO Number],po_master[[#This Row],[PO Number]])&gt;1, "Duplicate Invoice", "OK")</f>
        <v>OK</v>
      </c>
    </row>
    <row r="216" spans="1:21" x14ac:dyDescent="0.25">
      <c r="A216" s="1" t="s">
        <v>191</v>
      </c>
      <c r="B216" s="1" t="s">
        <v>1461</v>
      </c>
      <c r="C216" s="2">
        <v>46090</v>
      </c>
      <c r="D216">
        <v>309</v>
      </c>
      <c r="E216">
        <v>79.3</v>
      </c>
      <c r="F216" s="1" t="s">
        <v>1446</v>
      </c>
      <c r="G216" s="2">
        <v>46106</v>
      </c>
      <c r="H216">
        <v>299</v>
      </c>
      <c r="I216" s="2">
        <v>46107</v>
      </c>
      <c r="J216" s="1" t="s">
        <v>884</v>
      </c>
      <c r="K216">
        <v>309</v>
      </c>
      <c r="L216">
        <v>79.3</v>
      </c>
      <c r="M216" s="2">
        <v>46109</v>
      </c>
      <c r="N216" t="str">
        <f>IF(po_master[[#This Row],[Approved By]]="", "Missing Approval", "OK")</f>
        <v>OK</v>
      </c>
      <c r="O216" t="str">
        <f>IF(ISBLANK(po_master[[#This Row],[GR Quantity]]), "No GR - Not received", "OK")</f>
        <v>OK</v>
      </c>
      <c r="P216" s="1" t="str">
        <f>IF(po_master[[#This Row],[Promised Delivey Date]]&lt;po_master[[#This Row],[Order Date]], "Invalid", "OK")</f>
        <v>OK</v>
      </c>
      <c r="Q216" s="1" t="str">
        <f>IF(ISBLANK(po_master[[#This Row],[Invoice Number]]), "No Invoice", "OK")</f>
        <v>OK</v>
      </c>
      <c r="R216" s="1" t="str">
        <f>IF(AND(NOT(ISBLANK(po_master[[#This Row],[GR Quantity]])), po_master[[#This Row],[GR Quantity]]&lt;&gt;po_master[[#This Row],[PO Quantity]]), "Qty Variance", "OK")</f>
        <v>Qty Variance</v>
      </c>
      <c r="S216" s="1" t="str">
        <f>IF(po_master[[#This Row],[Invoice Unit Price]]&gt;po_master[[#This Row],[PO Unit Price]]*1.01, "Price Variance", "OK")</f>
        <v>OK</v>
      </c>
      <c r="T216" s="1" t="str">
        <f>IF(po_master[[#This Row],[Actual Delivery Date]]&gt;po_master[[#This Row],[Promised Delivey Date]], "Late Delivery", "OK")</f>
        <v>Late Delivery</v>
      </c>
      <c r="U216" s="1" t="str">
        <f>IF(COUNTIF(po_master[PO Number],po_master[[#This Row],[PO Number]])&gt;1, "Duplicate Invoice", "OK")</f>
        <v>OK</v>
      </c>
    </row>
    <row r="217" spans="1:21" x14ac:dyDescent="0.25">
      <c r="A217" s="1" t="s">
        <v>192</v>
      </c>
      <c r="B217" s="1" t="s">
        <v>1450</v>
      </c>
      <c r="C217" s="2">
        <v>46082</v>
      </c>
      <c r="D217">
        <v>251</v>
      </c>
      <c r="E217">
        <v>9.8800000000000008</v>
      </c>
      <c r="F217" s="1" t="s">
        <v>1442</v>
      </c>
      <c r="G217" s="2">
        <v>46097</v>
      </c>
      <c r="H217">
        <v>251</v>
      </c>
      <c r="I217" s="2">
        <v>46096</v>
      </c>
      <c r="J217" s="1" t="s">
        <v>885</v>
      </c>
      <c r="K217">
        <v>251</v>
      </c>
      <c r="L217">
        <v>11.08</v>
      </c>
      <c r="M217" s="2">
        <v>46098</v>
      </c>
      <c r="N217" t="str">
        <f>IF(po_master[[#This Row],[Approved By]]="", "Missing Approval", "OK")</f>
        <v>OK</v>
      </c>
      <c r="O217" t="str">
        <f>IF(ISBLANK(po_master[[#This Row],[GR Quantity]]), "No GR - Not received", "OK")</f>
        <v>OK</v>
      </c>
      <c r="P217" s="1" t="str">
        <f>IF(po_master[[#This Row],[Promised Delivey Date]]&lt;po_master[[#This Row],[Order Date]], "Invalid", "OK")</f>
        <v>OK</v>
      </c>
      <c r="Q217" s="1" t="str">
        <f>IF(ISBLANK(po_master[[#This Row],[Invoice Number]]), "No Invoice", "OK")</f>
        <v>OK</v>
      </c>
      <c r="R217" s="1" t="str">
        <f>IF(AND(NOT(ISBLANK(po_master[[#This Row],[GR Quantity]])), po_master[[#This Row],[GR Quantity]]&lt;&gt;po_master[[#This Row],[PO Quantity]]), "Qty Variance", "OK")</f>
        <v>OK</v>
      </c>
      <c r="S217" s="1" t="str">
        <f>IF(po_master[[#This Row],[Invoice Unit Price]]&gt;po_master[[#This Row],[PO Unit Price]]*1.01, "Price Variance", "OK")</f>
        <v>Price Variance</v>
      </c>
      <c r="T217" s="1" t="str">
        <f>IF(po_master[[#This Row],[Actual Delivery Date]]&gt;po_master[[#This Row],[Promised Delivey Date]], "Late Delivery", "OK")</f>
        <v>OK</v>
      </c>
      <c r="U217" s="1" t="str">
        <f>IF(COUNTIF(po_master[PO Number],po_master[[#This Row],[PO Number]])&gt;1, "Duplicate Invoice", "OK")</f>
        <v>OK</v>
      </c>
    </row>
    <row r="218" spans="1:21" x14ac:dyDescent="0.25">
      <c r="A218" s="1" t="s">
        <v>193</v>
      </c>
      <c r="B218" s="1" t="s">
        <v>1497</v>
      </c>
      <c r="C218" s="2">
        <v>46079</v>
      </c>
      <c r="D218">
        <v>341</v>
      </c>
      <c r="E218">
        <v>17.329999999999998</v>
      </c>
      <c r="F218" s="1" t="s">
        <v>1469</v>
      </c>
      <c r="G218" s="2">
        <v>46093</v>
      </c>
      <c r="H218">
        <v>341</v>
      </c>
      <c r="I218" s="2">
        <v>46094</v>
      </c>
      <c r="J218" s="1" t="s">
        <v>886</v>
      </c>
      <c r="K218">
        <v>341</v>
      </c>
      <c r="L218">
        <v>17.329999999999998</v>
      </c>
      <c r="M218" s="2">
        <v>46101</v>
      </c>
      <c r="N218" t="str">
        <f>IF(po_master[[#This Row],[Approved By]]="", "Missing Approval", "OK")</f>
        <v>OK</v>
      </c>
      <c r="O218" t="str">
        <f>IF(ISBLANK(po_master[[#This Row],[GR Quantity]]), "No GR - Not received", "OK")</f>
        <v>OK</v>
      </c>
      <c r="P218" s="1" t="str">
        <f>IF(po_master[[#This Row],[Promised Delivey Date]]&lt;po_master[[#This Row],[Order Date]], "Invalid", "OK")</f>
        <v>OK</v>
      </c>
      <c r="Q218" s="1" t="str">
        <f>IF(ISBLANK(po_master[[#This Row],[Invoice Number]]), "No Invoice", "OK")</f>
        <v>OK</v>
      </c>
      <c r="R218" s="1" t="str">
        <f>IF(AND(NOT(ISBLANK(po_master[[#This Row],[GR Quantity]])), po_master[[#This Row],[GR Quantity]]&lt;&gt;po_master[[#This Row],[PO Quantity]]), "Qty Variance", "OK")</f>
        <v>OK</v>
      </c>
      <c r="S218" s="1" t="str">
        <f>IF(po_master[[#This Row],[Invoice Unit Price]]&gt;po_master[[#This Row],[PO Unit Price]]*1.01, "Price Variance", "OK")</f>
        <v>OK</v>
      </c>
      <c r="T218" s="1" t="str">
        <f>IF(po_master[[#This Row],[Actual Delivery Date]]&gt;po_master[[#This Row],[Promised Delivey Date]], "Late Delivery", "OK")</f>
        <v>Late Delivery</v>
      </c>
      <c r="U218" s="1" t="str">
        <f>IF(COUNTIF(po_master[PO Number],po_master[[#This Row],[PO Number]])&gt;1, "Duplicate Invoice", "OK")</f>
        <v>OK</v>
      </c>
    </row>
    <row r="219" spans="1:21" x14ac:dyDescent="0.25">
      <c r="A219" s="1" t="s">
        <v>875</v>
      </c>
      <c r="B219" s="1" t="s">
        <v>1461</v>
      </c>
      <c r="C219" s="2">
        <v>46058</v>
      </c>
      <c r="D219">
        <v>331</v>
      </c>
      <c r="E219">
        <v>23.95</v>
      </c>
      <c r="F219" s="1" t="s">
        <v>1446</v>
      </c>
      <c r="G219" s="2">
        <v>46064</v>
      </c>
      <c r="I219" s="2"/>
      <c r="J219" s="1" t="s">
        <v>876</v>
      </c>
      <c r="K219">
        <v>331</v>
      </c>
      <c r="L219">
        <v>23.95</v>
      </c>
      <c r="M219" s="2">
        <v>46066</v>
      </c>
      <c r="N219" t="str">
        <f>IF(po_master[[#This Row],[Approved By]]="", "Missing Approval", "OK")</f>
        <v>OK</v>
      </c>
      <c r="O219" t="str">
        <f>IF(ISBLANK(po_master[[#This Row],[GR Quantity]]), "No GR - Not received", "OK")</f>
        <v>No GR - Not received</v>
      </c>
      <c r="P219" s="1" t="str">
        <f>IF(po_master[[#This Row],[Promised Delivey Date]]&lt;po_master[[#This Row],[Order Date]], "Invalid", "OK")</f>
        <v>OK</v>
      </c>
      <c r="Q219" s="1" t="str">
        <f>IF(ISBLANK(po_master[[#This Row],[Invoice Number]]), "No Invoice", "OK")</f>
        <v>OK</v>
      </c>
      <c r="R219" s="1" t="str">
        <f>IF(AND(NOT(ISBLANK(po_master[[#This Row],[GR Quantity]])), po_master[[#This Row],[GR Quantity]]&lt;&gt;po_master[[#This Row],[PO Quantity]]), "Qty Variance", "OK")</f>
        <v>OK</v>
      </c>
      <c r="S219" s="1" t="str">
        <f>IF(po_master[[#This Row],[Invoice Unit Price]]&gt;po_master[[#This Row],[PO Unit Price]]*1.01, "Price Variance", "OK")</f>
        <v>OK</v>
      </c>
      <c r="T219" s="1" t="str">
        <f>IF(po_master[[#This Row],[Actual Delivery Date]]&gt;po_master[[#This Row],[Promised Delivey Date]], "Late Delivery", "OK")</f>
        <v>OK</v>
      </c>
      <c r="U219" s="1" t="str">
        <f>IF(COUNTIF(po_master[PO Number],po_master[[#This Row],[PO Number]])&gt;1, "Duplicate Invoice", "OK")</f>
        <v>OK</v>
      </c>
    </row>
    <row r="220" spans="1:21" x14ac:dyDescent="0.25">
      <c r="A220" s="1" t="s">
        <v>194</v>
      </c>
      <c r="B220" s="1" t="s">
        <v>1508</v>
      </c>
      <c r="C220" s="2">
        <v>46127</v>
      </c>
      <c r="D220">
        <v>69</v>
      </c>
      <c r="E220">
        <v>32.26</v>
      </c>
      <c r="F220" s="1" t="s">
        <v>1462</v>
      </c>
      <c r="G220" s="2">
        <v>46141</v>
      </c>
      <c r="H220">
        <v>69</v>
      </c>
      <c r="I220" s="2">
        <v>46139</v>
      </c>
      <c r="J220" s="1" t="s">
        <v>887</v>
      </c>
      <c r="K220">
        <v>69</v>
      </c>
      <c r="L220">
        <v>32.26</v>
      </c>
      <c r="M220" s="2">
        <v>46143</v>
      </c>
      <c r="N220" t="str">
        <f>IF(po_master[[#This Row],[Approved By]]="", "Missing Approval", "OK")</f>
        <v>OK</v>
      </c>
      <c r="O220" t="str">
        <f>IF(ISBLANK(po_master[[#This Row],[GR Quantity]]), "No GR - Not received", "OK")</f>
        <v>OK</v>
      </c>
      <c r="P220" s="1" t="str">
        <f>IF(po_master[[#This Row],[Promised Delivey Date]]&lt;po_master[[#This Row],[Order Date]], "Invalid", "OK")</f>
        <v>OK</v>
      </c>
      <c r="Q220" s="1" t="str">
        <f>IF(ISBLANK(po_master[[#This Row],[Invoice Number]]), "No Invoice", "OK")</f>
        <v>OK</v>
      </c>
      <c r="R220" s="1" t="str">
        <f>IF(AND(NOT(ISBLANK(po_master[[#This Row],[GR Quantity]])), po_master[[#This Row],[GR Quantity]]&lt;&gt;po_master[[#This Row],[PO Quantity]]), "Qty Variance", "OK")</f>
        <v>OK</v>
      </c>
      <c r="S220" s="1" t="str">
        <f>IF(po_master[[#This Row],[Invoice Unit Price]]&gt;po_master[[#This Row],[PO Unit Price]]*1.01, "Price Variance", "OK")</f>
        <v>OK</v>
      </c>
      <c r="T220" s="1" t="str">
        <f>IF(po_master[[#This Row],[Actual Delivery Date]]&gt;po_master[[#This Row],[Promised Delivey Date]], "Late Delivery", "OK")</f>
        <v>OK</v>
      </c>
      <c r="U220" s="1" t="str">
        <f>IF(COUNTIF(po_master[PO Number],po_master[[#This Row],[PO Number]])&gt;1, "Duplicate Invoice", "OK")</f>
        <v>OK</v>
      </c>
    </row>
    <row r="221" spans="1:21" x14ac:dyDescent="0.25">
      <c r="A221" s="1" t="s">
        <v>195</v>
      </c>
      <c r="B221" s="1" t="s">
        <v>1498</v>
      </c>
      <c r="C221" s="2">
        <v>46052</v>
      </c>
      <c r="D221">
        <v>59</v>
      </c>
      <c r="E221">
        <v>50.79</v>
      </c>
      <c r="F221" s="1" t="s">
        <v>1442</v>
      </c>
      <c r="G221" s="2">
        <v>46061</v>
      </c>
      <c r="H221">
        <v>59</v>
      </c>
      <c r="I221" s="2">
        <v>46061</v>
      </c>
      <c r="J221" s="1" t="s">
        <v>888</v>
      </c>
      <c r="K221">
        <v>59</v>
      </c>
      <c r="L221">
        <v>50.79</v>
      </c>
      <c r="M221" s="2">
        <v>46069</v>
      </c>
      <c r="N221" t="str">
        <f>IF(po_master[[#This Row],[Approved By]]="", "Missing Approval", "OK")</f>
        <v>OK</v>
      </c>
      <c r="O221" t="str">
        <f>IF(ISBLANK(po_master[[#This Row],[GR Quantity]]), "No GR - Not received", "OK")</f>
        <v>OK</v>
      </c>
      <c r="P221" s="1" t="str">
        <f>IF(po_master[[#This Row],[Promised Delivey Date]]&lt;po_master[[#This Row],[Order Date]], "Invalid", "OK")</f>
        <v>OK</v>
      </c>
      <c r="Q221" s="1" t="str">
        <f>IF(ISBLANK(po_master[[#This Row],[Invoice Number]]), "No Invoice", "OK")</f>
        <v>OK</v>
      </c>
      <c r="R221" s="1" t="str">
        <f>IF(AND(NOT(ISBLANK(po_master[[#This Row],[GR Quantity]])), po_master[[#This Row],[GR Quantity]]&lt;&gt;po_master[[#This Row],[PO Quantity]]), "Qty Variance", "OK")</f>
        <v>OK</v>
      </c>
      <c r="S221" s="1" t="str">
        <f>IF(po_master[[#This Row],[Invoice Unit Price]]&gt;po_master[[#This Row],[PO Unit Price]]*1.01, "Price Variance", "OK")</f>
        <v>OK</v>
      </c>
      <c r="T221" s="1" t="str">
        <f>IF(po_master[[#This Row],[Actual Delivery Date]]&gt;po_master[[#This Row],[Promised Delivey Date]], "Late Delivery", "OK")</f>
        <v>OK</v>
      </c>
      <c r="U221" s="1" t="str">
        <f>IF(COUNTIF(po_master[PO Number],po_master[[#This Row],[PO Number]])&gt;1, "Duplicate Invoice", "OK")</f>
        <v>OK</v>
      </c>
    </row>
    <row r="222" spans="1:21" x14ac:dyDescent="0.25">
      <c r="A222" s="1" t="s">
        <v>196</v>
      </c>
      <c r="B222" s="1" t="s">
        <v>1502</v>
      </c>
      <c r="C222" s="2">
        <v>46139</v>
      </c>
      <c r="D222">
        <v>199</v>
      </c>
      <c r="E222">
        <v>135.74</v>
      </c>
      <c r="F222" s="1" t="s">
        <v>1490</v>
      </c>
      <c r="G222" s="2">
        <v>46157</v>
      </c>
      <c r="H222">
        <v>199</v>
      </c>
      <c r="I222" s="2">
        <v>46159</v>
      </c>
      <c r="J222" s="1" t="s">
        <v>889</v>
      </c>
      <c r="K222">
        <v>199</v>
      </c>
      <c r="L222">
        <v>135.74</v>
      </c>
      <c r="M222" s="2">
        <v>46164</v>
      </c>
      <c r="N222" t="str">
        <f>IF(po_master[[#This Row],[Approved By]]="", "Missing Approval", "OK")</f>
        <v>OK</v>
      </c>
      <c r="O222" t="str">
        <f>IF(ISBLANK(po_master[[#This Row],[GR Quantity]]), "No GR - Not received", "OK")</f>
        <v>OK</v>
      </c>
      <c r="P222" s="1" t="str">
        <f>IF(po_master[[#This Row],[Promised Delivey Date]]&lt;po_master[[#This Row],[Order Date]], "Invalid", "OK")</f>
        <v>OK</v>
      </c>
      <c r="Q222" s="1" t="str">
        <f>IF(ISBLANK(po_master[[#This Row],[Invoice Number]]), "No Invoice", "OK")</f>
        <v>OK</v>
      </c>
      <c r="R222" s="1" t="str">
        <f>IF(AND(NOT(ISBLANK(po_master[[#This Row],[GR Quantity]])), po_master[[#This Row],[GR Quantity]]&lt;&gt;po_master[[#This Row],[PO Quantity]]), "Qty Variance", "OK")</f>
        <v>OK</v>
      </c>
      <c r="S222" s="1" t="str">
        <f>IF(po_master[[#This Row],[Invoice Unit Price]]&gt;po_master[[#This Row],[PO Unit Price]]*1.01, "Price Variance", "OK")</f>
        <v>OK</v>
      </c>
      <c r="T222" s="1" t="str">
        <f>IF(po_master[[#This Row],[Actual Delivery Date]]&gt;po_master[[#This Row],[Promised Delivey Date]], "Late Delivery", "OK")</f>
        <v>Late Delivery</v>
      </c>
      <c r="U222" s="1" t="str">
        <f>IF(COUNTIF(po_master[PO Number],po_master[[#This Row],[PO Number]])&gt;1, "Duplicate Invoice", "OK")</f>
        <v>OK</v>
      </c>
    </row>
    <row r="223" spans="1:21" x14ac:dyDescent="0.25">
      <c r="A223" s="1" t="s">
        <v>197</v>
      </c>
      <c r="B223" s="1" t="s">
        <v>1443</v>
      </c>
      <c r="C223" s="2">
        <v>46062</v>
      </c>
      <c r="D223">
        <v>463</v>
      </c>
      <c r="E223">
        <v>85.9</v>
      </c>
      <c r="F223" s="1" t="s">
        <v>1483</v>
      </c>
      <c r="G223" s="2">
        <v>46082</v>
      </c>
      <c r="H223">
        <v>463</v>
      </c>
      <c r="I223" s="2">
        <v>46080</v>
      </c>
      <c r="J223" s="1" t="s">
        <v>890</v>
      </c>
      <c r="K223">
        <v>463</v>
      </c>
      <c r="L223">
        <v>85.9</v>
      </c>
      <c r="M223" s="2">
        <v>46085</v>
      </c>
      <c r="N223" t="str">
        <f>IF(po_master[[#This Row],[Approved By]]="", "Missing Approval", "OK")</f>
        <v>OK</v>
      </c>
      <c r="O223" t="str">
        <f>IF(ISBLANK(po_master[[#This Row],[GR Quantity]]), "No GR - Not received", "OK")</f>
        <v>OK</v>
      </c>
      <c r="P223" s="1" t="str">
        <f>IF(po_master[[#This Row],[Promised Delivey Date]]&lt;po_master[[#This Row],[Order Date]], "Invalid", "OK")</f>
        <v>OK</v>
      </c>
      <c r="Q223" s="1" t="str">
        <f>IF(ISBLANK(po_master[[#This Row],[Invoice Number]]), "No Invoice", "OK")</f>
        <v>OK</v>
      </c>
      <c r="R223" s="1" t="str">
        <f>IF(AND(NOT(ISBLANK(po_master[[#This Row],[GR Quantity]])), po_master[[#This Row],[GR Quantity]]&lt;&gt;po_master[[#This Row],[PO Quantity]]), "Qty Variance", "OK")</f>
        <v>OK</v>
      </c>
      <c r="S223" s="1" t="str">
        <f>IF(po_master[[#This Row],[Invoice Unit Price]]&gt;po_master[[#This Row],[PO Unit Price]]*1.01, "Price Variance", "OK")</f>
        <v>OK</v>
      </c>
      <c r="T223" s="1" t="str">
        <f>IF(po_master[[#This Row],[Actual Delivery Date]]&gt;po_master[[#This Row],[Promised Delivey Date]], "Late Delivery", "OK")</f>
        <v>OK</v>
      </c>
      <c r="U223" s="1" t="str">
        <f>IF(COUNTIF(po_master[PO Number],po_master[[#This Row],[PO Number]])&gt;1, "Duplicate Invoice", "OK")</f>
        <v>OK</v>
      </c>
    </row>
    <row r="224" spans="1:21" x14ac:dyDescent="0.25">
      <c r="A224" s="1" t="s">
        <v>198</v>
      </c>
      <c r="B224" s="1" t="s">
        <v>1497</v>
      </c>
      <c r="C224" s="2">
        <v>46127</v>
      </c>
      <c r="D224">
        <v>490</v>
      </c>
      <c r="E224">
        <v>190.55</v>
      </c>
      <c r="F224" s="1" t="s">
        <v>1462</v>
      </c>
      <c r="G224" s="2">
        <v>46143</v>
      </c>
      <c r="H224">
        <v>490</v>
      </c>
      <c r="I224" s="2">
        <v>46143</v>
      </c>
      <c r="J224" s="1" t="s">
        <v>891</v>
      </c>
      <c r="K224">
        <v>490</v>
      </c>
      <c r="L224">
        <v>190.55</v>
      </c>
      <c r="M224" s="2">
        <v>46144</v>
      </c>
      <c r="N224" t="str">
        <f>IF(po_master[[#This Row],[Approved By]]="", "Missing Approval", "OK")</f>
        <v>OK</v>
      </c>
      <c r="O224" t="str">
        <f>IF(ISBLANK(po_master[[#This Row],[GR Quantity]]), "No GR - Not received", "OK")</f>
        <v>OK</v>
      </c>
      <c r="P224" s="1" t="str">
        <f>IF(po_master[[#This Row],[Promised Delivey Date]]&lt;po_master[[#This Row],[Order Date]], "Invalid", "OK")</f>
        <v>OK</v>
      </c>
      <c r="Q224" s="1" t="str">
        <f>IF(ISBLANK(po_master[[#This Row],[Invoice Number]]), "No Invoice", "OK")</f>
        <v>OK</v>
      </c>
      <c r="R224" s="1" t="str">
        <f>IF(AND(NOT(ISBLANK(po_master[[#This Row],[GR Quantity]])), po_master[[#This Row],[GR Quantity]]&lt;&gt;po_master[[#This Row],[PO Quantity]]), "Qty Variance", "OK")</f>
        <v>OK</v>
      </c>
      <c r="S224" s="1" t="str">
        <f>IF(po_master[[#This Row],[Invoice Unit Price]]&gt;po_master[[#This Row],[PO Unit Price]]*1.01, "Price Variance", "OK")</f>
        <v>OK</v>
      </c>
      <c r="T224" s="1" t="str">
        <f>IF(po_master[[#This Row],[Actual Delivery Date]]&gt;po_master[[#This Row],[Promised Delivey Date]], "Late Delivery", "OK")</f>
        <v>OK</v>
      </c>
      <c r="U224" s="1" t="str">
        <f>IF(COUNTIF(po_master[PO Number],po_master[[#This Row],[PO Number]])&gt;1, "Duplicate Invoice", "OK")</f>
        <v>OK</v>
      </c>
    </row>
    <row r="225" spans="1:21" x14ac:dyDescent="0.25">
      <c r="A225" s="1" t="s">
        <v>199</v>
      </c>
      <c r="B225" s="1" t="s">
        <v>1461</v>
      </c>
      <c r="C225" s="2">
        <v>46117</v>
      </c>
      <c r="D225">
        <v>288</v>
      </c>
      <c r="E225">
        <v>180.83</v>
      </c>
      <c r="F225" s="1" t="s">
        <v>1446</v>
      </c>
      <c r="G225" s="2">
        <v>46133</v>
      </c>
      <c r="H225">
        <v>288</v>
      </c>
      <c r="I225" s="2">
        <v>46132</v>
      </c>
      <c r="J225" s="1" t="s">
        <v>894</v>
      </c>
      <c r="K225">
        <v>288</v>
      </c>
      <c r="L225">
        <v>180.83</v>
      </c>
      <c r="M225" s="2">
        <v>46134</v>
      </c>
      <c r="N225" t="str">
        <f>IF(po_master[[#This Row],[Approved By]]="", "Missing Approval", "OK")</f>
        <v>OK</v>
      </c>
      <c r="O225" t="str">
        <f>IF(ISBLANK(po_master[[#This Row],[GR Quantity]]), "No GR - Not received", "OK")</f>
        <v>OK</v>
      </c>
      <c r="P225" s="1" t="str">
        <f>IF(po_master[[#This Row],[Promised Delivey Date]]&lt;po_master[[#This Row],[Order Date]], "Invalid", "OK")</f>
        <v>OK</v>
      </c>
      <c r="Q225" s="1" t="str">
        <f>IF(ISBLANK(po_master[[#This Row],[Invoice Number]]), "No Invoice", "OK")</f>
        <v>OK</v>
      </c>
      <c r="R225" s="1" t="str">
        <f>IF(AND(NOT(ISBLANK(po_master[[#This Row],[GR Quantity]])), po_master[[#This Row],[GR Quantity]]&lt;&gt;po_master[[#This Row],[PO Quantity]]), "Qty Variance", "OK")</f>
        <v>OK</v>
      </c>
      <c r="S225" s="1" t="str">
        <f>IF(po_master[[#This Row],[Invoice Unit Price]]&gt;po_master[[#This Row],[PO Unit Price]]*1.01, "Price Variance", "OK")</f>
        <v>OK</v>
      </c>
      <c r="T225" s="1" t="str">
        <f>IF(po_master[[#This Row],[Actual Delivery Date]]&gt;po_master[[#This Row],[Promised Delivey Date]], "Late Delivery", "OK")</f>
        <v>OK</v>
      </c>
      <c r="U225" s="1" t="str">
        <f>IF(COUNTIF(po_master[PO Number],po_master[[#This Row],[PO Number]])&gt;1, "Duplicate Invoice", "OK")</f>
        <v>OK</v>
      </c>
    </row>
    <row r="226" spans="1:21" x14ac:dyDescent="0.25">
      <c r="A226" s="1" t="s">
        <v>200</v>
      </c>
      <c r="B226" s="1" t="s">
        <v>1475</v>
      </c>
      <c r="C226" s="2">
        <v>46124</v>
      </c>
      <c r="D226">
        <v>151</v>
      </c>
      <c r="E226">
        <v>42.01</v>
      </c>
      <c r="F226" s="1" t="s">
        <v>1483</v>
      </c>
      <c r="G226" s="2">
        <v>46143</v>
      </c>
      <c r="H226">
        <v>151</v>
      </c>
      <c r="I226" s="2">
        <v>46143</v>
      </c>
      <c r="J226" s="1" t="s">
        <v>895</v>
      </c>
      <c r="K226">
        <v>151</v>
      </c>
      <c r="L226">
        <v>42.01</v>
      </c>
      <c r="M226" s="2">
        <v>46149</v>
      </c>
      <c r="N226" t="str">
        <f>IF(po_master[[#This Row],[Approved By]]="", "Missing Approval", "OK")</f>
        <v>OK</v>
      </c>
      <c r="O226" t="str">
        <f>IF(ISBLANK(po_master[[#This Row],[GR Quantity]]), "No GR - Not received", "OK")</f>
        <v>OK</v>
      </c>
      <c r="P226" s="1" t="str">
        <f>IF(po_master[[#This Row],[Promised Delivey Date]]&lt;po_master[[#This Row],[Order Date]], "Invalid", "OK")</f>
        <v>OK</v>
      </c>
      <c r="Q226" s="1" t="str">
        <f>IF(ISBLANK(po_master[[#This Row],[Invoice Number]]), "No Invoice", "OK")</f>
        <v>OK</v>
      </c>
      <c r="R226" s="1" t="str">
        <f>IF(AND(NOT(ISBLANK(po_master[[#This Row],[GR Quantity]])), po_master[[#This Row],[GR Quantity]]&lt;&gt;po_master[[#This Row],[PO Quantity]]), "Qty Variance", "OK")</f>
        <v>OK</v>
      </c>
      <c r="S226" s="1" t="str">
        <f>IF(po_master[[#This Row],[Invoice Unit Price]]&gt;po_master[[#This Row],[PO Unit Price]]*1.01, "Price Variance", "OK")</f>
        <v>OK</v>
      </c>
      <c r="T226" s="1" t="str">
        <f>IF(po_master[[#This Row],[Actual Delivery Date]]&gt;po_master[[#This Row],[Promised Delivey Date]], "Late Delivery", "OK")</f>
        <v>OK</v>
      </c>
      <c r="U226" s="1" t="str">
        <f>IF(COUNTIF(po_master[PO Number],po_master[[#This Row],[PO Number]])&gt;1, "Duplicate Invoice", "OK")</f>
        <v>OK</v>
      </c>
    </row>
    <row r="227" spans="1:21" x14ac:dyDescent="0.25">
      <c r="A227" s="1" t="s">
        <v>201</v>
      </c>
      <c r="B227" s="1" t="s">
        <v>1457</v>
      </c>
      <c r="C227" s="2">
        <v>46077</v>
      </c>
      <c r="D227">
        <v>338</v>
      </c>
      <c r="E227">
        <v>129.69999999999999</v>
      </c>
      <c r="F227" s="1" t="s">
        <v>1448</v>
      </c>
      <c r="G227" s="2">
        <v>46083</v>
      </c>
      <c r="H227">
        <v>338</v>
      </c>
      <c r="I227" s="2">
        <v>46082</v>
      </c>
      <c r="J227" s="1" t="s">
        <v>896</v>
      </c>
      <c r="K227">
        <v>338</v>
      </c>
      <c r="L227">
        <v>129.69999999999999</v>
      </c>
      <c r="M227" s="2">
        <v>46088</v>
      </c>
      <c r="N227" t="str">
        <f>IF(po_master[[#This Row],[Approved By]]="", "Missing Approval", "OK")</f>
        <v>OK</v>
      </c>
      <c r="O227" t="str">
        <f>IF(ISBLANK(po_master[[#This Row],[GR Quantity]]), "No GR - Not received", "OK")</f>
        <v>OK</v>
      </c>
      <c r="P227" s="1" t="str">
        <f>IF(po_master[[#This Row],[Promised Delivey Date]]&lt;po_master[[#This Row],[Order Date]], "Invalid", "OK")</f>
        <v>OK</v>
      </c>
      <c r="Q227" s="1" t="str">
        <f>IF(ISBLANK(po_master[[#This Row],[Invoice Number]]), "No Invoice", "OK")</f>
        <v>OK</v>
      </c>
      <c r="R227" s="1" t="str">
        <f>IF(AND(NOT(ISBLANK(po_master[[#This Row],[GR Quantity]])), po_master[[#This Row],[GR Quantity]]&lt;&gt;po_master[[#This Row],[PO Quantity]]), "Qty Variance", "OK")</f>
        <v>OK</v>
      </c>
      <c r="S227" s="1" t="str">
        <f>IF(po_master[[#This Row],[Invoice Unit Price]]&gt;po_master[[#This Row],[PO Unit Price]]*1.01, "Price Variance", "OK")</f>
        <v>OK</v>
      </c>
      <c r="T227" s="1" t="str">
        <f>IF(po_master[[#This Row],[Actual Delivery Date]]&gt;po_master[[#This Row],[Promised Delivey Date]], "Late Delivery", "OK")</f>
        <v>OK</v>
      </c>
      <c r="U227" s="1" t="str">
        <f>IF(COUNTIF(po_master[PO Number],po_master[[#This Row],[PO Number]])&gt;1, "Duplicate Invoice", "OK")</f>
        <v>OK</v>
      </c>
    </row>
    <row r="228" spans="1:21" x14ac:dyDescent="0.25">
      <c r="A228" s="1" t="s">
        <v>202</v>
      </c>
      <c r="B228" s="1" t="s">
        <v>1479</v>
      </c>
      <c r="C228" s="2">
        <v>46085</v>
      </c>
      <c r="D228">
        <v>74</v>
      </c>
      <c r="E228">
        <v>158.46</v>
      </c>
      <c r="F228" s="1" t="s">
        <v>1444</v>
      </c>
      <c r="G228" s="2">
        <v>46092</v>
      </c>
      <c r="H228">
        <v>74</v>
      </c>
      <c r="I228" s="2">
        <v>46106</v>
      </c>
      <c r="J228" s="1" t="s">
        <v>897</v>
      </c>
      <c r="K228">
        <v>74</v>
      </c>
      <c r="L228">
        <v>158.46</v>
      </c>
      <c r="M228" s="2">
        <v>46100</v>
      </c>
      <c r="N228" t="str">
        <f>IF(po_master[[#This Row],[Approved By]]="", "Missing Approval", "OK")</f>
        <v>OK</v>
      </c>
      <c r="O228" t="str">
        <f>IF(ISBLANK(po_master[[#This Row],[GR Quantity]]), "No GR - Not received", "OK")</f>
        <v>OK</v>
      </c>
      <c r="P228" s="1" t="str">
        <f>IF(po_master[[#This Row],[Promised Delivey Date]]&lt;po_master[[#This Row],[Order Date]], "Invalid", "OK")</f>
        <v>OK</v>
      </c>
      <c r="Q228" s="1" t="str">
        <f>IF(ISBLANK(po_master[[#This Row],[Invoice Number]]), "No Invoice", "OK")</f>
        <v>OK</v>
      </c>
      <c r="R228" s="1" t="str">
        <f>IF(AND(NOT(ISBLANK(po_master[[#This Row],[GR Quantity]])), po_master[[#This Row],[GR Quantity]]&lt;&gt;po_master[[#This Row],[PO Quantity]]), "Qty Variance", "OK")</f>
        <v>OK</v>
      </c>
      <c r="S228" s="1" t="str">
        <f>IF(po_master[[#This Row],[Invoice Unit Price]]&gt;po_master[[#This Row],[PO Unit Price]]*1.01, "Price Variance", "OK")</f>
        <v>OK</v>
      </c>
      <c r="T228" s="1" t="str">
        <f>IF(po_master[[#This Row],[Actual Delivery Date]]&gt;po_master[[#This Row],[Promised Delivey Date]], "Late Delivery", "OK")</f>
        <v>Late Delivery</v>
      </c>
      <c r="U228" s="1" t="str">
        <f>IF(COUNTIF(po_master[PO Number],po_master[[#This Row],[PO Number]])&gt;1, "Duplicate Invoice", "OK")</f>
        <v>OK</v>
      </c>
    </row>
    <row r="229" spans="1:21" x14ac:dyDescent="0.25">
      <c r="A229" s="1" t="s">
        <v>203</v>
      </c>
      <c r="B229" s="1" t="s">
        <v>1454</v>
      </c>
      <c r="C229" s="2">
        <v>46076</v>
      </c>
      <c r="D229">
        <v>310</v>
      </c>
      <c r="E229">
        <v>47.11</v>
      </c>
      <c r="F229" s="1" t="s">
        <v>1440</v>
      </c>
      <c r="G229" s="2">
        <v>46091</v>
      </c>
      <c r="H229">
        <v>310</v>
      </c>
      <c r="I229" s="2">
        <v>46107</v>
      </c>
      <c r="J229" s="1" t="s">
        <v>898</v>
      </c>
      <c r="K229">
        <v>310</v>
      </c>
      <c r="L229">
        <v>52.95</v>
      </c>
      <c r="M229" s="2">
        <v>46101</v>
      </c>
      <c r="N229" t="str">
        <f>IF(po_master[[#This Row],[Approved By]]="", "Missing Approval", "OK")</f>
        <v>OK</v>
      </c>
      <c r="O229" t="str">
        <f>IF(ISBLANK(po_master[[#This Row],[GR Quantity]]), "No GR - Not received", "OK")</f>
        <v>OK</v>
      </c>
      <c r="P229" s="1" t="str">
        <f>IF(po_master[[#This Row],[Promised Delivey Date]]&lt;po_master[[#This Row],[Order Date]], "Invalid", "OK")</f>
        <v>OK</v>
      </c>
      <c r="Q229" s="1" t="str">
        <f>IF(ISBLANK(po_master[[#This Row],[Invoice Number]]), "No Invoice", "OK")</f>
        <v>OK</v>
      </c>
      <c r="R229" s="1" t="str">
        <f>IF(AND(NOT(ISBLANK(po_master[[#This Row],[GR Quantity]])), po_master[[#This Row],[GR Quantity]]&lt;&gt;po_master[[#This Row],[PO Quantity]]), "Qty Variance", "OK")</f>
        <v>OK</v>
      </c>
      <c r="S229" s="1" t="str">
        <f>IF(po_master[[#This Row],[Invoice Unit Price]]&gt;po_master[[#This Row],[PO Unit Price]]*1.01, "Price Variance", "OK")</f>
        <v>Price Variance</v>
      </c>
      <c r="T229" s="1" t="str">
        <f>IF(po_master[[#This Row],[Actual Delivery Date]]&gt;po_master[[#This Row],[Promised Delivey Date]], "Late Delivery", "OK")</f>
        <v>Late Delivery</v>
      </c>
      <c r="U229" s="1" t="str">
        <f>IF(COUNTIF(po_master[PO Number],po_master[[#This Row],[PO Number]])&gt;1, "Duplicate Invoice", "OK")</f>
        <v>OK</v>
      </c>
    </row>
    <row r="230" spans="1:21" x14ac:dyDescent="0.25">
      <c r="A230" s="1" t="s">
        <v>204</v>
      </c>
      <c r="B230" s="1" t="s">
        <v>1464</v>
      </c>
      <c r="C230" s="2">
        <v>46023</v>
      </c>
      <c r="D230">
        <v>151</v>
      </c>
      <c r="E230">
        <v>172.39</v>
      </c>
      <c r="F230" s="1" t="s">
        <v>1485</v>
      </c>
      <c r="G230" s="2">
        <v>46032</v>
      </c>
      <c r="H230">
        <v>151</v>
      </c>
      <c r="I230" s="2">
        <v>46034</v>
      </c>
      <c r="J230" s="1" t="s">
        <v>899</v>
      </c>
      <c r="K230">
        <v>151</v>
      </c>
      <c r="L230">
        <v>172.39</v>
      </c>
      <c r="M230" s="2">
        <v>46039</v>
      </c>
      <c r="N230" t="str">
        <f>IF(po_master[[#This Row],[Approved By]]="", "Missing Approval", "OK")</f>
        <v>OK</v>
      </c>
      <c r="O230" t="str">
        <f>IF(ISBLANK(po_master[[#This Row],[GR Quantity]]), "No GR - Not received", "OK")</f>
        <v>OK</v>
      </c>
      <c r="P230" s="1" t="str">
        <f>IF(po_master[[#This Row],[Promised Delivey Date]]&lt;po_master[[#This Row],[Order Date]], "Invalid", "OK")</f>
        <v>OK</v>
      </c>
      <c r="Q230" s="1" t="str">
        <f>IF(ISBLANK(po_master[[#This Row],[Invoice Number]]), "No Invoice", "OK")</f>
        <v>OK</v>
      </c>
      <c r="R230" s="1" t="str">
        <f>IF(AND(NOT(ISBLANK(po_master[[#This Row],[GR Quantity]])), po_master[[#This Row],[GR Quantity]]&lt;&gt;po_master[[#This Row],[PO Quantity]]), "Qty Variance", "OK")</f>
        <v>OK</v>
      </c>
      <c r="S230" s="1" t="str">
        <f>IF(po_master[[#This Row],[Invoice Unit Price]]&gt;po_master[[#This Row],[PO Unit Price]]*1.01, "Price Variance", "OK")</f>
        <v>OK</v>
      </c>
      <c r="T230" s="1" t="str">
        <f>IF(po_master[[#This Row],[Actual Delivery Date]]&gt;po_master[[#This Row],[Promised Delivey Date]], "Late Delivery", "OK")</f>
        <v>Late Delivery</v>
      </c>
      <c r="U230" s="1" t="str">
        <f>IF(COUNTIF(po_master[PO Number],po_master[[#This Row],[PO Number]])&gt;1, "Duplicate Invoice", "OK")</f>
        <v>OK</v>
      </c>
    </row>
    <row r="231" spans="1:21" x14ac:dyDescent="0.25">
      <c r="A231" s="1" t="s">
        <v>205</v>
      </c>
      <c r="B231" s="1" t="s">
        <v>1441</v>
      </c>
      <c r="C231" s="2">
        <v>46026</v>
      </c>
      <c r="D231">
        <v>193</v>
      </c>
      <c r="E231">
        <v>159.05000000000001</v>
      </c>
      <c r="F231" s="1" t="s">
        <v>1440</v>
      </c>
      <c r="G231" s="2">
        <v>46041</v>
      </c>
      <c r="H231">
        <v>193</v>
      </c>
      <c r="I231" s="2">
        <v>46039</v>
      </c>
      <c r="J231" s="1" t="s">
        <v>902</v>
      </c>
      <c r="K231">
        <v>193</v>
      </c>
      <c r="L231">
        <v>159.05000000000001</v>
      </c>
      <c r="M231" s="2">
        <v>46051</v>
      </c>
      <c r="N231" t="str">
        <f>IF(po_master[[#This Row],[Approved By]]="", "Missing Approval", "OK")</f>
        <v>OK</v>
      </c>
      <c r="O231" t="str">
        <f>IF(ISBLANK(po_master[[#This Row],[GR Quantity]]), "No GR - Not received", "OK")</f>
        <v>OK</v>
      </c>
      <c r="P231" s="1" t="str">
        <f>IF(po_master[[#This Row],[Promised Delivey Date]]&lt;po_master[[#This Row],[Order Date]], "Invalid", "OK")</f>
        <v>OK</v>
      </c>
      <c r="Q231" s="1" t="str">
        <f>IF(ISBLANK(po_master[[#This Row],[Invoice Number]]), "No Invoice", "OK")</f>
        <v>OK</v>
      </c>
      <c r="R231" s="1" t="str">
        <f>IF(AND(NOT(ISBLANK(po_master[[#This Row],[GR Quantity]])), po_master[[#This Row],[GR Quantity]]&lt;&gt;po_master[[#This Row],[PO Quantity]]), "Qty Variance", "OK")</f>
        <v>OK</v>
      </c>
      <c r="S231" s="1" t="str">
        <f>IF(po_master[[#This Row],[Invoice Unit Price]]&gt;po_master[[#This Row],[PO Unit Price]]*1.01, "Price Variance", "OK")</f>
        <v>OK</v>
      </c>
      <c r="T231" s="1" t="str">
        <f>IF(po_master[[#This Row],[Actual Delivery Date]]&gt;po_master[[#This Row],[Promised Delivey Date]], "Late Delivery", "OK")</f>
        <v>OK</v>
      </c>
      <c r="U231" s="1" t="str">
        <f>IF(COUNTIF(po_master[PO Number],po_master[[#This Row],[PO Number]])&gt;1, "Duplicate Invoice", "OK")</f>
        <v>OK</v>
      </c>
    </row>
    <row r="232" spans="1:21" x14ac:dyDescent="0.25">
      <c r="A232" s="1" t="s">
        <v>206</v>
      </c>
      <c r="B232" s="1" t="s">
        <v>1473</v>
      </c>
      <c r="C232" s="2">
        <v>46067</v>
      </c>
      <c r="D232">
        <v>145</v>
      </c>
      <c r="E232">
        <v>15.22</v>
      </c>
      <c r="F232" s="1" t="s">
        <v>1490</v>
      </c>
      <c r="G232" s="2">
        <v>46085</v>
      </c>
      <c r="H232">
        <v>145</v>
      </c>
      <c r="I232" s="2">
        <v>46085</v>
      </c>
      <c r="J232" s="1" t="s">
        <v>903</v>
      </c>
      <c r="K232">
        <v>145</v>
      </c>
      <c r="L232">
        <v>15.22</v>
      </c>
      <c r="M232" s="2">
        <v>46088</v>
      </c>
      <c r="N232" t="str">
        <f>IF(po_master[[#This Row],[Approved By]]="", "Missing Approval", "OK")</f>
        <v>OK</v>
      </c>
      <c r="O232" t="str">
        <f>IF(ISBLANK(po_master[[#This Row],[GR Quantity]]), "No GR - Not received", "OK")</f>
        <v>OK</v>
      </c>
      <c r="P232" s="1" t="str">
        <f>IF(po_master[[#This Row],[Promised Delivey Date]]&lt;po_master[[#This Row],[Order Date]], "Invalid", "OK")</f>
        <v>OK</v>
      </c>
      <c r="Q232" s="1" t="str">
        <f>IF(ISBLANK(po_master[[#This Row],[Invoice Number]]), "No Invoice", "OK")</f>
        <v>OK</v>
      </c>
      <c r="R232" s="1" t="str">
        <f>IF(AND(NOT(ISBLANK(po_master[[#This Row],[GR Quantity]])), po_master[[#This Row],[GR Quantity]]&lt;&gt;po_master[[#This Row],[PO Quantity]]), "Qty Variance", "OK")</f>
        <v>OK</v>
      </c>
      <c r="S232" s="1" t="str">
        <f>IF(po_master[[#This Row],[Invoice Unit Price]]&gt;po_master[[#This Row],[PO Unit Price]]*1.01, "Price Variance", "OK")</f>
        <v>OK</v>
      </c>
      <c r="T232" s="1" t="str">
        <f>IF(po_master[[#This Row],[Actual Delivery Date]]&gt;po_master[[#This Row],[Promised Delivey Date]], "Late Delivery", "OK")</f>
        <v>OK</v>
      </c>
      <c r="U232" s="1" t="str">
        <f>IF(COUNTIF(po_master[PO Number],po_master[[#This Row],[PO Number]])&gt;1, "Duplicate Invoice", "OK")</f>
        <v>OK</v>
      </c>
    </row>
    <row r="233" spans="1:21" x14ac:dyDescent="0.25">
      <c r="A233" s="1" t="s">
        <v>207</v>
      </c>
      <c r="B233" s="1" t="s">
        <v>1491</v>
      </c>
      <c r="C233" s="2">
        <v>46052</v>
      </c>
      <c r="D233">
        <v>391</v>
      </c>
      <c r="E233">
        <v>17.39</v>
      </c>
      <c r="F233" s="1" t="s">
        <v>1469</v>
      </c>
      <c r="G233" s="2">
        <v>46068</v>
      </c>
      <c r="H233">
        <v>391</v>
      </c>
      <c r="I233" s="2">
        <v>46069</v>
      </c>
      <c r="J233" s="1" t="s">
        <v>904</v>
      </c>
      <c r="K233">
        <v>391</v>
      </c>
      <c r="L233">
        <v>17.39</v>
      </c>
      <c r="M233" s="2">
        <v>46070</v>
      </c>
      <c r="N233" t="str">
        <f>IF(po_master[[#This Row],[Approved By]]="", "Missing Approval", "OK")</f>
        <v>OK</v>
      </c>
      <c r="O233" t="str">
        <f>IF(ISBLANK(po_master[[#This Row],[GR Quantity]]), "No GR - Not received", "OK")</f>
        <v>OK</v>
      </c>
      <c r="P233" s="1" t="str">
        <f>IF(po_master[[#This Row],[Promised Delivey Date]]&lt;po_master[[#This Row],[Order Date]], "Invalid", "OK")</f>
        <v>OK</v>
      </c>
      <c r="Q233" s="1" t="str">
        <f>IF(ISBLANK(po_master[[#This Row],[Invoice Number]]), "No Invoice", "OK")</f>
        <v>OK</v>
      </c>
      <c r="R233" s="1" t="str">
        <f>IF(AND(NOT(ISBLANK(po_master[[#This Row],[GR Quantity]])), po_master[[#This Row],[GR Quantity]]&lt;&gt;po_master[[#This Row],[PO Quantity]]), "Qty Variance", "OK")</f>
        <v>OK</v>
      </c>
      <c r="S233" s="1" t="str">
        <f>IF(po_master[[#This Row],[Invoice Unit Price]]&gt;po_master[[#This Row],[PO Unit Price]]*1.01, "Price Variance", "OK")</f>
        <v>OK</v>
      </c>
      <c r="T233" s="1" t="str">
        <f>IF(po_master[[#This Row],[Actual Delivery Date]]&gt;po_master[[#This Row],[Promised Delivey Date]], "Late Delivery", "OK")</f>
        <v>Late Delivery</v>
      </c>
      <c r="U233" s="1" t="str">
        <f>IF(COUNTIF(po_master[PO Number],po_master[[#This Row],[PO Number]])&gt;1, "Duplicate Invoice", "OK")</f>
        <v>OK</v>
      </c>
    </row>
    <row r="234" spans="1:21" x14ac:dyDescent="0.25">
      <c r="A234" s="1" t="s">
        <v>208</v>
      </c>
      <c r="B234" s="1" t="s">
        <v>1445</v>
      </c>
      <c r="C234" s="2">
        <v>46050</v>
      </c>
      <c r="D234">
        <v>241</v>
      </c>
      <c r="E234">
        <v>103.25</v>
      </c>
      <c r="F234" s="1" t="s">
        <v>1494</v>
      </c>
      <c r="G234" s="2">
        <v>46056</v>
      </c>
      <c r="H234">
        <v>241</v>
      </c>
      <c r="I234" s="2">
        <v>46055</v>
      </c>
      <c r="J234" s="1" t="s">
        <v>905</v>
      </c>
      <c r="K234">
        <v>241</v>
      </c>
      <c r="L234">
        <v>103.25</v>
      </c>
      <c r="M234" s="2">
        <v>46060</v>
      </c>
      <c r="N234" t="str">
        <f>IF(po_master[[#This Row],[Approved By]]="", "Missing Approval", "OK")</f>
        <v>OK</v>
      </c>
      <c r="O234" t="str">
        <f>IF(ISBLANK(po_master[[#This Row],[GR Quantity]]), "No GR - Not received", "OK")</f>
        <v>OK</v>
      </c>
      <c r="P234" s="1" t="str">
        <f>IF(po_master[[#This Row],[Promised Delivey Date]]&lt;po_master[[#This Row],[Order Date]], "Invalid", "OK")</f>
        <v>OK</v>
      </c>
      <c r="Q234" s="1" t="str">
        <f>IF(ISBLANK(po_master[[#This Row],[Invoice Number]]), "No Invoice", "OK")</f>
        <v>OK</v>
      </c>
      <c r="R234" s="1" t="str">
        <f>IF(AND(NOT(ISBLANK(po_master[[#This Row],[GR Quantity]])), po_master[[#This Row],[GR Quantity]]&lt;&gt;po_master[[#This Row],[PO Quantity]]), "Qty Variance", "OK")</f>
        <v>OK</v>
      </c>
      <c r="S234" s="1" t="str">
        <f>IF(po_master[[#This Row],[Invoice Unit Price]]&gt;po_master[[#This Row],[PO Unit Price]]*1.01, "Price Variance", "OK")</f>
        <v>OK</v>
      </c>
      <c r="T234" s="1" t="str">
        <f>IF(po_master[[#This Row],[Actual Delivery Date]]&gt;po_master[[#This Row],[Promised Delivey Date]], "Late Delivery", "OK")</f>
        <v>OK</v>
      </c>
      <c r="U234" s="1" t="str">
        <f>IF(COUNTIF(po_master[PO Number],po_master[[#This Row],[PO Number]])&gt;1, "Duplicate Invoice", "OK")</f>
        <v>OK</v>
      </c>
    </row>
    <row r="235" spans="1:21" x14ac:dyDescent="0.25">
      <c r="A235" s="1" t="s">
        <v>892</v>
      </c>
      <c r="B235" s="1" t="s">
        <v>1463</v>
      </c>
      <c r="C235" s="2">
        <v>46136</v>
      </c>
      <c r="D235">
        <v>237</v>
      </c>
      <c r="E235">
        <v>190.36</v>
      </c>
      <c r="F235" s="1" t="s">
        <v>1451</v>
      </c>
      <c r="G235" s="2">
        <v>46144</v>
      </c>
      <c r="I235" s="2"/>
      <c r="J235" s="1" t="s">
        <v>893</v>
      </c>
      <c r="K235">
        <v>237</v>
      </c>
      <c r="L235">
        <v>190.36</v>
      </c>
      <c r="M235" s="2">
        <v>46148</v>
      </c>
      <c r="N235" t="str">
        <f>IF(po_master[[#This Row],[Approved By]]="", "Missing Approval", "OK")</f>
        <v>OK</v>
      </c>
      <c r="O235" t="str">
        <f>IF(ISBLANK(po_master[[#This Row],[GR Quantity]]), "No GR - Not received", "OK")</f>
        <v>No GR - Not received</v>
      </c>
      <c r="P235" s="1" t="str">
        <f>IF(po_master[[#This Row],[Promised Delivey Date]]&lt;po_master[[#This Row],[Order Date]], "Invalid", "OK")</f>
        <v>OK</v>
      </c>
      <c r="Q235" s="1" t="str">
        <f>IF(ISBLANK(po_master[[#This Row],[Invoice Number]]), "No Invoice", "OK")</f>
        <v>OK</v>
      </c>
      <c r="R235" s="1" t="str">
        <f>IF(AND(NOT(ISBLANK(po_master[[#This Row],[GR Quantity]])), po_master[[#This Row],[GR Quantity]]&lt;&gt;po_master[[#This Row],[PO Quantity]]), "Qty Variance", "OK")</f>
        <v>OK</v>
      </c>
      <c r="S235" s="1" t="str">
        <f>IF(po_master[[#This Row],[Invoice Unit Price]]&gt;po_master[[#This Row],[PO Unit Price]]*1.01, "Price Variance", "OK")</f>
        <v>OK</v>
      </c>
      <c r="T235" s="1" t="str">
        <f>IF(po_master[[#This Row],[Actual Delivery Date]]&gt;po_master[[#This Row],[Promised Delivey Date]], "Late Delivery", "OK")</f>
        <v>OK</v>
      </c>
      <c r="U235" s="1" t="str">
        <f>IF(COUNTIF(po_master[PO Number],po_master[[#This Row],[PO Number]])&gt;1, "Duplicate Invoice", "OK")</f>
        <v>OK</v>
      </c>
    </row>
    <row r="236" spans="1:21" x14ac:dyDescent="0.25">
      <c r="A236" s="1" t="s">
        <v>209</v>
      </c>
      <c r="B236" s="1" t="s">
        <v>1477</v>
      </c>
      <c r="C236" s="2">
        <v>46156</v>
      </c>
      <c r="D236">
        <v>164</v>
      </c>
      <c r="E236">
        <v>94.32</v>
      </c>
      <c r="F236" s="1" t="s">
        <v>1448</v>
      </c>
      <c r="G236" s="2">
        <v>46162</v>
      </c>
      <c r="H236">
        <v>164</v>
      </c>
      <c r="I236" s="2">
        <v>46162</v>
      </c>
      <c r="J236" s="1" t="s">
        <v>906</v>
      </c>
      <c r="K236">
        <v>164</v>
      </c>
      <c r="L236">
        <v>94.32</v>
      </c>
      <c r="M236" s="2">
        <v>46167</v>
      </c>
      <c r="N236" t="str">
        <f>IF(po_master[[#This Row],[Approved By]]="", "Missing Approval", "OK")</f>
        <v>OK</v>
      </c>
      <c r="O236" t="str">
        <f>IF(ISBLANK(po_master[[#This Row],[GR Quantity]]), "No GR - Not received", "OK")</f>
        <v>OK</v>
      </c>
      <c r="P236" s="1" t="str">
        <f>IF(po_master[[#This Row],[Promised Delivey Date]]&lt;po_master[[#This Row],[Order Date]], "Invalid", "OK")</f>
        <v>OK</v>
      </c>
      <c r="Q236" s="1" t="str">
        <f>IF(ISBLANK(po_master[[#This Row],[Invoice Number]]), "No Invoice", "OK")</f>
        <v>OK</v>
      </c>
      <c r="R236" s="1" t="str">
        <f>IF(AND(NOT(ISBLANK(po_master[[#This Row],[GR Quantity]])), po_master[[#This Row],[GR Quantity]]&lt;&gt;po_master[[#This Row],[PO Quantity]]), "Qty Variance", "OK")</f>
        <v>OK</v>
      </c>
      <c r="S236" s="1" t="str">
        <f>IF(po_master[[#This Row],[Invoice Unit Price]]&gt;po_master[[#This Row],[PO Unit Price]]*1.01, "Price Variance", "OK")</f>
        <v>OK</v>
      </c>
      <c r="T236" s="1" t="str">
        <f>IF(po_master[[#This Row],[Actual Delivery Date]]&gt;po_master[[#This Row],[Promised Delivey Date]], "Late Delivery", "OK")</f>
        <v>OK</v>
      </c>
      <c r="U236" s="1" t="str">
        <f>IF(COUNTIF(po_master[PO Number],po_master[[#This Row],[PO Number]])&gt;1, "Duplicate Invoice", "OK")</f>
        <v>OK</v>
      </c>
    </row>
    <row r="237" spans="1:21" x14ac:dyDescent="0.25">
      <c r="A237" s="1" t="s">
        <v>210</v>
      </c>
      <c r="B237" s="1" t="s">
        <v>1510</v>
      </c>
      <c r="C237" s="2">
        <v>46125</v>
      </c>
      <c r="D237">
        <v>228</v>
      </c>
      <c r="E237">
        <v>138.79</v>
      </c>
      <c r="F237" s="1" t="s">
        <v>1487</v>
      </c>
      <c r="G237" s="2">
        <v>46144</v>
      </c>
      <c r="H237">
        <v>228</v>
      </c>
      <c r="I237" s="2">
        <v>46143</v>
      </c>
      <c r="J237" s="1" t="s">
        <v>907</v>
      </c>
      <c r="K237">
        <v>228</v>
      </c>
      <c r="L237">
        <v>138.79</v>
      </c>
      <c r="M237" s="2">
        <v>46153</v>
      </c>
      <c r="N237" t="str">
        <f>IF(po_master[[#This Row],[Approved By]]="", "Missing Approval", "OK")</f>
        <v>OK</v>
      </c>
      <c r="O237" t="str">
        <f>IF(ISBLANK(po_master[[#This Row],[GR Quantity]]), "No GR - Not received", "OK")</f>
        <v>OK</v>
      </c>
      <c r="P237" s="1" t="str">
        <f>IF(po_master[[#This Row],[Promised Delivey Date]]&lt;po_master[[#This Row],[Order Date]], "Invalid", "OK")</f>
        <v>OK</v>
      </c>
      <c r="Q237" s="1" t="str">
        <f>IF(ISBLANK(po_master[[#This Row],[Invoice Number]]), "No Invoice", "OK")</f>
        <v>OK</v>
      </c>
      <c r="R237" s="1" t="str">
        <f>IF(AND(NOT(ISBLANK(po_master[[#This Row],[GR Quantity]])), po_master[[#This Row],[GR Quantity]]&lt;&gt;po_master[[#This Row],[PO Quantity]]), "Qty Variance", "OK")</f>
        <v>OK</v>
      </c>
      <c r="S237" s="1" t="str">
        <f>IF(po_master[[#This Row],[Invoice Unit Price]]&gt;po_master[[#This Row],[PO Unit Price]]*1.01, "Price Variance", "OK")</f>
        <v>OK</v>
      </c>
      <c r="T237" s="1" t="str">
        <f>IF(po_master[[#This Row],[Actual Delivery Date]]&gt;po_master[[#This Row],[Promised Delivey Date]], "Late Delivery", "OK")</f>
        <v>OK</v>
      </c>
      <c r="U237" s="1" t="str">
        <f>IF(COUNTIF(po_master[PO Number],po_master[[#This Row],[PO Number]])&gt;1, "Duplicate Invoice", "OK")</f>
        <v>OK</v>
      </c>
    </row>
    <row r="238" spans="1:21" x14ac:dyDescent="0.25">
      <c r="A238" s="1" t="s">
        <v>211</v>
      </c>
      <c r="B238" s="1" t="s">
        <v>1492</v>
      </c>
      <c r="C238" s="2">
        <v>46043</v>
      </c>
      <c r="D238">
        <v>174</v>
      </c>
      <c r="E238">
        <v>123.62</v>
      </c>
      <c r="F238" s="1" t="s">
        <v>1476</v>
      </c>
      <c r="G238" s="2">
        <v>46052</v>
      </c>
      <c r="H238">
        <v>174</v>
      </c>
      <c r="I238" s="2">
        <v>46051</v>
      </c>
      <c r="J238" s="1" t="s">
        <v>908</v>
      </c>
      <c r="K238">
        <v>174</v>
      </c>
      <c r="L238">
        <v>123.62</v>
      </c>
      <c r="M238" s="2">
        <v>46060</v>
      </c>
      <c r="N238" t="str">
        <f>IF(po_master[[#This Row],[Approved By]]="", "Missing Approval", "OK")</f>
        <v>OK</v>
      </c>
      <c r="O238" t="str">
        <f>IF(ISBLANK(po_master[[#This Row],[GR Quantity]]), "No GR - Not received", "OK")</f>
        <v>OK</v>
      </c>
      <c r="P238" s="1" t="str">
        <f>IF(po_master[[#This Row],[Promised Delivey Date]]&lt;po_master[[#This Row],[Order Date]], "Invalid", "OK")</f>
        <v>OK</v>
      </c>
      <c r="Q238" s="1" t="str">
        <f>IF(ISBLANK(po_master[[#This Row],[Invoice Number]]), "No Invoice", "OK")</f>
        <v>OK</v>
      </c>
      <c r="R238" s="1" t="str">
        <f>IF(AND(NOT(ISBLANK(po_master[[#This Row],[GR Quantity]])), po_master[[#This Row],[GR Quantity]]&lt;&gt;po_master[[#This Row],[PO Quantity]]), "Qty Variance", "OK")</f>
        <v>OK</v>
      </c>
      <c r="S238" s="1" t="str">
        <f>IF(po_master[[#This Row],[Invoice Unit Price]]&gt;po_master[[#This Row],[PO Unit Price]]*1.01, "Price Variance", "OK")</f>
        <v>OK</v>
      </c>
      <c r="T238" s="1" t="str">
        <f>IF(po_master[[#This Row],[Actual Delivery Date]]&gt;po_master[[#This Row],[Promised Delivey Date]], "Late Delivery", "OK")</f>
        <v>OK</v>
      </c>
      <c r="U238" s="1" t="str">
        <f>IF(COUNTIF(po_master[PO Number],po_master[[#This Row],[PO Number]])&gt;1, "Duplicate Invoice", "OK")</f>
        <v>Duplicate Invoice</v>
      </c>
    </row>
    <row r="239" spans="1:21" x14ac:dyDescent="0.25">
      <c r="A239" s="1" t="s">
        <v>211</v>
      </c>
      <c r="B239" s="1" t="s">
        <v>1492</v>
      </c>
      <c r="C239" s="2">
        <v>46043</v>
      </c>
      <c r="D239">
        <v>174</v>
      </c>
      <c r="E239">
        <v>123.62</v>
      </c>
      <c r="F239" s="1" t="s">
        <v>1476</v>
      </c>
      <c r="G239" s="2">
        <v>46052</v>
      </c>
      <c r="H239">
        <v>174</v>
      </c>
      <c r="I239" s="2">
        <v>46051</v>
      </c>
      <c r="J239" s="1" t="s">
        <v>909</v>
      </c>
      <c r="K239">
        <v>174</v>
      </c>
      <c r="L239">
        <v>123.62</v>
      </c>
      <c r="M239" s="2">
        <v>46064</v>
      </c>
      <c r="N239" t="str">
        <f>IF(po_master[[#This Row],[Approved By]]="", "Missing Approval", "OK")</f>
        <v>OK</v>
      </c>
      <c r="O239" t="str">
        <f>IF(ISBLANK(po_master[[#This Row],[GR Quantity]]), "No GR - Not received", "OK")</f>
        <v>OK</v>
      </c>
      <c r="P239" s="1" t="str">
        <f>IF(po_master[[#This Row],[Promised Delivey Date]]&lt;po_master[[#This Row],[Order Date]], "Invalid", "OK")</f>
        <v>OK</v>
      </c>
      <c r="Q239" s="1" t="str">
        <f>IF(ISBLANK(po_master[[#This Row],[Invoice Number]]), "No Invoice", "OK")</f>
        <v>OK</v>
      </c>
      <c r="R239" s="1" t="str">
        <f>IF(AND(NOT(ISBLANK(po_master[[#This Row],[GR Quantity]])), po_master[[#This Row],[GR Quantity]]&lt;&gt;po_master[[#This Row],[PO Quantity]]), "Qty Variance", "OK")</f>
        <v>OK</v>
      </c>
      <c r="S239" s="1" t="str">
        <f>IF(po_master[[#This Row],[Invoice Unit Price]]&gt;po_master[[#This Row],[PO Unit Price]]*1.01, "Price Variance", "OK")</f>
        <v>OK</v>
      </c>
      <c r="T239" s="1" t="str">
        <f>IF(po_master[[#This Row],[Actual Delivery Date]]&gt;po_master[[#This Row],[Promised Delivey Date]], "Late Delivery", "OK")</f>
        <v>OK</v>
      </c>
      <c r="U239" s="1" t="str">
        <f>IF(COUNTIF(po_master[PO Number],po_master[[#This Row],[PO Number]])&gt;1, "Duplicate Invoice", "OK")</f>
        <v>Duplicate Invoice</v>
      </c>
    </row>
    <row r="240" spans="1:21" x14ac:dyDescent="0.25">
      <c r="A240" s="1" t="s">
        <v>212</v>
      </c>
      <c r="B240" s="1" t="s">
        <v>1511</v>
      </c>
      <c r="C240" s="2">
        <v>46172</v>
      </c>
      <c r="D240">
        <v>290</v>
      </c>
      <c r="E240">
        <v>143.87</v>
      </c>
      <c r="F240" s="1" t="s">
        <v>1453</v>
      </c>
      <c r="G240" s="2">
        <v>46193</v>
      </c>
      <c r="H240">
        <v>290</v>
      </c>
      <c r="I240" s="2">
        <v>46195</v>
      </c>
      <c r="J240" s="1" t="s">
        <v>910</v>
      </c>
      <c r="K240">
        <v>290</v>
      </c>
      <c r="L240">
        <v>143.87</v>
      </c>
      <c r="M240" s="2">
        <v>46194</v>
      </c>
      <c r="N240" t="str">
        <f>IF(po_master[[#This Row],[Approved By]]="", "Missing Approval", "OK")</f>
        <v>OK</v>
      </c>
      <c r="O240" t="str">
        <f>IF(ISBLANK(po_master[[#This Row],[GR Quantity]]), "No GR - Not received", "OK")</f>
        <v>OK</v>
      </c>
      <c r="P240" s="1" t="str">
        <f>IF(po_master[[#This Row],[Promised Delivey Date]]&lt;po_master[[#This Row],[Order Date]], "Invalid", "OK")</f>
        <v>OK</v>
      </c>
      <c r="Q240" s="1" t="str">
        <f>IF(ISBLANK(po_master[[#This Row],[Invoice Number]]), "No Invoice", "OK")</f>
        <v>OK</v>
      </c>
      <c r="R240" s="1" t="str">
        <f>IF(AND(NOT(ISBLANK(po_master[[#This Row],[GR Quantity]])), po_master[[#This Row],[GR Quantity]]&lt;&gt;po_master[[#This Row],[PO Quantity]]), "Qty Variance", "OK")</f>
        <v>OK</v>
      </c>
      <c r="S240" s="1" t="str">
        <f>IF(po_master[[#This Row],[Invoice Unit Price]]&gt;po_master[[#This Row],[PO Unit Price]]*1.01, "Price Variance", "OK")</f>
        <v>OK</v>
      </c>
      <c r="T240" s="1" t="str">
        <f>IF(po_master[[#This Row],[Actual Delivery Date]]&gt;po_master[[#This Row],[Promised Delivey Date]], "Late Delivery", "OK")</f>
        <v>Late Delivery</v>
      </c>
      <c r="U240" s="1" t="str">
        <f>IF(COUNTIF(po_master[PO Number],po_master[[#This Row],[PO Number]])&gt;1, "Duplicate Invoice", "OK")</f>
        <v>OK</v>
      </c>
    </row>
    <row r="241" spans="1:21" x14ac:dyDescent="0.25">
      <c r="A241" s="1" t="s">
        <v>213</v>
      </c>
      <c r="B241" s="1" t="s">
        <v>1506</v>
      </c>
      <c r="C241" s="2">
        <v>46139</v>
      </c>
      <c r="D241">
        <v>268</v>
      </c>
      <c r="E241">
        <v>123.06</v>
      </c>
      <c r="F241" s="1" t="s">
        <v>1483</v>
      </c>
      <c r="G241" s="2">
        <v>46147</v>
      </c>
      <c r="H241">
        <v>268</v>
      </c>
      <c r="I241" s="2">
        <v>46146</v>
      </c>
      <c r="J241" s="1" t="s">
        <v>911</v>
      </c>
      <c r="K241">
        <v>268</v>
      </c>
      <c r="L241">
        <v>123.06</v>
      </c>
      <c r="M241" s="2">
        <v>46154</v>
      </c>
      <c r="N241" t="str">
        <f>IF(po_master[[#This Row],[Approved By]]="", "Missing Approval", "OK")</f>
        <v>OK</v>
      </c>
      <c r="O241" t="str">
        <f>IF(ISBLANK(po_master[[#This Row],[GR Quantity]]), "No GR - Not received", "OK")</f>
        <v>OK</v>
      </c>
      <c r="P241" s="1" t="str">
        <f>IF(po_master[[#This Row],[Promised Delivey Date]]&lt;po_master[[#This Row],[Order Date]], "Invalid", "OK")</f>
        <v>OK</v>
      </c>
      <c r="Q241" s="1" t="str">
        <f>IF(ISBLANK(po_master[[#This Row],[Invoice Number]]), "No Invoice", "OK")</f>
        <v>OK</v>
      </c>
      <c r="R241" s="1" t="str">
        <f>IF(AND(NOT(ISBLANK(po_master[[#This Row],[GR Quantity]])), po_master[[#This Row],[GR Quantity]]&lt;&gt;po_master[[#This Row],[PO Quantity]]), "Qty Variance", "OK")</f>
        <v>OK</v>
      </c>
      <c r="S241" s="1" t="str">
        <f>IF(po_master[[#This Row],[Invoice Unit Price]]&gt;po_master[[#This Row],[PO Unit Price]]*1.01, "Price Variance", "OK")</f>
        <v>OK</v>
      </c>
      <c r="T241" s="1" t="str">
        <f>IF(po_master[[#This Row],[Actual Delivery Date]]&gt;po_master[[#This Row],[Promised Delivey Date]], "Late Delivery", "OK")</f>
        <v>OK</v>
      </c>
      <c r="U241" s="1" t="str">
        <f>IF(COUNTIF(po_master[PO Number],po_master[[#This Row],[PO Number]])&gt;1, "Duplicate Invoice", "OK")</f>
        <v>OK</v>
      </c>
    </row>
    <row r="242" spans="1:21" x14ac:dyDescent="0.25">
      <c r="A242" s="1" t="s">
        <v>214</v>
      </c>
      <c r="B242" s="1" t="s">
        <v>1508</v>
      </c>
      <c r="C242" s="2">
        <v>46164</v>
      </c>
      <c r="D242">
        <v>379</v>
      </c>
      <c r="E242">
        <v>173.77</v>
      </c>
      <c r="F242" s="1" t="s">
        <v>1507</v>
      </c>
      <c r="G242" s="2">
        <v>46183</v>
      </c>
      <c r="H242">
        <v>379</v>
      </c>
      <c r="I242" s="2">
        <v>46181</v>
      </c>
      <c r="J242" s="1" t="s">
        <v>912</v>
      </c>
      <c r="K242">
        <v>379</v>
      </c>
      <c r="L242">
        <v>173.77</v>
      </c>
      <c r="M242" s="2">
        <v>46191</v>
      </c>
      <c r="N242" t="str">
        <f>IF(po_master[[#This Row],[Approved By]]="", "Missing Approval", "OK")</f>
        <v>OK</v>
      </c>
      <c r="O242" t="str">
        <f>IF(ISBLANK(po_master[[#This Row],[GR Quantity]]), "No GR - Not received", "OK")</f>
        <v>OK</v>
      </c>
      <c r="P242" s="1" t="str">
        <f>IF(po_master[[#This Row],[Promised Delivey Date]]&lt;po_master[[#This Row],[Order Date]], "Invalid", "OK")</f>
        <v>OK</v>
      </c>
      <c r="Q242" s="1" t="str">
        <f>IF(ISBLANK(po_master[[#This Row],[Invoice Number]]), "No Invoice", "OK")</f>
        <v>OK</v>
      </c>
      <c r="R242" s="1" t="str">
        <f>IF(AND(NOT(ISBLANK(po_master[[#This Row],[GR Quantity]])), po_master[[#This Row],[GR Quantity]]&lt;&gt;po_master[[#This Row],[PO Quantity]]), "Qty Variance", "OK")</f>
        <v>OK</v>
      </c>
      <c r="S242" s="1" t="str">
        <f>IF(po_master[[#This Row],[Invoice Unit Price]]&gt;po_master[[#This Row],[PO Unit Price]]*1.01, "Price Variance", "OK")</f>
        <v>OK</v>
      </c>
      <c r="T242" s="1" t="str">
        <f>IF(po_master[[#This Row],[Actual Delivery Date]]&gt;po_master[[#This Row],[Promised Delivey Date]], "Late Delivery", "OK")</f>
        <v>OK</v>
      </c>
      <c r="U242" s="1" t="str">
        <f>IF(COUNTIF(po_master[PO Number],po_master[[#This Row],[PO Number]])&gt;1, "Duplicate Invoice", "OK")</f>
        <v>OK</v>
      </c>
    </row>
    <row r="243" spans="1:21" x14ac:dyDescent="0.25">
      <c r="A243" s="1" t="s">
        <v>215</v>
      </c>
      <c r="B243" s="1" t="s">
        <v>1447</v>
      </c>
      <c r="C243" s="2">
        <v>46128</v>
      </c>
      <c r="D243">
        <v>183</v>
      </c>
      <c r="E243">
        <v>166.35</v>
      </c>
      <c r="F243" s="1" t="s">
        <v>1453</v>
      </c>
      <c r="G243" s="2">
        <v>46146</v>
      </c>
      <c r="H243">
        <v>183</v>
      </c>
      <c r="I243" s="2">
        <v>46146</v>
      </c>
      <c r="J243" s="1" t="s">
        <v>913</v>
      </c>
      <c r="K243">
        <v>183</v>
      </c>
      <c r="L243">
        <v>166.35</v>
      </c>
      <c r="M243" s="2">
        <v>46147</v>
      </c>
      <c r="N243" t="str">
        <f>IF(po_master[[#This Row],[Approved By]]="", "Missing Approval", "OK")</f>
        <v>OK</v>
      </c>
      <c r="O243" t="str">
        <f>IF(ISBLANK(po_master[[#This Row],[GR Quantity]]), "No GR - Not received", "OK")</f>
        <v>OK</v>
      </c>
      <c r="P243" s="1" t="str">
        <f>IF(po_master[[#This Row],[Promised Delivey Date]]&lt;po_master[[#This Row],[Order Date]], "Invalid", "OK")</f>
        <v>OK</v>
      </c>
      <c r="Q243" s="1" t="str">
        <f>IF(ISBLANK(po_master[[#This Row],[Invoice Number]]), "No Invoice", "OK")</f>
        <v>OK</v>
      </c>
      <c r="R243" s="1" t="str">
        <f>IF(AND(NOT(ISBLANK(po_master[[#This Row],[GR Quantity]])), po_master[[#This Row],[GR Quantity]]&lt;&gt;po_master[[#This Row],[PO Quantity]]), "Qty Variance", "OK")</f>
        <v>OK</v>
      </c>
      <c r="S243" s="1" t="str">
        <f>IF(po_master[[#This Row],[Invoice Unit Price]]&gt;po_master[[#This Row],[PO Unit Price]]*1.01, "Price Variance", "OK")</f>
        <v>OK</v>
      </c>
      <c r="T243" s="1" t="str">
        <f>IF(po_master[[#This Row],[Actual Delivery Date]]&gt;po_master[[#This Row],[Promised Delivey Date]], "Late Delivery", "OK")</f>
        <v>OK</v>
      </c>
      <c r="U243" s="1" t="str">
        <f>IF(COUNTIF(po_master[PO Number],po_master[[#This Row],[PO Number]])&gt;1, "Duplicate Invoice", "OK")</f>
        <v>OK</v>
      </c>
    </row>
    <row r="244" spans="1:21" x14ac:dyDescent="0.25">
      <c r="A244" s="1" t="s">
        <v>900</v>
      </c>
      <c r="B244" s="1" t="s">
        <v>1471</v>
      </c>
      <c r="C244" s="2">
        <v>46087</v>
      </c>
      <c r="D244">
        <v>418</v>
      </c>
      <c r="E244">
        <v>39.03</v>
      </c>
      <c r="F244" s="1" t="s">
        <v>1467</v>
      </c>
      <c r="G244" s="2">
        <v>46092</v>
      </c>
      <c r="I244" s="2"/>
      <c r="J244" s="1" t="s">
        <v>901</v>
      </c>
      <c r="K244">
        <v>418</v>
      </c>
      <c r="L244">
        <v>39.03</v>
      </c>
      <c r="M244" s="2">
        <v>46101</v>
      </c>
      <c r="N244" t="str">
        <f>IF(po_master[[#This Row],[Approved By]]="", "Missing Approval", "OK")</f>
        <v>OK</v>
      </c>
      <c r="O244" t="str">
        <f>IF(ISBLANK(po_master[[#This Row],[GR Quantity]]), "No GR - Not received", "OK")</f>
        <v>No GR - Not received</v>
      </c>
      <c r="P244" s="1" t="str">
        <f>IF(po_master[[#This Row],[Promised Delivey Date]]&lt;po_master[[#This Row],[Order Date]], "Invalid", "OK")</f>
        <v>OK</v>
      </c>
      <c r="Q244" s="1" t="str">
        <f>IF(ISBLANK(po_master[[#This Row],[Invoice Number]]), "No Invoice", "OK")</f>
        <v>OK</v>
      </c>
      <c r="R244" s="1" t="str">
        <f>IF(AND(NOT(ISBLANK(po_master[[#This Row],[GR Quantity]])), po_master[[#This Row],[GR Quantity]]&lt;&gt;po_master[[#This Row],[PO Quantity]]), "Qty Variance", "OK")</f>
        <v>OK</v>
      </c>
      <c r="S244" s="1" t="str">
        <f>IF(po_master[[#This Row],[Invoice Unit Price]]&gt;po_master[[#This Row],[PO Unit Price]]*1.01, "Price Variance", "OK")</f>
        <v>OK</v>
      </c>
      <c r="T244" s="1" t="str">
        <f>IF(po_master[[#This Row],[Actual Delivery Date]]&gt;po_master[[#This Row],[Promised Delivey Date]], "Late Delivery", "OK")</f>
        <v>OK</v>
      </c>
      <c r="U244" s="1" t="str">
        <f>IF(COUNTIF(po_master[PO Number],po_master[[#This Row],[PO Number]])&gt;1, "Duplicate Invoice", "OK")</f>
        <v>OK</v>
      </c>
    </row>
    <row r="245" spans="1:21" x14ac:dyDescent="0.25">
      <c r="A245" s="1" t="s">
        <v>216</v>
      </c>
      <c r="B245" s="1" t="s">
        <v>1477</v>
      </c>
      <c r="C245" s="2">
        <v>46047</v>
      </c>
      <c r="D245">
        <v>170</v>
      </c>
      <c r="E245">
        <v>88.22</v>
      </c>
      <c r="F245" s="1" t="s">
        <v>1459</v>
      </c>
      <c r="G245" s="2">
        <v>46060</v>
      </c>
      <c r="H245">
        <v>184</v>
      </c>
      <c r="I245" s="2">
        <v>46061</v>
      </c>
      <c r="J245" s="1" t="s">
        <v>914</v>
      </c>
      <c r="K245">
        <v>170</v>
      </c>
      <c r="L245">
        <v>88.22</v>
      </c>
      <c r="M245" s="2">
        <v>46065</v>
      </c>
      <c r="N245" t="str">
        <f>IF(po_master[[#This Row],[Approved By]]="", "Missing Approval", "OK")</f>
        <v>Missing Approval</v>
      </c>
      <c r="O245" t="str">
        <f>IF(ISBLANK(po_master[[#This Row],[GR Quantity]]), "No GR - Not received", "OK")</f>
        <v>OK</v>
      </c>
      <c r="P245" s="1" t="str">
        <f>IF(po_master[[#This Row],[Promised Delivey Date]]&lt;po_master[[#This Row],[Order Date]], "Invalid", "OK")</f>
        <v>OK</v>
      </c>
      <c r="Q245" s="1" t="str">
        <f>IF(ISBLANK(po_master[[#This Row],[Invoice Number]]), "No Invoice", "OK")</f>
        <v>OK</v>
      </c>
      <c r="R245" s="1" t="str">
        <f>IF(AND(NOT(ISBLANK(po_master[[#This Row],[GR Quantity]])), po_master[[#This Row],[GR Quantity]]&lt;&gt;po_master[[#This Row],[PO Quantity]]), "Qty Variance", "OK")</f>
        <v>Qty Variance</v>
      </c>
      <c r="S245" s="1" t="str">
        <f>IF(po_master[[#This Row],[Invoice Unit Price]]&gt;po_master[[#This Row],[PO Unit Price]]*1.01, "Price Variance", "OK")</f>
        <v>OK</v>
      </c>
      <c r="T245" s="1" t="str">
        <f>IF(po_master[[#This Row],[Actual Delivery Date]]&gt;po_master[[#This Row],[Promised Delivey Date]], "Late Delivery", "OK")</f>
        <v>Late Delivery</v>
      </c>
      <c r="U245" s="1" t="str">
        <f>IF(COUNTIF(po_master[PO Number],po_master[[#This Row],[PO Number]])&gt;1, "Duplicate Invoice", "OK")</f>
        <v>OK</v>
      </c>
    </row>
    <row r="246" spans="1:21" x14ac:dyDescent="0.25">
      <c r="A246" s="1" t="s">
        <v>217</v>
      </c>
      <c r="B246" s="1" t="s">
        <v>1496</v>
      </c>
      <c r="C246" s="2">
        <v>46062</v>
      </c>
      <c r="D246">
        <v>361</v>
      </c>
      <c r="E246">
        <v>184.98</v>
      </c>
      <c r="F246" s="1" t="s">
        <v>1476</v>
      </c>
      <c r="G246" s="2">
        <v>46069</v>
      </c>
      <c r="H246">
        <v>361</v>
      </c>
      <c r="I246" s="2">
        <v>46069</v>
      </c>
      <c r="J246" s="1" t="s">
        <v>915</v>
      </c>
      <c r="K246">
        <v>361</v>
      </c>
      <c r="L246">
        <v>184.98</v>
      </c>
      <c r="M246" s="2">
        <v>46075</v>
      </c>
      <c r="N246" t="str">
        <f>IF(po_master[[#This Row],[Approved By]]="", "Missing Approval", "OK")</f>
        <v>OK</v>
      </c>
      <c r="O246" t="str">
        <f>IF(ISBLANK(po_master[[#This Row],[GR Quantity]]), "No GR - Not received", "OK")</f>
        <v>OK</v>
      </c>
      <c r="P246" s="1" t="str">
        <f>IF(po_master[[#This Row],[Promised Delivey Date]]&lt;po_master[[#This Row],[Order Date]], "Invalid", "OK")</f>
        <v>OK</v>
      </c>
      <c r="Q246" s="1" t="str">
        <f>IF(ISBLANK(po_master[[#This Row],[Invoice Number]]), "No Invoice", "OK")</f>
        <v>OK</v>
      </c>
      <c r="R246" s="1" t="str">
        <f>IF(AND(NOT(ISBLANK(po_master[[#This Row],[GR Quantity]])), po_master[[#This Row],[GR Quantity]]&lt;&gt;po_master[[#This Row],[PO Quantity]]), "Qty Variance", "OK")</f>
        <v>OK</v>
      </c>
      <c r="S246" s="1" t="str">
        <f>IF(po_master[[#This Row],[Invoice Unit Price]]&gt;po_master[[#This Row],[PO Unit Price]]*1.01, "Price Variance", "OK")</f>
        <v>OK</v>
      </c>
      <c r="T246" s="1" t="str">
        <f>IF(po_master[[#This Row],[Actual Delivery Date]]&gt;po_master[[#This Row],[Promised Delivey Date]], "Late Delivery", "OK")</f>
        <v>OK</v>
      </c>
      <c r="U246" s="1" t="str">
        <f>IF(COUNTIF(po_master[PO Number],po_master[[#This Row],[PO Number]])&gt;1, "Duplicate Invoice", "OK")</f>
        <v>Duplicate Invoice</v>
      </c>
    </row>
    <row r="247" spans="1:21" x14ac:dyDescent="0.25">
      <c r="A247" s="1" t="s">
        <v>217</v>
      </c>
      <c r="B247" s="1" t="s">
        <v>1496</v>
      </c>
      <c r="C247" s="2">
        <v>46062</v>
      </c>
      <c r="D247">
        <v>361</v>
      </c>
      <c r="E247">
        <v>184.98</v>
      </c>
      <c r="F247" s="1" t="s">
        <v>1476</v>
      </c>
      <c r="G247" s="2">
        <v>46069</v>
      </c>
      <c r="H247">
        <v>361</v>
      </c>
      <c r="I247" s="2">
        <v>46069</v>
      </c>
      <c r="J247" s="1" t="s">
        <v>916</v>
      </c>
      <c r="K247">
        <v>361</v>
      </c>
      <c r="L247">
        <v>184.98</v>
      </c>
      <c r="M247" s="2">
        <v>46077</v>
      </c>
      <c r="N247" t="str">
        <f>IF(po_master[[#This Row],[Approved By]]="", "Missing Approval", "OK")</f>
        <v>OK</v>
      </c>
      <c r="O247" t="str">
        <f>IF(ISBLANK(po_master[[#This Row],[GR Quantity]]), "No GR - Not received", "OK")</f>
        <v>OK</v>
      </c>
      <c r="P247" s="1" t="str">
        <f>IF(po_master[[#This Row],[Promised Delivey Date]]&lt;po_master[[#This Row],[Order Date]], "Invalid", "OK")</f>
        <v>OK</v>
      </c>
      <c r="Q247" s="1" t="str">
        <f>IF(ISBLANK(po_master[[#This Row],[Invoice Number]]), "No Invoice", "OK")</f>
        <v>OK</v>
      </c>
      <c r="R247" s="1" t="str">
        <f>IF(AND(NOT(ISBLANK(po_master[[#This Row],[GR Quantity]])), po_master[[#This Row],[GR Quantity]]&lt;&gt;po_master[[#This Row],[PO Quantity]]), "Qty Variance", "OK")</f>
        <v>OK</v>
      </c>
      <c r="S247" s="1" t="str">
        <f>IF(po_master[[#This Row],[Invoice Unit Price]]&gt;po_master[[#This Row],[PO Unit Price]]*1.01, "Price Variance", "OK")</f>
        <v>OK</v>
      </c>
      <c r="T247" s="1" t="str">
        <f>IF(po_master[[#This Row],[Actual Delivery Date]]&gt;po_master[[#This Row],[Promised Delivey Date]], "Late Delivery", "OK")</f>
        <v>OK</v>
      </c>
      <c r="U247" s="1" t="str">
        <f>IF(COUNTIF(po_master[PO Number],po_master[[#This Row],[PO Number]])&gt;1, "Duplicate Invoice", "OK")</f>
        <v>Duplicate Invoice</v>
      </c>
    </row>
    <row r="248" spans="1:21" x14ac:dyDescent="0.25">
      <c r="A248" s="1" t="s">
        <v>218</v>
      </c>
      <c r="B248" s="1" t="s">
        <v>1457</v>
      </c>
      <c r="C248" s="2">
        <v>46046</v>
      </c>
      <c r="D248">
        <v>231</v>
      </c>
      <c r="E248">
        <v>23.83</v>
      </c>
      <c r="F248" s="1" t="s">
        <v>1490</v>
      </c>
      <c r="G248" s="2">
        <v>46062</v>
      </c>
      <c r="H248">
        <v>231</v>
      </c>
      <c r="I248" s="2">
        <v>46060</v>
      </c>
      <c r="J248" s="1" t="s">
        <v>917</v>
      </c>
      <c r="K248">
        <v>231</v>
      </c>
      <c r="L248">
        <v>23.83</v>
      </c>
      <c r="M248" s="2">
        <v>46072</v>
      </c>
      <c r="N248" t="str">
        <f>IF(po_master[[#This Row],[Approved By]]="", "Missing Approval", "OK")</f>
        <v>OK</v>
      </c>
      <c r="O248" t="str">
        <f>IF(ISBLANK(po_master[[#This Row],[GR Quantity]]), "No GR - Not received", "OK")</f>
        <v>OK</v>
      </c>
      <c r="P248" s="1" t="str">
        <f>IF(po_master[[#This Row],[Promised Delivey Date]]&lt;po_master[[#This Row],[Order Date]], "Invalid", "OK")</f>
        <v>OK</v>
      </c>
      <c r="Q248" s="1" t="str">
        <f>IF(ISBLANK(po_master[[#This Row],[Invoice Number]]), "No Invoice", "OK")</f>
        <v>OK</v>
      </c>
      <c r="R248" s="1" t="str">
        <f>IF(AND(NOT(ISBLANK(po_master[[#This Row],[GR Quantity]])), po_master[[#This Row],[GR Quantity]]&lt;&gt;po_master[[#This Row],[PO Quantity]]), "Qty Variance", "OK")</f>
        <v>OK</v>
      </c>
      <c r="S248" s="1" t="str">
        <f>IF(po_master[[#This Row],[Invoice Unit Price]]&gt;po_master[[#This Row],[PO Unit Price]]*1.01, "Price Variance", "OK")</f>
        <v>OK</v>
      </c>
      <c r="T248" s="1" t="str">
        <f>IF(po_master[[#This Row],[Actual Delivery Date]]&gt;po_master[[#This Row],[Promised Delivey Date]], "Late Delivery", "OK")</f>
        <v>OK</v>
      </c>
      <c r="U248" s="1" t="str">
        <f>IF(COUNTIF(po_master[PO Number],po_master[[#This Row],[PO Number]])&gt;1, "Duplicate Invoice", "OK")</f>
        <v>OK</v>
      </c>
    </row>
    <row r="249" spans="1:21" x14ac:dyDescent="0.25">
      <c r="A249" s="1" t="s">
        <v>219</v>
      </c>
      <c r="B249" s="1" t="s">
        <v>1441</v>
      </c>
      <c r="C249" s="2">
        <v>46165</v>
      </c>
      <c r="D249">
        <v>40</v>
      </c>
      <c r="E249">
        <v>119.36</v>
      </c>
      <c r="F249" s="1" t="s">
        <v>1442</v>
      </c>
      <c r="G249" s="2">
        <v>46180</v>
      </c>
      <c r="H249">
        <v>40</v>
      </c>
      <c r="I249" s="2">
        <v>46182</v>
      </c>
      <c r="J249" s="1" t="s">
        <v>918</v>
      </c>
      <c r="K249">
        <v>40</v>
      </c>
      <c r="L249">
        <v>119.36</v>
      </c>
      <c r="M249" s="2">
        <v>46184</v>
      </c>
      <c r="N249" t="str">
        <f>IF(po_master[[#This Row],[Approved By]]="", "Missing Approval", "OK")</f>
        <v>OK</v>
      </c>
      <c r="O249" t="str">
        <f>IF(ISBLANK(po_master[[#This Row],[GR Quantity]]), "No GR - Not received", "OK")</f>
        <v>OK</v>
      </c>
      <c r="P249" s="1" t="str">
        <f>IF(po_master[[#This Row],[Promised Delivey Date]]&lt;po_master[[#This Row],[Order Date]], "Invalid", "OK")</f>
        <v>OK</v>
      </c>
      <c r="Q249" s="1" t="str">
        <f>IF(ISBLANK(po_master[[#This Row],[Invoice Number]]), "No Invoice", "OK")</f>
        <v>OK</v>
      </c>
      <c r="R249" s="1" t="str">
        <f>IF(AND(NOT(ISBLANK(po_master[[#This Row],[GR Quantity]])), po_master[[#This Row],[GR Quantity]]&lt;&gt;po_master[[#This Row],[PO Quantity]]), "Qty Variance", "OK")</f>
        <v>OK</v>
      </c>
      <c r="S249" s="1" t="str">
        <f>IF(po_master[[#This Row],[Invoice Unit Price]]&gt;po_master[[#This Row],[PO Unit Price]]*1.01, "Price Variance", "OK")</f>
        <v>OK</v>
      </c>
      <c r="T249" s="1" t="str">
        <f>IF(po_master[[#This Row],[Actual Delivery Date]]&gt;po_master[[#This Row],[Promised Delivey Date]], "Late Delivery", "OK")</f>
        <v>Late Delivery</v>
      </c>
      <c r="U249" s="1" t="str">
        <f>IF(COUNTIF(po_master[PO Number],po_master[[#This Row],[PO Number]])&gt;1, "Duplicate Invoice", "OK")</f>
        <v>OK</v>
      </c>
    </row>
    <row r="250" spans="1:21" x14ac:dyDescent="0.25">
      <c r="A250" s="1" t="s">
        <v>220</v>
      </c>
      <c r="B250" s="1" t="s">
        <v>1484</v>
      </c>
      <c r="C250" s="2">
        <v>46054</v>
      </c>
      <c r="D250">
        <v>220</v>
      </c>
      <c r="E250">
        <v>73.95</v>
      </c>
      <c r="F250" s="1" t="s">
        <v>1467</v>
      </c>
      <c r="G250" s="2">
        <v>46072</v>
      </c>
      <c r="H250">
        <v>220</v>
      </c>
      <c r="I250" s="2">
        <v>46070</v>
      </c>
      <c r="J250" s="1" t="s">
        <v>919</v>
      </c>
      <c r="K250">
        <v>220</v>
      </c>
      <c r="L250">
        <v>73.95</v>
      </c>
      <c r="M250" s="2">
        <v>46074</v>
      </c>
      <c r="N250" t="str">
        <f>IF(po_master[[#This Row],[Approved By]]="", "Missing Approval", "OK")</f>
        <v>OK</v>
      </c>
      <c r="O250" t="str">
        <f>IF(ISBLANK(po_master[[#This Row],[GR Quantity]]), "No GR - Not received", "OK")</f>
        <v>OK</v>
      </c>
      <c r="P250" s="1" t="str">
        <f>IF(po_master[[#This Row],[Promised Delivey Date]]&lt;po_master[[#This Row],[Order Date]], "Invalid", "OK")</f>
        <v>OK</v>
      </c>
      <c r="Q250" s="1" t="str">
        <f>IF(ISBLANK(po_master[[#This Row],[Invoice Number]]), "No Invoice", "OK")</f>
        <v>OK</v>
      </c>
      <c r="R250" s="1" t="str">
        <f>IF(AND(NOT(ISBLANK(po_master[[#This Row],[GR Quantity]])), po_master[[#This Row],[GR Quantity]]&lt;&gt;po_master[[#This Row],[PO Quantity]]), "Qty Variance", "OK")</f>
        <v>OK</v>
      </c>
      <c r="S250" s="1" t="str">
        <f>IF(po_master[[#This Row],[Invoice Unit Price]]&gt;po_master[[#This Row],[PO Unit Price]]*1.01, "Price Variance", "OK")</f>
        <v>OK</v>
      </c>
      <c r="T250" s="1" t="str">
        <f>IF(po_master[[#This Row],[Actual Delivery Date]]&gt;po_master[[#This Row],[Promised Delivey Date]], "Late Delivery", "OK")</f>
        <v>OK</v>
      </c>
      <c r="U250" s="1" t="str">
        <f>IF(COUNTIF(po_master[PO Number],po_master[[#This Row],[PO Number]])&gt;1, "Duplicate Invoice", "OK")</f>
        <v>OK</v>
      </c>
    </row>
    <row r="251" spans="1:21" x14ac:dyDescent="0.25">
      <c r="A251" s="1" t="s">
        <v>221</v>
      </c>
      <c r="B251" s="1" t="s">
        <v>1477</v>
      </c>
      <c r="C251" s="2">
        <v>46036</v>
      </c>
      <c r="D251">
        <v>157</v>
      </c>
      <c r="E251">
        <v>122.08</v>
      </c>
      <c r="F251" s="1" t="s">
        <v>1451</v>
      </c>
      <c r="G251" s="2">
        <v>46044</v>
      </c>
      <c r="H251">
        <v>157</v>
      </c>
      <c r="I251" s="2">
        <v>46046</v>
      </c>
      <c r="J251" s="1" t="s">
        <v>920</v>
      </c>
      <c r="K251">
        <v>157</v>
      </c>
      <c r="L251">
        <v>122.08</v>
      </c>
      <c r="M251" s="2">
        <v>46050</v>
      </c>
      <c r="N251" t="str">
        <f>IF(po_master[[#This Row],[Approved By]]="", "Missing Approval", "OK")</f>
        <v>OK</v>
      </c>
      <c r="O251" t="str">
        <f>IF(ISBLANK(po_master[[#This Row],[GR Quantity]]), "No GR - Not received", "OK")</f>
        <v>OK</v>
      </c>
      <c r="P251" s="1" t="str">
        <f>IF(po_master[[#This Row],[Promised Delivey Date]]&lt;po_master[[#This Row],[Order Date]], "Invalid", "OK")</f>
        <v>OK</v>
      </c>
      <c r="Q251" s="1" t="str">
        <f>IF(ISBLANK(po_master[[#This Row],[Invoice Number]]), "No Invoice", "OK")</f>
        <v>OK</v>
      </c>
      <c r="R251" s="1" t="str">
        <f>IF(AND(NOT(ISBLANK(po_master[[#This Row],[GR Quantity]])), po_master[[#This Row],[GR Quantity]]&lt;&gt;po_master[[#This Row],[PO Quantity]]), "Qty Variance", "OK")</f>
        <v>OK</v>
      </c>
      <c r="S251" s="1" t="str">
        <f>IF(po_master[[#This Row],[Invoice Unit Price]]&gt;po_master[[#This Row],[PO Unit Price]]*1.01, "Price Variance", "OK")</f>
        <v>OK</v>
      </c>
      <c r="T251" s="1" t="str">
        <f>IF(po_master[[#This Row],[Actual Delivery Date]]&gt;po_master[[#This Row],[Promised Delivey Date]], "Late Delivery", "OK")</f>
        <v>Late Delivery</v>
      </c>
      <c r="U251" s="1" t="str">
        <f>IF(COUNTIF(po_master[PO Number],po_master[[#This Row],[PO Number]])&gt;1, "Duplicate Invoice", "OK")</f>
        <v>OK</v>
      </c>
    </row>
    <row r="252" spans="1:21" x14ac:dyDescent="0.25">
      <c r="A252" s="1" t="s">
        <v>222</v>
      </c>
      <c r="B252" s="1" t="s">
        <v>1493</v>
      </c>
      <c r="C252" s="2">
        <v>46152</v>
      </c>
      <c r="D252">
        <v>118</v>
      </c>
      <c r="E252">
        <v>35.17</v>
      </c>
      <c r="F252" s="1" t="s">
        <v>1487</v>
      </c>
      <c r="G252" s="2">
        <v>46164</v>
      </c>
      <c r="H252">
        <v>118</v>
      </c>
      <c r="I252" s="2">
        <v>46163</v>
      </c>
      <c r="J252" s="1" t="s">
        <v>921</v>
      </c>
      <c r="K252">
        <v>118</v>
      </c>
      <c r="L252">
        <v>35.17</v>
      </c>
      <c r="M252" s="2">
        <v>46166</v>
      </c>
      <c r="N252" t="str">
        <f>IF(po_master[[#This Row],[Approved By]]="", "Missing Approval", "OK")</f>
        <v>OK</v>
      </c>
      <c r="O252" t="str">
        <f>IF(ISBLANK(po_master[[#This Row],[GR Quantity]]), "No GR - Not received", "OK")</f>
        <v>OK</v>
      </c>
      <c r="P252" s="1" t="str">
        <f>IF(po_master[[#This Row],[Promised Delivey Date]]&lt;po_master[[#This Row],[Order Date]], "Invalid", "OK")</f>
        <v>OK</v>
      </c>
      <c r="Q252" s="1" t="str">
        <f>IF(ISBLANK(po_master[[#This Row],[Invoice Number]]), "No Invoice", "OK")</f>
        <v>OK</v>
      </c>
      <c r="R252" s="1" t="str">
        <f>IF(AND(NOT(ISBLANK(po_master[[#This Row],[GR Quantity]])), po_master[[#This Row],[GR Quantity]]&lt;&gt;po_master[[#This Row],[PO Quantity]]), "Qty Variance", "OK")</f>
        <v>OK</v>
      </c>
      <c r="S252" s="1" t="str">
        <f>IF(po_master[[#This Row],[Invoice Unit Price]]&gt;po_master[[#This Row],[PO Unit Price]]*1.01, "Price Variance", "OK")</f>
        <v>OK</v>
      </c>
      <c r="T252" s="1" t="str">
        <f>IF(po_master[[#This Row],[Actual Delivery Date]]&gt;po_master[[#This Row],[Promised Delivey Date]], "Late Delivery", "OK")</f>
        <v>OK</v>
      </c>
      <c r="U252" s="1" t="str">
        <f>IF(COUNTIF(po_master[PO Number],po_master[[#This Row],[PO Number]])&gt;1, "Duplicate Invoice", "OK")</f>
        <v>Duplicate Invoice</v>
      </c>
    </row>
    <row r="253" spans="1:21" x14ac:dyDescent="0.25">
      <c r="A253" s="1" t="s">
        <v>222</v>
      </c>
      <c r="B253" s="1" t="s">
        <v>1493</v>
      </c>
      <c r="C253" s="2">
        <v>46152</v>
      </c>
      <c r="D253">
        <v>118</v>
      </c>
      <c r="E253">
        <v>35.17</v>
      </c>
      <c r="F253" s="1" t="s">
        <v>1487</v>
      </c>
      <c r="G253" s="2">
        <v>46164</v>
      </c>
      <c r="H253">
        <v>118</v>
      </c>
      <c r="I253" s="2">
        <v>46163</v>
      </c>
      <c r="J253" s="1" t="s">
        <v>922</v>
      </c>
      <c r="K253">
        <v>118</v>
      </c>
      <c r="L253">
        <v>35.17</v>
      </c>
      <c r="M253" s="2">
        <v>46170</v>
      </c>
      <c r="N253" t="str">
        <f>IF(po_master[[#This Row],[Approved By]]="", "Missing Approval", "OK")</f>
        <v>OK</v>
      </c>
      <c r="O253" t="str">
        <f>IF(ISBLANK(po_master[[#This Row],[GR Quantity]]), "No GR - Not received", "OK")</f>
        <v>OK</v>
      </c>
      <c r="P253" s="1" t="str">
        <f>IF(po_master[[#This Row],[Promised Delivey Date]]&lt;po_master[[#This Row],[Order Date]], "Invalid", "OK")</f>
        <v>OK</v>
      </c>
      <c r="Q253" s="1" t="str">
        <f>IF(ISBLANK(po_master[[#This Row],[Invoice Number]]), "No Invoice", "OK")</f>
        <v>OK</v>
      </c>
      <c r="R253" s="1" t="str">
        <f>IF(AND(NOT(ISBLANK(po_master[[#This Row],[GR Quantity]])), po_master[[#This Row],[GR Quantity]]&lt;&gt;po_master[[#This Row],[PO Quantity]]), "Qty Variance", "OK")</f>
        <v>OK</v>
      </c>
      <c r="S253" s="1" t="str">
        <f>IF(po_master[[#This Row],[Invoice Unit Price]]&gt;po_master[[#This Row],[PO Unit Price]]*1.01, "Price Variance", "OK")</f>
        <v>OK</v>
      </c>
      <c r="T253" s="1" t="str">
        <f>IF(po_master[[#This Row],[Actual Delivery Date]]&gt;po_master[[#This Row],[Promised Delivey Date]], "Late Delivery", "OK")</f>
        <v>OK</v>
      </c>
      <c r="U253" s="1" t="str">
        <f>IF(COUNTIF(po_master[PO Number],po_master[[#This Row],[PO Number]])&gt;1, "Duplicate Invoice", "OK")</f>
        <v>Duplicate Invoice</v>
      </c>
    </row>
    <row r="254" spans="1:21" x14ac:dyDescent="0.25">
      <c r="A254" s="1" t="s">
        <v>223</v>
      </c>
      <c r="B254" s="1" t="s">
        <v>1450</v>
      </c>
      <c r="C254" s="2">
        <v>46112</v>
      </c>
      <c r="D254">
        <v>442</v>
      </c>
      <c r="E254">
        <v>113.47</v>
      </c>
      <c r="F254" s="1" t="s">
        <v>1483</v>
      </c>
      <c r="G254" s="2">
        <v>46125</v>
      </c>
      <c r="H254">
        <v>442</v>
      </c>
      <c r="I254" s="2">
        <v>46124</v>
      </c>
      <c r="J254" s="1" t="s">
        <v>923</v>
      </c>
      <c r="K254">
        <v>442</v>
      </c>
      <c r="L254">
        <v>113.47</v>
      </c>
      <c r="M254" s="2">
        <v>46135</v>
      </c>
      <c r="N254" t="str">
        <f>IF(po_master[[#This Row],[Approved By]]="", "Missing Approval", "OK")</f>
        <v>OK</v>
      </c>
      <c r="O254" t="str">
        <f>IF(ISBLANK(po_master[[#This Row],[GR Quantity]]), "No GR - Not received", "OK")</f>
        <v>OK</v>
      </c>
      <c r="P254" s="1" t="str">
        <f>IF(po_master[[#This Row],[Promised Delivey Date]]&lt;po_master[[#This Row],[Order Date]], "Invalid", "OK")</f>
        <v>OK</v>
      </c>
      <c r="Q254" s="1" t="str">
        <f>IF(ISBLANK(po_master[[#This Row],[Invoice Number]]), "No Invoice", "OK")</f>
        <v>OK</v>
      </c>
      <c r="R254" s="1" t="str">
        <f>IF(AND(NOT(ISBLANK(po_master[[#This Row],[GR Quantity]])), po_master[[#This Row],[GR Quantity]]&lt;&gt;po_master[[#This Row],[PO Quantity]]), "Qty Variance", "OK")</f>
        <v>OK</v>
      </c>
      <c r="S254" s="1" t="str">
        <f>IF(po_master[[#This Row],[Invoice Unit Price]]&gt;po_master[[#This Row],[PO Unit Price]]*1.01, "Price Variance", "OK")</f>
        <v>OK</v>
      </c>
      <c r="T254" s="1" t="str">
        <f>IF(po_master[[#This Row],[Actual Delivery Date]]&gt;po_master[[#This Row],[Promised Delivey Date]], "Late Delivery", "OK")</f>
        <v>OK</v>
      </c>
      <c r="U254" s="1" t="str">
        <f>IF(COUNTIF(po_master[PO Number],po_master[[#This Row],[PO Number]])&gt;1, "Duplicate Invoice", "OK")</f>
        <v>OK</v>
      </c>
    </row>
    <row r="255" spans="1:21" x14ac:dyDescent="0.25">
      <c r="A255" s="1" t="s">
        <v>224</v>
      </c>
      <c r="B255" s="1" t="s">
        <v>1493</v>
      </c>
      <c r="C255" s="2">
        <v>46080</v>
      </c>
      <c r="D255">
        <v>423</v>
      </c>
      <c r="E255">
        <v>88.68</v>
      </c>
      <c r="F255" s="1" t="s">
        <v>1442</v>
      </c>
      <c r="G255" s="2">
        <v>46085</v>
      </c>
      <c r="H255">
        <v>423</v>
      </c>
      <c r="I255" s="2">
        <v>46085</v>
      </c>
      <c r="J255" s="1" t="s">
        <v>924</v>
      </c>
      <c r="K255">
        <v>423</v>
      </c>
      <c r="L255">
        <v>88.68</v>
      </c>
      <c r="M255" s="2">
        <v>46090</v>
      </c>
      <c r="N255" t="str">
        <f>IF(po_master[[#This Row],[Approved By]]="", "Missing Approval", "OK")</f>
        <v>OK</v>
      </c>
      <c r="O255" t="str">
        <f>IF(ISBLANK(po_master[[#This Row],[GR Quantity]]), "No GR - Not received", "OK")</f>
        <v>OK</v>
      </c>
      <c r="P255" s="1" t="str">
        <f>IF(po_master[[#This Row],[Promised Delivey Date]]&lt;po_master[[#This Row],[Order Date]], "Invalid", "OK")</f>
        <v>OK</v>
      </c>
      <c r="Q255" s="1" t="str">
        <f>IF(ISBLANK(po_master[[#This Row],[Invoice Number]]), "No Invoice", "OK")</f>
        <v>OK</v>
      </c>
      <c r="R255" s="1" t="str">
        <f>IF(AND(NOT(ISBLANK(po_master[[#This Row],[GR Quantity]])), po_master[[#This Row],[GR Quantity]]&lt;&gt;po_master[[#This Row],[PO Quantity]]), "Qty Variance", "OK")</f>
        <v>OK</v>
      </c>
      <c r="S255" s="1" t="str">
        <f>IF(po_master[[#This Row],[Invoice Unit Price]]&gt;po_master[[#This Row],[PO Unit Price]]*1.01, "Price Variance", "OK")</f>
        <v>OK</v>
      </c>
      <c r="T255" s="1" t="str">
        <f>IF(po_master[[#This Row],[Actual Delivery Date]]&gt;po_master[[#This Row],[Promised Delivey Date]], "Late Delivery", "OK")</f>
        <v>OK</v>
      </c>
      <c r="U255" s="1" t="str">
        <f>IF(COUNTIF(po_master[PO Number],po_master[[#This Row],[PO Number]])&gt;1, "Duplicate Invoice", "OK")</f>
        <v>OK</v>
      </c>
    </row>
    <row r="256" spans="1:21" x14ac:dyDescent="0.25">
      <c r="A256" s="1" t="s">
        <v>225</v>
      </c>
      <c r="B256" s="1" t="s">
        <v>1468</v>
      </c>
      <c r="C256" s="2">
        <v>46091</v>
      </c>
      <c r="D256">
        <v>24</v>
      </c>
      <c r="E256">
        <v>40.18</v>
      </c>
      <c r="F256" s="1" t="s">
        <v>1499</v>
      </c>
      <c r="G256" s="2">
        <v>46105</v>
      </c>
      <c r="H256">
        <v>24</v>
      </c>
      <c r="I256" s="2">
        <v>46104</v>
      </c>
      <c r="J256" s="1" t="s">
        <v>925</v>
      </c>
      <c r="K256">
        <v>24</v>
      </c>
      <c r="L256">
        <v>40.18</v>
      </c>
      <c r="M256" s="2">
        <v>46111</v>
      </c>
      <c r="N256" t="str">
        <f>IF(po_master[[#This Row],[Approved By]]="", "Missing Approval", "OK")</f>
        <v>OK</v>
      </c>
      <c r="O256" t="str">
        <f>IF(ISBLANK(po_master[[#This Row],[GR Quantity]]), "No GR - Not received", "OK")</f>
        <v>OK</v>
      </c>
      <c r="P256" s="1" t="str">
        <f>IF(po_master[[#This Row],[Promised Delivey Date]]&lt;po_master[[#This Row],[Order Date]], "Invalid", "OK")</f>
        <v>OK</v>
      </c>
      <c r="Q256" s="1" t="str">
        <f>IF(ISBLANK(po_master[[#This Row],[Invoice Number]]), "No Invoice", "OK")</f>
        <v>OK</v>
      </c>
      <c r="R256" s="1" t="str">
        <f>IF(AND(NOT(ISBLANK(po_master[[#This Row],[GR Quantity]])), po_master[[#This Row],[GR Quantity]]&lt;&gt;po_master[[#This Row],[PO Quantity]]), "Qty Variance", "OK")</f>
        <v>OK</v>
      </c>
      <c r="S256" s="1" t="str">
        <f>IF(po_master[[#This Row],[Invoice Unit Price]]&gt;po_master[[#This Row],[PO Unit Price]]*1.01, "Price Variance", "OK")</f>
        <v>OK</v>
      </c>
      <c r="T256" s="1" t="str">
        <f>IF(po_master[[#This Row],[Actual Delivery Date]]&gt;po_master[[#This Row],[Promised Delivey Date]], "Late Delivery", "OK")</f>
        <v>OK</v>
      </c>
      <c r="U256" s="1" t="str">
        <f>IF(COUNTIF(po_master[PO Number],po_master[[#This Row],[PO Number]])&gt;1, "Duplicate Invoice", "OK")</f>
        <v>OK</v>
      </c>
    </row>
    <row r="257" spans="1:21" x14ac:dyDescent="0.25">
      <c r="A257" s="1" t="s">
        <v>226</v>
      </c>
      <c r="B257" s="1" t="s">
        <v>1492</v>
      </c>
      <c r="C257" s="2">
        <v>46059</v>
      </c>
      <c r="D257">
        <v>389</v>
      </c>
      <c r="E257">
        <v>128.47</v>
      </c>
      <c r="F257" s="1" t="s">
        <v>1448</v>
      </c>
      <c r="G257" s="2">
        <v>46066</v>
      </c>
      <c r="H257">
        <v>389</v>
      </c>
      <c r="I257" s="2">
        <v>46068</v>
      </c>
      <c r="J257" s="1" t="s">
        <v>928</v>
      </c>
      <c r="K257">
        <v>389</v>
      </c>
      <c r="L257">
        <v>128.47</v>
      </c>
      <c r="M257" s="2">
        <v>46076</v>
      </c>
      <c r="N257" t="str">
        <f>IF(po_master[[#This Row],[Approved By]]="", "Missing Approval", "OK")</f>
        <v>OK</v>
      </c>
      <c r="O257" t="str">
        <f>IF(ISBLANK(po_master[[#This Row],[GR Quantity]]), "No GR - Not received", "OK")</f>
        <v>OK</v>
      </c>
      <c r="P257" s="1" t="str">
        <f>IF(po_master[[#This Row],[Promised Delivey Date]]&lt;po_master[[#This Row],[Order Date]], "Invalid", "OK")</f>
        <v>OK</v>
      </c>
      <c r="Q257" s="1" t="str">
        <f>IF(ISBLANK(po_master[[#This Row],[Invoice Number]]), "No Invoice", "OK")</f>
        <v>OK</v>
      </c>
      <c r="R257" s="1" t="str">
        <f>IF(AND(NOT(ISBLANK(po_master[[#This Row],[GR Quantity]])), po_master[[#This Row],[GR Quantity]]&lt;&gt;po_master[[#This Row],[PO Quantity]]), "Qty Variance", "OK")</f>
        <v>OK</v>
      </c>
      <c r="S257" s="1" t="str">
        <f>IF(po_master[[#This Row],[Invoice Unit Price]]&gt;po_master[[#This Row],[PO Unit Price]]*1.01, "Price Variance", "OK")</f>
        <v>OK</v>
      </c>
      <c r="T257" s="1" t="str">
        <f>IF(po_master[[#This Row],[Actual Delivery Date]]&gt;po_master[[#This Row],[Promised Delivey Date]], "Late Delivery", "OK")</f>
        <v>Late Delivery</v>
      </c>
      <c r="U257" s="1" t="str">
        <f>IF(COUNTIF(po_master[PO Number],po_master[[#This Row],[PO Number]])&gt;1, "Duplicate Invoice", "OK")</f>
        <v>OK</v>
      </c>
    </row>
    <row r="258" spans="1:21" x14ac:dyDescent="0.25">
      <c r="A258" s="1" t="s">
        <v>227</v>
      </c>
      <c r="B258" s="1" t="s">
        <v>1465</v>
      </c>
      <c r="C258" s="2">
        <v>46158</v>
      </c>
      <c r="D258">
        <v>120</v>
      </c>
      <c r="E258">
        <v>78.36</v>
      </c>
      <c r="F258" s="1" t="s">
        <v>1469</v>
      </c>
      <c r="G258" s="2">
        <v>46173</v>
      </c>
      <c r="H258">
        <v>120</v>
      </c>
      <c r="I258" s="2">
        <v>46172</v>
      </c>
      <c r="J258" s="1" t="s">
        <v>929</v>
      </c>
      <c r="K258">
        <v>120</v>
      </c>
      <c r="L258">
        <v>78.36</v>
      </c>
      <c r="M258" s="2">
        <v>46181</v>
      </c>
      <c r="N258" t="str">
        <f>IF(po_master[[#This Row],[Approved By]]="", "Missing Approval", "OK")</f>
        <v>OK</v>
      </c>
      <c r="O258" t="str">
        <f>IF(ISBLANK(po_master[[#This Row],[GR Quantity]]), "No GR - Not received", "OK")</f>
        <v>OK</v>
      </c>
      <c r="P258" s="1" t="str">
        <f>IF(po_master[[#This Row],[Promised Delivey Date]]&lt;po_master[[#This Row],[Order Date]], "Invalid", "OK")</f>
        <v>OK</v>
      </c>
      <c r="Q258" s="1" t="str">
        <f>IF(ISBLANK(po_master[[#This Row],[Invoice Number]]), "No Invoice", "OK")</f>
        <v>OK</v>
      </c>
      <c r="R258" s="1" t="str">
        <f>IF(AND(NOT(ISBLANK(po_master[[#This Row],[GR Quantity]])), po_master[[#This Row],[GR Quantity]]&lt;&gt;po_master[[#This Row],[PO Quantity]]), "Qty Variance", "OK")</f>
        <v>OK</v>
      </c>
      <c r="S258" s="1" t="str">
        <f>IF(po_master[[#This Row],[Invoice Unit Price]]&gt;po_master[[#This Row],[PO Unit Price]]*1.01, "Price Variance", "OK")</f>
        <v>OK</v>
      </c>
      <c r="T258" s="1" t="str">
        <f>IF(po_master[[#This Row],[Actual Delivery Date]]&gt;po_master[[#This Row],[Promised Delivey Date]], "Late Delivery", "OK")</f>
        <v>OK</v>
      </c>
      <c r="U258" s="1" t="str">
        <f>IF(COUNTIF(po_master[PO Number],po_master[[#This Row],[PO Number]])&gt;1, "Duplicate Invoice", "OK")</f>
        <v>OK</v>
      </c>
    </row>
    <row r="259" spans="1:21" x14ac:dyDescent="0.25">
      <c r="A259" s="1" t="s">
        <v>228</v>
      </c>
      <c r="B259" s="1" t="s">
        <v>1460</v>
      </c>
      <c r="C259" s="2">
        <v>46117</v>
      </c>
      <c r="D259">
        <v>169</v>
      </c>
      <c r="E259">
        <v>145.71</v>
      </c>
      <c r="F259" s="1" t="s">
        <v>1456</v>
      </c>
      <c r="G259" s="2">
        <v>46124</v>
      </c>
      <c r="H259">
        <v>169</v>
      </c>
      <c r="I259" s="2">
        <v>46125</v>
      </c>
      <c r="J259" s="1" t="s">
        <v>930</v>
      </c>
      <c r="K259">
        <v>169</v>
      </c>
      <c r="L259">
        <v>154.32</v>
      </c>
      <c r="M259" s="2">
        <v>46125</v>
      </c>
      <c r="N259" t="str">
        <f>IF(po_master[[#This Row],[Approved By]]="", "Missing Approval", "OK")</f>
        <v>OK</v>
      </c>
      <c r="O259" t="str">
        <f>IF(ISBLANK(po_master[[#This Row],[GR Quantity]]), "No GR - Not received", "OK")</f>
        <v>OK</v>
      </c>
      <c r="P259" s="1" t="str">
        <f>IF(po_master[[#This Row],[Promised Delivey Date]]&lt;po_master[[#This Row],[Order Date]], "Invalid", "OK")</f>
        <v>OK</v>
      </c>
      <c r="Q259" s="1" t="str">
        <f>IF(ISBLANK(po_master[[#This Row],[Invoice Number]]), "No Invoice", "OK")</f>
        <v>OK</v>
      </c>
      <c r="R259" s="1" t="str">
        <f>IF(AND(NOT(ISBLANK(po_master[[#This Row],[GR Quantity]])), po_master[[#This Row],[GR Quantity]]&lt;&gt;po_master[[#This Row],[PO Quantity]]), "Qty Variance", "OK")</f>
        <v>OK</v>
      </c>
      <c r="S259" s="1" t="str">
        <f>IF(po_master[[#This Row],[Invoice Unit Price]]&gt;po_master[[#This Row],[PO Unit Price]]*1.01, "Price Variance", "OK")</f>
        <v>Price Variance</v>
      </c>
      <c r="T259" s="1" t="str">
        <f>IF(po_master[[#This Row],[Actual Delivery Date]]&gt;po_master[[#This Row],[Promised Delivey Date]], "Late Delivery", "OK")</f>
        <v>Late Delivery</v>
      </c>
      <c r="U259" s="1" t="str">
        <f>IF(COUNTIF(po_master[PO Number],po_master[[#This Row],[PO Number]])&gt;1, "Duplicate Invoice", "OK")</f>
        <v>OK</v>
      </c>
    </row>
    <row r="260" spans="1:21" x14ac:dyDescent="0.25">
      <c r="A260" s="1" t="s">
        <v>229</v>
      </c>
      <c r="B260" s="1" t="s">
        <v>1475</v>
      </c>
      <c r="C260" s="2">
        <v>46062</v>
      </c>
      <c r="D260">
        <v>90</v>
      </c>
      <c r="E260">
        <v>152.11000000000001</v>
      </c>
      <c r="F260" s="1" t="s">
        <v>1462</v>
      </c>
      <c r="G260" s="2">
        <v>46069</v>
      </c>
      <c r="H260">
        <v>90</v>
      </c>
      <c r="I260" s="2">
        <v>46071</v>
      </c>
      <c r="J260" s="1" t="s">
        <v>931</v>
      </c>
      <c r="K260">
        <v>90</v>
      </c>
      <c r="L260">
        <v>152.11000000000001</v>
      </c>
      <c r="M260" s="2">
        <v>46071</v>
      </c>
      <c r="N260" t="str">
        <f>IF(po_master[[#This Row],[Approved By]]="", "Missing Approval", "OK")</f>
        <v>OK</v>
      </c>
      <c r="O260" t="str">
        <f>IF(ISBLANK(po_master[[#This Row],[GR Quantity]]), "No GR - Not received", "OK")</f>
        <v>OK</v>
      </c>
      <c r="P260" s="1" t="str">
        <f>IF(po_master[[#This Row],[Promised Delivey Date]]&lt;po_master[[#This Row],[Order Date]], "Invalid", "OK")</f>
        <v>OK</v>
      </c>
      <c r="Q260" s="1" t="str">
        <f>IF(ISBLANK(po_master[[#This Row],[Invoice Number]]), "No Invoice", "OK")</f>
        <v>OK</v>
      </c>
      <c r="R260" s="1" t="str">
        <f>IF(AND(NOT(ISBLANK(po_master[[#This Row],[GR Quantity]])), po_master[[#This Row],[GR Quantity]]&lt;&gt;po_master[[#This Row],[PO Quantity]]), "Qty Variance", "OK")</f>
        <v>OK</v>
      </c>
      <c r="S260" s="1" t="str">
        <f>IF(po_master[[#This Row],[Invoice Unit Price]]&gt;po_master[[#This Row],[PO Unit Price]]*1.01, "Price Variance", "OK")</f>
        <v>OK</v>
      </c>
      <c r="T260" s="1" t="str">
        <f>IF(po_master[[#This Row],[Actual Delivery Date]]&gt;po_master[[#This Row],[Promised Delivey Date]], "Late Delivery", "OK")</f>
        <v>Late Delivery</v>
      </c>
      <c r="U260" s="1" t="str">
        <f>IF(COUNTIF(po_master[PO Number],po_master[[#This Row],[PO Number]])&gt;1, "Duplicate Invoice", "OK")</f>
        <v>OK</v>
      </c>
    </row>
    <row r="261" spans="1:21" x14ac:dyDescent="0.25">
      <c r="A261" s="1" t="s">
        <v>230</v>
      </c>
      <c r="B261" s="1" t="s">
        <v>1511</v>
      </c>
      <c r="C261" s="2">
        <v>46136</v>
      </c>
      <c r="D261">
        <v>348</v>
      </c>
      <c r="E261">
        <v>87.68</v>
      </c>
      <c r="F261" s="1" t="s">
        <v>1494</v>
      </c>
      <c r="G261" s="2">
        <v>46155</v>
      </c>
      <c r="H261">
        <v>348</v>
      </c>
      <c r="I261" s="2">
        <v>46153</v>
      </c>
      <c r="J261" s="1" t="s">
        <v>932</v>
      </c>
      <c r="K261">
        <v>348</v>
      </c>
      <c r="L261">
        <v>102.62</v>
      </c>
      <c r="M261" s="2">
        <v>46156</v>
      </c>
      <c r="N261" t="str">
        <f>IF(po_master[[#This Row],[Approved By]]="", "Missing Approval", "OK")</f>
        <v>OK</v>
      </c>
      <c r="O261" t="str">
        <f>IF(ISBLANK(po_master[[#This Row],[GR Quantity]]), "No GR - Not received", "OK")</f>
        <v>OK</v>
      </c>
      <c r="P261" s="1" t="str">
        <f>IF(po_master[[#This Row],[Promised Delivey Date]]&lt;po_master[[#This Row],[Order Date]], "Invalid", "OK")</f>
        <v>OK</v>
      </c>
      <c r="Q261" s="1" t="str">
        <f>IF(ISBLANK(po_master[[#This Row],[Invoice Number]]), "No Invoice", "OK")</f>
        <v>OK</v>
      </c>
      <c r="R261" s="1" t="str">
        <f>IF(AND(NOT(ISBLANK(po_master[[#This Row],[GR Quantity]])), po_master[[#This Row],[GR Quantity]]&lt;&gt;po_master[[#This Row],[PO Quantity]]), "Qty Variance", "OK")</f>
        <v>OK</v>
      </c>
      <c r="S261" s="1" t="str">
        <f>IF(po_master[[#This Row],[Invoice Unit Price]]&gt;po_master[[#This Row],[PO Unit Price]]*1.01, "Price Variance", "OK")</f>
        <v>Price Variance</v>
      </c>
      <c r="T261" s="1" t="str">
        <f>IF(po_master[[#This Row],[Actual Delivery Date]]&gt;po_master[[#This Row],[Promised Delivey Date]], "Late Delivery", "OK")</f>
        <v>OK</v>
      </c>
      <c r="U261" s="1" t="str">
        <f>IF(COUNTIF(po_master[PO Number],po_master[[#This Row],[PO Number]])&gt;1, "Duplicate Invoice", "OK")</f>
        <v>OK</v>
      </c>
    </row>
    <row r="262" spans="1:21" x14ac:dyDescent="0.25">
      <c r="A262" s="1" t="s">
        <v>231</v>
      </c>
      <c r="B262" s="1" t="s">
        <v>1495</v>
      </c>
      <c r="C262" s="2">
        <v>46092</v>
      </c>
      <c r="D262">
        <v>120</v>
      </c>
      <c r="E262">
        <v>152.21</v>
      </c>
      <c r="F262" s="1" t="s">
        <v>1483</v>
      </c>
      <c r="G262" s="2">
        <v>46108</v>
      </c>
      <c r="H262">
        <v>120</v>
      </c>
      <c r="I262" s="2">
        <v>46106</v>
      </c>
      <c r="J262" s="1" t="s">
        <v>933</v>
      </c>
      <c r="K262">
        <v>120</v>
      </c>
      <c r="L262">
        <v>152.21</v>
      </c>
      <c r="M262" s="2">
        <v>46110</v>
      </c>
      <c r="N262" t="str">
        <f>IF(po_master[[#This Row],[Approved By]]="", "Missing Approval", "OK")</f>
        <v>OK</v>
      </c>
      <c r="O262" t="str">
        <f>IF(ISBLANK(po_master[[#This Row],[GR Quantity]]), "No GR - Not received", "OK")</f>
        <v>OK</v>
      </c>
      <c r="P262" s="1" t="str">
        <f>IF(po_master[[#This Row],[Promised Delivey Date]]&lt;po_master[[#This Row],[Order Date]], "Invalid", "OK")</f>
        <v>OK</v>
      </c>
      <c r="Q262" s="1" t="str">
        <f>IF(ISBLANK(po_master[[#This Row],[Invoice Number]]), "No Invoice", "OK")</f>
        <v>OK</v>
      </c>
      <c r="R262" s="1" t="str">
        <f>IF(AND(NOT(ISBLANK(po_master[[#This Row],[GR Quantity]])), po_master[[#This Row],[GR Quantity]]&lt;&gt;po_master[[#This Row],[PO Quantity]]), "Qty Variance", "OK")</f>
        <v>OK</v>
      </c>
      <c r="S262" s="1" t="str">
        <f>IF(po_master[[#This Row],[Invoice Unit Price]]&gt;po_master[[#This Row],[PO Unit Price]]*1.01, "Price Variance", "OK")</f>
        <v>OK</v>
      </c>
      <c r="T262" s="1" t="str">
        <f>IF(po_master[[#This Row],[Actual Delivery Date]]&gt;po_master[[#This Row],[Promised Delivey Date]], "Late Delivery", "OK")</f>
        <v>OK</v>
      </c>
      <c r="U262" s="1" t="str">
        <f>IF(COUNTIF(po_master[PO Number],po_master[[#This Row],[PO Number]])&gt;1, "Duplicate Invoice", "OK")</f>
        <v>OK</v>
      </c>
    </row>
    <row r="263" spans="1:21" x14ac:dyDescent="0.25">
      <c r="A263" s="1" t="s">
        <v>232</v>
      </c>
      <c r="B263" s="1" t="s">
        <v>1500</v>
      </c>
      <c r="C263" s="2">
        <v>46051</v>
      </c>
      <c r="D263">
        <v>155</v>
      </c>
      <c r="E263">
        <v>137.25</v>
      </c>
      <c r="F263" s="1" t="s">
        <v>1480</v>
      </c>
      <c r="G263" s="2">
        <v>46071</v>
      </c>
      <c r="H263">
        <v>155</v>
      </c>
      <c r="I263" s="2">
        <v>46069</v>
      </c>
      <c r="J263" s="1" t="s">
        <v>934</v>
      </c>
      <c r="K263">
        <v>155</v>
      </c>
      <c r="L263">
        <v>145.19</v>
      </c>
      <c r="M263" s="2">
        <v>46078</v>
      </c>
      <c r="N263" t="str">
        <f>IF(po_master[[#This Row],[Approved By]]="", "Missing Approval", "OK")</f>
        <v>OK</v>
      </c>
      <c r="O263" t="str">
        <f>IF(ISBLANK(po_master[[#This Row],[GR Quantity]]), "No GR - Not received", "OK")</f>
        <v>OK</v>
      </c>
      <c r="P263" s="1" t="str">
        <f>IF(po_master[[#This Row],[Promised Delivey Date]]&lt;po_master[[#This Row],[Order Date]], "Invalid", "OK")</f>
        <v>OK</v>
      </c>
      <c r="Q263" s="1" t="str">
        <f>IF(ISBLANK(po_master[[#This Row],[Invoice Number]]), "No Invoice", "OK")</f>
        <v>OK</v>
      </c>
      <c r="R263" s="1" t="str">
        <f>IF(AND(NOT(ISBLANK(po_master[[#This Row],[GR Quantity]])), po_master[[#This Row],[GR Quantity]]&lt;&gt;po_master[[#This Row],[PO Quantity]]), "Qty Variance", "OK")</f>
        <v>OK</v>
      </c>
      <c r="S263" s="1" t="str">
        <f>IF(po_master[[#This Row],[Invoice Unit Price]]&gt;po_master[[#This Row],[PO Unit Price]]*1.01, "Price Variance", "OK")</f>
        <v>Price Variance</v>
      </c>
      <c r="T263" s="1" t="str">
        <f>IF(po_master[[#This Row],[Actual Delivery Date]]&gt;po_master[[#This Row],[Promised Delivey Date]], "Late Delivery", "OK")</f>
        <v>OK</v>
      </c>
      <c r="U263" s="1" t="str">
        <f>IF(COUNTIF(po_master[PO Number],po_master[[#This Row],[PO Number]])&gt;1, "Duplicate Invoice", "OK")</f>
        <v>OK</v>
      </c>
    </row>
    <row r="264" spans="1:21" x14ac:dyDescent="0.25">
      <c r="A264" s="1" t="s">
        <v>233</v>
      </c>
      <c r="B264" s="1" t="s">
        <v>1491</v>
      </c>
      <c r="C264" s="2">
        <v>46101</v>
      </c>
      <c r="D264">
        <v>33</v>
      </c>
      <c r="E264">
        <v>48</v>
      </c>
      <c r="F264" s="1" t="s">
        <v>1494</v>
      </c>
      <c r="G264" s="2">
        <v>46107</v>
      </c>
      <c r="H264">
        <v>33</v>
      </c>
      <c r="I264" s="2">
        <v>46105</v>
      </c>
      <c r="J264" s="1" t="s">
        <v>935</v>
      </c>
      <c r="K264">
        <v>33</v>
      </c>
      <c r="L264">
        <v>48</v>
      </c>
      <c r="M264" s="2">
        <v>46114</v>
      </c>
      <c r="N264" t="str">
        <f>IF(po_master[[#This Row],[Approved By]]="", "Missing Approval", "OK")</f>
        <v>OK</v>
      </c>
      <c r="O264" t="str">
        <f>IF(ISBLANK(po_master[[#This Row],[GR Quantity]]), "No GR - Not received", "OK")</f>
        <v>OK</v>
      </c>
      <c r="P264" s="1" t="str">
        <f>IF(po_master[[#This Row],[Promised Delivey Date]]&lt;po_master[[#This Row],[Order Date]], "Invalid", "OK")</f>
        <v>OK</v>
      </c>
      <c r="Q264" s="1" t="str">
        <f>IF(ISBLANK(po_master[[#This Row],[Invoice Number]]), "No Invoice", "OK")</f>
        <v>OK</v>
      </c>
      <c r="R264" s="1" t="str">
        <f>IF(AND(NOT(ISBLANK(po_master[[#This Row],[GR Quantity]])), po_master[[#This Row],[GR Quantity]]&lt;&gt;po_master[[#This Row],[PO Quantity]]), "Qty Variance", "OK")</f>
        <v>OK</v>
      </c>
      <c r="S264" s="1" t="str">
        <f>IF(po_master[[#This Row],[Invoice Unit Price]]&gt;po_master[[#This Row],[PO Unit Price]]*1.01, "Price Variance", "OK")</f>
        <v>OK</v>
      </c>
      <c r="T264" s="1" t="str">
        <f>IF(po_master[[#This Row],[Actual Delivery Date]]&gt;po_master[[#This Row],[Promised Delivey Date]], "Late Delivery", "OK")</f>
        <v>OK</v>
      </c>
      <c r="U264" s="1" t="str">
        <f>IF(COUNTIF(po_master[PO Number],po_master[[#This Row],[PO Number]])&gt;1, "Duplicate Invoice", "OK")</f>
        <v>OK</v>
      </c>
    </row>
    <row r="265" spans="1:21" x14ac:dyDescent="0.25">
      <c r="A265" s="1" t="s">
        <v>234</v>
      </c>
      <c r="B265" s="1" t="s">
        <v>1481</v>
      </c>
      <c r="C265" s="2">
        <v>46075</v>
      </c>
      <c r="D265">
        <v>164</v>
      </c>
      <c r="E265">
        <v>189.34</v>
      </c>
      <c r="F265" s="1" t="s">
        <v>1456</v>
      </c>
      <c r="G265" s="2">
        <v>46084</v>
      </c>
      <c r="H265">
        <v>164</v>
      </c>
      <c r="I265" s="2">
        <v>46084</v>
      </c>
      <c r="J265" s="1" t="s">
        <v>936</v>
      </c>
      <c r="K265">
        <v>164</v>
      </c>
      <c r="L265">
        <v>189.34</v>
      </c>
      <c r="M265" s="2">
        <v>46094</v>
      </c>
      <c r="N265" t="str">
        <f>IF(po_master[[#This Row],[Approved By]]="", "Missing Approval", "OK")</f>
        <v>OK</v>
      </c>
      <c r="O265" t="str">
        <f>IF(ISBLANK(po_master[[#This Row],[GR Quantity]]), "No GR - Not received", "OK")</f>
        <v>OK</v>
      </c>
      <c r="P265" s="1" t="str">
        <f>IF(po_master[[#This Row],[Promised Delivey Date]]&lt;po_master[[#This Row],[Order Date]], "Invalid", "OK")</f>
        <v>OK</v>
      </c>
      <c r="Q265" s="1" t="str">
        <f>IF(ISBLANK(po_master[[#This Row],[Invoice Number]]), "No Invoice", "OK")</f>
        <v>OK</v>
      </c>
      <c r="R265" s="1" t="str">
        <f>IF(AND(NOT(ISBLANK(po_master[[#This Row],[GR Quantity]])), po_master[[#This Row],[GR Quantity]]&lt;&gt;po_master[[#This Row],[PO Quantity]]), "Qty Variance", "OK")</f>
        <v>OK</v>
      </c>
      <c r="S265" s="1" t="str">
        <f>IF(po_master[[#This Row],[Invoice Unit Price]]&gt;po_master[[#This Row],[PO Unit Price]]*1.01, "Price Variance", "OK")</f>
        <v>OK</v>
      </c>
      <c r="T265" s="1" t="str">
        <f>IF(po_master[[#This Row],[Actual Delivery Date]]&gt;po_master[[#This Row],[Promised Delivey Date]], "Late Delivery", "OK")</f>
        <v>OK</v>
      </c>
      <c r="U265" s="1" t="str">
        <f>IF(COUNTIF(po_master[PO Number],po_master[[#This Row],[PO Number]])&gt;1, "Duplicate Invoice", "OK")</f>
        <v>Duplicate Invoice</v>
      </c>
    </row>
    <row r="266" spans="1:21" x14ac:dyDescent="0.25">
      <c r="A266" s="1" t="s">
        <v>234</v>
      </c>
      <c r="B266" s="1" t="s">
        <v>1481</v>
      </c>
      <c r="C266" s="2">
        <v>46075</v>
      </c>
      <c r="D266">
        <v>164</v>
      </c>
      <c r="E266">
        <v>189.34</v>
      </c>
      <c r="F266" s="1" t="s">
        <v>1456</v>
      </c>
      <c r="G266" s="2">
        <v>46084</v>
      </c>
      <c r="H266">
        <v>164</v>
      </c>
      <c r="I266" s="2">
        <v>46084</v>
      </c>
      <c r="J266" s="1" t="s">
        <v>937</v>
      </c>
      <c r="K266">
        <v>164</v>
      </c>
      <c r="L266">
        <v>189.34</v>
      </c>
      <c r="M266" s="2">
        <v>46098</v>
      </c>
      <c r="N266" t="str">
        <f>IF(po_master[[#This Row],[Approved By]]="", "Missing Approval", "OK")</f>
        <v>OK</v>
      </c>
      <c r="O266" t="str">
        <f>IF(ISBLANK(po_master[[#This Row],[GR Quantity]]), "No GR - Not received", "OK")</f>
        <v>OK</v>
      </c>
      <c r="P266" s="1" t="str">
        <f>IF(po_master[[#This Row],[Promised Delivey Date]]&lt;po_master[[#This Row],[Order Date]], "Invalid", "OK")</f>
        <v>OK</v>
      </c>
      <c r="Q266" s="1" t="str">
        <f>IF(ISBLANK(po_master[[#This Row],[Invoice Number]]), "No Invoice", "OK")</f>
        <v>OK</v>
      </c>
      <c r="R266" s="1" t="str">
        <f>IF(AND(NOT(ISBLANK(po_master[[#This Row],[GR Quantity]])), po_master[[#This Row],[GR Quantity]]&lt;&gt;po_master[[#This Row],[PO Quantity]]), "Qty Variance", "OK")</f>
        <v>OK</v>
      </c>
      <c r="S266" s="1" t="str">
        <f>IF(po_master[[#This Row],[Invoice Unit Price]]&gt;po_master[[#This Row],[PO Unit Price]]*1.01, "Price Variance", "OK")</f>
        <v>OK</v>
      </c>
      <c r="T266" s="1" t="str">
        <f>IF(po_master[[#This Row],[Actual Delivery Date]]&gt;po_master[[#This Row],[Promised Delivey Date]], "Late Delivery", "OK")</f>
        <v>OK</v>
      </c>
      <c r="U266" s="1" t="str">
        <f>IF(COUNTIF(po_master[PO Number],po_master[[#This Row],[PO Number]])&gt;1, "Duplicate Invoice", "OK")</f>
        <v>Duplicate Invoice</v>
      </c>
    </row>
    <row r="267" spans="1:21" x14ac:dyDescent="0.25">
      <c r="A267" s="1" t="s">
        <v>235</v>
      </c>
      <c r="B267" s="1" t="s">
        <v>1470</v>
      </c>
      <c r="C267" s="2">
        <v>46097</v>
      </c>
      <c r="D267">
        <v>177</v>
      </c>
      <c r="E267">
        <v>28.4</v>
      </c>
      <c r="F267" s="1" t="s">
        <v>1459</v>
      </c>
      <c r="G267" s="2">
        <v>46115</v>
      </c>
      <c r="H267">
        <v>177</v>
      </c>
      <c r="I267" s="2">
        <v>46113</v>
      </c>
      <c r="J267" s="1" t="s">
        <v>938</v>
      </c>
      <c r="K267">
        <v>177</v>
      </c>
      <c r="L267">
        <v>28.4</v>
      </c>
      <c r="M267" s="2">
        <v>46122</v>
      </c>
      <c r="N267" t="str">
        <f>IF(po_master[[#This Row],[Approved By]]="", "Missing Approval", "OK")</f>
        <v>Missing Approval</v>
      </c>
      <c r="O267" t="str">
        <f>IF(ISBLANK(po_master[[#This Row],[GR Quantity]]), "No GR - Not received", "OK")</f>
        <v>OK</v>
      </c>
      <c r="P267" s="1" t="str">
        <f>IF(po_master[[#This Row],[Promised Delivey Date]]&lt;po_master[[#This Row],[Order Date]], "Invalid", "OK")</f>
        <v>OK</v>
      </c>
      <c r="Q267" s="1" t="str">
        <f>IF(ISBLANK(po_master[[#This Row],[Invoice Number]]), "No Invoice", "OK")</f>
        <v>OK</v>
      </c>
      <c r="R267" s="1" t="str">
        <f>IF(AND(NOT(ISBLANK(po_master[[#This Row],[GR Quantity]])), po_master[[#This Row],[GR Quantity]]&lt;&gt;po_master[[#This Row],[PO Quantity]]), "Qty Variance", "OK")</f>
        <v>OK</v>
      </c>
      <c r="S267" s="1" t="str">
        <f>IF(po_master[[#This Row],[Invoice Unit Price]]&gt;po_master[[#This Row],[PO Unit Price]]*1.01, "Price Variance", "OK")</f>
        <v>OK</v>
      </c>
      <c r="T267" s="1" t="str">
        <f>IF(po_master[[#This Row],[Actual Delivery Date]]&gt;po_master[[#This Row],[Promised Delivey Date]], "Late Delivery", "OK")</f>
        <v>OK</v>
      </c>
      <c r="U267" s="1" t="str">
        <f>IF(COUNTIF(po_master[PO Number],po_master[[#This Row],[PO Number]])&gt;1, "Duplicate Invoice", "OK")</f>
        <v>OK</v>
      </c>
    </row>
    <row r="268" spans="1:21" x14ac:dyDescent="0.25">
      <c r="A268" s="1" t="s">
        <v>236</v>
      </c>
      <c r="B268" s="1" t="s">
        <v>1486</v>
      </c>
      <c r="C268" s="2">
        <v>46056</v>
      </c>
      <c r="D268">
        <v>204</v>
      </c>
      <c r="E268">
        <v>108.85</v>
      </c>
      <c r="F268" s="1" t="s">
        <v>1440</v>
      </c>
      <c r="G268" s="2">
        <v>46077</v>
      </c>
      <c r="H268">
        <v>204</v>
      </c>
      <c r="I268" s="2">
        <v>46085</v>
      </c>
      <c r="J268" s="1" t="s">
        <v>939</v>
      </c>
      <c r="K268">
        <v>204</v>
      </c>
      <c r="L268">
        <v>108.85</v>
      </c>
      <c r="M268" s="2">
        <v>46083</v>
      </c>
      <c r="N268" t="str">
        <f>IF(po_master[[#This Row],[Approved By]]="", "Missing Approval", "OK")</f>
        <v>OK</v>
      </c>
      <c r="O268" t="str">
        <f>IF(ISBLANK(po_master[[#This Row],[GR Quantity]]), "No GR - Not received", "OK")</f>
        <v>OK</v>
      </c>
      <c r="P268" s="1" t="str">
        <f>IF(po_master[[#This Row],[Promised Delivey Date]]&lt;po_master[[#This Row],[Order Date]], "Invalid", "OK")</f>
        <v>OK</v>
      </c>
      <c r="Q268" s="1" t="str">
        <f>IF(ISBLANK(po_master[[#This Row],[Invoice Number]]), "No Invoice", "OK")</f>
        <v>OK</v>
      </c>
      <c r="R268" s="1" t="str">
        <f>IF(AND(NOT(ISBLANK(po_master[[#This Row],[GR Quantity]])), po_master[[#This Row],[GR Quantity]]&lt;&gt;po_master[[#This Row],[PO Quantity]]), "Qty Variance", "OK")</f>
        <v>OK</v>
      </c>
      <c r="S268" s="1" t="str">
        <f>IF(po_master[[#This Row],[Invoice Unit Price]]&gt;po_master[[#This Row],[PO Unit Price]]*1.01, "Price Variance", "OK")</f>
        <v>OK</v>
      </c>
      <c r="T268" s="1" t="str">
        <f>IF(po_master[[#This Row],[Actual Delivery Date]]&gt;po_master[[#This Row],[Promised Delivey Date]], "Late Delivery", "OK")</f>
        <v>Late Delivery</v>
      </c>
      <c r="U268" s="1" t="str">
        <f>IF(COUNTIF(po_master[PO Number],po_master[[#This Row],[PO Number]])&gt;1, "Duplicate Invoice", "OK")</f>
        <v>OK</v>
      </c>
    </row>
    <row r="269" spans="1:21" x14ac:dyDescent="0.25">
      <c r="A269" s="1" t="s">
        <v>237</v>
      </c>
      <c r="B269" s="1" t="s">
        <v>1454</v>
      </c>
      <c r="C269" s="2">
        <v>46113</v>
      </c>
      <c r="D269">
        <v>46</v>
      </c>
      <c r="E269">
        <v>82.43</v>
      </c>
      <c r="F269" s="1" t="s">
        <v>1490</v>
      </c>
      <c r="G269" s="2">
        <v>46119</v>
      </c>
      <c r="H269">
        <v>46</v>
      </c>
      <c r="I269" s="2">
        <v>46137</v>
      </c>
      <c r="J269" s="1" t="s">
        <v>940</v>
      </c>
      <c r="K269">
        <v>46</v>
      </c>
      <c r="L269">
        <v>82.43</v>
      </c>
      <c r="M269" s="2">
        <v>46120</v>
      </c>
      <c r="N269" t="str">
        <f>IF(po_master[[#This Row],[Approved By]]="", "Missing Approval", "OK")</f>
        <v>OK</v>
      </c>
      <c r="O269" t="str">
        <f>IF(ISBLANK(po_master[[#This Row],[GR Quantity]]), "No GR - Not received", "OK")</f>
        <v>OK</v>
      </c>
      <c r="P269" s="1" t="str">
        <f>IF(po_master[[#This Row],[Promised Delivey Date]]&lt;po_master[[#This Row],[Order Date]], "Invalid", "OK")</f>
        <v>OK</v>
      </c>
      <c r="Q269" s="1" t="str">
        <f>IF(ISBLANK(po_master[[#This Row],[Invoice Number]]), "No Invoice", "OK")</f>
        <v>OK</v>
      </c>
      <c r="R269" s="1" t="str">
        <f>IF(AND(NOT(ISBLANK(po_master[[#This Row],[GR Quantity]])), po_master[[#This Row],[GR Quantity]]&lt;&gt;po_master[[#This Row],[PO Quantity]]), "Qty Variance", "OK")</f>
        <v>OK</v>
      </c>
      <c r="S269" s="1" t="str">
        <f>IF(po_master[[#This Row],[Invoice Unit Price]]&gt;po_master[[#This Row],[PO Unit Price]]*1.01, "Price Variance", "OK")</f>
        <v>OK</v>
      </c>
      <c r="T269" s="1" t="str">
        <f>IF(po_master[[#This Row],[Actual Delivery Date]]&gt;po_master[[#This Row],[Promised Delivey Date]], "Late Delivery", "OK")</f>
        <v>Late Delivery</v>
      </c>
      <c r="U269" s="1" t="str">
        <f>IF(COUNTIF(po_master[PO Number],po_master[[#This Row],[PO Number]])&gt;1, "Duplicate Invoice", "OK")</f>
        <v>OK</v>
      </c>
    </row>
    <row r="270" spans="1:21" x14ac:dyDescent="0.25">
      <c r="A270" s="1" t="s">
        <v>238</v>
      </c>
      <c r="B270" s="1" t="s">
        <v>1500</v>
      </c>
      <c r="C270" s="2">
        <v>46027</v>
      </c>
      <c r="D270">
        <v>245</v>
      </c>
      <c r="E270">
        <v>184.63</v>
      </c>
      <c r="F270" s="1" t="s">
        <v>1472</v>
      </c>
      <c r="G270" s="2">
        <v>46045</v>
      </c>
      <c r="H270">
        <v>264</v>
      </c>
      <c r="I270" s="2">
        <v>46044</v>
      </c>
      <c r="J270" s="1" t="s">
        <v>941</v>
      </c>
      <c r="K270">
        <v>245</v>
      </c>
      <c r="L270">
        <v>184.63</v>
      </c>
      <c r="M270" s="2">
        <v>46049</v>
      </c>
      <c r="N270" t="str">
        <f>IF(po_master[[#This Row],[Approved By]]="", "Missing Approval", "OK")</f>
        <v>OK</v>
      </c>
      <c r="O270" t="str">
        <f>IF(ISBLANK(po_master[[#This Row],[GR Quantity]]), "No GR - Not received", "OK")</f>
        <v>OK</v>
      </c>
      <c r="P270" s="1" t="str">
        <f>IF(po_master[[#This Row],[Promised Delivey Date]]&lt;po_master[[#This Row],[Order Date]], "Invalid", "OK")</f>
        <v>OK</v>
      </c>
      <c r="Q270" s="1" t="str">
        <f>IF(ISBLANK(po_master[[#This Row],[Invoice Number]]), "No Invoice", "OK")</f>
        <v>OK</v>
      </c>
      <c r="R270" s="1" t="str">
        <f>IF(AND(NOT(ISBLANK(po_master[[#This Row],[GR Quantity]])), po_master[[#This Row],[GR Quantity]]&lt;&gt;po_master[[#This Row],[PO Quantity]]), "Qty Variance", "OK")</f>
        <v>Qty Variance</v>
      </c>
      <c r="S270" s="1" t="str">
        <f>IF(po_master[[#This Row],[Invoice Unit Price]]&gt;po_master[[#This Row],[PO Unit Price]]*1.01, "Price Variance", "OK")</f>
        <v>OK</v>
      </c>
      <c r="T270" s="1" t="str">
        <f>IF(po_master[[#This Row],[Actual Delivery Date]]&gt;po_master[[#This Row],[Promised Delivey Date]], "Late Delivery", "OK")</f>
        <v>OK</v>
      </c>
      <c r="U270" s="1" t="str">
        <f>IF(COUNTIF(po_master[PO Number],po_master[[#This Row],[PO Number]])&gt;1, "Duplicate Invoice", "OK")</f>
        <v>OK</v>
      </c>
    </row>
    <row r="271" spans="1:21" x14ac:dyDescent="0.25">
      <c r="A271" s="1" t="s">
        <v>926</v>
      </c>
      <c r="B271" s="1" t="s">
        <v>1479</v>
      </c>
      <c r="C271" s="2">
        <v>46112</v>
      </c>
      <c r="D271">
        <v>13</v>
      </c>
      <c r="E271">
        <v>40.369999999999997</v>
      </c>
      <c r="F271" s="1" t="s">
        <v>1485</v>
      </c>
      <c r="G271" s="2">
        <v>46129</v>
      </c>
      <c r="I271" s="2"/>
      <c r="J271" s="1" t="s">
        <v>927</v>
      </c>
      <c r="K271">
        <v>13</v>
      </c>
      <c r="L271">
        <v>40.369999999999997</v>
      </c>
      <c r="M271" s="2">
        <v>46138</v>
      </c>
      <c r="N271" t="str">
        <f>IF(po_master[[#This Row],[Approved By]]="", "Missing Approval", "OK")</f>
        <v>OK</v>
      </c>
      <c r="O271" t="str">
        <f>IF(ISBLANK(po_master[[#This Row],[GR Quantity]]), "No GR - Not received", "OK")</f>
        <v>No GR - Not received</v>
      </c>
      <c r="P271" s="1" t="str">
        <f>IF(po_master[[#This Row],[Promised Delivey Date]]&lt;po_master[[#This Row],[Order Date]], "Invalid", "OK")</f>
        <v>OK</v>
      </c>
      <c r="Q271" s="1" t="str">
        <f>IF(ISBLANK(po_master[[#This Row],[Invoice Number]]), "No Invoice", "OK")</f>
        <v>OK</v>
      </c>
      <c r="R271" s="1" t="str">
        <f>IF(AND(NOT(ISBLANK(po_master[[#This Row],[GR Quantity]])), po_master[[#This Row],[GR Quantity]]&lt;&gt;po_master[[#This Row],[PO Quantity]]), "Qty Variance", "OK")</f>
        <v>OK</v>
      </c>
      <c r="S271" s="1" t="str">
        <f>IF(po_master[[#This Row],[Invoice Unit Price]]&gt;po_master[[#This Row],[PO Unit Price]]*1.01, "Price Variance", "OK")</f>
        <v>OK</v>
      </c>
      <c r="T271" s="1" t="str">
        <f>IF(po_master[[#This Row],[Actual Delivery Date]]&gt;po_master[[#This Row],[Promised Delivey Date]], "Late Delivery", "OK")</f>
        <v>OK</v>
      </c>
      <c r="U271" s="1" t="str">
        <f>IF(COUNTIF(po_master[PO Number],po_master[[#This Row],[PO Number]])&gt;1, "Duplicate Invoice", "OK")</f>
        <v>OK</v>
      </c>
    </row>
    <row r="272" spans="1:21" x14ac:dyDescent="0.25">
      <c r="A272" s="1" t="s">
        <v>239</v>
      </c>
      <c r="B272" s="1" t="s">
        <v>1493</v>
      </c>
      <c r="C272" s="2">
        <v>46126</v>
      </c>
      <c r="D272">
        <v>373</v>
      </c>
      <c r="E272">
        <v>129.83000000000001</v>
      </c>
      <c r="F272" s="1" t="s">
        <v>1474</v>
      </c>
      <c r="G272" s="2">
        <v>46134</v>
      </c>
      <c r="H272">
        <v>373</v>
      </c>
      <c r="I272" s="2">
        <v>46133</v>
      </c>
      <c r="J272" s="1" t="s">
        <v>942</v>
      </c>
      <c r="K272">
        <v>373</v>
      </c>
      <c r="L272">
        <v>150.21</v>
      </c>
      <c r="M272" s="2">
        <v>46144</v>
      </c>
      <c r="N272" t="str">
        <f>IF(po_master[[#This Row],[Approved By]]="", "Missing Approval", "OK")</f>
        <v>OK</v>
      </c>
      <c r="O272" t="str">
        <f>IF(ISBLANK(po_master[[#This Row],[GR Quantity]]), "No GR - Not received", "OK")</f>
        <v>OK</v>
      </c>
      <c r="P272" s="1" t="str">
        <f>IF(po_master[[#This Row],[Promised Delivey Date]]&lt;po_master[[#This Row],[Order Date]], "Invalid", "OK")</f>
        <v>OK</v>
      </c>
      <c r="Q272" s="1" t="str">
        <f>IF(ISBLANK(po_master[[#This Row],[Invoice Number]]), "No Invoice", "OK")</f>
        <v>OK</v>
      </c>
      <c r="R272" s="1" t="str">
        <f>IF(AND(NOT(ISBLANK(po_master[[#This Row],[GR Quantity]])), po_master[[#This Row],[GR Quantity]]&lt;&gt;po_master[[#This Row],[PO Quantity]]), "Qty Variance", "OK")</f>
        <v>OK</v>
      </c>
      <c r="S272" s="1" t="str">
        <f>IF(po_master[[#This Row],[Invoice Unit Price]]&gt;po_master[[#This Row],[PO Unit Price]]*1.01, "Price Variance", "OK")</f>
        <v>Price Variance</v>
      </c>
      <c r="T272" s="1" t="str">
        <f>IF(po_master[[#This Row],[Actual Delivery Date]]&gt;po_master[[#This Row],[Promised Delivey Date]], "Late Delivery", "OK")</f>
        <v>OK</v>
      </c>
      <c r="U272" s="1" t="str">
        <f>IF(COUNTIF(po_master[PO Number],po_master[[#This Row],[PO Number]])&gt;1, "Duplicate Invoice", "OK")</f>
        <v>OK</v>
      </c>
    </row>
    <row r="273" spans="1:21" x14ac:dyDescent="0.25">
      <c r="A273" s="1" t="s">
        <v>240</v>
      </c>
      <c r="B273" s="1" t="s">
        <v>1488</v>
      </c>
      <c r="C273" s="2">
        <v>46028</v>
      </c>
      <c r="D273">
        <v>176</v>
      </c>
      <c r="E273">
        <v>38.520000000000003</v>
      </c>
      <c r="F273" s="1" t="s">
        <v>1494</v>
      </c>
      <c r="G273" s="2">
        <v>46047</v>
      </c>
      <c r="H273">
        <v>176</v>
      </c>
      <c r="I273" s="2">
        <v>46048</v>
      </c>
      <c r="J273" s="1" t="s">
        <v>943</v>
      </c>
      <c r="K273">
        <v>176</v>
      </c>
      <c r="L273">
        <v>38.520000000000003</v>
      </c>
      <c r="M273" s="2">
        <v>46057</v>
      </c>
      <c r="N273" t="str">
        <f>IF(po_master[[#This Row],[Approved By]]="", "Missing Approval", "OK")</f>
        <v>OK</v>
      </c>
      <c r="O273" t="str">
        <f>IF(ISBLANK(po_master[[#This Row],[GR Quantity]]), "No GR - Not received", "OK")</f>
        <v>OK</v>
      </c>
      <c r="P273" s="1" t="str">
        <f>IF(po_master[[#This Row],[Promised Delivey Date]]&lt;po_master[[#This Row],[Order Date]], "Invalid", "OK")</f>
        <v>OK</v>
      </c>
      <c r="Q273" s="1" t="str">
        <f>IF(ISBLANK(po_master[[#This Row],[Invoice Number]]), "No Invoice", "OK")</f>
        <v>OK</v>
      </c>
      <c r="R273" s="1" t="str">
        <f>IF(AND(NOT(ISBLANK(po_master[[#This Row],[GR Quantity]])), po_master[[#This Row],[GR Quantity]]&lt;&gt;po_master[[#This Row],[PO Quantity]]), "Qty Variance", "OK")</f>
        <v>OK</v>
      </c>
      <c r="S273" s="1" t="str">
        <f>IF(po_master[[#This Row],[Invoice Unit Price]]&gt;po_master[[#This Row],[PO Unit Price]]*1.01, "Price Variance", "OK")</f>
        <v>OK</v>
      </c>
      <c r="T273" s="1" t="str">
        <f>IF(po_master[[#This Row],[Actual Delivery Date]]&gt;po_master[[#This Row],[Promised Delivey Date]], "Late Delivery", "OK")</f>
        <v>Late Delivery</v>
      </c>
      <c r="U273" s="1" t="str">
        <f>IF(COUNTIF(po_master[PO Number],po_master[[#This Row],[PO Number]])&gt;1, "Duplicate Invoice", "OK")</f>
        <v>OK</v>
      </c>
    </row>
    <row r="274" spans="1:21" x14ac:dyDescent="0.25">
      <c r="A274" s="1" t="s">
        <v>241</v>
      </c>
      <c r="B274" s="1" t="s">
        <v>1449</v>
      </c>
      <c r="C274" s="2">
        <v>46115</v>
      </c>
      <c r="D274">
        <v>55</v>
      </c>
      <c r="E274">
        <v>90.16</v>
      </c>
      <c r="F274" s="1" t="s">
        <v>1483</v>
      </c>
      <c r="G274" s="2">
        <v>46127</v>
      </c>
      <c r="H274">
        <v>55</v>
      </c>
      <c r="I274" s="2">
        <v>46129</v>
      </c>
      <c r="J274" s="1" t="s">
        <v>944</v>
      </c>
      <c r="K274">
        <v>55</v>
      </c>
      <c r="L274">
        <v>90.16</v>
      </c>
      <c r="M274" s="2">
        <v>46133</v>
      </c>
      <c r="N274" t="str">
        <f>IF(po_master[[#This Row],[Approved By]]="", "Missing Approval", "OK")</f>
        <v>OK</v>
      </c>
      <c r="O274" t="str">
        <f>IF(ISBLANK(po_master[[#This Row],[GR Quantity]]), "No GR - Not received", "OK")</f>
        <v>OK</v>
      </c>
      <c r="P274" s="1" t="str">
        <f>IF(po_master[[#This Row],[Promised Delivey Date]]&lt;po_master[[#This Row],[Order Date]], "Invalid", "OK")</f>
        <v>OK</v>
      </c>
      <c r="Q274" s="1" t="str">
        <f>IF(ISBLANK(po_master[[#This Row],[Invoice Number]]), "No Invoice", "OK")</f>
        <v>OK</v>
      </c>
      <c r="R274" s="1" t="str">
        <f>IF(AND(NOT(ISBLANK(po_master[[#This Row],[GR Quantity]])), po_master[[#This Row],[GR Quantity]]&lt;&gt;po_master[[#This Row],[PO Quantity]]), "Qty Variance", "OK")</f>
        <v>OK</v>
      </c>
      <c r="S274" s="1" t="str">
        <f>IF(po_master[[#This Row],[Invoice Unit Price]]&gt;po_master[[#This Row],[PO Unit Price]]*1.01, "Price Variance", "OK")</f>
        <v>OK</v>
      </c>
      <c r="T274" s="1" t="str">
        <f>IF(po_master[[#This Row],[Actual Delivery Date]]&gt;po_master[[#This Row],[Promised Delivey Date]], "Late Delivery", "OK")</f>
        <v>Late Delivery</v>
      </c>
      <c r="U274" s="1" t="str">
        <f>IF(COUNTIF(po_master[PO Number],po_master[[#This Row],[PO Number]])&gt;1, "Duplicate Invoice", "OK")</f>
        <v>OK</v>
      </c>
    </row>
    <row r="275" spans="1:21" x14ac:dyDescent="0.25">
      <c r="A275" s="1" t="s">
        <v>242</v>
      </c>
      <c r="B275" s="1" t="s">
        <v>1500</v>
      </c>
      <c r="C275" s="2">
        <v>46173</v>
      </c>
      <c r="D275">
        <v>215</v>
      </c>
      <c r="E275">
        <v>107.17</v>
      </c>
      <c r="F275" s="1" t="s">
        <v>1453</v>
      </c>
      <c r="G275" s="2">
        <v>46187</v>
      </c>
      <c r="H275">
        <v>215</v>
      </c>
      <c r="I275" s="2">
        <v>46185</v>
      </c>
      <c r="J275" s="1" t="s">
        <v>945</v>
      </c>
      <c r="K275">
        <v>215</v>
      </c>
      <c r="L275">
        <v>107.17</v>
      </c>
      <c r="M275" s="2">
        <v>46195</v>
      </c>
      <c r="N275" t="str">
        <f>IF(po_master[[#This Row],[Approved By]]="", "Missing Approval", "OK")</f>
        <v>OK</v>
      </c>
      <c r="O275" t="str">
        <f>IF(ISBLANK(po_master[[#This Row],[GR Quantity]]), "No GR - Not received", "OK")</f>
        <v>OK</v>
      </c>
      <c r="P275" s="1" t="str">
        <f>IF(po_master[[#This Row],[Promised Delivey Date]]&lt;po_master[[#This Row],[Order Date]], "Invalid", "OK")</f>
        <v>OK</v>
      </c>
      <c r="Q275" s="1" t="str">
        <f>IF(ISBLANK(po_master[[#This Row],[Invoice Number]]), "No Invoice", "OK")</f>
        <v>OK</v>
      </c>
      <c r="R275" s="1" t="str">
        <f>IF(AND(NOT(ISBLANK(po_master[[#This Row],[GR Quantity]])), po_master[[#This Row],[GR Quantity]]&lt;&gt;po_master[[#This Row],[PO Quantity]]), "Qty Variance", "OK")</f>
        <v>OK</v>
      </c>
      <c r="S275" s="1" t="str">
        <f>IF(po_master[[#This Row],[Invoice Unit Price]]&gt;po_master[[#This Row],[PO Unit Price]]*1.01, "Price Variance", "OK")</f>
        <v>OK</v>
      </c>
      <c r="T275" s="1" t="str">
        <f>IF(po_master[[#This Row],[Actual Delivery Date]]&gt;po_master[[#This Row],[Promised Delivey Date]], "Late Delivery", "OK")</f>
        <v>OK</v>
      </c>
      <c r="U275" s="1" t="str">
        <f>IF(COUNTIF(po_master[PO Number],po_master[[#This Row],[PO Number]])&gt;1, "Duplicate Invoice", "OK")</f>
        <v>OK</v>
      </c>
    </row>
    <row r="276" spans="1:21" x14ac:dyDescent="0.25">
      <c r="A276" s="1" t="s">
        <v>243</v>
      </c>
      <c r="B276" s="1" t="s">
        <v>1465</v>
      </c>
      <c r="C276" s="2">
        <v>46109</v>
      </c>
      <c r="D276">
        <v>123</v>
      </c>
      <c r="E276">
        <v>69.95</v>
      </c>
      <c r="F276" s="1" t="s">
        <v>1501</v>
      </c>
      <c r="G276" s="2">
        <v>46116</v>
      </c>
      <c r="H276">
        <v>123</v>
      </c>
      <c r="I276" s="2">
        <v>46115</v>
      </c>
      <c r="J276" s="1" t="s">
        <v>946</v>
      </c>
      <c r="K276">
        <v>123</v>
      </c>
      <c r="L276">
        <v>69.95</v>
      </c>
      <c r="M276" s="2">
        <v>46117</v>
      </c>
      <c r="N276" t="str">
        <f>IF(po_master[[#This Row],[Approved By]]="", "Missing Approval", "OK")</f>
        <v>OK</v>
      </c>
      <c r="O276" t="str">
        <f>IF(ISBLANK(po_master[[#This Row],[GR Quantity]]), "No GR - Not received", "OK")</f>
        <v>OK</v>
      </c>
      <c r="P276" s="1" t="str">
        <f>IF(po_master[[#This Row],[Promised Delivey Date]]&lt;po_master[[#This Row],[Order Date]], "Invalid", "OK")</f>
        <v>OK</v>
      </c>
      <c r="Q276" s="1" t="str">
        <f>IF(ISBLANK(po_master[[#This Row],[Invoice Number]]), "No Invoice", "OK")</f>
        <v>OK</v>
      </c>
      <c r="R276" s="1" t="str">
        <f>IF(AND(NOT(ISBLANK(po_master[[#This Row],[GR Quantity]])), po_master[[#This Row],[GR Quantity]]&lt;&gt;po_master[[#This Row],[PO Quantity]]), "Qty Variance", "OK")</f>
        <v>OK</v>
      </c>
      <c r="S276" s="1" t="str">
        <f>IF(po_master[[#This Row],[Invoice Unit Price]]&gt;po_master[[#This Row],[PO Unit Price]]*1.01, "Price Variance", "OK")</f>
        <v>OK</v>
      </c>
      <c r="T276" s="1" t="str">
        <f>IF(po_master[[#This Row],[Actual Delivery Date]]&gt;po_master[[#This Row],[Promised Delivey Date]], "Late Delivery", "OK")</f>
        <v>OK</v>
      </c>
      <c r="U276" s="1" t="str">
        <f>IF(COUNTIF(po_master[PO Number],po_master[[#This Row],[PO Number]])&gt;1, "Duplicate Invoice", "OK")</f>
        <v>OK</v>
      </c>
    </row>
    <row r="277" spans="1:21" x14ac:dyDescent="0.25">
      <c r="A277" s="1" t="s">
        <v>244</v>
      </c>
      <c r="B277" s="1" t="s">
        <v>1445</v>
      </c>
      <c r="C277" s="2">
        <v>46052</v>
      </c>
      <c r="D277">
        <v>281</v>
      </c>
      <c r="E277">
        <v>104.44</v>
      </c>
      <c r="F277" s="1" t="s">
        <v>1456</v>
      </c>
      <c r="G277" s="2">
        <v>46068</v>
      </c>
      <c r="H277">
        <v>281</v>
      </c>
      <c r="I277" s="2">
        <v>46066</v>
      </c>
      <c r="J277" s="1" t="s">
        <v>947</v>
      </c>
      <c r="K277">
        <v>281</v>
      </c>
      <c r="L277">
        <v>104.44</v>
      </c>
      <c r="M277" s="2">
        <v>46075</v>
      </c>
      <c r="N277" t="str">
        <f>IF(po_master[[#This Row],[Approved By]]="", "Missing Approval", "OK")</f>
        <v>OK</v>
      </c>
      <c r="O277" t="str">
        <f>IF(ISBLANK(po_master[[#This Row],[GR Quantity]]), "No GR - Not received", "OK")</f>
        <v>OK</v>
      </c>
      <c r="P277" s="1" t="str">
        <f>IF(po_master[[#This Row],[Promised Delivey Date]]&lt;po_master[[#This Row],[Order Date]], "Invalid", "OK")</f>
        <v>OK</v>
      </c>
      <c r="Q277" s="1" t="str">
        <f>IF(ISBLANK(po_master[[#This Row],[Invoice Number]]), "No Invoice", "OK")</f>
        <v>OK</v>
      </c>
      <c r="R277" s="1" t="str">
        <f>IF(AND(NOT(ISBLANK(po_master[[#This Row],[GR Quantity]])), po_master[[#This Row],[GR Quantity]]&lt;&gt;po_master[[#This Row],[PO Quantity]]), "Qty Variance", "OK")</f>
        <v>OK</v>
      </c>
      <c r="S277" s="1" t="str">
        <f>IF(po_master[[#This Row],[Invoice Unit Price]]&gt;po_master[[#This Row],[PO Unit Price]]*1.01, "Price Variance", "OK")</f>
        <v>OK</v>
      </c>
      <c r="T277" s="1" t="str">
        <f>IF(po_master[[#This Row],[Actual Delivery Date]]&gt;po_master[[#This Row],[Promised Delivey Date]], "Late Delivery", "OK")</f>
        <v>OK</v>
      </c>
      <c r="U277" s="1" t="str">
        <f>IF(COUNTIF(po_master[PO Number],po_master[[#This Row],[PO Number]])&gt;1, "Duplicate Invoice", "OK")</f>
        <v>OK</v>
      </c>
    </row>
    <row r="278" spans="1:21" x14ac:dyDescent="0.25">
      <c r="A278" s="1" t="s">
        <v>245</v>
      </c>
      <c r="B278" s="1" t="s">
        <v>1503</v>
      </c>
      <c r="C278" s="2">
        <v>46060</v>
      </c>
      <c r="D278">
        <v>130</v>
      </c>
      <c r="E278">
        <v>25.05</v>
      </c>
      <c r="F278" s="1" t="s">
        <v>1458</v>
      </c>
      <c r="G278" s="2">
        <v>46071</v>
      </c>
      <c r="H278">
        <v>130</v>
      </c>
      <c r="I278" s="2">
        <v>46072</v>
      </c>
      <c r="J278" s="1" t="s">
        <v>948</v>
      </c>
      <c r="K278">
        <v>130</v>
      </c>
      <c r="L278">
        <v>25.05</v>
      </c>
      <c r="M278" s="2">
        <v>46077</v>
      </c>
      <c r="N278" t="str">
        <f>IF(po_master[[#This Row],[Approved By]]="", "Missing Approval", "OK")</f>
        <v>OK</v>
      </c>
      <c r="O278" t="str">
        <f>IF(ISBLANK(po_master[[#This Row],[GR Quantity]]), "No GR - Not received", "OK")</f>
        <v>OK</v>
      </c>
      <c r="P278" s="1" t="str">
        <f>IF(po_master[[#This Row],[Promised Delivey Date]]&lt;po_master[[#This Row],[Order Date]], "Invalid", "OK")</f>
        <v>OK</v>
      </c>
      <c r="Q278" s="1" t="str">
        <f>IF(ISBLANK(po_master[[#This Row],[Invoice Number]]), "No Invoice", "OK")</f>
        <v>OK</v>
      </c>
      <c r="R278" s="1" t="str">
        <f>IF(AND(NOT(ISBLANK(po_master[[#This Row],[GR Quantity]])), po_master[[#This Row],[GR Quantity]]&lt;&gt;po_master[[#This Row],[PO Quantity]]), "Qty Variance", "OK")</f>
        <v>OK</v>
      </c>
      <c r="S278" s="1" t="str">
        <f>IF(po_master[[#This Row],[Invoice Unit Price]]&gt;po_master[[#This Row],[PO Unit Price]]*1.01, "Price Variance", "OK")</f>
        <v>OK</v>
      </c>
      <c r="T278" s="1" t="str">
        <f>IF(po_master[[#This Row],[Actual Delivery Date]]&gt;po_master[[#This Row],[Promised Delivey Date]], "Late Delivery", "OK")</f>
        <v>Late Delivery</v>
      </c>
      <c r="U278" s="1" t="str">
        <f>IF(COUNTIF(po_master[PO Number],po_master[[#This Row],[PO Number]])&gt;1, "Duplicate Invoice", "OK")</f>
        <v>OK</v>
      </c>
    </row>
    <row r="279" spans="1:21" x14ac:dyDescent="0.25">
      <c r="A279" s="1" t="s">
        <v>246</v>
      </c>
      <c r="B279" s="1" t="s">
        <v>1486</v>
      </c>
      <c r="C279" s="2">
        <v>46062</v>
      </c>
      <c r="D279">
        <v>399</v>
      </c>
      <c r="E279">
        <v>153.03</v>
      </c>
      <c r="F279" s="1" t="s">
        <v>1476</v>
      </c>
      <c r="G279" s="2">
        <v>46072</v>
      </c>
      <c r="H279">
        <v>399</v>
      </c>
      <c r="I279" s="2">
        <v>46085</v>
      </c>
      <c r="J279" s="1" t="s">
        <v>949</v>
      </c>
      <c r="K279">
        <v>399</v>
      </c>
      <c r="L279">
        <v>153.03</v>
      </c>
      <c r="M279" s="2">
        <v>46075</v>
      </c>
      <c r="N279" t="str">
        <f>IF(po_master[[#This Row],[Approved By]]="", "Missing Approval", "OK")</f>
        <v>OK</v>
      </c>
      <c r="O279" t="str">
        <f>IF(ISBLANK(po_master[[#This Row],[GR Quantity]]), "No GR - Not received", "OK")</f>
        <v>OK</v>
      </c>
      <c r="P279" s="1" t="str">
        <f>IF(po_master[[#This Row],[Promised Delivey Date]]&lt;po_master[[#This Row],[Order Date]], "Invalid", "OK")</f>
        <v>OK</v>
      </c>
      <c r="Q279" s="1" t="str">
        <f>IF(ISBLANK(po_master[[#This Row],[Invoice Number]]), "No Invoice", "OK")</f>
        <v>OK</v>
      </c>
      <c r="R279" s="1" t="str">
        <f>IF(AND(NOT(ISBLANK(po_master[[#This Row],[GR Quantity]])), po_master[[#This Row],[GR Quantity]]&lt;&gt;po_master[[#This Row],[PO Quantity]]), "Qty Variance", "OK")</f>
        <v>OK</v>
      </c>
      <c r="S279" s="1" t="str">
        <f>IF(po_master[[#This Row],[Invoice Unit Price]]&gt;po_master[[#This Row],[PO Unit Price]]*1.01, "Price Variance", "OK")</f>
        <v>OK</v>
      </c>
      <c r="T279" s="1" t="str">
        <f>IF(po_master[[#This Row],[Actual Delivery Date]]&gt;po_master[[#This Row],[Promised Delivey Date]], "Late Delivery", "OK")</f>
        <v>Late Delivery</v>
      </c>
      <c r="U279" s="1" t="str">
        <f>IF(COUNTIF(po_master[PO Number],po_master[[#This Row],[PO Number]])&gt;1, "Duplicate Invoice", "OK")</f>
        <v>OK</v>
      </c>
    </row>
    <row r="280" spans="1:21" x14ac:dyDescent="0.25">
      <c r="A280" s="1" t="s">
        <v>247</v>
      </c>
      <c r="B280" s="1" t="s">
        <v>1461</v>
      </c>
      <c r="C280" s="2">
        <v>46167</v>
      </c>
      <c r="D280">
        <v>339</v>
      </c>
      <c r="E280">
        <v>128.88</v>
      </c>
      <c r="F280" s="1" t="s">
        <v>1494</v>
      </c>
      <c r="G280" s="2">
        <v>46182</v>
      </c>
      <c r="H280">
        <v>339</v>
      </c>
      <c r="I280" s="2">
        <v>46180</v>
      </c>
      <c r="J280" s="1" t="s">
        <v>952</v>
      </c>
      <c r="K280">
        <v>339</v>
      </c>
      <c r="L280">
        <v>128.88</v>
      </c>
      <c r="M280" s="2">
        <v>46191</v>
      </c>
      <c r="N280" t="str">
        <f>IF(po_master[[#This Row],[Approved By]]="", "Missing Approval", "OK")</f>
        <v>OK</v>
      </c>
      <c r="O280" t="str">
        <f>IF(ISBLANK(po_master[[#This Row],[GR Quantity]]), "No GR - Not received", "OK")</f>
        <v>OK</v>
      </c>
      <c r="P280" s="1" t="str">
        <f>IF(po_master[[#This Row],[Promised Delivey Date]]&lt;po_master[[#This Row],[Order Date]], "Invalid", "OK")</f>
        <v>OK</v>
      </c>
      <c r="Q280" s="1" t="str">
        <f>IF(ISBLANK(po_master[[#This Row],[Invoice Number]]), "No Invoice", "OK")</f>
        <v>OK</v>
      </c>
      <c r="R280" s="1" t="str">
        <f>IF(AND(NOT(ISBLANK(po_master[[#This Row],[GR Quantity]])), po_master[[#This Row],[GR Quantity]]&lt;&gt;po_master[[#This Row],[PO Quantity]]), "Qty Variance", "OK")</f>
        <v>OK</v>
      </c>
      <c r="S280" s="1" t="str">
        <f>IF(po_master[[#This Row],[Invoice Unit Price]]&gt;po_master[[#This Row],[PO Unit Price]]*1.01, "Price Variance", "OK")</f>
        <v>OK</v>
      </c>
      <c r="T280" s="1" t="str">
        <f>IF(po_master[[#This Row],[Actual Delivery Date]]&gt;po_master[[#This Row],[Promised Delivey Date]], "Late Delivery", "OK")</f>
        <v>OK</v>
      </c>
      <c r="U280" s="1" t="str">
        <f>IF(COUNTIF(po_master[PO Number],po_master[[#This Row],[PO Number]])&gt;1, "Duplicate Invoice", "OK")</f>
        <v>OK</v>
      </c>
    </row>
    <row r="281" spans="1:21" x14ac:dyDescent="0.25">
      <c r="A281" s="1" t="s">
        <v>248</v>
      </c>
      <c r="B281" s="1" t="s">
        <v>1439</v>
      </c>
      <c r="C281" s="2">
        <v>46103</v>
      </c>
      <c r="D281">
        <v>87</v>
      </c>
      <c r="E281">
        <v>90.75</v>
      </c>
      <c r="F281" s="1" t="s">
        <v>1487</v>
      </c>
      <c r="G281" s="2">
        <v>46122</v>
      </c>
      <c r="H281">
        <v>87</v>
      </c>
      <c r="I281" s="2">
        <v>46123</v>
      </c>
      <c r="J281" s="1" t="s">
        <v>953</v>
      </c>
      <c r="K281">
        <v>87</v>
      </c>
      <c r="L281">
        <v>90.75</v>
      </c>
      <c r="M281" s="2">
        <v>46123</v>
      </c>
      <c r="N281" t="str">
        <f>IF(po_master[[#This Row],[Approved By]]="", "Missing Approval", "OK")</f>
        <v>OK</v>
      </c>
      <c r="O281" t="str">
        <f>IF(ISBLANK(po_master[[#This Row],[GR Quantity]]), "No GR - Not received", "OK")</f>
        <v>OK</v>
      </c>
      <c r="P281" s="1" t="str">
        <f>IF(po_master[[#This Row],[Promised Delivey Date]]&lt;po_master[[#This Row],[Order Date]], "Invalid", "OK")</f>
        <v>OK</v>
      </c>
      <c r="Q281" s="1" t="str">
        <f>IF(ISBLANK(po_master[[#This Row],[Invoice Number]]), "No Invoice", "OK")</f>
        <v>OK</v>
      </c>
      <c r="R281" s="1" t="str">
        <f>IF(AND(NOT(ISBLANK(po_master[[#This Row],[GR Quantity]])), po_master[[#This Row],[GR Quantity]]&lt;&gt;po_master[[#This Row],[PO Quantity]]), "Qty Variance", "OK")</f>
        <v>OK</v>
      </c>
      <c r="S281" s="1" t="str">
        <f>IF(po_master[[#This Row],[Invoice Unit Price]]&gt;po_master[[#This Row],[PO Unit Price]]*1.01, "Price Variance", "OK")</f>
        <v>OK</v>
      </c>
      <c r="T281" s="1" t="str">
        <f>IF(po_master[[#This Row],[Actual Delivery Date]]&gt;po_master[[#This Row],[Promised Delivey Date]], "Late Delivery", "OK")</f>
        <v>Late Delivery</v>
      </c>
      <c r="U281" s="1" t="str">
        <f>IF(COUNTIF(po_master[PO Number],po_master[[#This Row],[PO Number]])&gt;1, "Duplicate Invoice", "OK")</f>
        <v>OK</v>
      </c>
    </row>
    <row r="282" spans="1:21" x14ac:dyDescent="0.25">
      <c r="A282" s="1" t="s">
        <v>249</v>
      </c>
      <c r="B282" s="1" t="s">
        <v>1439</v>
      </c>
      <c r="C282" s="2">
        <v>46100</v>
      </c>
      <c r="D282">
        <v>417</v>
      </c>
      <c r="E282">
        <v>58.56</v>
      </c>
      <c r="F282" s="1" t="s">
        <v>1462</v>
      </c>
      <c r="G282" s="2">
        <v>46116</v>
      </c>
      <c r="H282">
        <v>417</v>
      </c>
      <c r="I282" s="2">
        <v>46114</v>
      </c>
      <c r="J282" s="1" t="s">
        <v>954</v>
      </c>
      <c r="K282">
        <v>417</v>
      </c>
      <c r="L282">
        <v>58.56</v>
      </c>
      <c r="M282" s="2">
        <v>46125</v>
      </c>
      <c r="N282" t="str">
        <f>IF(po_master[[#This Row],[Approved By]]="", "Missing Approval", "OK")</f>
        <v>OK</v>
      </c>
      <c r="O282" t="str">
        <f>IF(ISBLANK(po_master[[#This Row],[GR Quantity]]), "No GR - Not received", "OK")</f>
        <v>OK</v>
      </c>
      <c r="P282" s="1" t="str">
        <f>IF(po_master[[#This Row],[Promised Delivey Date]]&lt;po_master[[#This Row],[Order Date]], "Invalid", "OK")</f>
        <v>OK</v>
      </c>
      <c r="Q282" s="1" t="str">
        <f>IF(ISBLANK(po_master[[#This Row],[Invoice Number]]), "No Invoice", "OK")</f>
        <v>OK</v>
      </c>
      <c r="R282" s="1" t="str">
        <f>IF(AND(NOT(ISBLANK(po_master[[#This Row],[GR Quantity]])), po_master[[#This Row],[GR Quantity]]&lt;&gt;po_master[[#This Row],[PO Quantity]]), "Qty Variance", "OK")</f>
        <v>OK</v>
      </c>
      <c r="S282" s="1" t="str">
        <f>IF(po_master[[#This Row],[Invoice Unit Price]]&gt;po_master[[#This Row],[PO Unit Price]]*1.01, "Price Variance", "OK")</f>
        <v>OK</v>
      </c>
      <c r="T282" s="1" t="str">
        <f>IF(po_master[[#This Row],[Actual Delivery Date]]&gt;po_master[[#This Row],[Promised Delivey Date]], "Late Delivery", "OK")</f>
        <v>OK</v>
      </c>
      <c r="U282" s="1" t="str">
        <f>IF(COUNTIF(po_master[PO Number],po_master[[#This Row],[PO Number]])&gt;1, "Duplicate Invoice", "OK")</f>
        <v>OK</v>
      </c>
    </row>
    <row r="283" spans="1:21" x14ac:dyDescent="0.25">
      <c r="A283" s="1" t="s">
        <v>250</v>
      </c>
      <c r="B283" s="1" t="s">
        <v>1445</v>
      </c>
      <c r="C283" s="2">
        <v>46041</v>
      </c>
      <c r="D283">
        <v>168</v>
      </c>
      <c r="E283">
        <v>95.04</v>
      </c>
      <c r="F283" s="1" t="s">
        <v>1462</v>
      </c>
      <c r="G283" s="2">
        <v>46047</v>
      </c>
      <c r="H283">
        <v>168</v>
      </c>
      <c r="I283" s="2">
        <v>46049</v>
      </c>
      <c r="J283" s="1" t="s">
        <v>955</v>
      </c>
      <c r="K283">
        <v>168</v>
      </c>
      <c r="L283">
        <v>95.04</v>
      </c>
      <c r="M283" s="2">
        <v>46051</v>
      </c>
      <c r="N283" t="str">
        <f>IF(po_master[[#This Row],[Approved By]]="", "Missing Approval", "OK")</f>
        <v>OK</v>
      </c>
      <c r="O283" t="str">
        <f>IF(ISBLANK(po_master[[#This Row],[GR Quantity]]), "No GR - Not received", "OK")</f>
        <v>OK</v>
      </c>
      <c r="P283" s="1" t="str">
        <f>IF(po_master[[#This Row],[Promised Delivey Date]]&lt;po_master[[#This Row],[Order Date]], "Invalid", "OK")</f>
        <v>OK</v>
      </c>
      <c r="Q283" s="1" t="str">
        <f>IF(ISBLANK(po_master[[#This Row],[Invoice Number]]), "No Invoice", "OK")</f>
        <v>OK</v>
      </c>
      <c r="R283" s="1" t="str">
        <f>IF(AND(NOT(ISBLANK(po_master[[#This Row],[GR Quantity]])), po_master[[#This Row],[GR Quantity]]&lt;&gt;po_master[[#This Row],[PO Quantity]]), "Qty Variance", "OK")</f>
        <v>OK</v>
      </c>
      <c r="S283" s="1" t="str">
        <f>IF(po_master[[#This Row],[Invoice Unit Price]]&gt;po_master[[#This Row],[PO Unit Price]]*1.01, "Price Variance", "OK")</f>
        <v>OK</v>
      </c>
      <c r="T283" s="1" t="str">
        <f>IF(po_master[[#This Row],[Actual Delivery Date]]&gt;po_master[[#This Row],[Promised Delivey Date]], "Late Delivery", "OK")</f>
        <v>Late Delivery</v>
      </c>
      <c r="U283" s="1" t="str">
        <f>IF(COUNTIF(po_master[PO Number],po_master[[#This Row],[PO Number]])&gt;1, "Duplicate Invoice", "OK")</f>
        <v>OK</v>
      </c>
    </row>
    <row r="284" spans="1:21" x14ac:dyDescent="0.25">
      <c r="A284" s="1" t="s">
        <v>251</v>
      </c>
      <c r="B284" s="1" t="s">
        <v>1496</v>
      </c>
      <c r="C284" s="2">
        <v>46096</v>
      </c>
      <c r="D284">
        <v>49</v>
      </c>
      <c r="E284">
        <v>130.71</v>
      </c>
      <c r="F284" s="1" t="s">
        <v>1476</v>
      </c>
      <c r="G284" s="2">
        <v>46117</v>
      </c>
      <c r="H284">
        <v>49</v>
      </c>
      <c r="I284" s="2">
        <v>46115</v>
      </c>
      <c r="J284" s="1" t="s">
        <v>956</v>
      </c>
      <c r="K284">
        <v>49</v>
      </c>
      <c r="L284">
        <v>130.71</v>
      </c>
      <c r="M284" s="2">
        <v>46121</v>
      </c>
      <c r="N284" t="str">
        <f>IF(po_master[[#This Row],[Approved By]]="", "Missing Approval", "OK")</f>
        <v>OK</v>
      </c>
      <c r="O284" t="str">
        <f>IF(ISBLANK(po_master[[#This Row],[GR Quantity]]), "No GR - Not received", "OK")</f>
        <v>OK</v>
      </c>
      <c r="P284" s="1" t="str">
        <f>IF(po_master[[#This Row],[Promised Delivey Date]]&lt;po_master[[#This Row],[Order Date]], "Invalid", "OK")</f>
        <v>OK</v>
      </c>
      <c r="Q284" s="1" t="str">
        <f>IF(ISBLANK(po_master[[#This Row],[Invoice Number]]), "No Invoice", "OK")</f>
        <v>OK</v>
      </c>
      <c r="R284" s="1" t="str">
        <f>IF(AND(NOT(ISBLANK(po_master[[#This Row],[GR Quantity]])), po_master[[#This Row],[GR Quantity]]&lt;&gt;po_master[[#This Row],[PO Quantity]]), "Qty Variance", "OK")</f>
        <v>OK</v>
      </c>
      <c r="S284" s="1" t="str">
        <f>IF(po_master[[#This Row],[Invoice Unit Price]]&gt;po_master[[#This Row],[PO Unit Price]]*1.01, "Price Variance", "OK")</f>
        <v>OK</v>
      </c>
      <c r="T284" s="1" t="str">
        <f>IF(po_master[[#This Row],[Actual Delivery Date]]&gt;po_master[[#This Row],[Promised Delivey Date]], "Late Delivery", "OK")</f>
        <v>OK</v>
      </c>
      <c r="U284" s="1" t="str">
        <f>IF(COUNTIF(po_master[PO Number],po_master[[#This Row],[PO Number]])&gt;1, "Duplicate Invoice", "OK")</f>
        <v>OK</v>
      </c>
    </row>
    <row r="285" spans="1:21" x14ac:dyDescent="0.25">
      <c r="A285" s="1" t="s">
        <v>252</v>
      </c>
      <c r="B285" s="1" t="s">
        <v>1478</v>
      </c>
      <c r="C285" s="2">
        <v>46169</v>
      </c>
      <c r="D285">
        <v>343</v>
      </c>
      <c r="E285">
        <v>41.71</v>
      </c>
      <c r="F285" s="1" t="s">
        <v>1494</v>
      </c>
      <c r="G285" s="2">
        <v>46189</v>
      </c>
      <c r="H285">
        <v>343</v>
      </c>
      <c r="I285" s="2">
        <v>46191</v>
      </c>
      <c r="J285" s="1" t="s">
        <v>959</v>
      </c>
      <c r="K285">
        <v>343</v>
      </c>
      <c r="L285">
        <v>41.71</v>
      </c>
      <c r="M285" s="2">
        <v>46199</v>
      </c>
      <c r="N285" t="str">
        <f>IF(po_master[[#This Row],[Approved By]]="", "Missing Approval", "OK")</f>
        <v>OK</v>
      </c>
      <c r="O285" t="str">
        <f>IF(ISBLANK(po_master[[#This Row],[GR Quantity]]), "No GR - Not received", "OK")</f>
        <v>OK</v>
      </c>
      <c r="P285" s="1" t="str">
        <f>IF(po_master[[#This Row],[Promised Delivey Date]]&lt;po_master[[#This Row],[Order Date]], "Invalid", "OK")</f>
        <v>OK</v>
      </c>
      <c r="Q285" s="1" t="str">
        <f>IF(ISBLANK(po_master[[#This Row],[Invoice Number]]), "No Invoice", "OK")</f>
        <v>OK</v>
      </c>
      <c r="R285" s="1" t="str">
        <f>IF(AND(NOT(ISBLANK(po_master[[#This Row],[GR Quantity]])), po_master[[#This Row],[GR Quantity]]&lt;&gt;po_master[[#This Row],[PO Quantity]]), "Qty Variance", "OK")</f>
        <v>OK</v>
      </c>
      <c r="S285" s="1" t="str">
        <f>IF(po_master[[#This Row],[Invoice Unit Price]]&gt;po_master[[#This Row],[PO Unit Price]]*1.01, "Price Variance", "OK")</f>
        <v>OK</v>
      </c>
      <c r="T285" s="1" t="str">
        <f>IF(po_master[[#This Row],[Actual Delivery Date]]&gt;po_master[[#This Row],[Promised Delivey Date]], "Late Delivery", "OK")</f>
        <v>Late Delivery</v>
      </c>
      <c r="U285" s="1" t="str">
        <f>IF(COUNTIF(po_master[PO Number],po_master[[#This Row],[PO Number]])&gt;1, "Duplicate Invoice", "OK")</f>
        <v>OK</v>
      </c>
    </row>
    <row r="286" spans="1:21" x14ac:dyDescent="0.25">
      <c r="A286" s="1" t="s">
        <v>253</v>
      </c>
      <c r="B286" s="1" t="s">
        <v>1445</v>
      </c>
      <c r="C286" s="2">
        <v>46061</v>
      </c>
      <c r="D286">
        <v>500</v>
      </c>
      <c r="E286">
        <v>17.07</v>
      </c>
      <c r="F286" s="1" t="s">
        <v>1483</v>
      </c>
      <c r="G286" s="2">
        <v>46076</v>
      </c>
      <c r="H286">
        <v>506</v>
      </c>
      <c r="I286" s="2">
        <v>46075</v>
      </c>
      <c r="J286" s="1" t="s">
        <v>960</v>
      </c>
      <c r="K286">
        <v>500</v>
      </c>
      <c r="L286">
        <v>17.07</v>
      </c>
      <c r="M286" s="2">
        <v>46086</v>
      </c>
      <c r="N286" t="str">
        <f>IF(po_master[[#This Row],[Approved By]]="", "Missing Approval", "OK")</f>
        <v>OK</v>
      </c>
      <c r="O286" t="str">
        <f>IF(ISBLANK(po_master[[#This Row],[GR Quantity]]), "No GR - Not received", "OK")</f>
        <v>OK</v>
      </c>
      <c r="P286" s="1" t="str">
        <f>IF(po_master[[#This Row],[Promised Delivey Date]]&lt;po_master[[#This Row],[Order Date]], "Invalid", "OK")</f>
        <v>OK</v>
      </c>
      <c r="Q286" s="1" t="str">
        <f>IF(ISBLANK(po_master[[#This Row],[Invoice Number]]), "No Invoice", "OK")</f>
        <v>OK</v>
      </c>
      <c r="R286" s="1" t="str">
        <f>IF(AND(NOT(ISBLANK(po_master[[#This Row],[GR Quantity]])), po_master[[#This Row],[GR Quantity]]&lt;&gt;po_master[[#This Row],[PO Quantity]]), "Qty Variance", "OK")</f>
        <v>Qty Variance</v>
      </c>
      <c r="S286" s="1" t="str">
        <f>IF(po_master[[#This Row],[Invoice Unit Price]]&gt;po_master[[#This Row],[PO Unit Price]]*1.01, "Price Variance", "OK")</f>
        <v>OK</v>
      </c>
      <c r="T286" s="1" t="str">
        <f>IF(po_master[[#This Row],[Actual Delivery Date]]&gt;po_master[[#This Row],[Promised Delivey Date]], "Late Delivery", "OK")</f>
        <v>OK</v>
      </c>
      <c r="U286" s="1" t="str">
        <f>IF(COUNTIF(po_master[PO Number],po_master[[#This Row],[PO Number]])&gt;1, "Duplicate Invoice", "OK")</f>
        <v>OK</v>
      </c>
    </row>
    <row r="287" spans="1:21" x14ac:dyDescent="0.25">
      <c r="A287" s="1" t="s">
        <v>254</v>
      </c>
      <c r="B287" s="1" t="s">
        <v>1455</v>
      </c>
      <c r="C287" s="2">
        <v>46044</v>
      </c>
      <c r="D287">
        <v>268</v>
      </c>
      <c r="E287">
        <v>130.99</v>
      </c>
      <c r="F287" s="1" t="s">
        <v>1462</v>
      </c>
      <c r="G287" s="2">
        <v>46056</v>
      </c>
      <c r="H287">
        <v>268</v>
      </c>
      <c r="I287" s="2">
        <v>46058</v>
      </c>
      <c r="J287" s="1" t="s">
        <v>961</v>
      </c>
      <c r="K287">
        <v>268</v>
      </c>
      <c r="L287">
        <v>130.99</v>
      </c>
      <c r="M287" s="2">
        <v>46063</v>
      </c>
      <c r="N287" t="str">
        <f>IF(po_master[[#This Row],[Approved By]]="", "Missing Approval", "OK")</f>
        <v>OK</v>
      </c>
      <c r="O287" t="str">
        <f>IF(ISBLANK(po_master[[#This Row],[GR Quantity]]), "No GR - Not received", "OK")</f>
        <v>OK</v>
      </c>
      <c r="P287" s="1" t="str">
        <f>IF(po_master[[#This Row],[Promised Delivey Date]]&lt;po_master[[#This Row],[Order Date]], "Invalid", "OK")</f>
        <v>OK</v>
      </c>
      <c r="Q287" s="1" t="str">
        <f>IF(ISBLANK(po_master[[#This Row],[Invoice Number]]), "No Invoice", "OK")</f>
        <v>OK</v>
      </c>
      <c r="R287" s="1" t="str">
        <f>IF(AND(NOT(ISBLANK(po_master[[#This Row],[GR Quantity]])), po_master[[#This Row],[GR Quantity]]&lt;&gt;po_master[[#This Row],[PO Quantity]]), "Qty Variance", "OK")</f>
        <v>OK</v>
      </c>
      <c r="S287" s="1" t="str">
        <f>IF(po_master[[#This Row],[Invoice Unit Price]]&gt;po_master[[#This Row],[PO Unit Price]]*1.01, "Price Variance", "OK")</f>
        <v>OK</v>
      </c>
      <c r="T287" s="1" t="str">
        <f>IF(po_master[[#This Row],[Actual Delivery Date]]&gt;po_master[[#This Row],[Promised Delivey Date]], "Late Delivery", "OK")</f>
        <v>Late Delivery</v>
      </c>
      <c r="U287" s="1" t="str">
        <f>IF(COUNTIF(po_master[PO Number],po_master[[#This Row],[PO Number]])&gt;1, "Duplicate Invoice", "OK")</f>
        <v>OK</v>
      </c>
    </row>
    <row r="288" spans="1:21" x14ac:dyDescent="0.25">
      <c r="A288" s="1" t="s">
        <v>255</v>
      </c>
      <c r="B288" s="1" t="s">
        <v>1455</v>
      </c>
      <c r="C288" s="2">
        <v>46135</v>
      </c>
      <c r="D288">
        <v>234</v>
      </c>
      <c r="E288">
        <v>107.19</v>
      </c>
      <c r="F288" s="1" t="s">
        <v>1459</v>
      </c>
      <c r="G288" s="2">
        <v>46145</v>
      </c>
      <c r="H288">
        <v>234</v>
      </c>
      <c r="I288" s="2">
        <v>46147</v>
      </c>
      <c r="J288" s="1" t="s">
        <v>962</v>
      </c>
      <c r="K288">
        <v>234</v>
      </c>
      <c r="L288">
        <v>107.19</v>
      </c>
      <c r="M288" s="2">
        <v>46146</v>
      </c>
      <c r="N288" t="str">
        <f>IF(po_master[[#This Row],[Approved By]]="", "Missing Approval", "OK")</f>
        <v>Missing Approval</v>
      </c>
      <c r="O288" t="str">
        <f>IF(ISBLANK(po_master[[#This Row],[GR Quantity]]), "No GR - Not received", "OK")</f>
        <v>OK</v>
      </c>
      <c r="P288" s="1" t="str">
        <f>IF(po_master[[#This Row],[Promised Delivey Date]]&lt;po_master[[#This Row],[Order Date]], "Invalid", "OK")</f>
        <v>OK</v>
      </c>
      <c r="Q288" s="1" t="str">
        <f>IF(ISBLANK(po_master[[#This Row],[Invoice Number]]), "No Invoice", "OK")</f>
        <v>OK</v>
      </c>
      <c r="R288" s="1" t="str">
        <f>IF(AND(NOT(ISBLANK(po_master[[#This Row],[GR Quantity]])), po_master[[#This Row],[GR Quantity]]&lt;&gt;po_master[[#This Row],[PO Quantity]]), "Qty Variance", "OK")</f>
        <v>OK</v>
      </c>
      <c r="S288" s="1" t="str">
        <f>IF(po_master[[#This Row],[Invoice Unit Price]]&gt;po_master[[#This Row],[PO Unit Price]]*1.01, "Price Variance", "OK")</f>
        <v>OK</v>
      </c>
      <c r="T288" s="1" t="str">
        <f>IF(po_master[[#This Row],[Actual Delivery Date]]&gt;po_master[[#This Row],[Promised Delivey Date]], "Late Delivery", "OK")</f>
        <v>Late Delivery</v>
      </c>
      <c r="U288" s="1" t="str">
        <f>IF(COUNTIF(po_master[PO Number],po_master[[#This Row],[PO Number]])&gt;1, "Duplicate Invoice", "OK")</f>
        <v>OK</v>
      </c>
    </row>
    <row r="289" spans="1:21" x14ac:dyDescent="0.25">
      <c r="A289" s="1" t="s">
        <v>256</v>
      </c>
      <c r="B289" s="1" t="s">
        <v>1461</v>
      </c>
      <c r="C289" s="2">
        <v>46036</v>
      </c>
      <c r="D289">
        <v>414</v>
      </c>
      <c r="E289">
        <v>128.02000000000001</v>
      </c>
      <c r="F289" s="1" t="s">
        <v>1459</v>
      </c>
      <c r="G289" s="2">
        <v>46043</v>
      </c>
      <c r="H289">
        <v>414</v>
      </c>
      <c r="I289" s="2">
        <v>46044</v>
      </c>
      <c r="J289" s="1" t="s">
        <v>965</v>
      </c>
      <c r="K289">
        <v>414</v>
      </c>
      <c r="L289">
        <v>128.02000000000001</v>
      </c>
      <c r="M289" s="2">
        <v>46047</v>
      </c>
      <c r="N289" t="str">
        <f>IF(po_master[[#This Row],[Approved By]]="", "Missing Approval", "OK")</f>
        <v>Missing Approval</v>
      </c>
      <c r="O289" t="str">
        <f>IF(ISBLANK(po_master[[#This Row],[GR Quantity]]), "No GR - Not received", "OK")</f>
        <v>OK</v>
      </c>
      <c r="P289" s="1" t="str">
        <f>IF(po_master[[#This Row],[Promised Delivey Date]]&lt;po_master[[#This Row],[Order Date]], "Invalid", "OK")</f>
        <v>OK</v>
      </c>
      <c r="Q289" s="1" t="str">
        <f>IF(ISBLANK(po_master[[#This Row],[Invoice Number]]), "No Invoice", "OK")</f>
        <v>OK</v>
      </c>
      <c r="R289" s="1" t="str">
        <f>IF(AND(NOT(ISBLANK(po_master[[#This Row],[GR Quantity]])), po_master[[#This Row],[GR Quantity]]&lt;&gt;po_master[[#This Row],[PO Quantity]]), "Qty Variance", "OK")</f>
        <v>OK</v>
      </c>
      <c r="S289" s="1" t="str">
        <f>IF(po_master[[#This Row],[Invoice Unit Price]]&gt;po_master[[#This Row],[PO Unit Price]]*1.01, "Price Variance", "OK")</f>
        <v>OK</v>
      </c>
      <c r="T289" s="1" t="str">
        <f>IF(po_master[[#This Row],[Actual Delivery Date]]&gt;po_master[[#This Row],[Promised Delivey Date]], "Late Delivery", "OK")</f>
        <v>Late Delivery</v>
      </c>
      <c r="U289" s="1" t="str">
        <f>IF(COUNTIF(po_master[PO Number],po_master[[#This Row],[PO Number]])&gt;1, "Duplicate Invoice", "OK")</f>
        <v>OK</v>
      </c>
    </row>
    <row r="290" spans="1:21" x14ac:dyDescent="0.25">
      <c r="A290" s="1" t="s">
        <v>257</v>
      </c>
      <c r="B290" s="1" t="s">
        <v>1479</v>
      </c>
      <c r="C290" s="2">
        <v>46047</v>
      </c>
      <c r="D290">
        <v>295</v>
      </c>
      <c r="E290">
        <v>137.28</v>
      </c>
      <c r="F290" s="1" t="s">
        <v>1474</v>
      </c>
      <c r="G290" s="2">
        <v>46060</v>
      </c>
      <c r="H290">
        <v>295</v>
      </c>
      <c r="I290" s="2">
        <v>46058</v>
      </c>
      <c r="J290" s="1" t="s">
        <v>966</v>
      </c>
      <c r="K290">
        <v>295</v>
      </c>
      <c r="L290">
        <v>137.28</v>
      </c>
      <c r="M290" s="2">
        <v>46066</v>
      </c>
      <c r="N290" t="str">
        <f>IF(po_master[[#This Row],[Approved By]]="", "Missing Approval", "OK")</f>
        <v>OK</v>
      </c>
      <c r="O290" t="str">
        <f>IF(ISBLANK(po_master[[#This Row],[GR Quantity]]), "No GR - Not received", "OK")</f>
        <v>OK</v>
      </c>
      <c r="P290" s="1" t="str">
        <f>IF(po_master[[#This Row],[Promised Delivey Date]]&lt;po_master[[#This Row],[Order Date]], "Invalid", "OK")</f>
        <v>OK</v>
      </c>
      <c r="Q290" s="1" t="str">
        <f>IF(ISBLANK(po_master[[#This Row],[Invoice Number]]), "No Invoice", "OK")</f>
        <v>OK</v>
      </c>
      <c r="R290" s="1" t="str">
        <f>IF(AND(NOT(ISBLANK(po_master[[#This Row],[GR Quantity]])), po_master[[#This Row],[GR Quantity]]&lt;&gt;po_master[[#This Row],[PO Quantity]]), "Qty Variance", "OK")</f>
        <v>OK</v>
      </c>
      <c r="S290" s="1" t="str">
        <f>IF(po_master[[#This Row],[Invoice Unit Price]]&gt;po_master[[#This Row],[PO Unit Price]]*1.01, "Price Variance", "OK")</f>
        <v>OK</v>
      </c>
      <c r="T290" s="1" t="str">
        <f>IF(po_master[[#This Row],[Actual Delivery Date]]&gt;po_master[[#This Row],[Promised Delivey Date]], "Late Delivery", "OK")</f>
        <v>OK</v>
      </c>
      <c r="U290" s="1" t="str">
        <f>IF(COUNTIF(po_master[PO Number],po_master[[#This Row],[PO Number]])&gt;1, "Duplicate Invoice", "OK")</f>
        <v>OK</v>
      </c>
    </row>
    <row r="291" spans="1:21" x14ac:dyDescent="0.25">
      <c r="A291" s="1" t="s">
        <v>258</v>
      </c>
      <c r="B291" s="1" t="s">
        <v>1477</v>
      </c>
      <c r="C291" s="2">
        <v>46061</v>
      </c>
      <c r="D291">
        <v>180</v>
      </c>
      <c r="E291">
        <v>20.89</v>
      </c>
      <c r="F291" s="1" t="s">
        <v>1467</v>
      </c>
      <c r="G291" s="2">
        <v>46070</v>
      </c>
      <c r="H291">
        <v>180</v>
      </c>
      <c r="I291" s="2">
        <v>46070</v>
      </c>
      <c r="J291" s="1" t="s">
        <v>967</v>
      </c>
      <c r="K291">
        <v>180</v>
      </c>
      <c r="L291">
        <v>20.89</v>
      </c>
      <c r="M291" s="2">
        <v>46077</v>
      </c>
      <c r="N291" t="str">
        <f>IF(po_master[[#This Row],[Approved By]]="", "Missing Approval", "OK")</f>
        <v>OK</v>
      </c>
      <c r="O291" t="str">
        <f>IF(ISBLANK(po_master[[#This Row],[GR Quantity]]), "No GR - Not received", "OK")</f>
        <v>OK</v>
      </c>
      <c r="P291" s="1" t="str">
        <f>IF(po_master[[#This Row],[Promised Delivey Date]]&lt;po_master[[#This Row],[Order Date]], "Invalid", "OK")</f>
        <v>OK</v>
      </c>
      <c r="Q291" s="1" t="str">
        <f>IF(ISBLANK(po_master[[#This Row],[Invoice Number]]), "No Invoice", "OK")</f>
        <v>OK</v>
      </c>
      <c r="R291" s="1" t="str">
        <f>IF(AND(NOT(ISBLANK(po_master[[#This Row],[GR Quantity]])), po_master[[#This Row],[GR Quantity]]&lt;&gt;po_master[[#This Row],[PO Quantity]]), "Qty Variance", "OK")</f>
        <v>OK</v>
      </c>
      <c r="S291" s="1" t="str">
        <f>IF(po_master[[#This Row],[Invoice Unit Price]]&gt;po_master[[#This Row],[PO Unit Price]]*1.01, "Price Variance", "OK")</f>
        <v>OK</v>
      </c>
      <c r="T291" s="1" t="str">
        <f>IF(po_master[[#This Row],[Actual Delivery Date]]&gt;po_master[[#This Row],[Promised Delivey Date]], "Late Delivery", "OK")</f>
        <v>OK</v>
      </c>
      <c r="U291" s="1" t="str">
        <f>IF(COUNTIF(po_master[PO Number],po_master[[#This Row],[PO Number]])&gt;1, "Duplicate Invoice", "OK")</f>
        <v>OK</v>
      </c>
    </row>
    <row r="292" spans="1:21" x14ac:dyDescent="0.25">
      <c r="A292" s="1" t="s">
        <v>259</v>
      </c>
      <c r="B292" s="1" t="s">
        <v>1503</v>
      </c>
      <c r="C292" s="2">
        <v>46102</v>
      </c>
      <c r="D292">
        <v>345</v>
      </c>
      <c r="E292">
        <v>141.19999999999999</v>
      </c>
      <c r="F292" s="1" t="s">
        <v>1453</v>
      </c>
      <c r="G292" s="2">
        <v>46111</v>
      </c>
      <c r="H292">
        <v>345</v>
      </c>
      <c r="I292" s="2">
        <v>46110</v>
      </c>
      <c r="J292" s="1" t="s">
        <v>968</v>
      </c>
      <c r="K292">
        <v>345</v>
      </c>
      <c r="L292">
        <v>141.19999999999999</v>
      </c>
      <c r="M292" s="2">
        <v>46117</v>
      </c>
      <c r="N292" t="str">
        <f>IF(po_master[[#This Row],[Approved By]]="", "Missing Approval", "OK")</f>
        <v>OK</v>
      </c>
      <c r="O292" t="str">
        <f>IF(ISBLANK(po_master[[#This Row],[GR Quantity]]), "No GR - Not received", "OK")</f>
        <v>OK</v>
      </c>
      <c r="P292" s="1" t="str">
        <f>IF(po_master[[#This Row],[Promised Delivey Date]]&lt;po_master[[#This Row],[Order Date]], "Invalid", "OK")</f>
        <v>OK</v>
      </c>
      <c r="Q292" s="1" t="str">
        <f>IF(ISBLANK(po_master[[#This Row],[Invoice Number]]), "No Invoice", "OK")</f>
        <v>OK</v>
      </c>
      <c r="R292" s="1" t="str">
        <f>IF(AND(NOT(ISBLANK(po_master[[#This Row],[GR Quantity]])), po_master[[#This Row],[GR Quantity]]&lt;&gt;po_master[[#This Row],[PO Quantity]]), "Qty Variance", "OK")</f>
        <v>OK</v>
      </c>
      <c r="S292" s="1" t="str">
        <f>IF(po_master[[#This Row],[Invoice Unit Price]]&gt;po_master[[#This Row],[PO Unit Price]]*1.01, "Price Variance", "OK")</f>
        <v>OK</v>
      </c>
      <c r="T292" s="1" t="str">
        <f>IF(po_master[[#This Row],[Actual Delivery Date]]&gt;po_master[[#This Row],[Promised Delivey Date]], "Late Delivery", "OK")</f>
        <v>OK</v>
      </c>
      <c r="U292" s="1" t="str">
        <f>IF(COUNTIF(po_master[PO Number],po_master[[#This Row],[PO Number]])&gt;1, "Duplicate Invoice", "OK")</f>
        <v>Duplicate Invoice</v>
      </c>
    </row>
    <row r="293" spans="1:21" x14ac:dyDescent="0.25">
      <c r="A293" s="1" t="s">
        <v>259</v>
      </c>
      <c r="B293" s="1" t="s">
        <v>1503</v>
      </c>
      <c r="C293" s="2">
        <v>46102</v>
      </c>
      <c r="D293">
        <v>345</v>
      </c>
      <c r="E293">
        <v>141.19999999999999</v>
      </c>
      <c r="F293" s="1" t="s">
        <v>1453</v>
      </c>
      <c r="G293" s="2">
        <v>46111</v>
      </c>
      <c r="H293">
        <v>345</v>
      </c>
      <c r="I293" s="2">
        <v>46110</v>
      </c>
      <c r="J293" s="1" t="s">
        <v>969</v>
      </c>
      <c r="K293">
        <v>345</v>
      </c>
      <c r="L293">
        <v>141.19999999999999</v>
      </c>
      <c r="M293" s="2">
        <v>46120</v>
      </c>
      <c r="N293" t="str">
        <f>IF(po_master[[#This Row],[Approved By]]="", "Missing Approval", "OK")</f>
        <v>OK</v>
      </c>
      <c r="O293" t="str">
        <f>IF(ISBLANK(po_master[[#This Row],[GR Quantity]]), "No GR - Not received", "OK")</f>
        <v>OK</v>
      </c>
      <c r="P293" s="1" t="str">
        <f>IF(po_master[[#This Row],[Promised Delivey Date]]&lt;po_master[[#This Row],[Order Date]], "Invalid", "OK")</f>
        <v>OK</v>
      </c>
      <c r="Q293" s="1" t="str">
        <f>IF(ISBLANK(po_master[[#This Row],[Invoice Number]]), "No Invoice", "OK")</f>
        <v>OK</v>
      </c>
      <c r="R293" s="1" t="str">
        <f>IF(AND(NOT(ISBLANK(po_master[[#This Row],[GR Quantity]])), po_master[[#This Row],[GR Quantity]]&lt;&gt;po_master[[#This Row],[PO Quantity]]), "Qty Variance", "OK")</f>
        <v>OK</v>
      </c>
      <c r="S293" s="1" t="str">
        <f>IF(po_master[[#This Row],[Invoice Unit Price]]&gt;po_master[[#This Row],[PO Unit Price]]*1.01, "Price Variance", "OK")</f>
        <v>OK</v>
      </c>
      <c r="T293" s="1" t="str">
        <f>IF(po_master[[#This Row],[Actual Delivery Date]]&gt;po_master[[#This Row],[Promised Delivey Date]], "Late Delivery", "OK")</f>
        <v>OK</v>
      </c>
      <c r="U293" s="1" t="str">
        <f>IF(COUNTIF(po_master[PO Number],po_master[[#This Row],[PO Number]])&gt;1, "Duplicate Invoice", "OK")</f>
        <v>Duplicate Invoice</v>
      </c>
    </row>
    <row r="294" spans="1:21" x14ac:dyDescent="0.25">
      <c r="A294" s="1" t="s">
        <v>260</v>
      </c>
      <c r="B294" s="1" t="s">
        <v>1468</v>
      </c>
      <c r="C294" s="2">
        <v>46044</v>
      </c>
      <c r="D294">
        <v>168</v>
      </c>
      <c r="E294">
        <v>113.99</v>
      </c>
      <c r="F294" s="1" t="s">
        <v>1446</v>
      </c>
      <c r="G294" s="2">
        <v>46059</v>
      </c>
      <c r="H294">
        <v>168</v>
      </c>
      <c r="I294" s="2">
        <v>46061</v>
      </c>
      <c r="J294" s="1" t="s">
        <v>970</v>
      </c>
      <c r="K294">
        <v>168</v>
      </c>
      <c r="L294">
        <v>121.66</v>
      </c>
      <c r="M294" s="2">
        <v>46064</v>
      </c>
      <c r="N294" t="str">
        <f>IF(po_master[[#This Row],[Approved By]]="", "Missing Approval", "OK")</f>
        <v>OK</v>
      </c>
      <c r="O294" t="str">
        <f>IF(ISBLANK(po_master[[#This Row],[GR Quantity]]), "No GR - Not received", "OK")</f>
        <v>OK</v>
      </c>
      <c r="P294" s="1" t="str">
        <f>IF(po_master[[#This Row],[Promised Delivey Date]]&lt;po_master[[#This Row],[Order Date]], "Invalid", "OK")</f>
        <v>OK</v>
      </c>
      <c r="Q294" s="1" t="str">
        <f>IF(ISBLANK(po_master[[#This Row],[Invoice Number]]), "No Invoice", "OK")</f>
        <v>OK</v>
      </c>
      <c r="R294" s="1" t="str">
        <f>IF(AND(NOT(ISBLANK(po_master[[#This Row],[GR Quantity]])), po_master[[#This Row],[GR Quantity]]&lt;&gt;po_master[[#This Row],[PO Quantity]]), "Qty Variance", "OK")</f>
        <v>OK</v>
      </c>
      <c r="S294" s="1" t="str">
        <f>IF(po_master[[#This Row],[Invoice Unit Price]]&gt;po_master[[#This Row],[PO Unit Price]]*1.01, "Price Variance", "OK")</f>
        <v>Price Variance</v>
      </c>
      <c r="T294" s="1" t="str">
        <f>IF(po_master[[#This Row],[Actual Delivery Date]]&gt;po_master[[#This Row],[Promised Delivey Date]], "Late Delivery", "OK")</f>
        <v>Late Delivery</v>
      </c>
      <c r="U294" s="1" t="str">
        <f>IF(COUNTIF(po_master[PO Number],po_master[[#This Row],[PO Number]])&gt;1, "Duplicate Invoice", "OK")</f>
        <v>OK</v>
      </c>
    </row>
    <row r="295" spans="1:21" x14ac:dyDescent="0.25">
      <c r="A295" s="1" t="s">
        <v>950</v>
      </c>
      <c r="B295" s="1" t="s">
        <v>1439</v>
      </c>
      <c r="C295" s="2">
        <v>46149</v>
      </c>
      <c r="D295">
        <v>247</v>
      </c>
      <c r="E295">
        <v>152.12</v>
      </c>
      <c r="F295" s="1" t="s">
        <v>1456</v>
      </c>
      <c r="G295" s="2">
        <v>46168</v>
      </c>
      <c r="I295" s="2"/>
      <c r="J295" s="1" t="s">
        <v>951</v>
      </c>
      <c r="K295">
        <v>247</v>
      </c>
      <c r="L295">
        <v>152.12</v>
      </c>
      <c r="M295" s="2">
        <v>46174</v>
      </c>
      <c r="N295" t="str">
        <f>IF(po_master[[#This Row],[Approved By]]="", "Missing Approval", "OK")</f>
        <v>OK</v>
      </c>
      <c r="O295" t="str">
        <f>IF(ISBLANK(po_master[[#This Row],[GR Quantity]]), "No GR - Not received", "OK")</f>
        <v>No GR - Not received</v>
      </c>
      <c r="P295" s="1" t="str">
        <f>IF(po_master[[#This Row],[Promised Delivey Date]]&lt;po_master[[#This Row],[Order Date]], "Invalid", "OK")</f>
        <v>OK</v>
      </c>
      <c r="Q295" s="1" t="str">
        <f>IF(ISBLANK(po_master[[#This Row],[Invoice Number]]), "No Invoice", "OK")</f>
        <v>OK</v>
      </c>
      <c r="R295" s="1" t="str">
        <f>IF(AND(NOT(ISBLANK(po_master[[#This Row],[GR Quantity]])), po_master[[#This Row],[GR Quantity]]&lt;&gt;po_master[[#This Row],[PO Quantity]]), "Qty Variance", "OK")</f>
        <v>OK</v>
      </c>
      <c r="S295" s="1" t="str">
        <f>IF(po_master[[#This Row],[Invoice Unit Price]]&gt;po_master[[#This Row],[PO Unit Price]]*1.01, "Price Variance", "OK")</f>
        <v>OK</v>
      </c>
      <c r="T295" s="1" t="str">
        <f>IF(po_master[[#This Row],[Actual Delivery Date]]&gt;po_master[[#This Row],[Promised Delivey Date]], "Late Delivery", "OK")</f>
        <v>OK</v>
      </c>
      <c r="U295" s="1" t="str">
        <f>IF(COUNTIF(po_master[PO Number],po_master[[#This Row],[PO Number]])&gt;1, "Duplicate Invoice", "OK")</f>
        <v>OK</v>
      </c>
    </row>
    <row r="296" spans="1:21" x14ac:dyDescent="0.25">
      <c r="A296" s="1" t="s">
        <v>261</v>
      </c>
      <c r="B296" s="1" t="s">
        <v>1441</v>
      </c>
      <c r="C296" s="2">
        <v>46157</v>
      </c>
      <c r="D296">
        <v>57</v>
      </c>
      <c r="E296">
        <v>130.97</v>
      </c>
      <c r="F296" s="1" t="s">
        <v>1507</v>
      </c>
      <c r="G296" s="2">
        <v>46178</v>
      </c>
      <c r="H296">
        <v>57</v>
      </c>
      <c r="I296" s="2">
        <v>46178</v>
      </c>
      <c r="J296" s="1" t="s">
        <v>971</v>
      </c>
      <c r="K296">
        <v>57</v>
      </c>
      <c r="L296">
        <v>130.97</v>
      </c>
      <c r="M296" s="2">
        <v>46184</v>
      </c>
      <c r="N296" t="str">
        <f>IF(po_master[[#This Row],[Approved By]]="", "Missing Approval", "OK")</f>
        <v>OK</v>
      </c>
      <c r="O296" t="str">
        <f>IF(ISBLANK(po_master[[#This Row],[GR Quantity]]), "No GR - Not received", "OK")</f>
        <v>OK</v>
      </c>
      <c r="P296" s="1" t="str">
        <f>IF(po_master[[#This Row],[Promised Delivey Date]]&lt;po_master[[#This Row],[Order Date]], "Invalid", "OK")</f>
        <v>OK</v>
      </c>
      <c r="Q296" s="1" t="str">
        <f>IF(ISBLANK(po_master[[#This Row],[Invoice Number]]), "No Invoice", "OK")</f>
        <v>OK</v>
      </c>
      <c r="R296" s="1" t="str">
        <f>IF(AND(NOT(ISBLANK(po_master[[#This Row],[GR Quantity]])), po_master[[#This Row],[GR Quantity]]&lt;&gt;po_master[[#This Row],[PO Quantity]]), "Qty Variance", "OK")</f>
        <v>OK</v>
      </c>
      <c r="S296" s="1" t="str">
        <f>IF(po_master[[#This Row],[Invoice Unit Price]]&gt;po_master[[#This Row],[PO Unit Price]]*1.01, "Price Variance", "OK")</f>
        <v>OK</v>
      </c>
      <c r="T296" s="1" t="str">
        <f>IF(po_master[[#This Row],[Actual Delivery Date]]&gt;po_master[[#This Row],[Promised Delivey Date]], "Late Delivery", "OK")</f>
        <v>OK</v>
      </c>
      <c r="U296" s="1" t="str">
        <f>IF(COUNTIF(po_master[PO Number],po_master[[#This Row],[PO Number]])&gt;1, "Duplicate Invoice", "OK")</f>
        <v>OK</v>
      </c>
    </row>
    <row r="297" spans="1:21" x14ac:dyDescent="0.25">
      <c r="A297" s="1" t="s">
        <v>262</v>
      </c>
      <c r="B297" s="1" t="s">
        <v>1496</v>
      </c>
      <c r="C297" s="2">
        <v>46027</v>
      </c>
      <c r="D297">
        <v>195</v>
      </c>
      <c r="E297">
        <v>65.23</v>
      </c>
      <c r="F297" s="1" t="s">
        <v>1444</v>
      </c>
      <c r="G297" s="2">
        <v>46042</v>
      </c>
      <c r="H297">
        <v>195</v>
      </c>
      <c r="I297" s="2">
        <v>46044</v>
      </c>
      <c r="J297" s="1" t="s">
        <v>972</v>
      </c>
      <c r="K297">
        <v>195</v>
      </c>
      <c r="L297">
        <v>70.430000000000007</v>
      </c>
      <c r="M297" s="2">
        <v>46045</v>
      </c>
      <c r="N297" t="str">
        <f>IF(po_master[[#This Row],[Approved By]]="", "Missing Approval", "OK")</f>
        <v>OK</v>
      </c>
      <c r="O297" t="str">
        <f>IF(ISBLANK(po_master[[#This Row],[GR Quantity]]), "No GR - Not received", "OK")</f>
        <v>OK</v>
      </c>
      <c r="P297" s="1" t="str">
        <f>IF(po_master[[#This Row],[Promised Delivey Date]]&lt;po_master[[#This Row],[Order Date]], "Invalid", "OK")</f>
        <v>OK</v>
      </c>
      <c r="Q297" s="1" t="str">
        <f>IF(ISBLANK(po_master[[#This Row],[Invoice Number]]), "No Invoice", "OK")</f>
        <v>OK</v>
      </c>
      <c r="R297" s="1" t="str">
        <f>IF(AND(NOT(ISBLANK(po_master[[#This Row],[GR Quantity]])), po_master[[#This Row],[GR Quantity]]&lt;&gt;po_master[[#This Row],[PO Quantity]]), "Qty Variance", "OK")</f>
        <v>OK</v>
      </c>
      <c r="S297" s="1" t="str">
        <f>IF(po_master[[#This Row],[Invoice Unit Price]]&gt;po_master[[#This Row],[PO Unit Price]]*1.01, "Price Variance", "OK")</f>
        <v>Price Variance</v>
      </c>
      <c r="T297" s="1" t="str">
        <f>IF(po_master[[#This Row],[Actual Delivery Date]]&gt;po_master[[#This Row],[Promised Delivey Date]], "Late Delivery", "OK")</f>
        <v>Late Delivery</v>
      </c>
      <c r="U297" s="1" t="str">
        <f>IF(COUNTIF(po_master[PO Number],po_master[[#This Row],[PO Number]])&gt;1, "Duplicate Invoice", "OK")</f>
        <v>OK</v>
      </c>
    </row>
    <row r="298" spans="1:21" x14ac:dyDescent="0.25">
      <c r="A298" s="1" t="s">
        <v>263</v>
      </c>
      <c r="B298" s="1" t="s">
        <v>1498</v>
      </c>
      <c r="C298" s="2">
        <v>46072</v>
      </c>
      <c r="D298">
        <v>125</v>
      </c>
      <c r="E298">
        <v>200</v>
      </c>
      <c r="F298" s="1" t="s">
        <v>1485</v>
      </c>
      <c r="G298" s="2">
        <v>46079</v>
      </c>
      <c r="H298">
        <v>125</v>
      </c>
      <c r="I298" s="2">
        <v>46081</v>
      </c>
      <c r="J298" s="1" t="s">
        <v>973</v>
      </c>
      <c r="K298">
        <v>125</v>
      </c>
      <c r="L298">
        <v>200</v>
      </c>
      <c r="M298" s="2">
        <v>46082</v>
      </c>
      <c r="N298" t="str">
        <f>IF(po_master[[#This Row],[Approved By]]="", "Missing Approval", "OK")</f>
        <v>OK</v>
      </c>
      <c r="O298" t="str">
        <f>IF(ISBLANK(po_master[[#This Row],[GR Quantity]]), "No GR - Not received", "OK")</f>
        <v>OK</v>
      </c>
      <c r="P298" s="1" t="str">
        <f>IF(po_master[[#This Row],[Promised Delivey Date]]&lt;po_master[[#This Row],[Order Date]], "Invalid", "OK")</f>
        <v>OK</v>
      </c>
      <c r="Q298" s="1" t="str">
        <f>IF(ISBLANK(po_master[[#This Row],[Invoice Number]]), "No Invoice", "OK")</f>
        <v>OK</v>
      </c>
      <c r="R298" s="1" t="str">
        <f>IF(AND(NOT(ISBLANK(po_master[[#This Row],[GR Quantity]])), po_master[[#This Row],[GR Quantity]]&lt;&gt;po_master[[#This Row],[PO Quantity]]), "Qty Variance", "OK")</f>
        <v>OK</v>
      </c>
      <c r="S298" s="1" t="str">
        <f>IF(po_master[[#This Row],[Invoice Unit Price]]&gt;po_master[[#This Row],[PO Unit Price]]*1.01, "Price Variance", "OK")</f>
        <v>OK</v>
      </c>
      <c r="T298" s="1" t="str">
        <f>IF(po_master[[#This Row],[Actual Delivery Date]]&gt;po_master[[#This Row],[Promised Delivey Date]], "Late Delivery", "OK")</f>
        <v>Late Delivery</v>
      </c>
      <c r="U298" s="1" t="str">
        <f>IF(COUNTIF(po_master[PO Number],po_master[[#This Row],[PO Number]])&gt;1, "Duplicate Invoice", "OK")</f>
        <v>OK</v>
      </c>
    </row>
    <row r="299" spans="1:21" x14ac:dyDescent="0.25">
      <c r="A299" s="1" t="s">
        <v>264</v>
      </c>
      <c r="B299" s="1" t="s">
        <v>1506</v>
      </c>
      <c r="C299" s="2">
        <v>46048</v>
      </c>
      <c r="D299">
        <v>269</v>
      </c>
      <c r="E299">
        <v>155.32</v>
      </c>
      <c r="F299" s="1" t="s">
        <v>1490</v>
      </c>
      <c r="G299" s="2">
        <v>46069</v>
      </c>
      <c r="H299">
        <v>269</v>
      </c>
      <c r="I299" s="2">
        <v>46068</v>
      </c>
      <c r="J299" s="1" t="s">
        <v>974</v>
      </c>
      <c r="K299">
        <v>269</v>
      </c>
      <c r="L299">
        <v>155.32</v>
      </c>
      <c r="M299" s="2">
        <v>46072</v>
      </c>
      <c r="N299" t="str">
        <f>IF(po_master[[#This Row],[Approved By]]="", "Missing Approval", "OK")</f>
        <v>OK</v>
      </c>
      <c r="O299" t="str">
        <f>IF(ISBLANK(po_master[[#This Row],[GR Quantity]]), "No GR - Not received", "OK")</f>
        <v>OK</v>
      </c>
      <c r="P299" s="1" t="str">
        <f>IF(po_master[[#This Row],[Promised Delivey Date]]&lt;po_master[[#This Row],[Order Date]], "Invalid", "OK")</f>
        <v>OK</v>
      </c>
      <c r="Q299" s="1" t="str">
        <f>IF(ISBLANK(po_master[[#This Row],[Invoice Number]]), "No Invoice", "OK")</f>
        <v>OK</v>
      </c>
      <c r="R299" s="1" t="str">
        <f>IF(AND(NOT(ISBLANK(po_master[[#This Row],[GR Quantity]])), po_master[[#This Row],[GR Quantity]]&lt;&gt;po_master[[#This Row],[PO Quantity]]), "Qty Variance", "OK")</f>
        <v>OK</v>
      </c>
      <c r="S299" s="1" t="str">
        <f>IF(po_master[[#This Row],[Invoice Unit Price]]&gt;po_master[[#This Row],[PO Unit Price]]*1.01, "Price Variance", "OK")</f>
        <v>OK</v>
      </c>
      <c r="T299" s="1" t="str">
        <f>IF(po_master[[#This Row],[Actual Delivery Date]]&gt;po_master[[#This Row],[Promised Delivey Date]], "Late Delivery", "OK")</f>
        <v>OK</v>
      </c>
      <c r="U299" s="1" t="str">
        <f>IF(COUNTIF(po_master[PO Number],po_master[[#This Row],[PO Number]])&gt;1, "Duplicate Invoice", "OK")</f>
        <v>OK</v>
      </c>
    </row>
    <row r="300" spans="1:21" x14ac:dyDescent="0.25">
      <c r="A300" s="1" t="s">
        <v>265</v>
      </c>
      <c r="B300" s="1" t="s">
        <v>1452</v>
      </c>
      <c r="C300" s="2">
        <v>46109</v>
      </c>
      <c r="D300">
        <v>458</v>
      </c>
      <c r="E300">
        <v>154.43</v>
      </c>
      <c r="F300" s="1" t="s">
        <v>1485</v>
      </c>
      <c r="G300" s="2">
        <v>46126</v>
      </c>
      <c r="H300">
        <v>458</v>
      </c>
      <c r="I300" s="2">
        <v>46131</v>
      </c>
      <c r="J300" s="1" t="s">
        <v>975</v>
      </c>
      <c r="K300">
        <v>458</v>
      </c>
      <c r="L300">
        <v>154.43</v>
      </c>
      <c r="M300" s="2">
        <v>46131</v>
      </c>
      <c r="N300" t="str">
        <f>IF(po_master[[#This Row],[Approved By]]="", "Missing Approval", "OK")</f>
        <v>OK</v>
      </c>
      <c r="O300" t="str">
        <f>IF(ISBLANK(po_master[[#This Row],[GR Quantity]]), "No GR - Not received", "OK")</f>
        <v>OK</v>
      </c>
      <c r="P300" s="1" t="str">
        <f>IF(po_master[[#This Row],[Promised Delivey Date]]&lt;po_master[[#This Row],[Order Date]], "Invalid", "OK")</f>
        <v>OK</v>
      </c>
      <c r="Q300" s="1" t="str">
        <f>IF(ISBLANK(po_master[[#This Row],[Invoice Number]]), "No Invoice", "OK")</f>
        <v>OK</v>
      </c>
      <c r="R300" s="1" t="str">
        <f>IF(AND(NOT(ISBLANK(po_master[[#This Row],[GR Quantity]])), po_master[[#This Row],[GR Quantity]]&lt;&gt;po_master[[#This Row],[PO Quantity]]), "Qty Variance", "OK")</f>
        <v>OK</v>
      </c>
      <c r="S300" s="1" t="str">
        <f>IF(po_master[[#This Row],[Invoice Unit Price]]&gt;po_master[[#This Row],[PO Unit Price]]*1.01, "Price Variance", "OK")</f>
        <v>OK</v>
      </c>
      <c r="T300" s="1" t="str">
        <f>IF(po_master[[#This Row],[Actual Delivery Date]]&gt;po_master[[#This Row],[Promised Delivey Date]], "Late Delivery", "OK")</f>
        <v>Late Delivery</v>
      </c>
      <c r="U300" s="1" t="str">
        <f>IF(COUNTIF(po_master[PO Number],po_master[[#This Row],[PO Number]])&gt;1, "Duplicate Invoice", "OK")</f>
        <v>OK</v>
      </c>
    </row>
    <row r="301" spans="1:21" x14ac:dyDescent="0.25">
      <c r="A301" s="1" t="s">
        <v>266</v>
      </c>
      <c r="B301" s="1" t="s">
        <v>1464</v>
      </c>
      <c r="C301" s="2">
        <v>46064</v>
      </c>
      <c r="D301">
        <v>102</v>
      </c>
      <c r="E301">
        <v>167.11</v>
      </c>
      <c r="F301" s="1" t="s">
        <v>1456</v>
      </c>
      <c r="G301" s="2">
        <v>46074</v>
      </c>
      <c r="H301">
        <v>102</v>
      </c>
      <c r="I301" s="2">
        <v>46073</v>
      </c>
      <c r="J301" s="1" t="s">
        <v>976</v>
      </c>
      <c r="K301">
        <v>102</v>
      </c>
      <c r="L301">
        <v>192.45</v>
      </c>
      <c r="M301" s="2">
        <v>46081</v>
      </c>
      <c r="N301" t="str">
        <f>IF(po_master[[#This Row],[Approved By]]="", "Missing Approval", "OK")</f>
        <v>OK</v>
      </c>
      <c r="O301" t="str">
        <f>IF(ISBLANK(po_master[[#This Row],[GR Quantity]]), "No GR - Not received", "OK")</f>
        <v>OK</v>
      </c>
      <c r="P301" s="1" t="str">
        <f>IF(po_master[[#This Row],[Promised Delivey Date]]&lt;po_master[[#This Row],[Order Date]], "Invalid", "OK")</f>
        <v>OK</v>
      </c>
      <c r="Q301" s="1" t="str">
        <f>IF(ISBLANK(po_master[[#This Row],[Invoice Number]]), "No Invoice", "OK")</f>
        <v>OK</v>
      </c>
      <c r="R301" s="1" t="str">
        <f>IF(AND(NOT(ISBLANK(po_master[[#This Row],[GR Quantity]])), po_master[[#This Row],[GR Quantity]]&lt;&gt;po_master[[#This Row],[PO Quantity]]), "Qty Variance", "OK")</f>
        <v>OK</v>
      </c>
      <c r="S301" s="1" t="str">
        <f>IF(po_master[[#This Row],[Invoice Unit Price]]&gt;po_master[[#This Row],[PO Unit Price]]*1.01, "Price Variance", "OK")</f>
        <v>Price Variance</v>
      </c>
      <c r="T301" s="1" t="str">
        <f>IF(po_master[[#This Row],[Actual Delivery Date]]&gt;po_master[[#This Row],[Promised Delivey Date]], "Late Delivery", "OK")</f>
        <v>OK</v>
      </c>
      <c r="U301" s="1" t="str">
        <f>IF(COUNTIF(po_master[PO Number],po_master[[#This Row],[PO Number]])&gt;1, "Duplicate Invoice", "OK")</f>
        <v>OK</v>
      </c>
    </row>
    <row r="302" spans="1:21" x14ac:dyDescent="0.25">
      <c r="A302" s="1" t="s">
        <v>957</v>
      </c>
      <c r="B302" s="1" t="s">
        <v>1502</v>
      </c>
      <c r="C302" s="2">
        <v>46141</v>
      </c>
      <c r="D302">
        <v>307</v>
      </c>
      <c r="E302">
        <v>113.09</v>
      </c>
      <c r="F302" s="1" t="s">
        <v>1490</v>
      </c>
      <c r="G302" s="2">
        <v>46147</v>
      </c>
      <c r="I302" s="2"/>
      <c r="J302" s="1" t="s">
        <v>958</v>
      </c>
      <c r="K302">
        <v>307</v>
      </c>
      <c r="L302">
        <v>113.09</v>
      </c>
      <c r="M302" s="2">
        <v>46155</v>
      </c>
      <c r="N302" t="str">
        <f>IF(po_master[[#This Row],[Approved By]]="", "Missing Approval", "OK")</f>
        <v>OK</v>
      </c>
      <c r="O302" t="str">
        <f>IF(ISBLANK(po_master[[#This Row],[GR Quantity]]), "No GR - Not received", "OK")</f>
        <v>No GR - Not received</v>
      </c>
      <c r="P302" s="1" t="str">
        <f>IF(po_master[[#This Row],[Promised Delivey Date]]&lt;po_master[[#This Row],[Order Date]], "Invalid", "OK")</f>
        <v>OK</v>
      </c>
      <c r="Q302" s="1" t="str">
        <f>IF(ISBLANK(po_master[[#This Row],[Invoice Number]]), "No Invoice", "OK")</f>
        <v>OK</v>
      </c>
      <c r="R302" s="1" t="str">
        <f>IF(AND(NOT(ISBLANK(po_master[[#This Row],[GR Quantity]])), po_master[[#This Row],[GR Quantity]]&lt;&gt;po_master[[#This Row],[PO Quantity]]), "Qty Variance", "OK")</f>
        <v>OK</v>
      </c>
      <c r="S302" s="1" t="str">
        <f>IF(po_master[[#This Row],[Invoice Unit Price]]&gt;po_master[[#This Row],[PO Unit Price]]*1.01, "Price Variance", "OK")</f>
        <v>OK</v>
      </c>
      <c r="T302" s="1" t="str">
        <f>IF(po_master[[#This Row],[Actual Delivery Date]]&gt;po_master[[#This Row],[Promised Delivey Date]], "Late Delivery", "OK")</f>
        <v>OK</v>
      </c>
      <c r="U302" s="1" t="str">
        <f>IF(COUNTIF(po_master[PO Number],po_master[[#This Row],[PO Number]])&gt;1, "Duplicate Invoice", "OK")</f>
        <v>OK</v>
      </c>
    </row>
    <row r="303" spans="1:21" x14ac:dyDescent="0.25">
      <c r="A303" s="1" t="s">
        <v>267</v>
      </c>
      <c r="B303" s="1" t="s">
        <v>1477</v>
      </c>
      <c r="C303" s="2">
        <v>46135</v>
      </c>
      <c r="D303">
        <v>32</v>
      </c>
      <c r="E303">
        <v>85.12</v>
      </c>
      <c r="F303" s="1" t="s">
        <v>1467</v>
      </c>
      <c r="G303" s="2">
        <v>46147</v>
      </c>
      <c r="H303">
        <v>32</v>
      </c>
      <c r="I303" s="2">
        <v>46147</v>
      </c>
      <c r="J303" s="1" t="s">
        <v>977</v>
      </c>
      <c r="K303">
        <v>32</v>
      </c>
      <c r="L303">
        <v>85.12</v>
      </c>
      <c r="M303" s="2">
        <v>46153</v>
      </c>
      <c r="N303" t="str">
        <f>IF(po_master[[#This Row],[Approved By]]="", "Missing Approval", "OK")</f>
        <v>OK</v>
      </c>
      <c r="O303" t="str">
        <f>IF(ISBLANK(po_master[[#This Row],[GR Quantity]]), "No GR - Not received", "OK")</f>
        <v>OK</v>
      </c>
      <c r="P303" s="1" t="str">
        <f>IF(po_master[[#This Row],[Promised Delivey Date]]&lt;po_master[[#This Row],[Order Date]], "Invalid", "OK")</f>
        <v>OK</v>
      </c>
      <c r="Q303" s="1" t="str">
        <f>IF(ISBLANK(po_master[[#This Row],[Invoice Number]]), "No Invoice", "OK")</f>
        <v>OK</v>
      </c>
      <c r="R303" s="1" t="str">
        <f>IF(AND(NOT(ISBLANK(po_master[[#This Row],[GR Quantity]])), po_master[[#This Row],[GR Quantity]]&lt;&gt;po_master[[#This Row],[PO Quantity]]), "Qty Variance", "OK")</f>
        <v>OK</v>
      </c>
      <c r="S303" s="1" t="str">
        <f>IF(po_master[[#This Row],[Invoice Unit Price]]&gt;po_master[[#This Row],[PO Unit Price]]*1.01, "Price Variance", "OK")</f>
        <v>OK</v>
      </c>
      <c r="T303" s="1" t="str">
        <f>IF(po_master[[#This Row],[Actual Delivery Date]]&gt;po_master[[#This Row],[Promised Delivey Date]], "Late Delivery", "OK")</f>
        <v>OK</v>
      </c>
      <c r="U303" s="1" t="str">
        <f>IF(COUNTIF(po_master[PO Number],po_master[[#This Row],[PO Number]])&gt;1, "Duplicate Invoice", "OK")</f>
        <v>OK</v>
      </c>
    </row>
    <row r="304" spans="1:21" x14ac:dyDescent="0.25">
      <c r="A304" s="1" t="s">
        <v>268</v>
      </c>
      <c r="B304" s="1" t="s">
        <v>1478</v>
      </c>
      <c r="C304" s="2">
        <v>46095</v>
      </c>
      <c r="D304">
        <v>395</v>
      </c>
      <c r="E304">
        <v>150.96</v>
      </c>
      <c r="F304" s="1" t="s">
        <v>1469</v>
      </c>
      <c r="G304" s="2">
        <v>46107</v>
      </c>
      <c r="H304">
        <v>395</v>
      </c>
      <c r="I304" s="2">
        <v>46106</v>
      </c>
      <c r="J304" s="1" t="s">
        <v>978</v>
      </c>
      <c r="K304">
        <v>395</v>
      </c>
      <c r="L304">
        <v>150.96</v>
      </c>
      <c r="M304" s="2">
        <v>46111</v>
      </c>
      <c r="N304" t="str">
        <f>IF(po_master[[#This Row],[Approved By]]="", "Missing Approval", "OK")</f>
        <v>OK</v>
      </c>
      <c r="O304" t="str">
        <f>IF(ISBLANK(po_master[[#This Row],[GR Quantity]]), "No GR - Not received", "OK")</f>
        <v>OK</v>
      </c>
      <c r="P304" s="1" t="str">
        <f>IF(po_master[[#This Row],[Promised Delivey Date]]&lt;po_master[[#This Row],[Order Date]], "Invalid", "OK")</f>
        <v>OK</v>
      </c>
      <c r="Q304" s="1" t="str">
        <f>IF(ISBLANK(po_master[[#This Row],[Invoice Number]]), "No Invoice", "OK")</f>
        <v>OK</v>
      </c>
      <c r="R304" s="1" t="str">
        <f>IF(AND(NOT(ISBLANK(po_master[[#This Row],[GR Quantity]])), po_master[[#This Row],[GR Quantity]]&lt;&gt;po_master[[#This Row],[PO Quantity]]), "Qty Variance", "OK")</f>
        <v>OK</v>
      </c>
      <c r="S304" s="1" t="str">
        <f>IF(po_master[[#This Row],[Invoice Unit Price]]&gt;po_master[[#This Row],[PO Unit Price]]*1.01, "Price Variance", "OK")</f>
        <v>OK</v>
      </c>
      <c r="T304" s="1" t="str">
        <f>IF(po_master[[#This Row],[Actual Delivery Date]]&gt;po_master[[#This Row],[Promised Delivey Date]], "Late Delivery", "OK")</f>
        <v>OK</v>
      </c>
      <c r="U304" s="1" t="str">
        <f>IF(COUNTIF(po_master[PO Number],po_master[[#This Row],[PO Number]])&gt;1, "Duplicate Invoice", "OK")</f>
        <v>OK</v>
      </c>
    </row>
    <row r="305" spans="1:21" x14ac:dyDescent="0.25">
      <c r="A305" s="1" t="s">
        <v>269</v>
      </c>
      <c r="B305" s="1" t="s">
        <v>1471</v>
      </c>
      <c r="C305" s="2">
        <v>46084</v>
      </c>
      <c r="D305">
        <v>168</v>
      </c>
      <c r="E305">
        <v>193.29</v>
      </c>
      <c r="F305" s="1" t="s">
        <v>1487</v>
      </c>
      <c r="G305" s="2">
        <v>46095</v>
      </c>
      <c r="H305">
        <v>185</v>
      </c>
      <c r="I305" s="2">
        <v>46097</v>
      </c>
      <c r="J305" s="1" t="s">
        <v>979</v>
      </c>
      <c r="K305">
        <v>168</v>
      </c>
      <c r="L305">
        <v>193.29</v>
      </c>
      <c r="M305" s="2">
        <v>46098</v>
      </c>
      <c r="N305" t="str">
        <f>IF(po_master[[#This Row],[Approved By]]="", "Missing Approval", "OK")</f>
        <v>OK</v>
      </c>
      <c r="O305" t="str">
        <f>IF(ISBLANK(po_master[[#This Row],[GR Quantity]]), "No GR - Not received", "OK")</f>
        <v>OK</v>
      </c>
      <c r="P305" s="1" t="str">
        <f>IF(po_master[[#This Row],[Promised Delivey Date]]&lt;po_master[[#This Row],[Order Date]], "Invalid", "OK")</f>
        <v>OK</v>
      </c>
      <c r="Q305" s="1" t="str">
        <f>IF(ISBLANK(po_master[[#This Row],[Invoice Number]]), "No Invoice", "OK")</f>
        <v>OK</v>
      </c>
      <c r="R305" s="1" t="str">
        <f>IF(AND(NOT(ISBLANK(po_master[[#This Row],[GR Quantity]])), po_master[[#This Row],[GR Quantity]]&lt;&gt;po_master[[#This Row],[PO Quantity]]), "Qty Variance", "OK")</f>
        <v>Qty Variance</v>
      </c>
      <c r="S305" s="1" t="str">
        <f>IF(po_master[[#This Row],[Invoice Unit Price]]&gt;po_master[[#This Row],[PO Unit Price]]*1.01, "Price Variance", "OK")</f>
        <v>OK</v>
      </c>
      <c r="T305" s="1" t="str">
        <f>IF(po_master[[#This Row],[Actual Delivery Date]]&gt;po_master[[#This Row],[Promised Delivey Date]], "Late Delivery", "OK")</f>
        <v>Late Delivery</v>
      </c>
      <c r="U305" s="1" t="str">
        <f>IF(COUNTIF(po_master[PO Number],po_master[[#This Row],[PO Number]])&gt;1, "Duplicate Invoice", "OK")</f>
        <v>OK</v>
      </c>
    </row>
    <row r="306" spans="1:21" x14ac:dyDescent="0.25">
      <c r="A306" s="1" t="s">
        <v>270</v>
      </c>
      <c r="B306" s="1" t="s">
        <v>1445</v>
      </c>
      <c r="C306" s="2">
        <v>46158</v>
      </c>
      <c r="D306">
        <v>224</v>
      </c>
      <c r="E306">
        <v>193.42</v>
      </c>
      <c r="F306" s="1" t="s">
        <v>1444</v>
      </c>
      <c r="G306" s="2">
        <v>46167</v>
      </c>
      <c r="H306">
        <v>224</v>
      </c>
      <c r="I306" s="2">
        <v>46169</v>
      </c>
      <c r="J306" s="1" t="s">
        <v>982</v>
      </c>
      <c r="K306">
        <v>224</v>
      </c>
      <c r="L306">
        <v>193.42</v>
      </c>
      <c r="M306" s="2">
        <v>46169</v>
      </c>
      <c r="N306" t="str">
        <f>IF(po_master[[#This Row],[Approved By]]="", "Missing Approval", "OK")</f>
        <v>OK</v>
      </c>
      <c r="O306" t="str">
        <f>IF(ISBLANK(po_master[[#This Row],[GR Quantity]]), "No GR - Not received", "OK")</f>
        <v>OK</v>
      </c>
      <c r="P306" s="1" t="str">
        <f>IF(po_master[[#This Row],[Promised Delivey Date]]&lt;po_master[[#This Row],[Order Date]], "Invalid", "OK")</f>
        <v>OK</v>
      </c>
      <c r="Q306" s="1" t="str">
        <f>IF(ISBLANK(po_master[[#This Row],[Invoice Number]]), "No Invoice", "OK")</f>
        <v>OK</v>
      </c>
      <c r="R306" s="1" t="str">
        <f>IF(AND(NOT(ISBLANK(po_master[[#This Row],[GR Quantity]])), po_master[[#This Row],[GR Quantity]]&lt;&gt;po_master[[#This Row],[PO Quantity]]), "Qty Variance", "OK")</f>
        <v>OK</v>
      </c>
      <c r="S306" s="1" t="str">
        <f>IF(po_master[[#This Row],[Invoice Unit Price]]&gt;po_master[[#This Row],[PO Unit Price]]*1.01, "Price Variance", "OK")</f>
        <v>OK</v>
      </c>
      <c r="T306" s="1" t="str">
        <f>IF(po_master[[#This Row],[Actual Delivery Date]]&gt;po_master[[#This Row],[Promised Delivey Date]], "Late Delivery", "OK")</f>
        <v>Late Delivery</v>
      </c>
      <c r="U306" s="1" t="str">
        <f>IF(COUNTIF(po_master[PO Number],po_master[[#This Row],[PO Number]])&gt;1, "Duplicate Invoice", "OK")</f>
        <v>OK</v>
      </c>
    </row>
    <row r="307" spans="1:21" x14ac:dyDescent="0.25">
      <c r="A307" s="1" t="s">
        <v>963</v>
      </c>
      <c r="B307" s="1" t="s">
        <v>1496</v>
      </c>
      <c r="C307" s="2">
        <v>46118</v>
      </c>
      <c r="D307">
        <v>479</v>
      </c>
      <c r="E307">
        <v>60.16</v>
      </c>
      <c r="F307" s="1" t="s">
        <v>1507</v>
      </c>
      <c r="G307" s="2">
        <v>46133</v>
      </c>
      <c r="I307" s="2"/>
      <c r="J307" s="1" t="s">
        <v>964</v>
      </c>
      <c r="K307">
        <v>479</v>
      </c>
      <c r="L307">
        <v>60.16</v>
      </c>
      <c r="M307" s="2">
        <v>46137</v>
      </c>
      <c r="N307" t="str">
        <f>IF(po_master[[#This Row],[Approved By]]="", "Missing Approval", "OK")</f>
        <v>OK</v>
      </c>
      <c r="O307" t="str">
        <f>IF(ISBLANK(po_master[[#This Row],[GR Quantity]]), "No GR - Not received", "OK")</f>
        <v>No GR - Not received</v>
      </c>
      <c r="P307" s="1" t="str">
        <f>IF(po_master[[#This Row],[Promised Delivey Date]]&lt;po_master[[#This Row],[Order Date]], "Invalid", "OK")</f>
        <v>OK</v>
      </c>
      <c r="Q307" s="1" t="str">
        <f>IF(ISBLANK(po_master[[#This Row],[Invoice Number]]), "No Invoice", "OK")</f>
        <v>OK</v>
      </c>
      <c r="R307" s="1" t="str">
        <f>IF(AND(NOT(ISBLANK(po_master[[#This Row],[GR Quantity]])), po_master[[#This Row],[GR Quantity]]&lt;&gt;po_master[[#This Row],[PO Quantity]]), "Qty Variance", "OK")</f>
        <v>OK</v>
      </c>
      <c r="S307" s="1" t="str">
        <f>IF(po_master[[#This Row],[Invoice Unit Price]]&gt;po_master[[#This Row],[PO Unit Price]]*1.01, "Price Variance", "OK")</f>
        <v>OK</v>
      </c>
      <c r="T307" s="1" t="str">
        <f>IF(po_master[[#This Row],[Actual Delivery Date]]&gt;po_master[[#This Row],[Promised Delivey Date]], "Late Delivery", "OK")</f>
        <v>OK</v>
      </c>
      <c r="U307" s="1" t="str">
        <f>IF(COUNTIF(po_master[PO Number],po_master[[#This Row],[PO Number]])&gt;1, "Duplicate Invoice", "OK")</f>
        <v>OK</v>
      </c>
    </row>
    <row r="308" spans="1:21" x14ac:dyDescent="0.25">
      <c r="A308" s="1" t="s">
        <v>271</v>
      </c>
      <c r="B308" s="1" t="s">
        <v>1455</v>
      </c>
      <c r="C308" s="2">
        <v>46155</v>
      </c>
      <c r="D308">
        <v>445</v>
      </c>
      <c r="E308">
        <v>29.31</v>
      </c>
      <c r="F308" s="1" t="s">
        <v>1476</v>
      </c>
      <c r="G308" s="2">
        <v>46165</v>
      </c>
      <c r="H308">
        <v>445</v>
      </c>
      <c r="I308" s="2">
        <v>46165</v>
      </c>
      <c r="J308" s="1" t="s">
        <v>985</v>
      </c>
      <c r="K308">
        <v>445</v>
      </c>
      <c r="L308">
        <v>29.31</v>
      </c>
      <c r="M308" s="2">
        <v>46172</v>
      </c>
      <c r="N308" t="str">
        <f>IF(po_master[[#This Row],[Approved By]]="", "Missing Approval", "OK")</f>
        <v>OK</v>
      </c>
      <c r="O308" t="str">
        <f>IF(ISBLANK(po_master[[#This Row],[GR Quantity]]), "No GR - Not received", "OK")</f>
        <v>OK</v>
      </c>
      <c r="P308" s="1" t="str">
        <f>IF(po_master[[#This Row],[Promised Delivey Date]]&lt;po_master[[#This Row],[Order Date]], "Invalid", "OK")</f>
        <v>OK</v>
      </c>
      <c r="Q308" s="1" t="str">
        <f>IF(ISBLANK(po_master[[#This Row],[Invoice Number]]), "No Invoice", "OK")</f>
        <v>OK</v>
      </c>
      <c r="R308" s="1" t="str">
        <f>IF(AND(NOT(ISBLANK(po_master[[#This Row],[GR Quantity]])), po_master[[#This Row],[GR Quantity]]&lt;&gt;po_master[[#This Row],[PO Quantity]]), "Qty Variance", "OK")</f>
        <v>OK</v>
      </c>
      <c r="S308" s="1" t="str">
        <f>IF(po_master[[#This Row],[Invoice Unit Price]]&gt;po_master[[#This Row],[PO Unit Price]]*1.01, "Price Variance", "OK")</f>
        <v>OK</v>
      </c>
      <c r="T308" s="1" t="str">
        <f>IF(po_master[[#This Row],[Actual Delivery Date]]&gt;po_master[[#This Row],[Promised Delivey Date]], "Late Delivery", "OK")</f>
        <v>OK</v>
      </c>
      <c r="U308" s="1" t="str">
        <f>IF(COUNTIF(po_master[PO Number],po_master[[#This Row],[PO Number]])&gt;1, "Duplicate Invoice", "OK")</f>
        <v>OK</v>
      </c>
    </row>
    <row r="309" spans="1:21" x14ac:dyDescent="0.25">
      <c r="A309" s="1" t="s">
        <v>272</v>
      </c>
      <c r="B309" s="1" t="s">
        <v>1511</v>
      </c>
      <c r="C309" s="2">
        <v>46138</v>
      </c>
      <c r="D309">
        <v>473</v>
      </c>
      <c r="E309">
        <v>105.1</v>
      </c>
      <c r="F309" s="1" t="s">
        <v>1507</v>
      </c>
      <c r="G309" s="2">
        <v>46145</v>
      </c>
      <c r="H309">
        <v>473</v>
      </c>
      <c r="I309" s="2">
        <v>46143</v>
      </c>
      <c r="J309" s="1" t="s">
        <v>986</v>
      </c>
      <c r="K309">
        <v>473</v>
      </c>
      <c r="L309">
        <v>105.1</v>
      </c>
      <c r="M309" s="2">
        <v>46152</v>
      </c>
      <c r="N309" t="str">
        <f>IF(po_master[[#This Row],[Approved By]]="", "Missing Approval", "OK")</f>
        <v>OK</v>
      </c>
      <c r="O309" t="str">
        <f>IF(ISBLANK(po_master[[#This Row],[GR Quantity]]), "No GR - Not received", "OK")</f>
        <v>OK</v>
      </c>
      <c r="P309" s="1" t="str">
        <f>IF(po_master[[#This Row],[Promised Delivey Date]]&lt;po_master[[#This Row],[Order Date]], "Invalid", "OK")</f>
        <v>OK</v>
      </c>
      <c r="Q309" s="1" t="str">
        <f>IF(ISBLANK(po_master[[#This Row],[Invoice Number]]), "No Invoice", "OK")</f>
        <v>OK</v>
      </c>
      <c r="R309" s="1" t="str">
        <f>IF(AND(NOT(ISBLANK(po_master[[#This Row],[GR Quantity]])), po_master[[#This Row],[GR Quantity]]&lt;&gt;po_master[[#This Row],[PO Quantity]]), "Qty Variance", "OK")</f>
        <v>OK</v>
      </c>
      <c r="S309" s="1" t="str">
        <f>IF(po_master[[#This Row],[Invoice Unit Price]]&gt;po_master[[#This Row],[PO Unit Price]]*1.01, "Price Variance", "OK")</f>
        <v>OK</v>
      </c>
      <c r="T309" s="1" t="str">
        <f>IF(po_master[[#This Row],[Actual Delivery Date]]&gt;po_master[[#This Row],[Promised Delivey Date]], "Late Delivery", "OK")</f>
        <v>OK</v>
      </c>
      <c r="U309" s="1" t="str">
        <f>IF(COUNTIF(po_master[PO Number],po_master[[#This Row],[PO Number]])&gt;1, "Duplicate Invoice", "OK")</f>
        <v>OK</v>
      </c>
    </row>
    <row r="310" spans="1:21" x14ac:dyDescent="0.25">
      <c r="A310" s="1" t="s">
        <v>273</v>
      </c>
      <c r="B310" s="1" t="s">
        <v>1447</v>
      </c>
      <c r="C310" s="2">
        <v>46138</v>
      </c>
      <c r="D310">
        <v>462</v>
      </c>
      <c r="E310">
        <v>73.17</v>
      </c>
      <c r="F310" s="1" t="s">
        <v>1448</v>
      </c>
      <c r="G310" s="2">
        <v>46156</v>
      </c>
      <c r="H310">
        <v>462</v>
      </c>
      <c r="I310" s="2">
        <v>46158</v>
      </c>
      <c r="J310" s="1" t="s">
        <v>987</v>
      </c>
      <c r="K310">
        <v>462</v>
      </c>
      <c r="L310">
        <v>73.17</v>
      </c>
      <c r="M310" s="2">
        <v>46157</v>
      </c>
      <c r="N310" t="str">
        <f>IF(po_master[[#This Row],[Approved By]]="", "Missing Approval", "OK")</f>
        <v>OK</v>
      </c>
      <c r="O310" t="str">
        <f>IF(ISBLANK(po_master[[#This Row],[GR Quantity]]), "No GR - Not received", "OK")</f>
        <v>OK</v>
      </c>
      <c r="P310" s="1" t="str">
        <f>IF(po_master[[#This Row],[Promised Delivey Date]]&lt;po_master[[#This Row],[Order Date]], "Invalid", "OK")</f>
        <v>OK</v>
      </c>
      <c r="Q310" s="1" t="str">
        <f>IF(ISBLANK(po_master[[#This Row],[Invoice Number]]), "No Invoice", "OK")</f>
        <v>OK</v>
      </c>
      <c r="R310" s="1" t="str">
        <f>IF(AND(NOT(ISBLANK(po_master[[#This Row],[GR Quantity]])), po_master[[#This Row],[GR Quantity]]&lt;&gt;po_master[[#This Row],[PO Quantity]]), "Qty Variance", "OK")</f>
        <v>OK</v>
      </c>
      <c r="S310" s="1" t="str">
        <f>IF(po_master[[#This Row],[Invoice Unit Price]]&gt;po_master[[#This Row],[PO Unit Price]]*1.01, "Price Variance", "OK")</f>
        <v>OK</v>
      </c>
      <c r="T310" s="1" t="str">
        <f>IF(po_master[[#This Row],[Actual Delivery Date]]&gt;po_master[[#This Row],[Promised Delivey Date]], "Late Delivery", "OK")</f>
        <v>Late Delivery</v>
      </c>
      <c r="U310" s="1" t="str">
        <f>IF(COUNTIF(po_master[PO Number],po_master[[#This Row],[PO Number]])&gt;1, "Duplicate Invoice", "OK")</f>
        <v>OK</v>
      </c>
    </row>
    <row r="311" spans="1:21" x14ac:dyDescent="0.25">
      <c r="A311" s="1" t="s">
        <v>274</v>
      </c>
      <c r="B311" s="1" t="s">
        <v>1475</v>
      </c>
      <c r="C311" s="2">
        <v>46124</v>
      </c>
      <c r="D311">
        <v>267</v>
      </c>
      <c r="E311">
        <v>77.92</v>
      </c>
      <c r="F311" s="1" t="s">
        <v>1453</v>
      </c>
      <c r="G311" s="2">
        <v>46131</v>
      </c>
      <c r="H311">
        <v>267</v>
      </c>
      <c r="I311" s="2">
        <v>46129</v>
      </c>
      <c r="J311" s="1" t="s">
        <v>988</v>
      </c>
      <c r="K311">
        <v>267</v>
      </c>
      <c r="L311">
        <v>77.92</v>
      </c>
      <c r="M311" s="2">
        <v>46140</v>
      </c>
      <c r="N311" t="str">
        <f>IF(po_master[[#This Row],[Approved By]]="", "Missing Approval", "OK")</f>
        <v>OK</v>
      </c>
      <c r="O311" t="str">
        <f>IF(ISBLANK(po_master[[#This Row],[GR Quantity]]), "No GR - Not received", "OK")</f>
        <v>OK</v>
      </c>
      <c r="P311" s="1" t="str">
        <f>IF(po_master[[#This Row],[Promised Delivey Date]]&lt;po_master[[#This Row],[Order Date]], "Invalid", "OK")</f>
        <v>OK</v>
      </c>
      <c r="Q311" s="1" t="str">
        <f>IF(ISBLANK(po_master[[#This Row],[Invoice Number]]), "No Invoice", "OK")</f>
        <v>OK</v>
      </c>
      <c r="R311" s="1" t="str">
        <f>IF(AND(NOT(ISBLANK(po_master[[#This Row],[GR Quantity]])), po_master[[#This Row],[GR Quantity]]&lt;&gt;po_master[[#This Row],[PO Quantity]]), "Qty Variance", "OK")</f>
        <v>OK</v>
      </c>
      <c r="S311" s="1" t="str">
        <f>IF(po_master[[#This Row],[Invoice Unit Price]]&gt;po_master[[#This Row],[PO Unit Price]]*1.01, "Price Variance", "OK")</f>
        <v>OK</v>
      </c>
      <c r="T311" s="1" t="str">
        <f>IF(po_master[[#This Row],[Actual Delivery Date]]&gt;po_master[[#This Row],[Promised Delivey Date]], "Late Delivery", "OK")</f>
        <v>OK</v>
      </c>
      <c r="U311" s="1" t="str">
        <f>IF(COUNTIF(po_master[PO Number],po_master[[#This Row],[PO Number]])&gt;1, "Duplicate Invoice", "OK")</f>
        <v>OK</v>
      </c>
    </row>
    <row r="312" spans="1:21" x14ac:dyDescent="0.25">
      <c r="A312" s="1" t="s">
        <v>275</v>
      </c>
      <c r="B312" s="1" t="s">
        <v>1496</v>
      </c>
      <c r="C312" s="2">
        <v>46080</v>
      </c>
      <c r="D312">
        <v>24</v>
      </c>
      <c r="E312">
        <v>67.14</v>
      </c>
      <c r="F312" s="1" t="s">
        <v>1483</v>
      </c>
      <c r="G312" s="2">
        <v>46095</v>
      </c>
      <c r="H312">
        <v>24</v>
      </c>
      <c r="I312" s="2">
        <v>46095</v>
      </c>
      <c r="J312" s="1" t="s">
        <v>989</v>
      </c>
      <c r="K312">
        <v>24</v>
      </c>
      <c r="L312">
        <v>67.14</v>
      </c>
      <c r="M312" s="2">
        <v>46099</v>
      </c>
      <c r="N312" t="str">
        <f>IF(po_master[[#This Row],[Approved By]]="", "Missing Approval", "OK")</f>
        <v>OK</v>
      </c>
      <c r="O312" t="str">
        <f>IF(ISBLANK(po_master[[#This Row],[GR Quantity]]), "No GR - Not received", "OK")</f>
        <v>OK</v>
      </c>
      <c r="P312" s="1" t="str">
        <f>IF(po_master[[#This Row],[Promised Delivey Date]]&lt;po_master[[#This Row],[Order Date]], "Invalid", "OK")</f>
        <v>OK</v>
      </c>
      <c r="Q312" s="1" t="str">
        <f>IF(ISBLANK(po_master[[#This Row],[Invoice Number]]), "No Invoice", "OK")</f>
        <v>OK</v>
      </c>
      <c r="R312" s="1" t="str">
        <f>IF(AND(NOT(ISBLANK(po_master[[#This Row],[GR Quantity]])), po_master[[#This Row],[GR Quantity]]&lt;&gt;po_master[[#This Row],[PO Quantity]]), "Qty Variance", "OK")</f>
        <v>OK</v>
      </c>
      <c r="S312" s="1" t="str">
        <f>IF(po_master[[#This Row],[Invoice Unit Price]]&gt;po_master[[#This Row],[PO Unit Price]]*1.01, "Price Variance", "OK")</f>
        <v>OK</v>
      </c>
      <c r="T312" s="1" t="str">
        <f>IF(po_master[[#This Row],[Actual Delivery Date]]&gt;po_master[[#This Row],[Promised Delivey Date]], "Late Delivery", "OK")</f>
        <v>OK</v>
      </c>
      <c r="U312" s="1" t="str">
        <f>IF(COUNTIF(po_master[PO Number],po_master[[#This Row],[PO Number]])&gt;1, "Duplicate Invoice", "OK")</f>
        <v>OK</v>
      </c>
    </row>
    <row r="313" spans="1:21" x14ac:dyDescent="0.25">
      <c r="A313" s="1" t="s">
        <v>276</v>
      </c>
      <c r="B313" s="1" t="s">
        <v>1455</v>
      </c>
      <c r="C313" s="2">
        <v>46143</v>
      </c>
      <c r="D313">
        <v>239</v>
      </c>
      <c r="E313">
        <v>124.99</v>
      </c>
      <c r="F313" s="1" t="s">
        <v>1476</v>
      </c>
      <c r="G313" s="2">
        <v>46148</v>
      </c>
      <c r="H313">
        <v>239</v>
      </c>
      <c r="I313" s="2">
        <v>46157</v>
      </c>
      <c r="J313" s="1" t="s">
        <v>992</v>
      </c>
      <c r="K313">
        <v>239</v>
      </c>
      <c r="L313">
        <v>124.99</v>
      </c>
      <c r="M313" s="2">
        <v>46156</v>
      </c>
      <c r="N313" t="str">
        <f>IF(po_master[[#This Row],[Approved By]]="", "Missing Approval", "OK")</f>
        <v>OK</v>
      </c>
      <c r="O313" t="str">
        <f>IF(ISBLANK(po_master[[#This Row],[GR Quantity]]), "No GR - Not received", "OK")</f>
        <v>OK</v>
      </c>
      <c r="P313" s="1" t="str">
        <f>IF(po_master[[#This Row],[Promised Delivey Date]]&lt;po_master[[#This Row],[Order Date]], "Invalid", "OK")</f>
        <v>OK</v>
      </c>
      <c r="Q313" s="1" t="str">
        <f>IF(ISBLANK(po_master[[#This Row],[Invoice Number]]), "No Invoice", "OK")</f>
        <v>OK</v>
      </c>
      <c r="R313" s="1" t="str">
        <f>IF(AND(NOT(ISBLANK(po_master[[#This Row],[GR Quantity]])), po_master[[#This Row],[GR Quantity]]&lt;&gt;po_master[[#This Row],[PO Quantity]]), "Qty Variance", "OK")</f>
        <v>OK</v>
      </c>
      <c r="S313" s="1" t="str">
        <f>IF(po_master[[#This Row],[Invoice Unit Price]]&gt;po_master[[#This Row],[PO Unit Price]]*1.01, "Price Variance", "OK")</f>
        <v>OK</v>
      </c>
      <c r="T313" s="1" t="str">
        <f>IF(po_master[[#This Row],[Actual Delivery Date]]&gt;po_master[[#This Row],[Promised Delivey Date]], "Late Delivery", "OK")</f>
        <v>Late Delivery</v>
      </c>
      <c r="U313" s="1" t="str">
        <f>IF(COUNTIF(po_master[PO Number],po_master[[#This Row],[PO Number]])&gt;1, "Duplicate Invoice", "OK")</f>
        <v>OK</v>
      </c>
    </row>
    <row r="314" spans="1:21" x14ac:dyDescent="0.25">
      <c r="A314" s="1" t="s">
        <v>277</v>
      </c>
      <c r="B314" s="1" t="s">
        <v>1470</v>
      </c>
      <c r="C314" s="2">
        <v>46078</v>
      </c>
      <c r="D314">
        <v>437</v>
      </c>
      <c r="E314">
        <v>34.159999999999997</v>
      </c>
      <c r="F314" s="1" t="s">
        <v>1490</v>
      </c>
      <c r="G314" s="2">
        <v>46099</v>
      </c>
      <c r="H314">
        <v>455</v>
      </c>
      <c r="I314" s="2">
        <v>46098</v>
      </c>
      <c r="J314" s="1" t="s">
        <v>993</v>
      </c>
      <c r="K314">
        <v>437</v>
      </c>
      <c r="L314">
        <v>38.28</v>
      </c>
      <c r="M314" s="2">
        <v>46109</v>
      </c>
      <c r="N314" t="str">
        <f>IF(po_master[[#This Row],[Approved By]]="", "Missing Approval", "OK")</f>
        <v>OK</v>
      </c>
      <c r="O314" t="str">
        <f>IF(ISBLANK(po_master[[#This Row],[GR Quantity]]), "No GR - Not received", "OK")</f>
        <v>OK</v>
      </c>
      <c r="P314" s="1" t="str">
        <f>IF(po_master[[#This Row],[Promised Delivey Date]]&lt;po_master[[#This Row],[Order Date]], "Invalid", "OK")</f>
        <v>OK</v>
      </c>
      <c r="Q314" s="1" t="str">
        <f>IF(ISBLANK(po_master[[#This Row],[Invoice Number]]), "No Invoice", "OK")</f>
        <v>OK</v>
      </c>
      <c r="R314" s="1" t="str">
        <f>IF(AND(NOT(ISBLANK(po_master[[#This Row],[GR Quantity]])), po_master[[#This Row],[GR Quantity]]&lt;&gt;po_master[[#This Row],[PO Quantity]]), "Qty Variance", "OK")</f>
        <v>Qty Variance</v>
      </c>
      <c r="S314" s="1" t="str">
        <f>IF(po_master[[#This Row],[Invoice Unit Price]]&gt;po_master[[#This Row],[PO Unit Price]]*1.01, "Price Variance", "OK")</f>
        <v>Price Variance</v>
      </c>
      <c r="T314" s="1" t="str">
        <f>IF(po_master[[#This Row],[Actual Delivery Date]]&gt;po_master[[#This Row],[Promised Delivey Date]], "Late Delivery", "OK")</f>
        <v>OK</v>
      </c>
      <c r="U314" s="1" t="str">
        <f>IF(COUNTIF(po_master[PO Number],po_master[[#This Row],[PO Number]])&gt;1, "Duplicate Invoice", "OK")</f>
        <v>OK</v>
      </c>
    </row>
    <row r="315" spans="1:21" x14ac:dyDescent="0.25">
      <c r="A315" s="1" t="s">
        <v>278</v>
      </c>
      <c r="B315" s="1" t="s">
        <v>1500</v>
      </c>
      <c r="C315" s="2">
        <v>46051</v>
      </c>
      <c r="D315">
        <v>407</v>
      </c>
      <c r="E315">
        <v>61.18</v>
      </c>
      <c r="F315" s="1" t="s">
        <v>1474</v>
      </c>
      <c r="G315" s="2">
        <v>46059</v>
      </c>
      <c r="H315">
        <v>407</v>
      </c>
      <c r="I315" s="2">
        <v>46059</v>
      </c>
      <c r="J315" s="1" t="s">
        <v>994</v>
      </c>
      <c r="K315">
        <v>407</v>
      </c>
      <c r="L315">
        <v>61.18</v>
      </c>
      <c r="M315" s="2">
        <v>46068</v>
      </c>
      <c r="N315" t="str">
        <f>IF(po_master[[#This Row],[Approved By]]="", "Missing Approval", "OK")</f>
        <v>OK</v>
      </c>
      <c r="O315" t="str">
        <f>IF(ISBLANK(po_master[[#This Row],[GR Quantity]]), "No GR - Not received", "OK")</f>
        <v>OK</v>
      </c>
      <c r="P315" s="1" t="str">
        <f>IF(po_master[[#This Row],[Promised Delivey Date]]&lt;po_master[[#This Row],[Order Date]], "Invalid", "OK")</f>
        <v>OK</v>
      </c>
      <c r="Q315" s="1" t="str">
        <f>IF(ISBLANK(po_master[[#This Row],[Invoice Number]]), "No Invoice", "OK")</f>
        <v>OK</v>
      </c>
      <c r="R315" s="1" t="str">
        <f>IF(AND(NOT(ISBLANK(po_master[[#This Row],[GR Quantity]])), po_master[[#This Row],[GR Quantity]]&lt;&gt;po_master[[#This Row],[PO Quantity]]), "Qty Variance", "OK")</f>
        <v>OK</v>
      </c>
      <c r="S315" s="1" t="str">
        <f>IF(po_master[[#This Row],[Invoice Unit Price]]&gt;po_master[[#This Row],[PO Unit Price]]*1.01, "Price Variance", "OK")</f>
        <v>OK</v>
      </c>
      <c r="T315" s="1" t="str">
        <f>IF(po_master[[#This Row],[Actual Delivery Date]]&gt;po_master[[#This Row],[Promised Delivey Date]], "Late Delivery", "OK")</f>
        <v>OK</v>
      </c>
      <c r="U315" s="1" t="str">
        <f>IF(COUNTIF(po_master[PO Number],po_master[[#This Row],[PO Number]])&gt;1, "Duplicate Invoice", "OK")</f>
        <v>OK</v>
      </c>
    </row>
    <row r="316" spans="1:21" x14ac:dyDescent="0.25">
      <c r="A316" s="1" t="s">
        <v>279</v>
      </c>
      <c r="B316" s="1" t="s">
        <v>1475</v>
      </c>
      <c r="C316" s="2">
        <v>46084</v>
      </c>
      <c r="D316">
        <v>224</v>
      </c>
      <c r="E316">
        <v>129.6</v>
      </c>
      <c r="F316" s="1" t="s">
        <v>1494</v>
      </c>
      <c r="G316" s="2">
        <v>46103</v>
      </c>
      <c r="H316">
        <v>227</v>
      </c>
      <c r="I316" s="2">
        <v>46104</v>
      </c>
      <c r="J316" s="1" t="s">
        <v>995</v>
      </c>
      <c r="K316">
        <v>224</v>
      </c>
      <c r="L316">
        <v>129.6</v>
      </c>
      <c r="M316" s="2">
        <v>46106</v>
      </c>
      <c r="N316" t="str">
        <f>IF(po_master[[#This Row],[Approved By]]="", "Missing Approval", "OK")</f>
        <v>OK</v>
      </c>
      <c r="O316" t="str">
        <f>IF(ISBLANK(po_master[[#This Row],[GR Quantity]]), "No GR - Not received", "OK")</f>
        <v>OK</v>
      </c>
      <c r="P316" s="1" t="str">
        <f>IF(po_master[[#This Row],[Promised Delivey Date]]&lt;po_master[[#This Row],[Order Date]], "Invalid", "OK")</f>
        <v>OK</v>
      </c>
      <c r="Q316" s="1" t="str">
        <f>IF(ISBLANK(po_master[[#This Row],[Invoice Number]]), "No Invoice", "OK")</f>
        <v>OK</v>
      </c>
      <c r="R316" s="1" t="str">
        <f>IF(AND(NOT(ISBLANK(po_master[[#This Row],[GR Quantity]])), po_master[[#This Row],[GR Quantity]]&lt;&gt;po_master[[#This Row],[PO Quantity]]), "Qty Variance", "OK")</f>
        <v>Qty Variance</v>
      </c>
      <c r="S316" s="1" t="str">
        <f>IF(po_master[[#This Row],[Invoice Unit Price]]&gt;po_master[[#This Row],[PO Unit Price]]*1.01, "Price Variance", "OK")</f>
        <v>OK</v>
      </c>
      <c r="T316" s="1" t="str">
        <f>IF(po_master[[#This Row],[Actual Delivery Date]]&gt;po_master[[#This Row],[Promised Delivey Date]], "Late Delivery", "OK")</f>
        <v>Late Delivery</v>
      </c>
      <c r="U316" s="1" t="str">
        <f>IF(COUNTIF(po_master[PO Number],po_master[[#This Row],[PO Number]])&gt;1, "Duplicate Invoice", "OK")</f>
        <v>OK</v>
      </c>
    </row>
    <row r="317" spans="1:21" x14ac:dyDescent="0.25">
      <c r="A317" s="1" t="s">
        <v>280</v>
      </c>
      <c r="B317" s="1" t="s">
        <v>1492</v>
      </c>
      <c r="C317" s="2">
        <v>46051</v>
      </c>
      <c r="D317">
        <v>438</v>
      </c>
      <c r="E317">
        <v>181.5</v>
      </c>
      <c r="F317" s="1" t="s">
        <v>1494</v>
      </c>
      <c r="G317" s="2">
        <v>46056</v>
      </c>
      <c r="H317">
        <v>438</v>
      </c>
      <c r="I317" s="2">
        <v>46056</v>
      </c>
      <c r="J317" s="1" t="s">
        <v>996</v>
      </c>
      <c r="K317">
        <v>438</v>
      </c>
      <c r="L317">
        <v>181.5</v>
      </c>
      <c r="M317" s="2">
        <v>46064</v>
      </c>
      <c r="N317" t="str">
        <f>IF(po_master[[#This Row],[Approved By]]="", "Missing Approval", "OK")</f>
        <v>OK</v>
      </c>
      <c r="O317" t="str">
        <f>IF(ISBLANK(po_master[[#This Row],[GR Quantity]]), "No GR - Not received", "OK")</f>
        <v>OK</v>
      </c>
      <c r="P317" s="1" t="str">
        <f>IF(po_master[[#This Row],[Promised Delivey Date]]&lt;po_master[[#This Row],[Order Date]], "Invalid", "OK")</f>
        <v>OK</v>
      </c>
      <c r="Q317" s="1" t="str">
        <f>IF(ISBLANK(po_master[[#This Row],[Invoice Number]]), "No Invoice", "OK")</f>
        <v>OK</v>
      </c>
      <c r="R317" s="1" t="str">
        <f>IF(AND(NOT(ISBLANK(po_master[[#This Row],[GR Quantity]])), po_master[[#This Row],[GR Quantity]]&lt;&gt;po_master[[#This Row],[PO Quantity]]), "Qty Variance", "OK")</f>
        <v>OK</v>
      </c>
      <c r="S317" s="1" t="str">
        <f>IF(po_master[[#This Row],[Invoice Unit Price]]&gt;po_master[[#This Row],[PO Unit Price]]*1.01, "Price Variance", "OK")</f>
        <v>OK</v>
      </c>
      <c r="T317" s="1" t="str">
        <f>IF(po_master[[#This Row],[Actual Delivery Date]]&gt;po_master[[#This Row],[Promised Delivey Date]], "Late Delivery", "OK")</f>
        <v>OK</v>
      </c>
      <c r="U317" s="1" t="str">
        <f>IF(COUNTIF(po_master[PO Number],po_master[[#This Row],[PO Number]])&gt;1, "Duplicate Invoice", "OK")</f>
        <v>OK</v>
      </c>
    </row>
    <row r="318" spans="1:21" x14ac:dyDescent="0.25">
      <c r="A318" s="1" t="s">
        <v>281</v>
      </c>
      <c r="B318" s="1" t="s">
        <v>1439</v>
      </c>
      <c r="C318" s="2">
        <v>46154</v>
      </c>
      <c r="D318">
        <v>304</v>
      </c>
      <c r="E318">
        <v>52.18</v>
      </c>
      <c r="F318" s="1" t="s">
        <v>1485</v>
      </c>
      <c r="G318" s="2">
        <v>46168</v>
      </c>
      <c r="H318">
        <v>304</v>
      </c>
      <c r="I318" s="2">
        <v>46166</v>
      </c>
      <c r="J318" s="1" t="s">
        <v>997</v>
      </c>
      <c r="K318">
        <v>304</v>
      </c>
      <c r="L318">
        <v>52.18</v>
      </c>
      <c r="M318" s="2">
        <v>46173</v>
      </c>
      <c r="N318" t="str">
        <f>IF(po_master[[#This Row],[Approved By]]="", "Missing Approval", "OK")</f>
        <v>OK</v>
      </c>
      <c r="O318" t="str">
        <f>IF(ISBLANK(po_master[[#This Row],[GR Quantity]]), "No GR - Not received", "OK")</f>
        <v>OK</v>
      </c>
      <c r="P318" s="1" t="str">
        <f>IF(po_master[[#This Row],[Promised Delivey Date]]&lt;po_master[[#This Row],[Order Date]], "Invalid", "OK")</f>
        <v>OK</v>
      </c>
      <c r="Q318" s="1" t="str">
        <f>IF(ISBLANK(po_master[[#This Row],[Invoice Number]]), "No Invoice", "OK")</f>
        <v>OK</v>
      </c>
      <c r="R318" s="1" t="str">
        <f>IF(AND(NOT(ISBLANK(po_master[[#This Row],[GR Quantity]])), po_master[[#This Row],[GR Quantity]]&lt;&gt;po_master[[#This Row],[PO Quantity]]), "Qty Variance", "OK")</f>
        <v>OK</v>
      </c>
      <c r="S318" s="1" t="str">
        <f>IF(po_master[[#This Row],[Invoice Unit Price]]&gt;po_master[[#This Row],[PO Unit Price]]*1.01, "Price Variance", "OK")</f>
        <v>OK</v>
      </c>
      <c r="T318" s="1" t="str">
        <f>IF(po_master[[#This Row],[Actual Delivery Date]]&gt;po_master[[#This Row],[Promised Delivey Date]], "Late Delivery", "OK")</f>
        <v>OK</v>
      </c>
      <c r="U318" s="1" t="str">
        <f>IF(COUNTIF(po_master[PO Number],po_master[[#This Row],[PO Number]])&gt;1, "Duplicate Invoice", "OK")</f>
        <v>OK</v>
      </c>
    </row>
    <row r="319" spans="1:21" x14ac:dyDescent="0.25">
      <c r="A319" s="1" t="s">
        <v>282</v>
      </c>
      <c r="B319" s="1" t="s">
        <v>1500</v>
      </c>
      <c r="C319" s="2">
        <v>46023</v>
      </c>
      <c r="D319">
        <v>324</v>
      </c>
      <c r="E319">
        <v>73.8</v>
      </c>
      <c r="F319" s="1" t="s">
        <v>1480</v>
      </c>
      <c r="G319" s="2">
        <v>46041</v>
      </c>
      <c r="H319">
        <v>324</v>
      </c>
      <c r="I319" s="2">
        <v>46039</v>
      </c>
      <c r="J319" s="1" t="s">
        <v>998</v>
      </c>
      <c r="K319">
        <v>324</v>
      </c>
      <c r="L319">
        <v>73.8</v>
      </c>
      <c r="M319" s="2">
        <v>46051</v>
      </c>
      <c r="N319" t="str">
        <f>IF(po_master[[#This Row],[Approved By]]="", "Missing Approval", "OK")</f>
        <v>OK</v>
      </c>
      <c r="O319" t="str">
        <f>IF(ISBLANK(po_master[[#This Row],[GR Quantity]]), "No GR - Not received", "OK")</f>
        <v>OK</v>
      </c>
      <c r="P319" s="1" t="str">
        <f>IF(po_master[[#This Row],[Promised Delivey Date]]&lt;po_master[[#This Row],[Order Date]], "Invalid", "OK")</f>
        <v>OK</v>
      </c>
      <c r="Q319" s="1" t="str">
        <f>IF(ISBLANK(po_master[[#This Row],[Invoice Number]]), "No Invoice", "OK")</f>
        <v>OK</v>
      </c>
      <c r="R319" s="1" t="str">
        <f>IF(AND(NOT(ISBLANK(po_master[[#This Row],[GR Quantity]])), po_master[[#This Row],[GR Quantity]]&lt;&gt;po_master[[#This Row],[PO Quantity]]), "Qty Variance", "OK")</f>
        <v>OK</v>
      </c>
      <c r="S319" s="1" t="str">
        <f>IF(po_master[[#This Row],[Invoice Unit Price]]&gt;po_master[[#This Row],[PO Unit Price]]*1.01, "Price Variance", "OK")</f>
        <v>OK</v>
      </c>
      <c r="T319" s="1" t="str">
        <f>IF(po_master[[#This Row],[Actual Delivery Date]]&gt;po_master[[#This Row],[Promised Delivey Date]], "Late Delivery", "OK")</f>
        <v>OK</v>
      </c>
      <c r="U319" s="1" t="str">
        <f>IF(COUNTIF(po_master[PO Number],po_master[[#This Row],[PO Number]])&gt;1, "Duplicate Invoice", "OK")</f>
        <v>OK</v>
      </c>
    </row>
    <row r="320" spans="1:21" x14ac:dyDescent="0.25">
      <c r="A320" s="1" t="s">
        <v>283</v>
      </c>
      <c r="B320" s="1" t="s">
        <v>1486</v>
      </c>
      <c r="C320" s="2">
        <v>46044</v>
      </c>
      <c r="D320">
        <v>278</v>
      </c>
      <c r="E320">
        <v>195.06</v>
      </c>
      <c r="F320" s="1" t="s">
        <v>1476</v>
      </c>
      <c r="G320" s="2">
        <v>46065</v>
      </c>
      <c r="H320">
        <v>278</v>
      </c>
      <c r="I320" s="2">
        <v>46065</v>
      </c>
      <c r="J320" s="1" t="s">
        <v>999</v>
      </c>
      <c r="K320">
        <v>278</v>
      </c>
      <c r="L320">
        <v>195.06</v>
      </c>
      <c r="M320" s="2">
        <v>46069</v>
      </c>
      <c r="N320" t="str">
        <f>IF(po_master[[#This Row],[Approved By]]="", "Missing Approval", "OK")</f>
        <v>OK</v>
      </c>
      <c r="O320" t="str">
        <f>IF(ISBLANK(po_master[[#This Row],[GR Quantity]]), "No GR - Not received", "OK")</f>
        <v>OK</v>
      </c>
      <c r="P320" s="1" t="str">
        <f>IF(po_master[[#This Row],[Promised Delivey Date]]&lt;po_master[[#This Row],[Order Date]], "Invalid", "OK")</f>
        <v>OK</v>
      </c>
      <c r="Q320" s="1" t="str">
        <f>IF(ISBLANK(po_master[[#This Row],[Invoice Number]]), "No Invoice", "OK")</f>
        <v>OK</v>
      </c>
      <c r="R320" s="1" t="str">
        <f>IF(AND(NOT(ISBLANK(po_master[[#This Row],[GR Quantity]])), po_master[[#This Row],[GR Quantity]]&lt;&gt;po_master[[#This Row],[PO Quantity]]), "Qty Variance", "OK")</f>
        <v>OK</v>
      </c>
      <c r="S320" s="1" t="str">
        <f>IF(po_master[[#This Row],[Invoice Unit Price]]&gt;po_master[[#This Row],[PO Unit Price]]*1.01, "Price Variance", "OK")</f>
        <v>OK</v>
      </c>
      <c r="T320" s="1" t="str">
        <f>IF(po_master[[#This Row],[Actual Delivery Date]]&gt;po_master[[#This Row],[Promised Delivey Date]], "Late Delivery", "OK")</f>
        <v>OK</v>
      </c>
      <c r="U320" s="1" t="str">
        <f>IF(COUNTIF(po_master[PO Number],po_master[[#This Row],[PO Number]])&gt;1, "Duplicate Invoice", "OK")</f>
        <v>OK</v>
      </c>
    </row>
    <row r="321" spans="1:21" x14ac:dyDescent="0.25">
      <c r="A321" s="1" t="s">
        <v>284</v>
      </c>
      <c r="B321" s="1" t="s">
        <v>1471</v>
      </c>
      <c r="C321" s="2">
        <v>46152</v>
      </c>
      <c r="D321">
        <v>412</v>
      </c>
      <c r="E321">
        <v>197.72</v>
      </c>
      <c r="F321" s="1" t="s">
        <v>1442</v>
      </c>
      <c r="G321" s="2">
        <v>46157</v>
      </c>
      <c r="H321">
        <v>412</v>
      </c>
      <c r="I321" s="2">
        <v>46165</v>
      </c>
      <c r="J321" s="1" t="s">
        <v>1000</v>
      </c>
      <c r="K321">
        <v>412</v>
      </c>
      <c r="L321">
        <v>197.72</v>
      </c>
      <c r="M321" s="2">
        <v>46161</v>
      </c>
      <c r="N321" t="str">
        <f>IF(po_master[[#This Row],[Approved By]]="", "Missing Approval", "OK")</f>
        <v>OK</v>
      </c>
      <c r="O321" t="str">
        <f>IF(ISBLANK(po_master[[#This Row],[GR Quantity]]), "No GR - Not received", "OK")</f>
        <v>OK</v>
      </c>
      <c r="P321" s="1" t="str">
        <f>IF(po_master[[#This Row],[Promised Delivey Date]]&lt;po_master[[#This Row],[Order Date]], "Invalid", "OK")</f>
        <v>OK</v>
      </c>
      <c r="Q321" s="1" t="str">
        <f>IF(ISBLANK(po_master[[#This Row],[Invoice Number]]), "No Invoice", "OK")</f>
        <v>OK</v>
      </c>
      <c r="R321" s="1" t="str">
        <f>IF(AND(NOT(ISBLANK(po_master[[#This Row],[GR Quantity]])), po_master[[#This Row],[GR Quantity]]&lt;&gt;po_master[[#This Row],[PO Quantity]]), "Qty Variance", "OK")</f>
        <v>OK</v>
      </c>
      <c r="S321" s="1" t="str">
        <f>IF(po_master[[#This Row],[Invoice Unit Price]]&gt;po_master[[#This Row],[PO Unit Price]]*1.01, "Price Variance", "OK")</f>
        <v>OK</v>
      </c>
      <c r="T321" s="1" t="str">
        <f>IF(po_master[[#This Row],[Actual Delivery Date]]&gt;po_master[[#This Row],[Promised Delivey Date]], "Late Delivery", "OK")</f>
        <v>Late Delivery</v>
      </c>
      <c r="U321" s="1" t="str">
        <f>IF(COUNTIF(po_master[PO Number],po_master[[#This Row],[PO Number]])&gt;1, "Duplicate Invoice", "OK")</f>
        <v>OK</v>
      </c>
    </row>
    <row r="322" spans="1:21" x14ac:dyDescent="0.25">
      <c r="A322" s="1" t="s">
        <v>980</v>
      </c>
      <c r="B322" s="1" t="s">
        <v>1496</v>
      </c>
      <c r="C322" s="2">
        <v>46169</v>
      </c>
      <c r="D322">
        <v>235</v>
      </c>
      <c r="E322">
        <v>95.03</v>
      </c>
      <c r="F322" s="1" t="s">
        <v>1474</v>
      </c>
      <c r="G322" s="2">
        <v>46186</v>
      </c>
      <c r="I322" s="2"/>
      <c r="J322" s="1" t="s">
        <v>981</v>
      </c>
      <c r="K322">
        <v>235</v>
      </c>
      <c r="L322">
        <v>95.03</v>
      </c>
      <c r="M322" s="2">
        <v>46196</v>
      </c>
      <c r="N322" t="str">
        <f>IF(po_master[[#This Row],[Approved By]]="", "Missing Approval", "OK")</f>
        <v>OK</v>
      </c>
      <c r="O322" t="str">
        <f>IF(ISBLANK(po_master[[#This Row],[GR Quantity]]), "No GR - Not received", "OK")</f>
        <v>No GR - Not received</v>
      </c>
      <c r="P322" s="1" t="str">
        <f>IF(po_master[[#This Row],[Promised Delivey Date]]&lt;po_master[[#This Row],[Order Date]], "Invalid", "OK")</f>
        <v>OK</v>
      </c>
      <c r="Q322" s="1" t="str">
        <f>IF(ISBLANK(po_master[[#This Row],[Invoice Number]]), "No Invoice", "OK")</f>
        <v>OK</v>
      </c>
      <c r="R322" s="1" t="str">
        <f>IF(AND(NOT(ISBLANK(po_master[[#This Row],[GR Quantity]])), po_master[[#This Row],[GR Quantity]]&lt;&gt;po_master[[#This Row],[PO Quantity]]), "Qty Variance", "OK")</f>
        <v>OK</v>
      </c>
      <c r="S322" s="1" t="str">
        <f>IF(po_master[[#This Row],[Invoice Unit Price]]&gt;po_master[[#This Row],[PO Unit Price]]*1.01, "Price Variance", "OK")</f>
        <v>OK</v>
      </c>
      <c r="T322" s="1" t="str">
        <f>IF(po_master[[#This Row],[Actual Delivery Date]]&gt;po_master[[#This Row],[Promised Delivey Date]], "Late Delivery", "OK")</f>
        <v>OK</v>
      </c>
      <c r="U322" s="1" t="str">
        <f>IF(COUNTIF(po_master[PO Number],po_master[[#This Row],[PO Number]])&gt;1, "Duplicate Invoice", "OK")</f>
        <v>OK</v>
      </c>
    </row>
    <row r="323" spans="1:21" x14ac:dyDescent="0.25">
      <c r="A323" s="1" t="s">
        <v>285</v>
      </c>
      <c r="B323" s="1" t="s">
        <v>1502</v>
      </c>
      <c r="C323" s="2">
        <v>46143</v>
      </c>
      <c r="D323">
        <v>32</v>
      </c>
      <c r="E323">
        <v>128.96</v>
      </c>
      <c r="F323" s="1" t="s">
        <v>1451</v>
      </c>
      <c r="G323" s="2">
        <v>46156</v>
      </c>
      <c r="H323">
        <v>32</v>
      </c>
      <c r="I323" s="2">
        <v>46155</v>
      </c>
      <c r="J323" s="1" t="s">
        <v>1001</v>
      </c>
      <c r="K323">
        <v>32</v>
      </c>
      <c r="L323">
        <v>128.96</v>
      </c>
      <c r="M323" s="2">
        <v>46166</v>
      </c>
      <c r="N323" t="str">
        <f>IF(po_master[[#This Row],[Approved By]]="", "Missing Approval", "OK")</f>
        <v>OK</v>
      </c>
      <c r="O323" t="str">
        <f>IF(ISBLANK(po_master[[#This Row],[GR Quantity]]), "No GR - Not received", "OK")</f>
        <v>OK</v>
      </c>
      <c r="P323" s="1" t="str">
        <f>IF(po_master[[#This Row],[Promised Delivey Date]]&lt;po_master[[#This Row],[Order Date]], "Invalid", "OK")</f>
        <v>OK</v>
      </c>
      <c r="Q323" s="1" t="str">
        <f>IF(ISBLANK(po_master[[#This Row],[Invoice Number]]), "No Invoice", "OK")</f>
        <v>OK</v>
      </c>
      <c r="R323" s="1" t="str">
        <f>IF(AND(NOT(ISBLANK(po_master[[#This Row],[GR Quantity]])), po_master[[#This Row],[GR Quantity]]&lt;&gt;po_master[[#This Row],[PO Quantity]]), "Qty Variance", "OK")</f>
        <v>OK</v>
      </c>
      <c r="S323" s="1" t="str">
        <f>IF(po_master[[#This Row],[Invoice Unit Price]]&gt;po_master[[#This Row],[PO Unit Price]]*1.01, "Price Variance", "OK")</f>
        <v>OK</v>
      </c>
      <c r="T323" s="1" t="str">
        <f>IF(po_master[[#This Row],[Actual Delivery Date]]&gt;po_master[[#This Row],[Promised Delivey Date]], "Late Delivery", "OK")</f>
        <v>OK</v>
      </c>
      <c r="U323" s="1" t="str">
        <f>IF(COUNTIF(po_master[PO Number],po_master[[#This Row],[PO Number]])&gt;1, "Duplicate Invoice", "OK")</f>
        <v>OK</v>
      </c>
    </row>
    <row r="324" spans="1:21" x14ac:dyDescent="0.25">
      <c r="A324" s="1" t="s">
        <v>286</v>
      </c>
      <c r="B324" s="1" t="s">
        <v>1477</v>
      </c>
      <c r="C324" s="2">
        <v>46049</v>
      </c>
      <c r="D324">
        <v>405</v>
      </c>
      <c r="E324">
        <v>118.47</v>
      </c>
      <c r="F324" s="1" t="s">
        <v>1456</v>
      </c>
      <c r="G324" s="2">
        <v>46064</v>
      </c>
      <c r="H324">
        <v>405</v>
      </c>
      <c r="I324" s="2">
        <v>46070</v>
      </c>
      <c r="J324" s="1" t="s">
        <v>1004</v>
      </c>
      <c r="K324">
        <v>405</v>
      </c>
      <c r="L324">
        <v>118.47</v>
      </c>
      <c r="M324" s="2">
        <v>46066</v>
      </c>
      <c r="N324" t="str">
        <f>IF(po_master[[#This Row],[Approved By]]="", "Missing Approval", "OK")</f>
        <v>OK</v>
      </c>
      <c r="O324" t="str">
        <f>IF(ISBLANK(po_master[[#This Row],[GR Quantity]]), "No GR - Not received", "OK")</f>
        <v>OK</v>
      </c>
      <c r="P324" s="1" t="str">
        <f>IF(po_master[[#This Row],[Promised Delivey Date]]&lt;po_master[[#This Row],[Order Date]], "Invalid", "OK")</f>
        <v>OK</v>
      </c>
      <c r="Q324" s="1" t="str">
        <f>IF(ISBLANK(po_master[[#This Row],[Invoice Number]]), "No Invoice", "OK")</f>
        <v>OK</v>
      </c>
      <c r="R324" s="1" t="str">
        <f>IF(AND(NOT(ISBLANK(po_master[[#This Row],[GR Quantity]])), po_master[[#This Row],[GR Quantity]]&lt;&gt;po_master[[#This Row],[PO Quantity]]), "Qty Variance", "OK")</f>
        <v>OK</v>
      </c>
      <c r="S324" s="1" t="str">
        <f>IF(po_master[[#This Row],[Invoice Unit Price]]&gt;po_master[[#This Row],[PO Unit Price]]*1.01, "Price Variance", "OK")</f>
        <v>OK</v>
      </c>
      <c r="T324" s="1" t="str">
        <f>IF(po_master[[#This Row],[Actual Delivery Date]]&gt;po_master[[#This Row],[Promised Delivey Date]], "Late Delivery", "OK")</f>
        <v>Late Delivery</v>
      </c>
      <c r="U324" s="1" t="str">
        <f>IF(COUNTIF(po_master[PO Number],po_master[[#This Row],[PO Number]])&gt;1, "Duplicate Invoice", "OK")</f>
        <v>OK</v>
      </c>
    </row>
    <row r="325" spans="1:21" x14ac:dyDescent="0.25">
      <c r="A325" s="1" t="s">
        <v>983</v>
      </c>
      <c r="B325" s="1" t="s">
        <v>1470</v>
      </c>
      <c r="C325" s="2">
        <v>46036</v>
      </c>
      <c r="D325">
        <v>338</v>
      </c>
      <c r="E325">
        <v>98.72</v>
      </c>
      <c r="F325" s="1" t="s">
        <v>1451</v>
      </c>
      <c r="G325" s="2">
        <v>46044</v>
      </c>
      <c r="I325" s="2"/>
      <c r="J325" s="1" t="s">
        <v>984</v>
      </c>
      <c r="K325">
        <v>338</v>
      </c>
      <c r="L325">
        <v>98.72</v>
      </c>
      <c r="M325" s="2">
        <v>46047</v>
      </c>
      <c r="N325" t="str">
        <f>IF(po_master[[#This Row],[Approved By]]="", "Missing Approval", "OK")</f>
        <v>OK</v>
      </c>
      <c r="O325" t="str">
        <f>IF(ISBLANK(po_master[[#This Row],[GR Quantity]]), "No GR - Not received", "OK")</f>
        <v>No GR - Not received</v>
      </c>
      <c r="P325" s="1" t="str">
        <f>IF(po_master[[#This Row],[Promised Delivey Date]]&lt;po_master[[#This Row],[Order Date]], "Invalid", "OK")</f>
        <v>OK</v>
      </c>
      <c r="Q325" s="1" t="str">
        <f>IF(ISBLANK(po_master[[#This Row],[Invoice Number]]), "No Invoice", "OK")</f>
        <v>OK</v>
      </c>
      <c r="R325" s="1" t="str">
        <f>IF(AND(NOT(ISBLANK(po_master[[#This Row],[GR Quantity]])), po_master[[#This Row],[GR Quantity]]&lt;&gt;po_master[[#This Row],[PO Quantity]]), "Qty Variance", "OK")</f>
        <v>OK</v>
      </c>
      <c r="S325" s="1" t="str">
        <f>IF(po_master[[#This Row],[Invoice Unit Price]]&gt;po_master[[#This Row],[PO Unit Price]]*1.01, "Price Variance", "OK")</f>
        <v>OK</v>
      </c>
      <c r="T325" s="1" t="str">
        <f>IF(po_master[[#This Row],[Actual Delivery Date]]&gt;po_master[[#This Row],[Promised Delivey Date]], "Late Delivery", "OK")</f>
        <v>OK</v>
      </c>
      <c r="U325" s="1" t="str">
        <f>IF(COUNTIF(po_master[PO Number],po_master[[#This Row],[PO Number]])&gt;1, "Duplicate Invoice", "OK")</f>
        <v>OK</v>
      </c>
    </row>
    <row r="326" spans="1:21" x14ac:dyDescent="0.25">
      <c r="A326" s="1" t="s">
        <v>287</v>
      </c>
      <c r="B326" s="1" t="s">
        <v>1441</v>
      </c>
      <c r="C326" s="2">
        <v>46034</v>
      </c>
      <c r="D326">
        <v>190</v>
      </c>
      <c r="E326">
        <v>111.47</v>
      </c>
      <c r="F326" s="1" t="s">
        <v>1446</v>
      </c>
      <c r="G326" s="2">
        <v>46044</v>
      </c>
      <c r="H326">
        <v>190</v>
      </c>
      <c r="I326" s="2">
        <v>46042</v>
      </c>
      <c r="J326" s="1" t="s">
        <v>1005</v>
      </c>
      <c r="K326">
        <v>190</v>
      </c>
      <c r="L326">
        <v>111.47</v>
      </c>
      <c r="M326" s="2">
        <v>46048</v>
      </c>
      <c r="N326" t="str">
        <f>IF(po_master[[#This Row],[Approved By]]="", "Missing Approval", "OK")</f>
        <v>OK</v>
      </c>
      <c r="O326" t="str">
        <f>IF(ISBLANK(po_master[[#This Row],[GR Quantity]]), "No GR - Not received", "OK")</f>
        <v>OK</v>
      </c>
      <c r="P326" s="1" t="str">
        <f>IF(po_master[[#This Row],[Promised Delivey Date]]&lt;po_master[[#This Row],[Order Date]], "Invalid", "OK")</f>
        <v>OK</v>
      </c>
      <c r="Q326" s="1" t="str">
        <f>IF(ISBLANK(po_master[[#This Row],[Invoice Number]]), "No Invoice", "OK")</f>
        <v>OK</v>
      </c>
      <c r="R326" s="1" t="str">
        <f>IF(AND(NOT(ISBLANK(po_master[[#This Row],[GR Quantity]])), po_master[[#This Row],[GR Quantity]]&lt;&gt;po_master[[#This Row],[PO Quantity]]), "Qty Variance", "OK")</f>
        <v>OK</v>
      </c>
      <c r="S326" s="1" t="str">
        <f>IF(po_master[[#This Row],[Invoice Unit Price]]&gt;po_master[[#This Row],[PO Unit Price]]*1.01, "Price Variance", "OK")</f>
        <v>OK</v>
      </c>
      <c r="T326" s="1" t="str">
        <f>IF(po_master[[#This Row],[Actual Delivery Date]]&gt;po_master[[#This Row],[Promised Delivey Date]], "Late Delivery", "OK")</f>
        <v>OK</v>
      </c>
      <c r="U326" s="1" t="str">
        <f>IF(COUNTIF(po_master[PO Number],po_master[[#This Row],[PO Number]])&gt;1, "Duplicate Invoice", "OK")</f>
        <v>OK</v>
      </c>
    </row>
    <row r="327" spans="1:21" x14ac:dyDescent="0.25">
      <c r="A327" s="1" t="s">
        <v>288</v>
      </c>
      <c r="B327" s="1" t="s">
        <v>1461</v>
      </c>
      <c r="C327" s="2">
        <v>46141</v>
      </c>
      <c r="D327">
        <v>366</v>
      </c>
      <c r="E327">
        <v>98.31</v>
      </c>
      <c r="F327" s="1" t="s">
        <v>1501</v>
      </c>
      <c r="G327" s="2">
        <v>46150</v>
      </c>
      <c r="H327">
        <v>366</v>
      </c>
      <c r="I327" s="2">
        <v>46164</v>
      </c>
      <c r="J327" s="1" t="s">
        <v>1006</v>
      </c>
      <c r="K327">
        <v>366</v>
      </c>
      <c r="L327">
        <v>98.31</v>
      </c>
      <c r="M327" s="2">
        <v>46160</v>
      </c>
      <c r="N327" t="str">
        <f>IF(po_master[[#This Row],[Approved By]]="", "Missing Approval", "OK")</f>
        <v>OK</v>
      </c>
      <c r="O327" t="str">
        <f>IF(ISBLANK(po_master[[#This Row],[GR Quantity]]), "No GR - Not received", "OK")</f>
        <v>OK</v>
      </c>
      <c r="P327" s="1" t="str">
        <f>IF(po_master[[#This Row],[Promised Delivey Date]]&lt;po_master[[#This Row],[Order Date]], "Invalid", "OK")</f>
        <v>OK</v>
      </c>
      <c r="Q327" s="1" t="str">
        <f>IF(ISBLANK(po_master[[#This Row],[Invoice Number]]), "No Invoice", "OK")</f>
        <v>OK</v>
      </c>
      <c r="R327" s="1" t="str">
        <f>IF(AND(NOT(ISBLANK(po_master[[#This Row],[GR Quantity]])), po_master[[#This Row],[GR Quantity]]&lt;&gt;po_master[[#This Row],[PO Quantity]]), "Qty Variance", "OK")</f>
        <v>OK</v>
      </c>
      <c r="S327" s="1" t="str">
        <f>IF(po_master[[#This Row],[Invoice Unit Price]]&gt;po_master[[#This Row],[PO Unit Price]]*1.01, "Price Variance", "OK")</f>
        <v>OK</v>
      </c>
      <c r="T327" s="1" t="str">
        <f>IF(po_master[[#This Row],[Actual Delivery Date]]&gt;po_master[[#This Row],[Promised Delivey Date]], "Late Delivery", "OK")</f>
        <v>Late Delivery</v>
      </c>
      <c r="U327" s="1" t="str">
        <f>IF(COUNTIF(po_master[PO Number],po_master[[#This Row],[PO Number]])&gt;1, "Duplicate Invoice", "OK")</f>
        <v>OK</v>
      </c>
    </row>
    <row r="328" spans="1:21" x14ac:dyDescent="0.25">
      <c r="A328" s="1" t="s">
        <v>289</v>
      </c>
      <c r="B328" s="1" t="s">
        <v>1492</v>
      </c>
      <c r="C328" s="2">
        <v>46140</v>
      </c>
      <c r="D328">
        <v>28</v>
      </c>
      <c r="E328">
        <v>62.22</v>
      </c>
      <c r="F328" s="1" t="s">
        <v>1462</v>
      </c>
      <c r="G328" s="2">
        <v>46151</v>
      </c>
      <c r="H328">
        <v>28</v>
      </c>
      <c r="I328" s="2">
        <v>46150</v>
      </c>
      <c r="J328" s="1" t="s">
        <v>1007</v>
      </c>
      <c r="K328">
        <v>28</v>
      </c>
      <c r="L328">
        <v>62.22</v>
      </c>
      <c r="M328" s="2">
        <v>46158</v>
      </c>
      <c r="N328" t="str">
        <f>IF(po_master[[#This Row],[Approved By]]="", "Missing Approval", "OK")</f>
        <v>OK</v>
      </c>
      <c r="O328" t="str">
        <f>IF(ISBLANK(po_master[[#This Row],[GR Quantity]]), "No GR - Not received", "OK")</f>
        <v>OK</v>
      </c>
      <c r="P328" s="1" t="str">
        <f>IF(po_master[[#This Row],[Promised Delivey Date]]&lt;po_master[[#This Row],[Order Date]], "Invalid", "OK")</f>
        <v>OK</v>
      </c>
      <c r="Q328" s="1" t="str">
        <f>IF(ISBLANK(po_master[[#This Row],[Invoice Number]]), "No Invoice", "OK")</f>
        <v>OK</v>
      </c>
      <c r="R328" s="1" t="str">
        <f>IF(AND(NOT(ISBLANK(po_master[[#This Row],[GR Quantity]])), po_master[[#This Row],[GR Quantity]]&lt;&gt;po_master[[#This Row],[PO Quantity]]), "Qty Variance", "OK")</f>
        <v>OK</v>
      </c>
      <c r="S328" s="1" t="str">
        <f>IF(po_master[[#This Row],[Invoice Unit Price]]&gt;po_master[[#This Row],[PO Unit Price]]*1.01, "Price Variance", "OK")</f>
        <v>OK</v>
      </c>
      <c r="T328" s="1" t="str">
        <f>IF(po_master[[#This Row],[Actual Delivery Date]]&gt;po_master[[#This Row],[Promised Delivey Date]], "Late Delivery", "OK")</f>
        <v>OK</v>
      </c>
      <c r="U328" s="1" t="str">
        <f>IF(COUNTIF(po_master[PO Number],po_master[[#This Row],[PO Number]])&gt;1, "Duplicate Invoice", "OK")</f>
        <v>OK</v>
      </c>
    </row>
    <row r="329" spans="1:21" x14ac:dyDescent="0.25">
      <c r="A329" s="1" t="s">
        <v>290</v>
      </c>
      <c r="B329" s="1" t="s">
        <v>1452</v>
      </c>
      <c r="C329" s="2">
        <v>46103</v>
      </c>
      <c r="D329">
        <v>487</v>
      </c>
      <c r="E329">
        <v>65.459999999999994</v>
      </c>
      <c r="F329" s="1" t="s">
        <v>1453</v>
      </c>
      <c r="G329" s="2">
        <v>46123</v>
      </c>
      <c r="H329">
        <v>487</v>
      </c>
      <c r="I329" s="2">
        <v>46124</v>
      </c>
      <c r="J329" s="1" t="s">
        <v>1008</v>
      </c>
      <c r="K329">
        <v>487</v>
      </c>
      <c r="L329">
        <v>65.459999999999994</v>
      </c>
      <c r="M329" s="2">
        <v>46129</v>
      </c>
      <c r="N329" t="str">
        <f>IF(po_master[[#This Row],[Approved By]]="", "Missing Approval", "OK")</f>
        <v>OK</v>
      </c>
      <c r="O329" t="str">
        <f>IF(ISBLANK(po_master[[#This Row],[GR Quantity]]), "No GR - Not received", "OK")</f>
        <v>OK</v>
      </c>
      <c r="P329" s="1" t="str">
        <f>IF(po_master[[#This Row],[Promised Delivey Date]]&lt;po_master[[#This Row],[Order Date]], "Invalid", "OK")</f>
        <v>OK</v>
      </c>
      <c r="Q329" s="1" t="str">
        <f>IF(ISBLANK(po_master[[#This Row],[Invoice Number]]), "No Invoice", "OK")</f>
        <v>OK</v>
      </c>
      <c r="R329" s="1" t="str">
        <f>IF(AND(NOT(ISBLANK(po_master[[#This Row],[GR Quantity]])), po_master[[#This Row],[GR Quantity]]&lt;&gt;po_master[[#This Row],[PO Quantity]]), "Qty Variance", "OK")</f>
        <v>OK</v>
      </c>
      <c r="S329" s="1" t="str">
        <f>IF(po_master[[#This Row],[Invoice Unit Price]]&gt;po_master[[#This Row],[PO Unit Price]]*1.01, "Price Variance", "OK")</f>
        <v>OK</v>
      </c>
      <c r="T329" s="1" t="str">
        <f>IF(po_master[[#This Row],[Actual Delivery Date]]&gt;po_master[[#This Row],[Promised Delivey Date]], "Late Delivery", "OK")</f>
        <v>Late Delivery</v>
      </c>
      <c r="U329" s="1" t="str">
        <f>IF(COUNTIF(po_master[PO Number],po_master[[#This Row],[PO Number]])&gt;1, "Duplicate Invoice", "OK")</f>
        <v>OK</v>
      </c>
    </row>
    <row r="330" spans="1:21" x14ac:dyDescent="0.25">
      <c r="A330" s="1" t="s">
        <v>291</v>
      </c>
      <c r="B330" s="1" t="s">
        <v>1470</v>
      </c>
      <c r="C330" s="2">
        <v>46032</v>
      </c>
      <c r="D330">
        <v>395</v>
      </c>
      <c r="E330">
        <v>131.15</v>
      </c>
      <c r="F330" s="1" t="s">
        <v>1474</v>
      </c>
      <c r="G330" s="2">
        <v>46048</v>
      </c>
      <c r="H330">
        <v>395</v>
      </c>
      <c r="I330" s="2">
        <v>46056</v>
      </c>
      <c r="J330" s="1" t="s">
        <v>1009</v>
      </c>
      <c r="K330">
        <v>395</v>
      </c>
      <c r="L330">
        <v>146.4</v>
      </c>
      <c r="M330" s="2">
        <v>46053</v>
      </c>
      <c r="N330" t="str">
        <f>IF(po_master[[#This Row],[Approved By]]="", "Missing Approval", "OK")</f>
        <v>OK</v>
      </c>
      <c r="O330" t="str">
        <f>IF(ISBLANK(po_master[[#This Row],[GR Quantity]]), "No GR - Not received", "OK")</f>
        <v>OK</v>
      </c>
      <c r="P330" s="1" t="str">
        <f>IF(po_master[[#This Row],[Promised Delivey Date]]&lt;po_master[[#This Row],[Order Date]], "Invalid", "OK")</f>
        <v>OK</v>
      </c>
      <c r="Q330" s="1" t="str">
        <f>IF(ISBLANK(po_master[[#This Row],[Invoice Number]]), "No Invoice", "OK")</f>
        <v>OK</v>
      </c>
      <c r="R330" s="1" t="str">
        <f>IF(AND(NOT(ISBLANK(po_master[[#This Row],[GR Quantity]])), po_master[[#This Row],[GR Quantity]]&lt;&gt;po_master[[#This Row],[PO Quantity]]), "Qty Variance", "OK")</f>
        <v>OK</v>
      </c>
      <c r="S330" s="1" t="str">
        <f>IF(po_master[[#This Row],[Invoice Unit Price]]&gt;po_master[[#This Row],[PO Unit Price]]*1.01, "Price Variance", "OK")</f>
        <v>Price Variance</v>
      </c>
      <c r="T330" s="1" t="str">
        <f>IF(po_master[[#This Row],[Actual Delivery Date]]&gt;po_master[[#This Row],[Promised Delivey Date]], "Late Delivery", "OK")</f>
        <v>Late Delivery</v>
      </c>
      <c r="U330" s="1" t="str">
        <f>IF(COUNTIF(po_master[PO Number],po_master[[#This Row],[PO Number]])&gt;1, "Duplicate Invoice", "OK")</f>
        <v>OK</v>
      </c>
    </row>
    <row r="331" spans="1:21" x14ac:dyDescent="0.25">
      <c r="A331" s="1" t="s">
        <v>292</v>
      </c>
      <c r="B331" s="1" t="s">
        <v>1475</v>
      </c>
      <c r="C331" s="2">
        <v>46107</v>
      </c>
      <c r="D331">
        <v>149</v>
      </c>
      <c r="E331">
        <v>29.27</v>
      </c>
      <c r="F331" s="1" t="s">
        <v>1451</v>
      </c>
      <c r="G331" s="2">
        <v>46125</v>
      </c>
      <c r="H331">
        <v>149</v>
      </c>
      <c r="I331" s="2">
        <v>46125</v>
      </c>
      <c r="J331" s="1" t="s">
        <v>1010</v>
      </c>
      <c r="K331">
        <v>149</v>
      </c>
      <c r="L331">
        <v>29.27</v>
      </c>
      <c r="M331" s="2">
        <v>46127</v>
      </c>
      <c r="N331" t="str">
        <f>IF(po_master[[#This Row],[Approved By]]="", "Missing Approval", "OK")</f>
        <v>OK</v>
      </c>
      <c r="O331" t="str">
        <f>IF(ISBLANK(po_master[[#This Row],[GR Quantity]]), "No GR - Not received", "OK")</f>
        <v>OK</v>
      </c>
      <c r="P331" s="1" t="str">
        <f>IF(po_master[[#This Row],[Promised Delivey Date]]&lt;po_master[[#This Row],[Order Date]], "Invalid", "OK")</f>
        <v>OK</v>
      </c>
      <c r="Q331" s="1" t="str">
        <f>IF(ISBLANK(po_master[[#This Row],[Invoice Number]]), "No Invoice", "OK")</f>
        <v>OK</v>
      </c>
      <c r="R331" s="1" t="str">
        <f>IF(AND(NOT(ISBLANK(po_master[[#This Row],[GR Quantity]])), po_master[[#This Row],[GR Quantity]]&lt;&gt;po_master[[#This Row],[PO Quantity]]), "Qty Variance", "OK")</f>
        <v>OK</v>
      </c>
      <c r="S331" s="1" t="str">
        <f>IF(po_master[[#This Row],[Invoice Unit Price]]&gt;po_master[[#This Row],[PO Unit Price]]*1.01, "Price Variance", "OK")</f>
        <v>OK</v>
      </c>
      <c r="T331" s="1" t="str">
        <f>IF(po_master[[#This Row],[Actual Delivery Date]]&gt;po_master[[#This Row],[Promised Delivey Date]], "Late Delivery", "OK")</f>
        <v>OK</v>
      </c>
      <c r="U331" s="1" t="str">
        <f>IF(COUNTIF(po_master[PO Number],po_master[[#This Row],[PO Number]])&gt;1, "Duplicate Invoice", "OK")</f>
        <v>OK</v>
      </c>
    </row>
    <row r="332" spans="1:21" x14ac:dyDescent="0.25">
      <c r="A332" s="1" t="s">
        <v>990</v>
      </c>
      <c r="B332" s="1" t="s">
        <v>1464</v>
      </c>
      <c r="C332" s="2">
        <v>46058</v>
      </c>
      <c r="D332">
        <v>29</v>
      </c>
      <c r="E332">
        <v>60.94</v>
      </c>
      <c r="F332" s="1" t="s">
        <v>1459</v>
      </c>
      <c r="G332" s="2">
        <v>46067</v>
      </c>
      <c r="I332" s="2"/>
      <c r="J332" s="1" t="s">
        <v>991</v>
      </c>
      <c r="K332">
        <v>29</v>
      </c>
      <c r="L332">
        <v>60.94</v>
      </c>
      <c r="M332" s="2">
        <v>46070</v>
      </c>
      <c r="N332" t="str">
        <f>IF(po_master[[#This Row],[Approved By]]="", "Missing Approval", "OK")</f>
        <v>Missing Approval</v>
      </c>
      <c r="O332" t="str">
        <f>IF(ISBLANK(po_master[[#This Row],[GR Quantity]]), "No GR - Not received", "OK")</f>
        <v>No GR - Not received</v>
      </c>
      <c r="P332" s="1" t="str">
        <f>IF(po_master[[#This Row],[Promised Delivey Date]]&lt;po_master[[#This Row],[Order Date]], "Invalid", "OK")</f>
        <v>OK</v>
      </c>
      <c r="Q332" s="1" t="str">
        <f>IF(ISBLANK(po_master[[#This Row],[Invoice Number]]), "No Invoice", "OK")</f>
        <v>OK</v>
      </c>
      <c r="R332" s="1" t="str">
        <f>IF(AND(NOT(ISBLANK(po_master[[#This Row],[GR Quantity]])), po_master[[#This Row],[GR Quantity]]&lt;&gt;po_master[[#This Row],[PO Quantity]]), "Qty Variance", "OK")</f>
        <v>OK</v>
      </c>
      <c r="S332" s="1" t="str">
        <f>IF(po_master[[#This Row],[Invoice Unit Price]]&gt;po_master[[#This Row],[PO Unit Price]]*1.01, "Price Variance", "OK")</f>
        <v>OK</v>
      </c>
      <c r="T332" s="1" t="str">
        <f>IF(po_master[[#This Row],[Actual Delivery Date]]&gt;po_master[[#This Row],[Promised Delivey Date]], "Late Delivery", "OK")</f>
        <v>OK</v>
      </c>
      <c r="U332" s="1" t="str">
        <f>IF(COUNTIF(po_master[PO Number],po_master[[#This Row],[PO Number]])&gt;1, "Duplicate Invoice", "OK")</f>
        <v>OK</v>
      </c>
    </row>
    <row r="333" spans="1:21" x14ac:dyDescent="0.25">
      <c r="A333" s="1" t="s">
        <v>293</v>
      </c>
      <c r="B333" s="1" t="s">
        <v>1488</v>
      </c>
      <c r="C333" s="2">
        <v>46135</v>
      </c>
      <c r="D333">
        <v>468</v>
      </c>
      <c r="E333">
        <v>191.51</v>
      </c>
      <c r="F333" s="1" t="s">
        <v>1472</v>
      </c>
      <c r="G333" s="2">
        <v>46145</v>
      </c>
      <c r="H333">
        <v>468</v>
      </c>
      <c r="I333" s="2">
        <v>46147</v>
      </c>
      <c r="J333" s="1" t="s">
        <v>1011</v>
      </c>
      <c r="K333">
        <v>468</v>
      </c>
      <c r="L333">
        <v>191.51</v>
      </c>
      <c r="M333" s="2">
        <v>46154</v>
      </c>
      <c r="N333" t="str">
        <f>IF(po_master[[#This Row],[Approved By]]="", "Missing Approval", "OK")</f>
        <v>OK</v>
      </c>
      <c r="O333" t="str">
        <f>IF(ISBLANK(po_master[[#This Row],[GR Quantity]]), "No GR - Not received", "OK")</f>
        <v>OK</v>
      </c>
      <c r="P333" s="1" t="str">
        <f>IF(po_master[[#This Row],[Promised Delivey Date]]&lt;po_master[[#This Row],[Order Date]], "Invalid", "OK")</f>
        <v>OK</v>
      </c>
      <c r="Q333" s="1" t="str">
        <f>IF(ISBLANK(po_master[[#This Row],[Invoice Number]]), "No Invoice", "OK")</f>
        <v>OK</v>
      </c>
      <c r="R333" s="1" t="str">
        <f>IF(AND(NOT(ISBLANK(po_master[[#This Row],[GR Quantity]])), po_master[[#This Row],[GR Quantity]]&lt;&gt;po_master[[#This Row],[PO Quantity]]), "Qty Variance", "OK")</f>
        <v>OK</v>
      </c>
      <c r="S333" s="1" t="str">
        <f>IF(po_master[[#This Row],[Invoice Unit Price]]&gt;po_master[[#This Row],[PO Unit Price]]*1.01, "Price Variance", "OK")</f>
        <v>OK</v>
      </c>
      <c r="T333" s="1" t="str">
        <f>IF(po_master[[#This Row],[Actual Delivery Date]]&gt;po_master[[#This Row],[Promised Delivey Date]], "Late Delivery", "OK")</f>
        <v>Late Delivery</v>
      </c>
      <c r="U333" s="1" t="str">
        <f>IF(COUNTIF(po_master[PO Number],po_master[[#This Row],[PO Number]])&gt;1, "Duplicate Invoice", "OK")</f>
        <v>OK</v>
      </c>
    </row>
    <row r="334" spans="1:21" x14ac:dyDescent="0.25">
      <c r="A334" s="1" t="s">
        <v>294</v>
      </c>
      <c r="B334" s="1" t="s">
        <v>1457</v>
      </c>
      <c r="C334" s="2">
        <v>46131</v>
      </c>
      <c r="D334">
        <v>50</v>
      </c>
      <c r="E334">
        <v>88.97</v>
      </c>
      <c r="F334" s="1" t="s">
        <v>1459</v>
      </c>
      <c r="G334" s="2">
        <v>46145</v>
      </c>
      <c r="H334">
        <v>50</v>
      </c>
      <c r="I334" s="2">
        <v>46150</v>
      </c>
      <c r="J334" s="1" t="s">
        <v>1014</v>
      </c>
      <c r="K334">
        <v>50</v>
      </c>
      <c r="L334">
        <v>93.93</v>
      </c>
      <c r="M334" s="2">
        <v>46149</v>
      </c>
      <c r="N334" t="str">
        <f>IF(po_master[[#This Row],[Approved By]]="", "Missing Approval", "OK")</f>
        <v>Missing Approval</v>
      </c>
      <c r="O334" t="str">
        <f>IF(ISBLANK(po_master[[#This Row],[GR Quantity]]), "No GR - Not received", "OK")</f>
        <v>OK</v>
      </c>
      <c r="P334" s="1" t="str">
        <f>IF(po_master[[#This Row],[Promised Delivey Date]]&lt;po_master[[#This Row],[Order Date]], "Invalid", "OK")</f>
        <v>OK</v>
      </c>
      <c r="Q334" s="1" t="str">
        <f>IF(ISBLANK(po_master[[#This Row],[Invoice Number]]), "No Invoice", "OK")</f>
        <v>OK</v>
      </c>
      <c r="R334" s="1" t="str">
        <f>IF(AND(NOT(ISBLANK(po_master[[#This Row],[GR Quantity]])), po_master[[#This Row],[GR Quantity]]&lt;&gt;po_master[[#This Row],[PO Quantity]]), "Qty Variance", "OK")</f>
        <v>OK</v>
      </c>
      <c r="S334" s="1" t="str">
        <f>IF(po_master[[#This Row],[Invoice Unit Price]]&gt;po_master[[#This Row],[PO Unit Price]]*1.01, "Price Variance", "OK")</f>
        <v>Price Variance</v>
      </c>
      <c r="T334" s="1" t="str">
        <f>IF(po_master[[#This Row],[Actual Delivery Date]]&gt;po_master[[#This Row],[Promised Delivey Date]], "Late Delivery", "OK")</f>
        <v>Late Delivery</v>
      </c>
      <c r="U334" s="1" t="str">
        <f>IF(COUNTIF(po_master[PO Number],po_master[[#This Row],[PO Number]])&gt;1, "Duplicate Invoice", "OK")</f>
        <v>OK</v>
      </c>
    </row>
    <row r="335" spans="1:21" x14ac:dyDescent="0.25">
      <c r="A335" s="1" t="s">
        <v>295</v>
      </c>
      <c r="B335" s="1" t="s">
        <v>1509</v>
      </c>
      <c r="C335" s="2">
        <v>46049</v>
      </c>
      <c r="D335">
        <v>50</v>
      </c>
      <c r="E335">
        <v>68.94</v>
      </c>
      <c r="F335" s="1" t="s">
        <v>1474</v>
      </c>
      <c r="G335" s="2">
        <v>46063</v>
      </c>
      <c r="H335">
        <v>50</v>
      </c>
      <c r="I335" s="2">
        <v>46061</v>
      </c>
      <c r="J335" s="1" t="s">
        <v>1015</v>
      </c>
      <c r="K335">
        <v>50</v>
      </c>
      <c r="L335">
        <v>68.94</v>
      </c>
      <c r="M335" s="2">
        <v>46068</v>
      </c>
      <c r="N335" t="str">
        <f>IF(po_master[[#This Row],[Approved By]]="", "Missing Approval", "OK")</f>
        <v>OK</v>
      </c>
      <c r="O335" t="str">
        <f>IF(ISBLANK(po_master[[#This Row],[GR Quantity]]), "No GR - Not received", "OK")</f>
        <v>OK</v>
      </c>
      <c r="P335" s="1" t="str">
        <f>IF(po_master[[#This Row],[Promised Delivey Date]]&lt;po_master[[#This Row],[Order Date]], "Invalid", "OK")</f>
        <v>OK</v>
      </c>
      <c r="Q335" s="1" t="str">
        <f>IF(ISBLANK(po_master[[#This Row],[Invoice Number]]), "No Invoice", "OK")</f>
        <v>OK</v>
      </c>
      <c r="R335" s="1" t="str">
        <f>IF(AND(NOT(ISBLANK(po_master[[#This Row],[GR Quantity]])), po_master[[#This Row],[GR Quantity]]&lt;&gt;po_master[[#This Row],[PO Quantity]]), "Qty Variance", "OK")</f>
        <v>OK</v>
      </c>
      <c r="S335" s="1" t="str">
        <f>IF(po_master[[#This Row],[Invoice Unit Price]]&gt;po_master[[#This Row],[PO Unit Price]]*1.01, "Price Variance", "OK")</f>
        <v>OK</v>
      </c>
      <c r="T335" s="1" t="str">
        <f>IF(po_master[[#This Row],[Actual Delivery Date]]&gt;po_master[[#This Row],[Promised Delivey Date]], "Late Delivery", "OK")</f>
        <v>OK</v>
      </c>
      <c r="U335" s="1" t="str">
        <f>IF(COUNTIF(po_master[PO Number],po_master[[#This Row],[PO Number]])&gt;1, "Duplicate Invoice", "OK")</f>
        <v>OK</v>
      </c>
    </row>
    <row r="336" spans="1:21" x14ac:dyDescent="0.25">
      <c r="A336" s="1" t="s">
        <v>296</v>
      </c>
      <c r="B336" s="1" t="s">
        <v>1478</v>
      </c>
      <c r="C336" s="2">
        <v>46132</v>
      </c>
      <c r="D336">
        <v>95</v>
      </c>
      <c r="E336">
        <v>139.5</v>
      </c>
      <c r="F336" s="1" t="s">
        <v>1451</v>
      </c>
      <c r="G336" s="2">
        <v>46151</v>
      </c>
      <c r="H336">
        <v>95</v>
      </c>
      <c r="I336" s="2">
        <v>46153</v>
      </c>
      <c r="J336" s="1" t="s">
        <v>1016</v>
      </c>
      <c r="K336">
        <v>95</v>
      </c>
      <c r="L336">
        <v>139.5</v>
      </c>
      <c r="M336" s="2">
        <v>46156</v>
      </c>
      <c r="N336" t="str">
        <f>IF(po_master[[#This Row],[Approved By]]="", "Missing Approval", "OK")</f>
        <v>OK</v>
      </c>
      <c r="O336" t="str">
        <f>IF(ISBLANK(po_master[[#This Row],[GR Quantity]]), "No GR - Not received", "OK")</f>
        <v>OK</v>
      </c>
      <c r="P336" s="1" t="str">
        <f>IF(po_master[[#This Row],[Promised Delivey Date]]&lt;po_master[[#This Row],[Order Date]], "Invalid", "OK")</f>
        <v>OK</v>
      </c>
      <c r="Q336" s="1" t="str">
        <f>IF(ISBLANK(po_master[[#This Row],[Invoice Number]]), "No Invoice", "OK")</f>
        <v>OK</v>
      </c>
      <c r="R336" s="1" t="str">
        <f>IF(AND(NOT(ISBLANK(po_master[[#This Row],[GR Quantity]])), po_master[[#This Row],[GR Quantity]]&lt;&gt;po_master[[#This Row],[PO Quantity]]), "Qty Variance", "OK")</f>
        <v>OK</v>
      </c>
      <c r="S336" s="1" t="str">
        <f>IF(po_master[[#This Row],[Invoice Unit Price]]&gt;po_master[[#This Row],[PO Unit Price]]*1.01, "Price Variance", "OK")</f>
        <v>OK</v>
      </c>
      <c r="T336" s="1" t="str">
        <f>IF(po_master[[#This Row],[Actual Delivery Date]]&gt;po_master[[#This Row],[Promised Delivey Date]], "Late Delivery", "OK")</f>
        <v>Late Delivery</v>
      </c>
      <c r="U336" s="1" t="str">
        <f>IF(COUNTIF(po_master[PO Number],po_master[[#This Row],[PO Number]])&gt;1, "Duplicate Invoice", "OK")</f>
        <v>OK</v>
      </c>
    </row>
    <row r="337" spans="1:21" x14ac:dyDescent="0.25">
      <c r="A337" s="1" t="s">
        <v>297</v>
      </c>
      <c r="B337" s="1" t="s">
        <v>1452</v>
      </c>
      <c r="C337" s="2">
        <v>46113</v>
      </c>
      <c r="D337">
        <v>324</v>
      </c>
      <c r="E337">
        <v>199.64</v>
      </c>
      <c r="F337" s="1" t="s">
        <v>1458</v>
      </c>
      <c r="G337" s="2">
        <v>46119</v>
      </c>
      <c r="H337">
        <v>324</v>
      </c>
      <c r="I337" s="2">
        <v>46120</v>
      </c>
      <c r="J337" s="1" t="s">
        <v>1017</v>
      </c>
      <c r="K337">
        <v>324</v>
      </c>
      <c r="L337">
        <v>199.64</v>
      </c>
      <c r="M337" s="2">
        <v>46122</v>
      </c>
      <c r="N337" t="str">
        <f>IF(po_master[[#This Row],[Approved By]]="", "Missing Approval", "OK")</f>
        <v>OK</v>
      </c>
      <c r="O337" t="str">
        <f>IF(ISBLANK(po_master[[#This Row],[GR Quantity]]), "No GR - Not received", "OK")</f>
        <v>OK</v>
      </c>
      <c r="P337" s="1" t="str">
        <f>IF(po_master[[#This Row],[Promised Delivey Date]]&lt;po_master[[#This Row],[Order Date]], "Invalid", "OK")</f>
        <v>OK</v>
      </c>
      <c r="Q337" s="1" t="str">
        <f>IF(ISBLANK(po_master[[#This Row],[Invoice Number]]), "No Invoice", "OK")</f>
        <v>OK</v>
      </c>
      <c r="R337" s="1" t="str">
        <f>IF(AND(NOT(ISBLANK(po_master[[#This Row],[GR Quantity]])), po_master[[#This Row],[GR Quantity]]&lt;&gt;po_master[[#This Row],[PO Quantity]]), "Qty Variance", "OK")</f>
        <v>OK</v>
      </c>
      <c r="S337" s="1" t="str">
        <f>IF(po_master[[#This Row],[Invoice Unit Price]]&gt;po_master[[#This Row],[PO Unit Price]]*1.01, "Price Variance", "OK")</f>
        <v>OK</v>
      </c>
      <c r="T337" s="1" t="str">
        <f>IF(po_master[[#This Row],[Actual Delivery Date]]&gt;po_master[[#This Row],[Promised Delivey Date]], "Late Delivery", "OK")</f>
        <v>Late Delivery</v>
      </c>
      <c r="U337" s="1" t="str">
        <f>IF(COUNTIF(po_master[PO Number],po_master[[#This Row],[PO Number]])&gt;1, "Duplicate Invoice", "OK")</f>
        <v>OK</v>
      </c>
    </row>
    <row r="338" spans="1:21" x14ac:dyDescent="0.25">
      <c r="A338" s="1" t="s">
        <v>298</v>
      </c>
      <c r="B338" s="1" t="s">
        <v>1492</v>
      </c>
      <c r="C338" s="2">
        <v>46126</v>
      </c>
      <c r="D338">
        <v>196</v>
      </c>
      <c r="E338">
        <v>105.05</v>
      </c>
      <c r="F338" s="1" t="s">
        <v>1490</v>
      </c>
      <c r="G338" s="2">
        <v>46136</v>
      </c>
      <c r="H338">
        <v>196</v>
      </c>
      <c r="I338" s="2">
        <v>46155</v>
      </c>
      <c r="J338" s="1" t="s">
        <v>1018</v>
      </c>
      <c r="K338">
        <v>196</v>
      </c>
      <c r="L338">
        <v>105.05</v>
      </c>
      <c r="M338" s="2">
        <v>46145</v>
      </c>
      <c r="N338" t="str">
        <f>IF(po_master[[#This Row],[Approved By]]="", "Missing Approval", "OK")</f>
        <v>OK</v>
      </c>
      <c r="O338" t="str">
        <f>IF(ISBLANK(po_master[[#This Row],[GR Quantity]]), "No GR - Not received", "OK")</f>
        <v>OK</v>
      </c>
      <c r="P338" s="1" t="str">
        <f>IF(po_master[[#This Row],[Promised Delivey Date]]&lt;po_master[[#This Row],[Order Date]], "Invalid", "OK")</f>
        <v>OK</v>
      </c>
      <c r="Q338" s="1" t="str">
        <f>IF(ISBLANK(po_master[[#This Row],[Invoice Number]]), "No Invoice", "OK")</f>
        <v>OK</v>
      </c>
      <c r="R338" s="1" t="str">
        <f>IF(AND(NOT(ISBLANK(po_master[[#This Row],[GR Quantity]])), po_master[[#This Row],[GR Quantity]]&lt;&gt;po_master[[#This Row],[PO Quantity]]), "Qty Variance", "OK")</f>
        <v>OK</v>
      </c>
      <c r="S338" s="1" t="str">
        <f>IF(po_master[[#This Row],[Invoice Unit Price]]&gt;po_master[[#This Row],[PO Unit Price]]*1.01, "Price Variance", "OK")</f>
        <v>OK</v>
      </c>
      <c r="T338" s="1" t="str">
        <f>IF(po_master[[#This Row],[Actual Delivery Date]]&gt;po_master[[#This Row],[Promised Delivey Date]], "Late Delivery", "OK")</f>
        <v>Late Delivery</v>
      </c>
      <c r="U338" s="1" t="str">
        <f>IF(COUNTIF(po_master[PO Number],po_master[[#This Row],[PO Number]])&gt;1, "Duplicate Invoice", "OK")</f>
        <v>OK</v>
      </c>
    </row>
    <row r="339" spans="1:21" x14ac:dyDescent="0.25">
      <c r="A339" s="1" t="s">
        <v>299</v>
      </c>
      <c r="B339" s="1" t="s">
        <v>1473</v>
      </c>
      <c r="C339" s="2">
        <v>46059</v>
      </c>
      <c r="D339">
        <v>444</v>
      </c>
      <c r="E339">
        <v>123.48</v>
      </c>
      <c r="F339" s="1" t="s">
        <v>1469</v>
      </c>
      <c r="G339" s="2">
        <v>46065</v>
      </c>
      <c r="H339">
        <v>444</v>
      </c>
      <c r="I339" s="2">
        <v>46079</v>
      </c>
      <c r="J339" s="1" t="s">
        <v>1019</v>
      </c>
      <c r="K339">
        <v>444</v>
      </c>
      <c r="L339">
        <v>135.19999999999999</v>
      </c>
      <c r="M339" s="2">
        <v>46071</v>
      </c>
      <c r="N339" t="str">
        <f>IF(po_master[[#This Row],[Approved By]]="", "Missing Approval", "OK")</f>
        <v>OK</v>
      </c>
      <c r="O339" t="str">
        <f>IF(ISBLANK(po_master[[#This Row],[GR Quantity]]), "No GR - Not received", "OK")</f>
        <v>OK</v>
      </c>
      <c r="P339" s="1" t="str">
        <f>IF(po_master[[#This Row],[Promised Delivey Date]]&lt;po_master[[#This Row],[Order Date]], "Invalid", "OK")</f>
        <v>OK</v>
      </c>
      <c r="Q339" s="1" t="str">
        <f>IF(ISBLANK(po_master[[#This Row],[Invoice Number]]), "No Invoice", "OK")</f>
        <v>OK</v>
      </c>
      <c r="R339" s="1" t="str">
        <f>IF(AND(NOT(ISBLANK(po_master[[#This Row],[GR Quantity]])), po_master[[#This Row],[GR Quantity]]&lt;&gt;po_master[[#This Row],[PO Quantity]]), "Qty Variance", "OK")</f>
        <v>OK</v>
      </c>
      <c r="S339" s="1" t="str">
        <f>IF(po_master[[#This Row],[Invoice Unit Price]]&gt;po_master[[#This Row],[PO Unit Price]]*1.01, "Price Variance", "OK")</f>
        <v>Price Variance</v>
      </c>
      <c r="T339" s="1" t="str">
        <f>IF(po_master[[#This Row],[Actual Delivery Date]]&gt;po_master[[#This Row],[Promised Delivey Date]], "Late Delivery", "OK")</f>
        <v>Late Delivery</v>
      </c>
      <c r="U339" s="1" t="str">
        <f>IF(COUNTIF(po_master[PO Number],po_master[[#This Row],[PO Number]])&gt;1, "Duplicate Invoice", "OK")</f>
        <v>OK</v>
      </c>
    </row>
    <row r="340" spans="1:21" x14ac:dyDescent="0.25">
      <c r="A340" s="1" t="s">
        <v>300</v>
      </c>
      <c r="B340" s="1" t="s">
        <v>1441</v>
      </c>
      <c r="C340" s="2">
        <v>46040</v>
      </c>
      <c r="D340">
        <v>130</v>
      </c>
      <c r="E340">
        <v>156.81</v>
      </c>
      <c r="F340" s="1" t="s">
        <v>1451</v>
      </c>
      <c r="G340" s="2">
        <v>46056</v>
      </c>
      <c r="H340">
        <v>130</v>
      </c>
      <c r="I340" s="2">
        <v>46057</v>
      </c>
      <c r="J340" s="1" t="s">
        <v>1020</v>
      </c>
      <c r="K340">
        <v>130</v>
      </c>
      <c r="L340">
        <v>156.81</v>
      </c>
      <c r="M340" s="2">
        <v>46063</v>
      </c>
      <c r="N340" t="str">
        <f>IF(po_master[[#This Row],[Approved By]]="", "Missing Approval", "OK")</f>
        <v>OK</v>
      </c>
      <c r="O340" t="str">
        <f>IF(ISBLANK(po_master[[#This Row],[GR Quantity]]), "No GR - Not received", "OK")</f>
        <v>OK</v>
      </c>
      <c r="P340" s="1" t="str">
        <f>IF(po_master[[#This Row],[Promised Delivey Date]]&lt;po_master[[#This Row],[Order Date]], "Invalid", "OK")</f>
        <v>OK</v>
      </c>
      <c r="Q340" s="1" t="str">
        <f>IF(ISBLANK(po_master[[#This Row],[Invoice Number]]), "No Invoice", "OK")</f>
        <v>OK</v>
      </c>
      <c r="R340" s="1" t="str">
        <f>IF(AND(NOT(ISBLANK(po_master[[#This Row],[GR Quantity]])), po_master[[#This Row],[GR Quantity]]&lt;&gt;po_master[[#This Row],[PO Quantity]]), "Qty Variance", "OK")</f>
        <v>OK</v>
      </c>
      <c r="S340" s="1" t="str">
        <f>IF(po_master[[#This Row],[Invoice Unit Price]]&gt;po_master[[#This Row],[PO Unit Price]]*1.01, "Price Variance", "OK")</f>
        <v>OK</v>
      </c>
      <c r="T340" s="1" t="str">
        <f>IF(po_master[[#This Row],[Actual Delivery Date]]&gt;po_master[[#This Row],[Promised Delivey Date]], "Late Delivery", "OK")</f>
        <v>Late Delivery</v>
      </c>
      <c r="U340" s="1" t="str">
        <f>IF(COUNTIF(po_master[PO Number],po_master[[#This Row],[PO Number]])&gt;1, "Duplicate Invoice", "OK")</f>
        <v>OK</v>
      </c>
    </row>
    <row r="341" spans="1:21" x14ac:dyDescent="0.25">
      <c r="A341" s="1" t="s">
        <v>301</v>
      </c>
      <c r="B341" s="1" t="s">
        <v>1502</v>
      </c>
      <c r="C341" s="2">
        <v>46168</v>
      </c>
      <c r="D341">
        <v>26</v>
      </c>
      <c r="E341">
        <v>122.99</v>
      </c>
      <c r="F341" s="1" t="s">
        <v>1467</v>
      </c>
      <c r="G341" s="2">
        <v>46187</v>
      </c>
      <c r="H341">
        <v>26</v>
      </c>
      <c r="I341" s="2">
        <v>46189</v>
      </c>
      <c r="J341" s="1" t="s">
        <v>1021</v>
      </c>
      <c r="K341">
        <v>26</v>
      </c>
      <c r="L341">
        <v>122.99</v>
      </c>
      <c r="M341" s="2">
        <v>46188</v>
      </c>
      <c r="N341" t="str">
        <f>IF(po_master[[#This Row],[Approved By]]="", "Missing Approval", "OK")</f>
        <v>OK</v>
      </c>
      <c r="O341" t="str">
        <f>IF(ISBLANK(po_master[[#This Row],[GR Quantity]]), "No GR - Not received", "OK")</f>
        <v>OK</v>
      </c>
      <c r="P341" s="1" t="str">
        <f>IF(po_master[[#This Row],[Promised Delivey Date]]&lt;po_master[[#This Row],[Order Date]], "Invalid", "OK")</f>
        <v>OK</v>
      </c>
      <c r="Q341" s="1" t="str">
        <f>IF(ISBLANK(po_master[[#This Row],[Invoice Number]]), "No Invoice", "OK")</f>
        <v>OK</v>
      </c>
      <c r="R341" s="1" t="str">
        <f>IF(AND(NOT(ISBLANK(po_master[[#This Row],[GR Quantity]])), po_master[[#This Row],[GR Quantity]]&lt;&gt;po_master[[#This Row],[PO Quantity]]), "Qty Variance", "OK")</f>
        <v>OK</v>
      </c>
      <c r="S341" s="1" t="str">
        <f>IF(po_master[[#This Row],[Invoice Unit Price]]&gt;po_master[[#This Row],[PO Unit Price]]*1.01, "Price Variance", "OK")</f>
        <v>OK</v>
      </c>
      <c r="T341" s="1" t="str">
        <f>IF(po_master[[#This Row],[Actual Delivery Date]]&gt;po_master[[#This Row],[Promised Delivey Date]], "Late Delivery", "OK")</f>
        <v>Late Delivery</v>
      </c>
      <c r="U341" s="1" t="str">
        <f>IF(COUNTIF(po_master[PO Number],po_master[[#This Row],[PO Number]])&gt;1, "Duplicate Invoice", "OK")</f>
        <v>OK</v>
      </c>
    </row>
    <row r="342" spans="1:21" x14ac:dyDescent="0.25">
      <c r="A342" s="1" t="s">
        <v>1002</v>
      </c>
      <c r="B342" s="1" t="s">
        <v>1465</v>
      </c>
      <c r="C342" s="2">
        <v>46027</v>
      </c>
      <c r="D342">
        <v>192</v>
      </c>
      <c r="E342">
        <v>158.76</v>
      </c>
      <c r="F342" s="1" t="s">
        <v>1451</v>
      </c>
      <c r="G342" s="2">
        <v>46039</v>
      </c>
      <c r="I342" s="2"/>
      <c r="J342" s="1" t="s">
        <v>1003</v>
      </c>
      <c r="K342">
        <v>192</v>
      </c>
      <c r="L342">
        <v>158.76</v>
      </c>
      <c r="M342" s="2">
        <v>46044</v>
      </c>
      <c r="N342" t="str">
        <f>IF(po_master[[#This Row],[Approved By]]="", "Missing Approval", "OK")</f>
        <v>OK</v>
      </c>
      <c r="O342" t="str">
        <f>IF(ISBLANK(po_master[[#This Row],[GR Quantity]]), "No GR - Not received", "OK")</f>
        <v>No GR - Not received</v>
      </c>
      <c r="P342" s="1" t="str">
        <f>IF(po_master[[#This Row],[Promised Delivey Date]]&lt;po_master[[#This Row],[Order Date]], "Invalid", "OK")</f>
        <v>OK</v>
      </c>
      <c r="Q342" s="1" t="str">
        <f>IF(ISBLANK(po_master[[#This Row],[Invoice Number]]), "No Invoice", "OK")</f>
        <v>OK</v>
      </c>
      <c r="R342" s="1" t="str">
        <f>IF(AND(NOT(ISBLANK(po_master[[#This Row],[GR Quantity]])), po_master[[#This Row],[GR Quantity]]&lt;&gt;po_master[[#This Row],[PO Quantity]]), "Qty Variance", "OK")</f>
        <v>OK</v>
      </c>
      <c r="S342" s="1" t="str">
        <f>IF(po_master[[#This Row],[Invoice Unit Price]]&gt;po_master[[#This Row],[PO Unit Price]]*1.01, "Price Variance", "OK")</f>
        <v>OK</v>
      </c>
      <c r="T342" s="1" t="str">
        <f>IF(po_master[[#This Row],[Actual Delivery Date]]&gt;po_master[[#This Row],[Promised Delivey Date]], "Late Delivery", "OK")</f>
        <v>OK</v>
      </c>
      <c r="U342" s="1" t="str">
        <f>IF(COUNTIF(po_master[PO Number],po_master[[#This Row],[PO Number]])&gt;1, "Duplicate Invoice", "OK")</f>
        <v>OK</v>
      </c>
    </row>
    <row r="343" spans="1:21" x14ac:dyDescent="0.25">
      <c r="A343" s="1" t="s">
        <v>302</v>
      </c>
      <c r="B343" s="1" t="s">
        <v>1496</v>
      </c>
      <c r="C343" s="2">
        <v>46118</v>
      </c>
      <c r="D343">
        <v>237</v>
      </c>
      <c r="E343">
        <v>153.80000000000001</v>
      </c>
      <c r="F343" s="1" t="s">
        <v>1480</v>
      </c>
      <c r="G343" s="2">
        <v>46127</v>
      </c>
      <c r="H343">
        <v>237</v>
      </c>
      <c r="I343" s="2">
        <v>46127</v>
      </c>
      <c r="J343" s="1" t="s">
        <v>1022</v>
      </c>
      <c r="K343">
        <v>237</v>
      </c>
      <c r="L343">
        <v>153.80000000000001</v>
      </c>
      <c r="M343" s="2">
        <v>46130</v>
      </c>
      <c r="N343" t="str">
        <f>IF(po_master[[#This Row],[Approved By]]="", "Missing Approval", "OK")</f>
        <v>OK</v>
      </c>
      <c r="O343" t="str">
        <f>IF(ISBLANK(po_master[[#This Row],[GR Quantity]]), "No GR - Not received", "OK")</f>
        <v>OK</v>
      </c>
      <c r="P343" s="1" t="str">
        <f>IF(po_master[[#This Row],[Promised Delivey Date]]&lt;po_master[[#This Row],[Order Date]], "Invalid", "OK")</f>
        <v>OK</v>
      </c>
      <c r="Q343" s="1" t="str">
        <f>IF(ISBLANK(po_master[[#This Row],[Invoice Number]]), "No Invoice", "OK")</f>
        <v>OK</v>
      </c>
      <c r="R343" s="1" t="str">
        <f>IF(AND(NOT(ISBLANK(po_master[[#This Row],[GR Quantity]])), po_master[[#This Row],[GR Quantity]]&lt;&gt;po_master[[#This Row],[PO Quantity]]), "Qty Variance", "OK")</f>
        <v>OK</v>
      </c>
      <c r="S343" s="1" t="str">
        <f>IF(po_master[[#This Row],[Invoice Unit Price]]&gt;po_master[[#This Row],[PO Unit Price]]*1.01, "Price Variance", "OK")</f>
        <v>OK</v>
      </c>
      <c r="T343" s="1" t="str">
        <f>IF(po_master[[#This Row],[Actual Delivery Date]]&gt;po_master[[#This Row],[Promised Delivey Date]], "Late Delivery", "OK")</f>
        <v>OK</v>
      </c>
      <c r="U343" s="1" t="str">
        <f>IF(COUNTIF(po_master[PO Number],po_master[[#This Row],[PO Number]])&gt;1, "Duplicate Invoice", "OK")</f>
        <v>OK</v>
      </c>
    </row>
    <row r="344" spans="1:21" x14ac:dyDescent="0.25">
      <c r="A344" s="1" t="s">
        <v>303</v>
      </c>
      <c r="B344" s="1" t="s">
        <v>1491</v>
      </c>
      <c r="C344" s="2">
        <v>46116</v>
      </c>
      <c r="D344">
        <v>213</v>
      </c>
      <c r="E344">
        <v>66.31</v>
      </c>
      <c r="F344" s="1" t="s">
        <v>1459</v>
      </c>
      <c r="G344" s="2">
        <v>46128</v>
      </c>
      <c r="H344">
        <v>213</v>
      </c>
      <c r="I344" s="2">
        <v>46136</v>
      </c>
      <c r="J344" s="1" t="s">
        <v>1023</v>
      </c>
      <c r="K344">
        <v>213</v>
      </c>
      <c r="L344">
        <v>66.31</v>
      </c>
      <c r="M344" s="2">
        <v>46132</v>
      </c>
      <c r="N344" t="str">
        <f>IF(po_master[[#This Row],[Approved By]]="", "Missing Approval", "OK")</f>
        <v>Missing Approval</v>
      </c>
      <c r="O344" t="str">
        <f>IF(ISBLANK(po_master[[#This Row],[GR Quantity]]), "No GR - Not received", "OK")</f>
        <v>OK</v>
      </c>
      <c r="P344" s="1" t="str">
        <f>IF(po_master[[#This Row],[Promised Delivey Date]]&lt;po_master[[#This Row],[Order Date]], "Invalid", "OK")</f>
        <v>OK</v>
      </c>
      <c r="Q344" s="1" t="str">
        <f>IF(ISBLANK(po_master[[#This Row],[Invoice Number]]), "No Invoice", "OK")</f>
        <v>OK</v>
      </c>
      <c r="R344" s="1" t="str">
        <f>IF(AND(NOT(ISBLANK(po_master[[#This Row],[GR Quantity]])), po_master[[#This Row],[GR Quantity]]&lt;&gt;po_master[[#This Row],[PO Quantity]]), "Qty Variance", "OK")</f>
        <v>OK</v>
      </c>
      <c r="S344" s="1" t="str">
        <f>IF(po_master[[#This Row],[Invoice Unit Price]]&gt;po_master[[#This Row],[PO Unit Price]]*1.01, "Price Variance", "OK")</f>
        <v>OK</v>
      </c>
      <c r="T344" s="1" t="str">
        <f>IF(po_master[[#This Row],[Actual Delivery Date]]&gt;po_master[[#This Row],[Promised Delivey Date]], "Late Delivery", "OK")</f>
        <v>Late Delivery</v>
      </c>
      <c r="U344" s="1" t="str">
        <f>IF(COUNTIF(po_master[PO Number],po_master[[#This Row],[PO Number]])&gt;1, "Duplicate Invoice", "OK")</f>
        <v>OK</v>
      </c>
    </row>
    <row r="345" spans="1:21" x14ac:dyDescent="0.25">
      <c r="A345" s="1" t="s">
        <v>304</v>
      </c>
      <c r="B345" s="1" t="s">
        <v>1466</v>
      </c>
      <c r="C345" s="2">
        <v>46029</v>
      </c>
      <c r="D345">
        <v>386</v>
      </c>
      <c r="E345">
        <v>41.28</v>
      </c>
      <c r="F345" s="1" t="s">
        <v>1504</v>
      </c>
      <c r="G345" s="2">
        <v>46046</v>
      </c>
      <c r="H345">
        <v>386</v>
      </c>
      <c r="I345" s="2">
        <v>46045</v>
      </c>
      <c r="J345" s="1" t="s">
        <v>1024</v>
      </c>
      <c r="K345">
        <v>386</v>
      </c>
      <c r="L345">
        <v>41.28</v>
      </c>
      <c r="M345" s="2">
        <v>46055</v>
      </c>
      <c r="N345" t="str">
        <f>IF(po_master[[#This Row],[Approved By]]="", "Missing Approval", "OK")</f>
        <v>OK</v>
      </c>
      <c r="O345" t="str">
        <f>IF(ISBLANK(po_master[[#This Row],[GR Quantity]]), "No GR - Not received", "OK")</f>
        <v>OK</v>
      </c>
      <c r="P345" s="1" t="str">
        <f>IF(po_master[[#This Row],[Promised Delivey Date]]&lt;po_master[[#This Row],[Order Date]], "Invalid", "OK")</f>
        <v>OK</v>
      </c>
      <c r="Q345" s="1" t="str">
        <f>IF(ISBLANK(po_master[[#This Row],[Invoice Number]]), "No Invoice", "OK")</f>
        <v>OK</v>
      </c>
      <c r="R345" s="1" t="str">
        <f>IF(AND(NOT(ISBLANK(po_master[[#This Row],[GR Quantity]])), po_master[[#This Row],[GR Quantity]]&lt;&gt;po_master[[#This Row],[PO Quantity]]), "Qty Variance", "OK")</f>
        <v>OK</v>
      </c>
      <c r="S345" s="1" t="str">
        <f>IF(po_master[[#This Row],[Invoice Unit Price]]&gt;po_master[[#This Row],[PO Unit Price]]*1.01, "Price Variance", "OK")</f>
        <v>OK</v>
      </c>
      <c r="T345" s="1" t="str">
        <f>IF(po_master[[#This Row],[Actual Delivery Date]]&gt;po_master[[#This Row],[Promised Delivey Date]], "Late Delivery", "OK")</f>
        <v>OK</v>
      </c>
      <c r="U345" s="1" t="str">
        <f>IF(COUNTIF(po_master[PO Number],po_master[[#This Row],[PO Number]])&gt;1, "Duplicate Invoice", "OK")</f>
        <v>OK</v>
      </c>
    </row>
    <row r="346" spans="1:21" x14ac:dyDescent="0.25">
      <c r="A346" s="1" t="s">
        <v>305</v>
      </c>
      <c r="B346" s="1" t="s">
        <v>1454</v>
      </c>
      <c r="C346" s="2">
        <v>46053</v>
      </c>
      <c r="D346">
        <v>144</v>
      </c>
      <c r="E346">
        <v>156.12</v>
      </c>
      <c r="F346" s="1" t="s">
        <v>1499</v>
      </c>
      <c r="G346" s="2">
        <v>46072</v>
      </c>
      <c r="H346">
        <v>144</v>
      </c>
      <c r="I346" s="2">
        <v>46080</v>
      </c>
      <c r="J346" s="1" t="s">
        <v>1025</v>
      </c>
      <c r="K346">
        <v>144</v>
      </c>
      <c r="L346">
        <v>156.12</v>
      </c>
      <c r="M346" s="2">
        <v>46080</v>
      </c>
      <c r="N346" t="str">
        <f>IF(po_master[[#This Row],[Approved By]]="", "Missing Approval", "OK")</f>
        <v>OK</v>
      </c>
      <c r="O346" t="str">
        <f>IF(ISBLANK(po_master[[#This Row],[GR Quantity]]), "No GR - Not received", "OK")</f>
        <v>OK</v>
      </c>
      <c r="P346" s="1" t="str">
        <f>IF(po_master[[#This Row],[Promised Delivey Date]]&lt;po_master[[#This Row],[Order Date]], "Invalid", "OK")</f>
        <v>OK</v>
      </c>
      <c r="Q346" s="1" t="str">
        <f>IF(ISBLANK(po_master[[#This Row],[Invoice Number]]), "No Invoice", "OK")</f>
        <v>OK</v>
      </c>
      <c r="R346" s="1" t="str">
        <f>IF(AND(NOT(ISBLANK(po_master[[#This Row],[GR Quantity]])), po_master[[#This Row],[GR Quantity]]&lt;&gt;po_master[[#This Row],[PO Quantity]]), "Qty Variance", "OK")</f>
        <v>OK</v>
      </c>
      <c r="S346" s="1" t="str">
        <f>IF(po_master[[#This Row],[Invoice Unit Price]]&gt;po_master[[#This Row],[PO Unit Price]]*1.01, "Price Variance", "OK")</f>
        <v>OK</v>
      </c>
      <c r="T346" s="1" t="str">
        <f>IF(po_master[[#This Row],[Actual Delivery Date]]&gt;po_master[[#This Row],[Promised Delivey Date]], "Late Delivery", "OK")</f>
        <v>Late Delivery</v>
      </c>
      <c r="U346" s="1" t="str">
        <f>IF(COUNTIF(po_master[PO Number],po_master[[#This Row],[PO Number]])&gt;1, "Duplicate Invoice", "OK")</f>
        <v>OK</v>
      </c>
    </row>
    <row r="347" spans="1:21" x14ac:dyDescent="0.25">
      <c r="A347" s="1" t="s">
        <v>306</v>
      </c>
      <c r="B347" s="1" t="s">
        <v>1463</v>
      </c>
      <c r="C347" s="2">
        <v>46096</v>
      </c>
      <c r="D347">
        <v>365</v>
      </c>
      <c r="E347">
        <v>183.71</v>
      </c>
      <c r="F347" s="1" t="s">
        <v>1487</v>
      </c>
      <c r="G347" s="2">
        <v>46107</v>
      </c>
      <c r="H347">
        <v>365</v>
      </c>
      <c r="I347" s="2">
        <v>46107</v>
      </c>
      <c r="J347" s="1" t="s">
        <v>1026</v>
      </c>
      <c r="K347">
        <v>365</v>
      </c>
      <c r="L347">
        <v>216.2</v>
      </c>
      <c r="M347" s="2">
        <v>46114</v>
      </c>
      <c r="N347" t="str">
        <f>IF(po_master[[#This Row],[Approved By]]="", "Missing Approval", "OK")</f>
        <v>OK</v>
      </c>
      <c r="O347" t="str">
        <f>IF(ISBLANK(po_master[[#This Row],[GR Quantity]]), "No GR - Not received", "OK")</f>
        <v>OK</v>
      </c>
      <c r="P347" s="1" t="str">
        <f>IF(po_master[[#This Row],[Promised Delivey Date]]&lt;po_master[[#This Row],[Order Date]], "Invalid", "OK")</f>
        <v>OK</v>
      </c>
      <c r="Q347" s="1" t="str">
        <f>IF(ISBLANK(po_master[[#This Row],[Invoice Number]]), "No Invoice", "OK")</f>
        <v>OK</v>
      </c>
      <c r="R347" s="1" t="str">
        <f>IF(AND(NOT(ISBLANK(po_master[[#This Row],[GR Quantity]])), po_master[[#This Row],[GR Quantity]]&lt;&gt;po_master[[#This Row],[PO Quantity]]), "Qty Variance", "OK")</f>
        <v>OK</v>
      </c>
      <c r="S347" s="1" t="str">
        <f>IF(po_master[[#This Row],[Invoice Unit Price]]&gt;po_master[[#This Row],[PO Unit Price]]*1.01, "Price Variance", "OK")</f>
        <v>Price Variance</v>
      </c>
      <c r="T347" s="1" t="str">
        <f>IF(po_master[[#This Row],[Actual Delivery Date]]&gt;po_master[[#This Row],[Promised Delivey Date]], "Late Delivery", "OK")</f>
        <v>OK</v>
      </c>
      <c r="U347" s="1" t="str">
        <f>IF(COUNTIF(po_master[PO Number],po_master[[#This Row],[PO Number]])&gt;1, "Duplicate Invoice", "OK")</f>
        <v>OK</v>
      </c>
    </row>
    <row r="348" spans="1:21" x14ac:dyDescent="0.25">
      <c r="A348" s="1" t="s">
        <v>307</v>
      </c>
      <c r="B348" s="1" t="s">
        <v>1466</v>
      </c>
      <c r="C348" s="2">
        <v>46057</v>
      </c>
      <c r="D348">
        <v>446</v>
      </c>
      <c r="E348">
        <v>19.440000000000001</v>
      </c>
      <c r="F348" s="1" t="s">
        <v>1501</v>
      </c>
      <c r="G348" s="2">
        <v>46076</v>
      </c>
      <c r="H348">
        <v>446</v>
      </c>
      <c r="I348" s="2">
        <v>46078</v>
      </c>
      <c r="J348" s="1" t="s">
        <v>1027</v>
      </c>
      <c r="K348">
        <v>446</v>
      </c>
      <c r="L348">
        <v>19.440000000000001</v>
      </c>
      <c r="M348" s="2">
        <v>46080</v>
      </c>
      <c r="N348" t="str">
        <f>IF(po_master[[#This Row],[Approved By]]="", "Missing Approval", "OK")</f>
        <v>OK</v>
      </c>
      <c r="O348" t="str">
        <f>IF(ISBLANK(po_master[[#This Row],[GR Quantity]]), "No GR - Not received", "OK")</f>
        <v>OK</v>
      </c>
      <c r="P348" s="1" t="str">
        <f>IF(po_master[[#This Row],[Promised Delivey Date]]&lt;po_master[[#This Row],[Order Date]], "Invalid", "OK")</f>
        <v>OK</v>
      </c>
      <c r="Q348" s="1" t="str">
        <f>IF(ISBLANK(po_master[[#This Row],[Invoice Number]]), "No Invoice", "OK")</f>
        <v>OK</v>
      </c>
      <c r="R348" s="1" t="str">
        <f>IF(AND(NOT(ISBLANK(po_master[[#This Row],[GR Quantity]])), po_master[[#This Row],[GR Quantity]]&lt;&gt;po_master[[#This Row],[PO Quantity]]), "Qty Variance", "OK")</f>
        <v>OK</v>
      </c>
      <c r="S348" s="1" t="str">
        <f>IF(po_master[[#This Row],[Invoice Unit Price]]&gt;po_master[[#This Row],[PO Unit Price]]*1.01, "Price Variance", "OK")</f>
        <v>OK</v>
      </c>
      <c r="T348" s="1" t="str">
        <f>IF(po_master[[#This Row],[Actual Delivery Date]]&gt;po_master[[#This Row],[Promised Delivey Date]], "Late Delivery", "OK")</f>
        <v>Late Delivery</v>
      </c>
      <c r="U348" s="1" t="str">
        <f>IF(COUNTIF(po_master[PO Number],po_master[[#This Row],[PO Number]])&gt;1, "Duplicate Invoice", "OK")</f>
        <v>OK</v>
      </c>
    </row>
    <row r="349" spans="1:21" x14ac:dyDescent="0.25">
      <c r="A349" s="1" t="s">
        <v>308</v>
      </c>
      <c r="B349" s="1" t="s">
        <v>1457</v>
      </c>
      <c r="C349" s="2">
        <v>46104</v>
      </c>
      <c r="D349">
        <v>351</v>
      </c>
      <c r="E349">
        <v>72.75</v>
      </c>
      <c r="F349" s="1" t="s">
        <v>1476</v>
      </c>
      <c r="G349" s="2">
        <v>46118</v>
      </c>
      <c r="H349">
        <v>351</v>
      </c>
      <c r="I349" s="2">
        <v>46116</v>
      </c>
      <c r="J349" s="1" t="s">
        <v>1028</v>
      </c>
      <c r="K349">
        <v>351</v>
      </c>
      <c r="L349">
        <v>72.75</v>
      </c>
      <c r="M349" s="2">
        <v>46119</v>
      </c>
      <c r="N349" t="str">
        <f>IF(po_master[[#This Row],[Approved By]]="", "Missing Approval", "OK")</f>
        <v>OK</v>
      </c>
      <c r="O349" t="str">
        <f>IF(ISBLANK(po_master[[#This Row],[GR Quantity]]), "No GR - Not received", "OK")</f>
        <v>OK</v>
      </c>
      <c r="P349" s="1" t="str">
        <f>IF(po_master[[#This Row],[Promised Delivey Date]]&lt;po_master[[#This Row],[Order Date]], "Invalid", "OK")</f>
        <v>OK</v>
      </c>
      <c r="Q349" s="1" t="str">
        <f>IF(ISBLANK(po_master[[#This Row],[Invoice Number]]), "No Invoice", "OK")</f>
        <v>OK</v>
      </c>
      <c r="R349" s="1" t="str">
        <f>IF(AND(NOT(ISBLANK(po_master[[#This Row],[GR Quantity]])), po_master[[#This Row],[GR Quantity]]&lt;&gt;po_master[[#This Row],[PO Quantity]]), "Qty Variance", "OK")</f>
        <v>OK</v>
      </c>
      <c r="S349" s="1" t="str">
        <f>IF(po_master[[#This Row],[Invoice Unit Price]]&gt;po_master[[#This Row],[PO Unit Price]]*1.01, "Price Variance", "OK")</f>
        <v>OK</v>
      </c>
      <c r="T349" s="1" t="str">
        <f>IF(po_master[[#This Row],[Actual Delivery Date]]&gt;po_master[[#This Row],[Promised Delivey Date]], "Late Delivery", "OK")</f>
        <v>OK</v>
      </c>
      <c r="U349" s="1" t="str">
        <f>IF(COUNTIF(po_master[PO Number],po_master[[#This Row],[PO Number]])&gt;1, "Duplicate Invoice", "OK")</f>
        <v>OK</v>
      </c>
    </row>
    <row r="350" spans="1:21" x14ac:dyDescent="0.25">
      <c r="A350" s="1" t="s">
        <v>309</v>
      </c>
      <c r="B350" s="1" t="s">
        <v>1512</v>
      </c>
      <c r="C350" s="2">
        <v>46063</v>
      </c>
      <c r="D350">
        <v>374</v>
      </c>
      <c r="E350">
        <v>143.36000000000001</v>
      </c>
      <c r="F350" s="1" t="s">
        <v>1499</v>
      </c>
      <c r="G350" s="2">
        <v>46073</v>
      </c>
      <c r="H350">
        <v>374</v>
      </c>
      <c r="I350" s="2">
        <v>46074</v>
      </c>
      <c r="J350" s="1" t="s">
        <v>1029</v>
      </c>
      <c r="K350">
        <v>374</v>
      </c>
      <c r="L350">
        <v>143.36000000000001</v>
      </c>
      <c r="M350" s="2">
        <v>46076</v>
      </c>
      <c r="N350" t="str">
        <f>IF(po_master[[#This Row],[Approved By]]="", "Missing Approval", "OK")</f>
        <v>OK</v>
      </c>
      <c r="O350" t="str">
        <f>IF(ISBLANK(po_master[[#This Row],[GR Quantity]]), "No GR - Not received", "OK")</f>
        <v>OK</v>
      </c>
      <c r="P350" s="1" t="str">
        <f>IF(po_master[[#This Row],[Promised Delivey Date]]&lt;po_master[[#This Row],[Order Date]], "Invalid", "OK")</f>
        <v>OK</v>
      </c>
      <c r="Q350" s="1" t="str">
        <f>IF(ISBLANK(po_master[[#This Row],[Invoice Number]]), "No Invoice", "OK")</f>
        <v>OK</v>
      </c>
      <c r="R350" s="1" t="str">
        <f>IF(AND(NOT(ISBLANK(po_master[[#This Row],[GR Quantity]])), po_master[[#This Row],[GR Quantity]]&lt;&gt;po_master[[#This Row],[PO Quantity]]), "Qty Variance", "OK")</f>
        <v>OK</v>
      </c>
      <c r="S350" s="1" t="str">
        <f>IF(po_master[[#This Row],[Invoice Unit Price]]&gt;po_master[[#This Row],[PO Unit Price]]*1.01, "Price Variance", "OK")</f>
        <v>OK</v>
      </c>
      <c r="T350" s="1" t="str">
        <f>IF(po_master[[#This Row],[Actual Delivery Date]]&gt;po_master[[#This Row],[Promised Delivey Date]], "Late Delivery", "OK")</f>
        <v>Late Delivery</v>
      </c>
      <c r="U350" s="1" t="str">
        <f>IF(COUNTIF(po_master[PO Number],po_master[[#This Row],[PO Number]])&gt;1, "Duplicate Invoice", "OK")</f>
        <v>OK</v>
      </c>
    </row>
    <row r="351" spans="1:21" x14ac:dyDescent="0.25">
      <c r="A351" s="1" t="s">
        <v>1012</v>
      </c>
      <c r="B351" s="1" t="s">
        <v>1498</v>
      </c>
      <c r="C351" s="2">
        <v>46150</v>
      </c>
      <c r="D351">
        <v>198</v>
      </c>
      <c r="E351">
        <v>185.24</v>
      </c>
      <c r="F351" s="1" t="s">
        <v>1504</v>
      </c>
      <c r="G351" s="2">
        <v>46163</v>
      </c>
      <c r="I351" s="2"/>
      <c r="J351" s="1" t="s">
        <v>1013</v>
      </c>
      <c r="K351">
        <v>198</v>
      </c>
      <c r="L351">
        <v>185.24</v>
      </c>
      <c r="M351" s="2">
        <v>46167</v>
      </c>
      <c r="N351" t="str">
        <f>IF(po_master[[#This Row],[Approved By]]="", "Missing Approval", "OK")</f>
        <v>OK</v>
      </c>
      <c r="O351" t="str">
        <f>IF(ISBLANK(po_master[[#This Row],[GR Quantity]]), "No GR - Not received", "OK")</f>
        <v>No GR - Not received</v>
      </c>
      <c r="P351" s="1" t="str">
        <f>IF(po_master[[#This Row],[Promised Delivey Date]]&lt;po_master[[#This Row],[Order Date]], "Invalid", "OK")</f>
        <v>OK</v>
      </c>
      <c r="Q351" s="1" t="str">
        <f>IF(ISBLANK(po_master[[#This Row],[Invoice Number]]), "No Invoice", "OK")</f>
        <v>OK</v>
      </c>
      <c r="R351" s="1" t="str">
        <f>IF(AND(NOT(ISBLANK(po_master[[#This Row],[GR Quantity]])), po_master[[#This Row],[GR Quantity]]&lt;&gt;po_master[[#This Row],[PO Quantity]]), "Qty Variance", "OK")</f>
        <v>OK</v>
      </c>
      <c r="S351" s="1" t="str">
        <f>IF(po_master[[#This Row],[Invoice Unit Price]]&gt;po_master[[#This Row],[PO Unit Price]]*1.01, "Price Variance", "OK")</f>
        <v>OK</v>
      </c>
      <c r="T351" s="1" t="str">
        <f>IF(po_master[[#This Row],[Actual Delivery Date]]&gt;po_master[[#This Row],[Promised Delivey Date]], "Late Delivery", "OK")</f>
        <v>OK</v>
      </c>
      <c r="U351" s="1" t="str">
        <f>IF(COUNTIF(po_master[PO Number],po_master[[#This Row],[PO Number]])&gt;1, "Duplicate Invoice", "OK")</f>
        <v>OK</v>
      </c>
    </row>
    <row r="352" spans="1:21" x14ac:dyDescent="0.25">
      <c r="A352" s="1" t="s">
        <v>310</v>
      </c>
      <c r="B352" s="1" t="s">
        <v>1496</v>
      </c>
      <c r="C352" s="2">
        <v>46153</v>
      </c>
      <c r="D352">
        <v>124</v>
      </c>
      <c r="E352">
        <v>28.67</v>
      </c>
      <c r="F352" s="1" t="s">
        <v>1444</v>
      </c>
      <c r="G352" s="2">
        <v>46162</v>
      </c>
      <c r="H352">
        <v>124</v>
      </c>
      <c r="I352" s="2">
        <v>46161</v>
      </c>
      <c r="J352" s="1" t="s">
        <v>1030</v>
      </c>
      <c r="K352">
        <v>124</v>
      </c>
      <c r="L352">
        <v>28.67</v>
      </c>
      <c r="M352" s="2">
        <v>46170</v>
      </c>
      <c r="N352" t="str">
        <f>IF(po_master[[#This Row],[Approved By]]="", "Missing Approval", "OK")</f>
        <v>OK</v>
      </c>
      <c r="O352" t="str">
        <f>IF(ISBLANK(po_master[[#This Row],[GR Quantity]]), "No GR - Not received", "OK")</f>
        <v>OK</v>
      </c>
      <c r="P352" s="1" t="str">
        <f>IF(po_master[[#This Row],[Promised Delivey Date]]&lt;po_master[[#This Row],[Order Date]], "Invalid", "OK")</f>
        <v>OK</v>
      </c>
      <c r="Q352" s="1" t="str">
        <f>IF(ISBLANK(po_master[[#This Row],[Invoice Number]]), "No Invoice", "OK")</f>
        <v>OK</v>
      </c>
      <c r="R352" s="1" t="str">
        <f>IF(AND(NOT(ISBLANK(po_master[[#This Row],[GR Quantity]])), po_master[[#This Row],[GR Quantity]]&lt;&gt;po_master[[#This Row],[PO Quantity]]), "Qty Variance", "OK")</f>
        <v>OK</v>
      </c>
      <c r="S352" s="1" t="str">
        <f>IF(po_master[[#This Row],[Invoice Unit Price]]&gt;po_master[[#This Row],[PO Unit Price]]*1.01, "Price Variance", "OK")</f>
        <v>OK</v>
      </c>
      <c r="T352" s="1" t="str">
        <f>IF(po_master[[#This Row],[Actual Delivery Date]]&gt;po_master[[#This Row],[Promised Delivey Date]], "Late Delivery", "OK")</f>
        <v>OK</v>
      </c>
      <c r="U352" s="1" t="str">
        <f>IF(COUNTIF(po_master[PO Number],po_master[[#This Row],[PO Number]])&gt;1, "Duplicate Invoice", "OK")</f>
        <v>OK</v>
      </c>
    </row>
    <row r="353" spans="1:21" x14ac:dyDescent="0.25">
      <c r="A353" s="1" t="s">
        <v>311</v>
      </c>
      <c r="B353" s="1" t="s">
        <v>1489</v>
      </c>
      <c r="C353" s="2">
        <v>46164</v>
      </c>
      <c r="D353">
        <v>76</v>
      </c>
      <c r="E353">
        <v>124.33</v>
      </c>
      <c r="F353" s="1" t="s">
        <v>1476</v>
      </c>
      <c r="G353" s="2">
        <v>46171</v>
      </c>
      <c r="H353">
        <v>76</v>
      </c>
      <c r="I353" s="2">
        <v>46190</v>
      </c>
      <c r="J353" s="1" t="s">
        <v>1033</v>
      </c>
      <c r="K353">
        <v>76</v>
      </c>
      <c r="L353">
        <v>124.33</v>
      </c>
      <c r="M353" s="2">
        <v>46178</v>
      </c>
      <c r="N353" t="str">
        <f>IF(po_master[[#This Row],[Approved By]]="", "Missing Approval", "OK")</f>
        <v>OK</v>
      </c>
      <c r="O353" t="str">
        <f>IF(ISBLANK(po_master[[#This Row],[GR Quantity]]), "No GR - Not received", "OK")</f>
        <v>OK</v>
      </c>
      <c r="P353" s="1" t="str">
        <f>IF(po_master[[#This Row],[Promised Delivey Date]]&lt;po_master[[#This Row],[Order Date]], "Invalid", "OK")</f>
        <v>OK</v>
      </c>
      <c r="Q353" s="1" t="str">
        <f>IF(ISBLANK(po_master[[#This Row],[Invoice Number]]), "No Invoice", "OK")</f>
        <v>OK</v>
      </c>
      <c r="R353" s="1" t="str">
        <f>IF(AND(NOT(ISBLANK(po_master[[#This Row],[GR Quantity]])), po_master[[#This Row],[GR Quantity]]&lt;&gt;po_master[[#This Row],[PO Quantity]]), "Qty Variance", "OK")</f>
        <v>OK</v>
      </c>
      <c r="S353" s="1" t="str">
        <f>IF(po_master[[#This Row],[Invoice Unit Price]]&gt;po_master[[#This Row],[PO Unit Price]]*1.01, "Price Variance", "OK")</f>
        <v>OK</v>
      </c>
      <c r="T353" s="1" t="str">
        <f>IF(po_master[[#This Row],[Actual Delivery Date]]&gt;po_master[[#This Row],[Promised Delivey Date]], "Late Delivery", "OK")</f>
        <v>Late Delivery</v>
      </c>
      <c r="U353" s="1" t="str">
        <f>IF(COUNTIF(po_master[PO Number],po_master[[#This Row],[PO Number]])&gt;1, "Duplicate Invoice", "OK")</f>
        <v>OK</v>
      </c>
    </row>
    <row r="354" spans="1:21" x14ac:dyDescent="0.25">
      <c r="A354" s="1" t="s">
        <v>312</v>
      </c>
      <c r="B354" s="1" t="s">
        <v>1512</v>
      </c>
      <c r="C354" s="2">
        <v>46124</v>
      </c>
      <c r="D354">
        <v>377</v>
      </c>
      <c r="E354">
        <v>145.18</v>
      </c>
      <c r="F354" s="1" t="s">
        <v>1504</v>
      </c>
      <c r="G354" s="2">
        <v>46142</v>
      </c>
      <c r="H354">
        <v>377</v>
      </c>
      <c r="I354" s="2">
        <v>46143</v>
      </c>
      <c r="J354" s="1" t="s">
        <v>1034</v>
      </c>
      <c r="K354">
        <v>377</v>
      </c>
      <c r="L354">
        <v>145.18</v>
      </c>
      <c r="M354" s="2">
        <v>46147</v>
      </c>
      <c r="N354" t="str">
        <f>IF(po_master[[#This Row],[Approved By]]="", "Missing Approval", "OK")</f>
        <v>OK</v>
      </c>
      <c r="O354" t="str">
        <f>IF(ISBLANK(po_master[[#This Row],[GR Quantity]]), "No GR - Not received", "OK")</f>
        <v>OK</v>
      </c>
      <c r="P354" s="1" t="str">
        <f>IF(po_master[[#This Row],[Promised Delivey Date]]&lt;po_master[[#This Row],[Order Date]], "Invalid", "OK")</f>
        <v>OK</v>
      </c>
      <c r="Q354" s="1" t="str">
        <f>IF(ISBLANK(po_master[[#This Row],[Invoice Number]]), "No Invoice", "OK")</f>
        <v>OK</v>
      </c>
      <c r="R354" s="1" t="str">
        <f>IF(AND(NOT(ISBLANK(po_master[[#This Row],[GR Quantity]])), po_master[[#This Row],[GR Quantity]]&lt;&gt;po_master[[#This Row],[PO Quantity]]), "Qty Variance", "OK")</f>
        <v>OK</v>
      </c>
      <c r="S354" s="1" t="str">
        <f>IF(po_master[[#This Row],[Invoice Unit Price]]&gt;po_master[[#This Row],[PO Unit Price]]*1.01, "Price Variance", "OK")</f>
        <v>OK</v>
      </c>
      <c r="T354" s="1" t="str">
        <f>IF(po_master[[#This Row],[Actual Delivery Date]]&gt;po_master[[#This Row],[Promised Delivey Date]], "Late Delivery", "OK")</f>
        <v>Late Delivery</v>
      </c>
      <c r="U354" s="1" t="str">
        <f>IF(COUNTIF(po_master[PO Number],po_master[[#This Row],[PO Number]])&gt;1, "Duplicate Invoice", "OK")</f>
        <v>OK</v>
      </c>
    </row>
    <row r="355" spans="1:21" x14ac:dyDescent="0.25">
      <c r="A355" s="1" t="s">
        <v>313</v>
      </c>
      <c r="B355" s="1" t="s">
        <v>1495</v>
      </c>
      <c r="C355" s="2">
        <v>46170</v>
      </c>
      <c r="D355">
        <v>47</v>
      </c>
      <c r="E355">
        <v>29.44</v>
      </c>
      <c r="F355" s="1" t="s">
        <v>1472</v>
      </c>
      <c r="G355" s="2">
        <v>46177</v>
      </c>
      <c r="H355">
        <v>27</v>
      </c>
      <c r="I355" s="2">
        <v>46178</v>
      </c>
      <c r="J355" s="1" t="s">
        <v>1035</v>
      </c>
      <c r="K355">
        <v>47</v>
      </c>
      <c r="L355">
        <v>34.380000000000003</v>
      </c>
      <c r="M355" s="2">
        <v>46180</v>
      </c>
      <c r="N355" t="str">
        <f>IF(po_master[[#This Row],[Approved By]]="", "Missing Approval", "OK")</f>
        <v>OK</v>
      </c>
      <c r="O355" t="str">
        <f>IF(ISBLANK(po_master[[#This Row],[GR Quantity]]), "No GR - Not received", "OK")</f>
        <v>OK</v>
      </c>
      <c r="P355" s="1" t="str">
        <f>IF(po_master[[#This Row],[Promised Delivey Date]]&lt;po_master[[#This Row],[Order Date]], "Invalid", "OK")</f>
        <v>OK</v>
      </c>
      <c r="Q355" s="1" t="str">
        <f>IF(ISBLANK(po_master[[#This Row],[Invoice Number]]), "No Invoice", "OK")</f>
        <v>OK</v>
      </c>
      <c r="R355" s="1" t="str">
        <f>IF(AND(NOT(ISBLANK(po_master[[#This Row],[GR Quantity]])), po_master[[#This Row],[GR Quantity]]&lt;&gt;po_master[[#This Row],[PO Quantity]]), "Qty Variance", "OK")</f>
        <v>Qty Variance</v>
      </c>
      <c r="S355" s="1" t="str">
        <f>IF(po_master[[#This Row],[Invoice Unit Price]]&gt;po_master[[#This Row],[PO Unit Price]]*1.01, "Price Variance", "OK")</f>
        <v>Price Variance</v>
      </c>
      <c r="T355" s="1" t="str">
        <f>IF(po_master[[#This Row],[Actual Delivery Date]]&gt;po_master[[#This Row],[Promised Delivey Date]], "Late Delivery", "OK")</f>
        <v>Late Delivery</v>
      </c>
      <c r="U355" s="1" t="str">
        <f>IF(COUNTIF(po_master[PO Number],po_master[[#This Row],[PO Number]])&gt;1, "Duplicate Invoice", "OK")</f>
        <v>OK</v>
      </c>
    </row>
    <row r="356" spans="1:21" x14ac:dyDescent="0.25">
      <c r="A356" s="1" t="s">
        <v>314</v>
      </c>
      <c r="B356" s="1" t="s">
        <v>1478</v>
      </c>
      <c r="C356" s="2">
        <v>46142</v>
      </c>
      <c r="D356">
        <v>358</v>
      </c>
      <c r="E356">
        <v>105.89</v>
      </c>
      <c r="F356" s="1" t="s">
        <v>1485</v>
      </c>
      <c r="G356" s="2">
        <v>46152</v>
      </c>
      <c r="H356">
        <v>353</v>
      </c>
      <c r="I356" s="2">
        <v>46154</v>
      </c>
      <c r="J356" s="1" t="s">
        <v>1036</v>
      </c>
      <c r="K356">
        <v>358</v>
      </c>
      <c r="L356">
        <v>105.89</v>
      </c>
      <c r="M356" s="2">
        <v>46158</v>
      </c>
      <c r="N356" t="str">
        <f>IF(po_master[[#This Row],[Approved By]]="", "Missing Approval", "OK")</f>
        <v>OK</v>
      </c>
      <c r="O356" t="str">
        <f>IF(ISBLANK(po_master[[#This Row],[GR Quantity]]), "No GR - Not received", "OK")</f>
        <v>OK</v>
      </c>
      <c r="P356" s="1" t="str">
        <f>IF(po_master[[#This Row],[Promised Delivey Date]]&lt;po_master[[#This Row],[Order Date]], "Invalid", "OK")</f>
        <v>OK</v>
      </c>
      <c r="Q356" s="1" t="str">
        <f>IF(ISBLANK(po_master[[#This Row],[Invoice Number]]), "No Invoice", "OK")</f>
        <v>OK</v>
      </c>
      <c r="R356" s="1" t="str">
        <f>IF(AND(NOT(ISBLANK(po_master[[#This Row],[GR Quantity]])), po_master[[#This Row],[GR Quantity]]&lt;&gt;po_master[[#This Row],[PO Quantity]]), "Qty Variance", "OK")</f>
        <v>Qty Variance</v>
      </c>
      <c r="S356" s="1" t="str">
        <f>IF(po_master[[#This Row],[Invoice Unit Price]]&gt;po_master[[#This Row],[PO Unit Price]]*1.01, "Price Variance", "OK")</f>
        <v>OK</v>
      </c>
      <c r="T356" s="1" t="str">
        <f>IF(po_master[[#This Row],[Actual Delivery Date]]&gt;po_master[[#This Row],[Promised Delivey Date]], "Late Delivery", "OK")</f>
        <v>Late Delivery</v>
      </c>
      <c r="U356" s="1" t="str">
        <f>IF(COUNTIF(po_master[PO Number],po_master[[#This Row],[PO Number]])&gt;1, "Duplicate Invoice", "OK")</f>
        <v>OK</v>
      </c>
    </row>
    <row r="357" spans="1:21" x14ac:dyDescent="0.25">
      <c r="A357" s="1" t="s">
        <v>315</v>
      </c>
      <c r="B357" s="1" t="s">
        <v>1441</v>
      </c>
      <c r="C357" s="2">
        <v>46133</v>
      </c>
      <c r="D357">
        <v>267</v>
      </c>
      <c r="E357">
        <v>182.59</v>
      </c>
      <c r="F357" s="1" t="s">
        <v>1462</v>
      </c>
      <c r="G357" s="2">
        <v>46141</v>
      </c>
      <c r="H357">
        <v>262</v>
      </c>
      <c r="I357" s="2">
        <v>46142</v>
      </c>
      <c r="J357" s="1" t="s">
        <v>1037</v>
      </c>
      <c r="K357">
        <v>267</v>
      </c>
      <c r="L357">
        <v>182.59</v>
      </c>
      <c r="M357" s="2">
        <v>46151</v>
      </c>
      <c r="N357" t="str">
        <f>IF(po_master[[#This Row],[Approved By]]="", "Missing Approval", "OK")</f>
        <v>OK</v>
      </c>
      <c r="O357" t="str">
        <f>IF(ISBLANK(po_master[[#This Row],[GR Quantity]]), "No GR - Not received", "OK")</f>
        <v>OK</v>
      </c>
      <c r="P357" s="1" t="str">
        <f>IF(po_master[[#This Row],[Promised Delivey Date]]&lt;po_master[[#This Row],[Order Date]], "Invalid", "OK")</f>
        <v>OK</v>
      </c>
      <c r="Q357" s="1" t="str">
        <f>IF(ISBLANK(po_master[[#This Row],[Invoice Number]]), "No Invoice", "OK")</f>
        <v>OK</v>
      </c>
      <c r="R357" s="1" t="str">
        <f>IF(AND(NOT(ISBLANK(po_master[[#This Row],[GR Quantity]])), po_master[[#This Row],[GR Quantity]]&lt;&gt;po_master[[#This Row],[PO Quantity]]), "Qty Variance", "OK")</f>
        <v>Qty Variance</v>
      </c>
      <c r="S357" s="1" t="str">
        <f>IF(po_master[[#This Row],[Invoice Unit Price]]&gt;po_master[[#This Row],[PO Unit Price]]*1.01, "Price Variance", "OK")</f>
        <v>OK</v>
      </c>
      <c r="T357" s="1" t="str">
        <f>IF(po_master[[#This Row],[Actual Delivery Date]]&gt;po_master[[#This Row],[Promised Delivey Date]], "Late Delivery", "OK")</f>
        <v>Late Delivery</v>
      </c>
      <c r="U357" s="1" t="str">
        <f>IF(COUNTIF(po_master[PO Number],po_master[[#This Row],[PO Number]])&gt;1, "Duplicate Invoice", "OK")</f>
        <v>OK</v>
      </c>
    </row>
    <row r="358" spans="1:21" x14ac:dyDescent="0.25">
      <c r="A358" s="1" t="s">
        <v>316</v>
      </c>
      <c r="B358" s="1" t="s">
        <v>1491</v>
      </c>
      <c r="C358" s="2">
        <v>46062</v>
      </c>
      <c r="D358">
        <v>165</v>
      </c>
      <c r="E358">
        <v>37.11</v>
      </c>
      <c r="F358" s="1" t="s">
        <v>1472</v>
      </c>
      <c r="G358" s="2">
        <v>46074</v>
      </c>
      <c r="H358">
        <v>165</v>
      </c>
      <c r="I358" s="2">
        <v>46073</v>
      </c>
      <c r="J358" s="1" t="s">
        <v>1038</v>
      </c>
      <c r="K358">
        <v>165</v>
      </c>
      <c r="L358">
        <v>37.11</v>
      </c>
      <c r="M358" s="2">
        <v>46081</v>
      </c>
      <c r="N358" t="str">
        <f>IF(po_master[[#This Row],[Approved By]]="", "Missing Approval", "OK")</f>
        <v>OK</v>
      </c>
      <c r="O358" t="str">
        <f>IF(ISBLANK(po_master[[#This Row],[GR Quantity]]), "No GR - Not received", "OK")</f>
        <v>OK</v>
      </c>
      <c r="P358" s="1" t="str">
        <f>IF(po_master[[#This Row],[Promised Delivey Date]]&lt;po_master[[#This Row],[Order Date]], "Invalid", "OK")</f>
        <v>OK</v>
      </c>
      <c r="Q358" s="1" t="str">
        <f>IF(ISBLANK(po_master[[#This Row],[Invoice Number]]), "No Invoice", "OK")</f>
        <v>OK</v>
      </c>
      <c r="R358" s="1" t="str">
        <f>IF(AND(NOT(ISBLANK(po_master[[#This Row],[GR Quantity]])), po_master[[#This Row],[GR Quantity]]&lt;&gt;po_master[[#This Row],[PO Quantity]]), "Qty Variance", "OK")</f>
        <v>OK</v>
      </c>
      <c r="S358" s="1" t="str">
        <f>IF(po_master[[#This Row],[Invoice Unit Price]]&gt;po_master[[#This Row],[PO Unit Price]]*1.01, "Price Variance", "OK")</f>
        <v>OK</v>
      </c>
      <c r="T358" s="1" t="str">
        <f>IF(po_master[[#This Row],[Actual Delivery Date]]&gt;po_master[[#This Row],[Promised Delivey Date]], "Late Delivery", "OK")</f>
        <v>OK</v>
      </c>
      <c r="U358" s="1" t="str">
        <f>IF(COUNTIF(po_master[PO Number],po_master[[#This Row],[PO Number]])&gt;1, "Duplicate Invoice", "OK")</f>
        <v>OK</v>
      </c>
    </row>
    <row r="359" spans="1:21" x14ac:dyDescent="0.25">
      <c r="A359" s="1" t="s">
        <v>317</v>
      </c>
      <c r="B359" s="1" t="s">
        <v>1503</v>
      </c>
      <c r="C359" s="2">
        <v>46155</v>
      </c>
      <c r="D359">
        <v>468</v>
      </c>
      <c r="E359">
        <v>60.39</v>
      </c>
      <c r="F359" s="1" t="s">
        <v>1476</v>
      </c>
      <c r="G359" s="2">
        <v>46168</v>
      </c>
      <c r="H359">
        <v>468</v>
      </c>
      <c r="I359" s="2">
        <v>46168</v>
      </c>
      <c r="J359" s="1" t="s">
        <v>1039</v>
      </c>
      <c r="K359">
        <v>468</v>
      </c>
      <c r="L359">
        <v>60.39</v>
      </c>
      <c r="M359" s="2">
        <v>46177</v>
      </c>
      <c r="N359" t="str">
        <f>IF(po_master[[#This Row],[Approved By]]="", "Missing Approval", "OK")</f>
        <v>OK</v>
      </c>
      <c r="O359" t="str">
        <f>IF(ISBLANK(po_master[[#This Row],[GR Quantity]]), "No GR - Not received", "OK")</f>
        <v>OK</v>
      </c>
      <c r="P359" s="1" t="str">
        <f>IF(po_master[[#This Row],[Promised Delivey Date]]&lt;po_master[[#This Row],[Order Date]], "Invalid", "OK")</f>
        <v>OK</v>
      </c>
      <c r="Q359" s="1" t="str">
        <f>IF(ISBLANK(po_master[[#This Row],[Invoice Number]]), "No Invoice", "OK")</f>
        <v>OK</v>
      </c>
      <c r="R359" s="1" t="str">
        <f>IF(AND(NOT(ISBLANK(po_master[[#This Row],[GR Quantity]])), po_master[[#This Row],[GR Quantity]]&lt;&gt;po_master[[#This Row],[PO Quantity]]), "Qty Variance", "OK")</f>
        <v>OK</v>
      </c>
      <c r="S359" s="1" t="str">
        <f>IF(po_master[[#This Row],[Invoice Unit Price]]&gt;po_master[[#This Row],[PO Unit Price]]*1.01, "Price Variance", "OK")</f>
        <v>OK</v>
      </c>
      <c r="T359" s="1" t="str">
        <f>IF(po_master[[#This Row],[Actual Delivery Date]]&gt;po_master[[#This Row],[Promised Delivey Date]], "Late Delivery", "OK")</f>
        <v>OK</v>
      </c>
      <c r="U359" s="1" t="str">
        <f>IF(COUNTIF(po_master[PO Number],po_master[[#This Row],[PO Number]])&gt;1, "Duplicate Invoice", "OK")</f>
        <v>OK</v>
      </c>
    </row>
    <row r="360" spans="1:21" x14ac:dyDescent="0.25">
      <c r="A360" s="1" t="s">
        <v>318</v>
      </c>
      <c r="B360" s="1" t="s">
        <v>1505</v>
      </c>
      <c r="C360" s="2">
        <v>46164</v>
      </c>
      <c r="D360">
        <v>150</v>
      </c>
      <c r="E360">
        <v>29.41</v>
      </c>
      <c r="F360" s="1" t="s">
        <v>1474</v>
      </c>
      <c r="G360" s="2">
        <v>46171</v>
      </c>
      <c r="H360">
        <v>150</v>
      </c>
      <c r="I360" s="2">
        <v>46171</v>
      </c>
      <c r="J360" s="1" t="s">
        <v>1040</v>
      </c>
      <c r="K360">
        <v>150</v>
      </c>
      <c r="L360">
        <v>29.41</v>
      </c>
      <c r="M360" s="2">
        <v>46177</v>
      </c>
      <c r="N360" t="str">
        <f>IF(po_master[[#This Row],[Approved By]]="", "Missing Approval", "OK")</f>
        <v>OK</v>
      </c>
      <c r="O360" t="str">
        <f>IF(ISBLANK(po_master[[#This Row],[GR Quantity]]), "No GR - Not received", "OK")</f>
        <v>OK</v>
      </c>
      <c r="P360" s="1" t="str">
        <f>IF(po_master[[#This Row],[Promised Delivey Date]]&lt;po_master[[#This Row],[Order Date]], "Invalid", "OK")</f>
        <v>OK</v>
      </c>
      <c r="Q360" s="1" t="str">
        <f>IF(ISBLANK(po_master[[#This Row],[Invoice Number]]), "No Invoice", "OK")</f>
        <v>OK</v>
      </c>
      <c r="R360" s="1" t="str">
        <f>IF(AND(NOT(ISBLANK(po_master[[#This Row],[GR Quantity]])), po_master[[#This Row],[GR Quantity]]&lt;&gt;po_master[[#This Row],[PO Quantity]]), "Qty Variance", "OK")</f>
        <v>OK</v>
      </c>
      <c r="S360" s="1" t="str">
        <f>IF(po_master[[#This Row],[Invoice Unit Price]]&gt;po_master[[#This Row],[PO Unit Price]]*1.01, "Price Variance", "OK")</f>
        <v>OK</v>
      </c>
      <c r="T360" s="1" t="str">
        <f>IF(po_master[[#This Row],[Actual Delivery Date]]&gt;po_master[[#This Row],[Promised Delivey Date]], "Late Delivery", "OK")</f>
        <v>OK</v>
      </c>
      <c r="U360" s="1" t="str">
        <f>IF(COUNTIF(po_master[PO Number],po_master[[#This Row],[PO Number]])&gt;1, "Duplicate Invoice", "OK")</f>
        <v>OK</v>
      </c>
    </row>
    <row r="361" spans="1:21" x14ac:dyDescent="0.25">
      <c r="A361" s="1" t="s">
        <v>319</v>
      </c>
      <c r="B361" s="1" t="s">
        <v>1445</v>
      </c>
      <c r="C361" s="2">
        <v>46066</v>
      </c>
      <c r="D361">
        <v>313</v>
      </c>
      <c r="E361">
        <v>188.61</v>
      </c>
      <c r="F361" s="1" t="s">
        <v>1485</v>
      </c>
      <c r="G361" s="2">
        <v>46076</v>
      </c>
      <c r="H361">
        <v>313</v>
      </c>
      <c r="I361" s="2">
        <v>46078</v>
      </c>
      <c r="J361" s="1" t="s">
        <v>1041</v>
      </c>
      <c r="K361">
        <v>313</v>
      </c>
      <c r="L361">
        <v>188.61</v>
      </c>
      <c r="M361" s="2">
        <v>46081</v>
      </c>
      <c r="N361" t="str">
        <f>IF(po_master[[#This Row],[Approved By]]="", "Missing Approval", "OK")</f>
        <v>OK</v>
      </c>
      <c r="O361" t="str">
        <f>IF(ISBLANK(po_master[[#This Row],[GR Quantity]]), "No GR - Not received", "OK")</f>
        <v>OK</v>
      </c>
      <c r="P361" s="1" t="str">
        <f>IF(po_master[[#This Row],[Promised Delivey Date]]&lt;po_master[[#This Row],[Order Date]], "Invalid", "OK")</f>
        <v>OK</v>
      </c>
      <c r="Q361" s="1" t="str">
        <f>IF(ISBLANK(po_master[[#This Row],[Invoice Number]]), "No Invoice", "OK")</f>
        <v>OK</v>
      </c>
      <c r="R361" s="1" t="str">
        <f>IF(AND(NOT(ISBLANK(po_master[[#This Row],[GR Quantity]])), po_master[[#This Row],[GR Quantity]]&lt;&gt;po_master[[#This Row],[PO Quantity]]), "Qty Variance", "OK")</f>
        <v>OK</v>
      </c>
      <c r="S361" s="1" t="str">
        <f>IF(po_master[[#This Row],[Invoice Unit Price]]&gt;po_master[[#This Row],[PO Unit Price]]*1.01, "Price Variance", "OK")</f>
        <v>OK</v>
      </c>
      <c r="T361" s="1" t="str">
        <f>IF(po_master[[#This Row],[Actual Delivery Date]]&gt;po_master[[#This Row],[Promised Delivey Date]], "Late Delivery", "OK")</f>
        <v>Late Delivery</v>
      </c>
      <c r="U361" s="1" t="str">
        <f>IF(COUNTIF(po_master[PO Number],po_master[[#This Row],[PO Number]])&gt;1, "Duplicate Invoice", "OK")</f>
        <v>OK</v>
      </c>
    </row>
    <row r="362" spans="1:21" x14ac:dyDescent="0.25">
      <c r="A362" s="1" t="s">
        <v>320</v>
      </c>
      <c r="B362" s="1" t="s">
        <v>1484</v>
      </c>
      <c r="C362" s="2">
        <v>46109</v>
      </c>
      <c r="D362">
        <v>441</v>
      </c>
      <c r="E362">
        <v>185.17</v>
      </c>
      <c r="F362" s="1" t="s">
        <v>1462</v>
      </c>
      <c r="G362" s="2">
        <v>46114</v>
      </c>
      <c r="H362">
        <v>441</v>
      </c>
      <c r="I362" s="2">
        <v>46114</v>
      </c>
      <c r="J362" s="1" t="s">
        <v>1042</v>
      </c>
      <c r="K362">
        <v>441</v>
      </c>
      <c r="L362">
        <v>185.17</v>
      </c>
      <c r="M362" s="2">
        <v>46123</v>
      </c>
      <c r="N362" t="str">
        <f>IF(po_master[[#This Row],[Approved By]]="", "Missing Approval", "OK")</f>
        <v>OK</v>
      </c>
      <c r="O362" t="str">
        <f>IF(ISBLANK(po_master[[#This Row],[GR Quantity]]), "No GR - Not received", "OK")</f>
        <v>OK</v>
      </c>
      <c r="P362" s="1" t="str">
        <f>IF(po_master[[#This Row],[Promised Delivey Date]]&lt;po_master[[#This Row],[Order Date]], "Invalid", "OK")</f>
        <v>OK</v>
      </c>
      <c r="Q362" s="1" t="str">
        <f>IF(ISBLANK(po_master[[#This Row],[Invoice Number]]), "No Invoice", "OK")</f>
        <v>OK</v>
      </c>
      <c r="R362" s="1" t="str">
        <f>IF(AND(NOT(ISBLANK(po_master[[#This Row],[GR Quantity]])), po_master[[#This Row],[GR Quantity]]&lt;&gt;po_master[[#This Row],[PO Quantity]]), "Qty Variance", "OK")</f>
        <v>OK</v>
      </c>
      <c r="S362" s="1" t="str">
        <f>IF(po_master[[#This Row],[Invoice Unit Price]]&gt;po_master[[#This Row],[PO Unit Price]]*1.01, "Price Variance", "OK")</f>
        <v>OK</v>
      </c>
      <c r="T362" s="1" t="str">
        <f>IF(po_master[[#This Row],[Actual Delivery Date]]&gt;po_master[[#This Row],[Promised Delivey Date]], "Late Delivery", "OK")</f>
        <v>OK</v>
      </c>
      <c r="U362" s="1" t="str">
        <f>IF(COUNTIF(po_master[PO Number],po_master[[#This Row],[PO Number]])&gt;1, "Duplicate Invoice", "OK")</f>
        <v>OK</v>
      </c>
    </row>
    <row r="363" spans="1:21" x14ac:dyDescent="0.25">
      <c r="A363" s="1" t="s">
        <v>321</v>
      </c>
      <c r="B363" s="1" t="s">
        <v>1457</v>
      </c>
      <c r="C363" s="2">
        <v>46034</v>
      </c>
      <c r="D363">
        <v>495</v>
      </c>
      <c r="E363">
        <v>130.08000000000001</v>
      </c>
      <c r="F363" s="1" t="s">
        <v>1480</v>
      </c>
      <c r="G363" s="2">
        <v>46047</v>
      </c>
      <c r="H363">
        <v>499</v>
      </c>
      <c r="I363" s="2">
        <v>46047</v>
      </c>
      <c r="J363" s="1" t="s">
        <v>1043</v>
      </c>
      <c r="K363">
        <v>495</v>
      </c>
      <c r="L363">
        <v>130.08000000000001</v>
      </c>
      <c r="M363" s="2">
        <v>46057</v>
      </c>
      <c r="N363" t="str">
        <f>IF(po_master[[#This Row],[Approved By]]="", "Missing Approval", "OK")</f>
        <v>OK</v>
      </c>
      <c r="O363" t="str">
        <f>IF(ISBLANK(po_master[[#This Row],[GR Quantity]]), "No GR - Not received", "OK")</f>
        <v>OK</v>
      </c>
      <c r="P363" s="1" t="str">
        <f>IF(po_master[[#This Row],[Promised Delivey Date]]&lt;po_master[[#This Row],[Order Date]], "Invalid", "OK")</f>
        <v>OK</v>
      </c>
      <c r="Q363" s="1" t="str">
        <f>IF(ISBLANK(po_master[[#This Row],[Invoice Number]]), "No Invoice", "OK")</f>
        <v>OK</v>
      </c>
      <c r="R363" s="1" t="str">
        <f>IF(AND(NOT(ISBLANK(po_master[[#This Row],[GR Quantity]])), po_master[[#This Row],[GR Quantity]]&lt;&gt;po_master[[#This Row],[PO Quantity]]), "Qty Variance", "OK")</f>
        <v>Qty Variance</v>
      </c>
      <c r="S363" s="1" t="str">
        <f>IF(po_master[[#This Row],[Invoice Unit Price]]&gt;po_master[[#This Row],[PO Unit Price]]*1.01, "Price Variance", "OK")</f>
        <v>OK</v>
      </c>
      <c r="T363" s="1" t="str">
        <f>IF(po_master[[#This Row],[Actual Delivery Date]]&gt;po_master[[#This Row],[Promised Delivey Date]], "Late Delivery", "OK")</f>
        <v>OK</v>
      </c>
      <c r="U363" s="1" t="str">
        <f>IF(COUNTIF(po_master[PO Number],po_master[[#This Row],[PO Number]])&gt;1, "Duplicate Invoice", "OK")</f>
        <v>OK</v>
      </c>
    </row>
    <row r="364" spans="1:21" x14ac:dyDescent="0.25">
      <c r="A364" s="1" t="s">
        <v>322</v>
      </c>
      <c r="B364" s="1" t="s">
        <v>1508</v>
      </c>
      <c r="C364" s="2">
        <v>46076</v>
      </c>
      <c r="D364">
        <v>402</v>
      </c>
      <c r="E364">
        <v>116.57</v>
      </c>
      <c r="F364" s="1" t="s">
        <v>1494</v>
      </c>
      <c r="G364" s="2">
        <v>46081</v>
      </c>
      <c r="H364">
        <v>402</v>
      </c>
      <c r="I364" s="2">
        <v>46082</v>
      </c>
      <c r="J364" s="1" t="s">
        <v>1044</v>
      </c>
      <c r="K364">
        <v>402</v>
      </c>
      <c r="L364">
        <v>116.57</v>
      </c>
      <c r="M364" s="2">
        <v>46083</v>
      </c>
      <c r="N364" t="str">
        <f>IF(po_master[[#This Row],[Approved By]]="", "Missing Approval", "OK")</f>
        <v>OK</v>
      </c>
      <c r="O364" t="str">
        <f>IF(ISBLANK(po_master[[#This Row],[GR Quantity]]), "No GR - Not received", "OK")</f>
        <v>OK</v>
      </c>
      <c r="P364" s="1" t="str">
        <f>IF(po_master[[#This Row],[Promised Delivey Date]]&lt;po_master[[#This Row],[Order Date]], "Invalid", "OK")</f>
        <v>OK</v>
      </c>
      <c r="Q364" s="1" t="str">
        <f>IF(ISBLANK(po_master[[#This Row],[Invoice Number]]), "No Invoice", "OK")</f>
        <v>OK</v>
      </c>
      <c r="R364" s="1" t="str">
        <f>IF(AND(NOT(ISBLANK(po_master[[#This Row],[GR Quantity]])), po_master[[#This Row],[GR Quantity]]&lt;&gt;po_master[[#This Row],[PO Quantity]]), "Qty Variance", "OK")</f>
        <v>OK</v>
      </c>
      <c r="S364" s="1" t="str">
        <f>IF(po_master[[#This Row],[Invoice Unit Price]]&gt;po_master[[#This Row],[PO Unit Price]]*1.01, "Price Variance", "OK")</f>
        <v>OK</v>
      </c>
      <c r="T364" s="1" t="str">
        <f>IF(po_master[[#This Row],[Actual Delivery Date]]&gt;po_master[[#This Row],[Promised Delivey Date]], "Late Delivery", "OK")</f>
        <v>Late Delivery</v>
      </c>
      <c r="U364" s="1" t="str">
        <f>IF(COUNTIF(po_master[PO Number],po_master[[#This Row],[PO Number]])&gt;1, "Duplicate Invoice", "OK")</f>
        <v>OK</v>
      </c>
    </row>
    <row r="365" spans="1:21" x14ac:dyDescent="0.25">
      <c r="A365" s="1" t="s">
        <v>323</v>
      </c>
      <c r="B365" s="1" t="s">
        <v>1498</v>
      </c>
      <c r="C365" s="2">
        <v>46162</v>
      </c>
      <c r="D365">
        <v>158</v>
      </c>
      <c r="E365">
        <v>130.16999999999999</v>
      </c>
      <c r="F365" s="1" t="s">
        <v>1474</v>
      </c>
      <c r="G365" s="2">
        <v>46182</v>
      </c>
      <c r="H365">
        <v>158</v>
      </c>
      <c r="I365" s="2">
        <v>46183</v>
      </c>
      <c r="J365" s="1" t="s">
        <v>1045</v>
      </c>
      <c r="K365">
        <v>158</v>
      </c>
      <c r="L365">
        <v>130.16999999999999</v>
      </c>
      <c r="M365" s="2">
        <v>46186</v>
      </c>
      <c r="N365" t="str">
        <f>IF(po_master[[#This Row],[Approved By]]="", "Missing Approval", "OK")</f>
        <v>OK</v>
      </c>
      <c r="O365" t="str">
        <f>IF(ISBLANK(po_master[[#This Row],[GR Quantity]]), "No GR - Not received", "OK")</f>
        <v>OK</v>
      </c>
      <c r="P365" s="1" t="str">
        <f>IF(po_master[[#This Row],[Promised Delivey Date]]&lt;po_master[[#This Row],[Order Date]], "Invalid", "OK")</f>
        <v>OK</v>
      </c>
      <c r="Q365" s="1" t="str">
        <f>IF(ISBLANK(po_master[[#This Row],[Invoice Number]]), "No Invoice", "OK")</f>
        <v>OK</v>
      </c>
      <c r="R365" s="1" t="str">
        <f>IF(AND(NOT(ISBLANK(po_master[[#This Row],[GR Quantity]])), po_master[[#This Row],[GR Quantity]]&lt;&gt;po_master[[#This Row],[PO Quantity]]), "Qty Variance", "OK")</f>
        <v>OK</v>
      </c>
      <c r="S365" s="1" t="str">
        <f>IF(po_master[[#This Row],[Invoice Unit Price]]&gt;po_master[[#This Row],[PO Unit Price]]*1.01, "Price Variance", "OK")</f>
        <v>OK</v>
      </c>
      <c r="T365" s="1" t="str">
        <f>IF(po_master[[#This Row],[Actual Delivery Date]]&gt;po_master[[#This Row],[Promised Delivey Date]], "Late Delivery", "OK")</f>
        <v>Late Delivery</v>
      </c>
      <c r="U365" s="1" t="str">
        <f>IF(COUNTIF(po_master[PO Number],po_master[[#This Row],[PO Number]])&gt;1, "Duplicate Invoice", "OK")</f>
        <v>OK</v>
      </c>
    </row>
    <row r="366" spans="1:21" x14ac:dyDescent="0.25">
      <c r="A366" s="1" t="s">
        <v>324</v>
      </c>
      <c r="B366" s="1" t="s">
        <v>1482</v>
      </c>
      <c r="C366" s="2">
        <v>46126</v>
      </c>
      <c r="D366">
        <v>162</v>
      </c>
      <c r="E366">
        <v>93.44</v>
      </c>
      <c r="F366" s="1" t="s">
        <v>1499</v>
      </c>
      <c r="G366" s="2">
        <v>46132</v>
      </c>
      <c r="H366">
        <v>162</v>
      </c>
      <c r="I366" s="2">
        <v>46131</v>
      </c>
      <c r="J366" s="1" t="s">
        <v>1046</v>
      </c>
      <c r="K366">
        <v>162</v>
      </c>
      <c r="L366">
        <v>93.44</v>
      </c>
      <c r="M366" s="2">
        <v>46134</v>
      </c>
      <c r="N366" t="str">
        <f>IF(po_master[[#This Row],[Approved By]]="", "Missing Approval", "OK")</f>
        <v>OK</v>
      </c>
      <c r="O366" t="str">
        <f>IF(ISBLANK(po_master[[#This Row],[GR Quantity]]), "No GR - Not received", "OK")</f>
        <v>OK</v>
      </c>
      <c r="P366" s="1" t="str">
        <f>IF(po_master[[#This Row],[Promised Delivey Date]]&lt;po_master[[#This Row],[Order Date]], "Invalid", "OK")</f>
        <v>OK</v>
      </c>
      <c r="Q366" s="1" t="str">
        <f>IF(ISBLANK(po_master[[#This Row],[Invoice Number]]), "No Invoice", "OK")</f>
        <v>OK</v>
      </c>
      <c r="R366" s="1" t="str">
        <f>IF(AND(NOT(ISBLANK(po_master[[#This Row],[GR Quantity]])), po_master[[#This Row],[GR Quantity]]&lt;&gt;po_master[[#This Row],[PO Quantity]]), "Qty Variance", "OK")</f>
        <v>OK</v>
      </c>
      <c r="S366" s="1" t="str">
        <f>IF(po_master[[#This Row],[Invoice Unit Price]]&gt;po_master[[#This Row],[PO Unit Price]]*1.01, "Price Variance", "OK")</f>
        <v>OK</v>
      </c>
      <c r="T366" s="1" t="str">
        <f>IF(po_master[[#This Row],[Actual Delivery Date]]&gt;po_master[[#This Row],[Promised Delivey Date]], "Late Delivery", "OK")</f>
        <v>OK</v>
      </c>
      <c r="U366" s="1" t="str">
        <f>IF(COUNTIF(po_master[PO Number],po_master[[#This Row],[PO Number]])&gt;1, "Duplicate Invoice", "OK")</f>
        <v>OK</v>
      </c>
    </row>
    <row r="367" spans="1:21" x14ac:dyDescent="0.25">
      <c r="A367" s="1" t="s">
        <v>325</v>
      </c>
      <c r="B367" s="1" t="s">
        <v>1460</v>
      </c>
      <c r="C367" s="2">
        <v>46135</v>
      </c>
      <c r="D367">
        <v>222</v>
      </c>
      <c r="E367">
        <v>99.43</v>
      </c>
      <c r="F367" s="1" t="s">
        <v>1444</v>
      </c>
      <c r="G367" s="2">
        <v>46150</v>
      </c>
      <c r="H367">
        <v>222</v>
      </c>
      <c r="I367" s="2">
        <v>46151</v>
      </c>
      <c r="J367" s="1" t="s">
        <v>1047</v>
      </c>
      <c r="K367">
        <v>222</v>
      </c>
      <c r="L367">
        <v>99.43</v>
      </c>
      <c r="M367" s="2">
        <v>46151</v>
      </c>
      <c r="N367" t="str">
        <f>IF(po_master[[#This Row],[Approved By]]="", "Missing Approval", "OK")</f>
        <v>OK</v>
      </c>
      <c r="O367" t="str">
        <f>IF(ISBLANK(po_master[[#This Row],[GR Quantity]]), "No GR - Not received", "OK")</f>
        <v>OK</v>
      </c>
      <c r="P367" s="1" t="str">
        <f>IF(po_master[[#This Row],[Promised Delivey Date]]&lt;po_master[[#This Row],[Order Date]], "Invalid", "OK")</f>
        <v>OK</v>
      </c>
      <c r="Q367" s="1" t="str">
        <f>IF(ISBLANK(po_master[[#This Row],[Invoice Number]]), "No Invoice", "OK")</f>
        <v>OK</v>
      </c>
      <c r="R367" s="1" t="str">
        <f>IF(AND(NOT(ISBLANK(po_master[[#This Row],[GR Quantity]])), po_master[[#This Row],[GR Quantity]]&lt;&gt;po_master[[#This Row],[PO Quantity]]), "Qty Variance", "OK")</f>
        <v>OK</v>
      </c>
      <c r="S367" s="1" t="str">
        <f>IF(po_master[[#This Row],[Invoice Unit Price]]&gt;po_master[[#This Row],[PO Unit Price]]*1.01, "Price Variance", "OK")</f>
        <v>OK</v>
      </c>
      <c r="T367" s="1" t="str">
        <f>IF(po_master[[#This Row],[Actual Delivery Date]]&gt;po_master[[#This Row],[Promised Delivey Date]], "Late Delivery", "OK")</f>
        <v>Late Delivery</v>
      </c>
      <c r="U367" s="1" t="str">
        <f>IF(COUNTIF(po_master[PO Number],po_master[[#This Row],[PO Number]])&gt;1, "Duplicate Invoice", "OK")</f>
        <v>OK</v>
      </c>
    </row>
    <row r="368" spans="1:21" x14ac:dyDescent="0.25">
      <c r="A368" s="1" t="s">
        <v>1031</v>
      </c>
      <c r="B368" s="1" t="s">
        <v>1482</v>
      </c>
      <c r="C368" s="2">
        <v>46149</v>
      </c>
      <c r="D368">
        <v>23</v>
      </c>
      <c r="E368">
        <v>75.37</v>
      </c>
      <c r="F368" s="1" t="s">
        <v>1480</v>
      </c>
      <c r="G368" s="2">
        <v>46165</v>
      </c>
      <c r="I368" s="2"/>
      <c r="J368" s="1" t="s">
        <v>1032</v>
      </c>
      <c r="K368">
        <v>23</v>
      </c>
      <c r="L368">
        <v>75.37</v>
      </c>
      <c r="M368" s="2">
        <v>46171</v>
      </c>
      <c r="N368" t="str">
        <f>IF(po_master[[#This Row],[Approved By]]="", "Missing Approval", "OK")</f>
        <v>OK</v>
      </c>
      <c r="O368" t="str">
        <f>IF(ISBLANK(po_master[[#This Row],[GR Quantity]]), "No GR - Not received", "OK")</f>
        <v>No GR - Not received</v>
      </c>
      <c r="P368" s="1" t="str">
        <f>IF(po_master[[#This Row],[Promised Delivey Date]]&lt;po_master[[#This Row],[Order Date]], "Invalid", "OK")</f>
        <v>OK</v>
      </c>
      <c r="Q368" s="1" t="str">
        <f>IF(ISBLANK(po_master[[#This Row],[Invoice Number]]), "No Invoice", "OK")</f>
        <v>OK</v>
      </c>
      <c r="R368" s="1" t="str">
        <f>IF(AND(NOT(ISBLANK(po_master[[#This Row],[GR Quantity]])), po_master[[#This Row],[GR Quantity]]&lt;&gt;po_master[[#This Row],[PO Quantity]]), "Qty Variance", "OK")</f>
        <v>OK</v>
      </c>
      <c r="S368" s="1" t="str">
        <f>IF(po_master[[#This Row],[Invoice Unit Price]]&gt;po_master[[#This Row],[PO Unit Price]]*1.01, "Price Variance", "OK")</f>
        <v>OK</v>
      </c>
      <c r="T368" s="1" t="str">
        <f>IF(po_master[[#This Row],[Actual Delivery Date]]&gt;po_master[[#This Row],[Promised Delivey Date]], "Late Delivery", "OK")</f>
        <v>OK</v>
      </c>
      <c r="U368" s="1" t="str">
        <f>IF(COUNTIF(po_master[PO Number],po_master[[#This Row],[PO Number]])&gt;1, "Duplicate Invoice", "OK")</f>
        <v>OK</v>
      </c>
    </row>
    <row r="369" spans="1:21" x14ac:dyDescent="0.25">
      <c r="A369" s="1" t="s">
        <v>326</v>
      </c>
      <c r="B369" s="1" t="s">
        <v>1468</v>
      </c>
      <c r="C369" s="2">
        <v>46059</v>
      </c>
      <c r="D369">
        <v>170</v>
      </c>
      <c r="E369">
        <v>172.99</v>
      </c>
      <c r="F369" s="1" t="s">
        <v>1472</v>
      </c>
      <c r="G369" s="2">
        <v>46075</v>
      </c>
      <c r="H369">
        <v>170</v>
      </c>
      <c r="I369" s="2">
        <v>46080</v>
      </c>
      <c r="J369" s="1" t="s">
        <v>1048</v>
      </c>
      <c r="K369">
        <v>170</v>
      </c>
      <c r="L369">
        <v>172.99</v>
      </c>
      <c r="M369" s="2">
        <v>46082</v>
      </c>
      <c r="N369" t="str">
        <f>IF(po_master[[#This Row],[Approved By]]="", "Missing Approval", "OK")</f>
        <v>OK</v>
      </c>
      <c r="O369" t="str">
        <f>IF(ISBLANK(po_master[[#This Row],[GR Quantity]]), "No GR - Not received", "OK")</f>
        <v>OK</v>
      </c>
      <c r="P369" s="1" t="str">
        <f>IF(po_master[[#This Row],[Promised Delivey Date]]&lt;po_master[[#This Row],[Order Date]], "Invalid", "OK")</f>
        <v>OK</v>
      </c>
      <c r="Q369" s="1" t="str">
        <f>IF(ISBLANK(po_master[[#This Row],[Invoice Number]]), "No Invoice", "OK")</f>
        <v>OK</v>
      </c>
      <c r="R369" s="1" t="str">
        <f>IF(AND(NOT(ISBLANK(po_master[[#This Row],[GR Quantity]])), po_master[[#This Row],[GR Quantity]]&lt;&gt;po_master[[#This Row],[PO Quantity]]), "Qty Variance", "OK")</f>
        <v>OK</v>
      </c>
      <c r="S369" s="1" t="str">
        <f>IF(po_master[[#This Row],[Invoice Unit Price]]&gt;po_master[[#This Row],[PO Unit Price]]*1.01, "Price Variance", "OK")</f>
        <v>OK</v>
      </c>
      <c r="T369" s="1" t="str">
        <f>IF(po_master[[#This Row],[Actual Delivery Date]]&gt;po_master[[#This Row],[Promised Delivey Date]], "Late Delivery", "OK")</f>
        <v>Late Delivery</v>
      </c>
      <c r="U369" s="1" t="str">
        <f>IF(COUNTIF(po_master[PO Number],po_master[[#This Row],[PO Number]])&gt;1, "Duplicate Invoice", "OK")</f>
        <v>OK</v>
      </c>
    </row>
    <row r="370" spans="1:21" x14ac:dyDescent="0.25">
      <c r="A370" s="1" t="s">
        <v>327</v>
      </c>
      <c r="B370" s="1" t="s">
        <v>1488</v>
      </c>
      <c r="C370" s="2">
        <v>46056</v>
      </c>
      <c r="D370">
        <v>399</v>
      </c>
      <c r="E370">
        <v>77.260000000000005</v>
      </c>
      <c r="F370" s="1" t="s">
        <v>1442</v>
      </c>
      <c r="G370" s="2">
        <v>46064</v>
      </c>
      <c r="H370">
        <v>399</v>
      </c>
      <c r="I370" s="2">
        <v>46065</v>
      </c>
      <c r="J370" s="1" t="s">
        <v>1049</v>
      </c>
      <c r="K370">
        <v>399</v>
      </c>
      <c r="L370">
        <v>77.260000000000005</v>
      </c>
      <c r="M370" s="2">
        <v>46067</v>
      </c>
      <c r="N370" t="str">
        <f>IF(po_master[[#This Row],[Approved By]]="", "Missing Approval", "OK")</f>
        <v>OK</v>
      </c>
      <c r="O370" t="str">
        <f>IF(ISBLANK(po_master[[#This Row],[GR Quantity]]), "No GR - Not received", "OK")</f>
        <v>OK</v>
      </c>
      <c r="P370" s="1" t="str">
        <f>IF(po_master[[#This Row],[Promised Delivey Date]]&lt;po_master[[#This Row],[Order Date]], "Invalid", "OK")</f>
        <v>OK</v>
      </c>
      <c r="Q370" s="1" t="str">
        <f>IF(ISBLANK(po_master[[#This Row],[Invoice Number]]), "No Invoice", "OK")</f>
        <v>OK</v>
      </c>
      <c r="R370" s="1" t="str">
        <f>IF(AND(NOT(ISBLANK(po_master[[#This Row],[GR Quantity]])), po_master[[#This Row],[GR Quantity]]&lt;&gt;po_master[[#This Row],[PO Quantity]]), "Qty Variance", "OK")</f>
        <v>OK</v>
      </c>
      <c r="S370" s="1" t="str">
        <f>IF(po_master[[#This Row],[Invoice Unit Price]]&gt;po_master[[#This Row],[PO Unit Price]]*1.01, "Price Variance", "OK")</f>
        <v>OK</v>
      </c>
      <c r="T370" s="1" t="str">
        <f>IF(po_master[[#This Row],[Actual Delivery Date]]&gt;po_master[[#This Row],[Promised Delivey Date]], "Late Delivery", "OK")</f>
        <v>Late Delivery</v>
      </c>
      <c r="U370" s="1" t="str">
        <f>IF(COUNTIF(po_master[PO Number],po_master[[#This Row],[PO Number]])&gt;1, "Duplicate Invoice", "OK")</f>
        <v>OK</v>
      </c>
    </row>
    <row r="371" spans="1:21" x14ac:dyDescent="0.25">
      <c r="A371" s="1" t="s">
        <v>328</v>
      </c>
      <c r="B371" s="1" t="s">
        <v>1509</v>
      </c>
      <c r="C371" s="2">
        <v>46084</v>
      </c>
      <c r="D371">
        <v>248</v>
      </c>
      <c r="E371">
        <v>28.89</v>
      </c>
      <c r="F371" s="1" t="s">
        <v>1469</v>
      </c>
      <c r="G371" s="2">
        <v>46096</v>
      </c>
      <c r="H371">
        <v>248</v>
      </c>
      <c r="I371" s="2">
        <v>46097</v>
      </c>
      <c r="J371" s="1" t="s">
        <v>1050</v>
      </c>
      <c r="K371">
        <v>248</v>
      </c>
      <c r="L371">
        <v>28.89</v>
      </c>
      <c r="M371" s="2">
        <v>46098</v>
      </c>
      <c r="N371" t="str">
        <f>IF(po_master[[#This Row],[Approved By]]="", "Missing Approval", "OK")</f>
        <v>OK</v>
      </c>
      <c r="O371" t="str">
        <f>IF(ISBLANK(po_master[[#This Row],[GR Quantity]]), "No GR - Not received", "OK")</f>
        <v>OK</v>
      </c>
      <c r="P371" s="1" t="str">
        <f>IF(po_master[[#This Row],[Promised Delivey Date]]&lt;po_master[[#This Row],[Order Date]], "Invalid", "OK")</f>
        <v>OK</v>
      </c>
      <c r="Q371" s="1" t="str">
        <f>IF(ISBLANK(po_master[[#This Row],[Invoice Number]]), "No Invoice", "OK")</f>
        <v>OK</v>
      </c>
      <c r="R371" s="1" t="str">
        <f>IF(AND(NOT(ISBLANK(po_master[[#This Row],[GR Quantity]])), po_master[[#This Row],[GR Quantity]]&lt;&gt;po_master[[#This Row],[PO Quantity]]), "Qty Variance", "OK")</f>
        <v>OK</v>
      </c>
      <c r="S371" s="1" t="str">
        <f>IF(po_master[[#This Row],[Invoice Unit Price]]&gt;po_master[[#This Row],[PO Unit Price]]*1.01, "Price Variance", "OK")</f>
        <v>OK</v>
      </c>
      <c r="T371" s="1" t="str">
        <f>IF(po_master[[#This Row],[Actual Delivery Date]]&gt;po_master[[#This Row],[Promised Delivey Date]], "Late Delivery", "OK")</f>
        <v>Late Delivery</v>
      </c>
      <c r="U371" s="1" t="str">
        <f>IF(COUNTIF(po_master[PO Number],po_master[[#This Row],[PO Number]])&gt;1, "Duplicate Invoice", "OK")</f>
        <v>OK</v>
      </c>
    </row>
    <row r="372" spans="1:21" x14ac:dyDescent="0.25">
      <c r="A372" s="1" t="s">
        <v>329</v>
      </c>
      <c r="B372" s="1" t="s">
        <v>1464</v>
      </c>
      <c r="C372" s="2">
        <v>46047</v>
      </c>
      <c r="D372">
        <v>35</v>
      </c>
      <c r="E372">
        <v>61.59</v>
      </c>
      <c r="F372" s="1" t="s">
        <v>1453</v>
      </c>
      <c r="G372" s="2">
        <v>46065</v>
      </c>
      <c r="H372">
        <v>35</v>
      </c>
      <c r="I372" s="2">
        <v>46066</v>
      </c>
      <c r="J372" s="1" t="s">
        <v>1051</v>
      </c>
      <c r="K372">
        <v>35</v>
      </c>
      <c r="L372">
        <v>61.59</v>
      </c>
      <c r="M372" s="2">
        <v>46069</v>
      </c>
      <c r="N372" t="str">
        <f>IF(po_master[[#This Row],[Approved By]]="", "Missing Approval", "OK")</f>
        <v>OK</v>
      </c>
      <c r="O372" t="str">
        <f>IF(ISBLANK(po_master[[#This Row],[GR Quantity]]), "No GR - Not received", "OK")</f>
        <v>OK</v>
      </c>
      <c r="P372" s="1" t="str">
        <f>IF(po_master[[#This Row],[Promised Delivey Date]]&lt;po_master[[#This Row],[Order Date]], "Invalid", "OK")</f>
        <v>OK</v>
      </c>
      <c r="Q372" s="1" t="str">
        <f>IF(ISBLANK(po_master[[#This Row],[Invoice Number]]), "No Invoice", "OK")</f>
        <v>OK</v>
      </c>
      <c r="R372" s="1" t="str">
        <f>IF(AND(NOT(ISBLANK(po_master[[#This Row],[GR Quantity]])), po_master[[#This Row],[GR Quantity]]&lt;&gt;po_master[[#This Row],[PO Quantity]]), "Qty Variance", "OK")</f>
        <v>OK</v>
      </c>
      <c r="S372" s="1" t="str">
        <f>IF(po_master[[#This Row],[Invoice Unit Price]]&gt;po_master[[#This Row],[PO Unit Price]]*1.01, "Price Variance", "OK")</f>
        <v>OK</v>
      </c>
      <c r="T372" s="1" t="str">
        <f>IF(po_master[[#This Row],[Actual Delivery Date]]&gt;po_master[[#This Row],[Promised Delivey Date]], "Late Delivery", "OK")</f>
        <v>Late Delivery</v>
      </c>
      <c r="U372" s="1" t="str">
        <f>IF(COUNTIF(po_master[PO Number],po_master[[#This Row],[PO Number]])&gt;1, "Duplicate Invoice", "OK")</f>
        <v>OK</v>
      </c>
    </row>
    <row r="373" spans="1:21" x14ac:dyDescent="0.25">
      <c r="A373" s="1" t="s">
        <v>330</v>
      </c>
      <c r="B373" s="1" t="s">
        <v>1482</v>
      </c>
      <c r="C373" s="2">
        <v>46063</v>
      </c>
      <c r="D373">
        <v>426</v>
      </c>
      <c r="E373">
        <v>68.849999999999994</v>
      </c>
      <c r="F373" s="1" t="s">
        <v>1480</v>
      </c>
      <c r="G373" s="2">
        <v>46078</v>
      </c>
      <c r="H373">
        <v>426</v>
      </c>
      <c r="I373" s="2">
        <v>46079</v>
      </c>
      <c r="J373" s="1" t="s">
        <v>1052</v>
      </c>
      <c r="K373">
        <v>426</v>
      </c>
      <c r="L373">
        <v>68.849999999999994</v>
      </c>
      <c r="M373" s="2">
        <v>46085</v>
      </c>
      <c r="N373" t="str">
        <f>IF(po_master[[#This Row],[Approved By]]="", "Missing Approval", "OK")</f>
        <v>OK</v>
      </c>
      <c r="O373" t="str">
        <f>IF(ISBLANK(po_master[[#This Row],[GR Quantity]]), "No GR - Not received", "OK")</f>
        <v>OK</v>
      </c>
      <c r="P373" s="1" t="str">
        <f>IF(po_master[[#This Row],[Promised Delivey Date]]&lt;po_master[[#This Row],[Order Date]], "Invalid", "OK")</f>
        <v>OK</v>
      </c>
      <c r="Q373" s="1" t="str">
        <f>IF(ISBLANK(po_master[[#This Row],[Invoice Number]]), "No Invoice", "OK")</f>
        <v>OK</v>
      </c>
      <c r="R373" s="1" t="str">
        <f>IF(AND(NOT(ISBLANK(po_master[[#This Row],[GR Quantity]])), po_master[[#This Row],[GR Quantity]]&lt;&gt;po_master[[#This Row],[PO Quantity]]), "Qty Variance", "OK")</f>
        <v>OK</v>
      </c>
      <c r="S373" s="1" t="str">
        <f>IF(po_master[[#This Row],[Invoice Unit Price]]&gt;po_master[[#This Row],[PO Unit Price]]*1.01, "Price Variance", "OK")</f>
        <v>OK</v>
      </c>
      <c r="T373" s="1" t="str">
        <f>IF(po_master[[#This Row],[Actual Delivery Date]]&gt;po_master[[#This Row],[Promised Delivey Date]], "Late Delivery", "OK")</f>
        <v>Late Delivery</v>
      </c>
      <c r="U373" s="1" t="str">
        <f>IF(COUNTIF(po_master[PO Number],po_master[[#This Row],[PO Number]])&gt;1, "Duplicate Invoice", "OK")</f>
        <v>OK</v>
      </c>
    </row>
    <row r="374" spans="1:21" x14ac:dyDescent="0.25">
      <c r="A374" s="1" t="s">
        <v>331</v>
      </c>
      <c r="B374" s="1" t="s">
        <v>1505</v>
      </c>
      <c r="C374" s="2">
        <v>46063</v>
      </c>
      <c r="D374">
        <v>265</v>
      </c>
      <c r="E374">
        <v>199.21</v>
      </c>
      <c r="F374" s="1" t="s">
        <v>1469</v>
      </c>
      <c r="G374" s="2">
        <v>46083</v>
      </c>
      <c r="H374">
        <v>265</v>
      </c>
      <c r="I374" s="2">
        <v>46081</v>
      </c>
      <c r="J374" s="1" t="s">
        <v>1053</v>
      </c>
      <c r="K374">
        <v>265</v>
      </c>
      <c r="L374">
        <v>199.21</v>
      </c>
      <c r="M374" s="2">
        <v>46086</v>
      </c>
      <c r="N374" t="str">
        <f>IF(po_master[[#This Row],[Approved By]]="", "Missing Approval", "OK")</f>
        <v>OK</v>
      </c>
      <c r="O374" t="str">
        <f>IF(ISBLANK(po_master[[#This Row],[GR Quantity]]), "No GR - Not received", "OK")</f>
        <v>OK</v>
      </c>
      <c r="P374" s="1" t="str">
        <f>IF(po_master[[#This Row],[Promised Delivey Date]]&lt;po_master[[#This Row],[Order Date]], "Invalid", "OK")</f>
        <v>OK</v>
      </c>
      <c r="Q374" s="1" t="str">
        <f>IF(ISBLANK(po_master[[#This Row],[Invoice Number]]), "No Invoice", "OK")</f>
        <v>OK</v>
      </c>
      <c r="R374" s="1" t="str">
        <f>IF(AND(NOT(ISBLANK(po_master[[#This Row],[GR Quantity]])), po_master[[#This Row],[GR Quantity]]&lt;&gt;po_master[[#This Row],[PO Quantity]]), "Qty Variance", "OK")</f>
        <v>OK</v>
      </c>
      <c r="S374" s="1" t="str">
        <f>IF(po_master[[#This Row],[Invoice Unit Price]]&gt;po_master[[#This Row],[PO Unit Price]]*1.01, "Price Variance", "OK")</f>
        <v>OK</v>
      </c>
      <c r="T374" s="1" t="str">
        <f>IF(po_master[[#This Row],[Actual Delivery Date]]&gt;po_master[[#This Row],[Promised Delivey Date]], "Late Delivery", "OK")</f>
        <v>OK</v>
      </c>
      <c r="U374" s="1" t="str">
        <f>IF(COUNTIF(po_master[PO Number],po_master[[#This Row],[PO Number]])&gt;1, "Duplicate Invoice", "OK")</f>
        <v>OK</v>
      </c>
    </row>
    <row r="375" spans="1:21" x14ac:dyDescent="0.25">
      <c r="A375" s="1" t="s">
        <v>332</v>
      </c>
      <c r="B375" s="1" t="s">
        <v>1512</v>
      </c>
      <c r="C375" s="2">
        <v>46150</v>
      </c>
      <c r="D375">
        <v>21</v>
      </c>
      <c r="E375">
        <v>22.56</v>
      </c>
      <c r="F375" s="1" t="s">
        <v>1453</v>
      </c>
      <c r="G375" s="2">
        <v>46171</v>
      </c>
      <c r="H375">
        <v>21</v>
      </c>
      <c r="I375" s="2">
        <v>46173</v>
      </c>
      <c r="J375" s="1" t="s">
        <v>1054</v>
      </c>
      <c r="K375">
        <v>21</v>
      </c>
      <c r="L375">
        <v>22.56</v>
      </c>
      <c r="M375" s="2">
        <v>46181</v>
      </c>
      <c r="N375" t="str">
        <f>IF(po_master[[#This Row],[Approved By]]="", "Missing Approval", "OK")</f>
        <v>OK</v>
      </c>
      <c r="O375" t="str">
        <f>IF(ISBLANK(po_master[[#This Row],[GR Quantity]]), "No GR - Not received", "OK")</f>
        <v>OK</v>
      </c>
      <c r="P375" s="1" t="str">
        <f>IF(po_master[[#This Row],[Promised Delivey Date]]&lt;po_master[[#This Row],[Order Date]], "Invalid", "OK")</f>
        <v>OK</v>
      </c>
      <c r="Q375" s="1" t="str">
        <f>IF(ISBLANK(po_master[[#This Row],[Invoice Number]]), "No Invoice", "OK")</f>
        <v>OK</v>
      </c>
      <c r="R375" s="1" t="str">
        <f>IF(AND(NOT(ISBLANK(po_master[[#This Row],[GR Quantity]])), po_master[[#This Row],[GR Quantity]]&lt;&gt;po_master[[#This Row],[PO Quantity]]), "Qty Variance", "OK")</f>
        <v>OK</v>
      </c>
      <c r="S375" s="1" t="str">
        <f>IF(po_master[[#This Row],[Invoice Unit Price]]&gt;po_master[[#This Row],[PO Unit Price]]*1.01, "Price Variance", "OK")</f>
        <v>OK</v>
      </c>
      <c r="T375" s="1" t="str">
        <f>IF(po_master[[#This Row],[Actual Delivery Date]]&gt;po_master[[#This Row],[Promised Delivey Date]], "Late Delivery", "OK")</f>
        <v>Late Delivery</v>
      </c>
      <c r="U375" s="1" t="str">
        <f>IF(COUNTIF(po_master[PO Number],po_master[[#This Row],[PO Number]])&gt;1, "Duplicate Invoice", "OK")</f>
        <v>OK</v>
      </c>
    </row>
    <row r="376" spans="1:21" x14ac:dyDescent="0.25">
      <c r="A376" s="1" t="s">
        <v>333</v>
      </c>
      <c r="B376" s="1" t="s">
        <v>1489</v>
      </c>
      <c r="C376" s="2">
        <v>46084</v>
      </c>
      <c r="D376">
        <v>120</v>
      </c>
      <c r="E376">
        <v>118.75</v>
      </c>
      <c r="F376" s="1" t="s">
        <v>1462</v>
      </c>
      <c r="G376" s="2">
        <v>46090</v>
      </c>
      <c r="H376">
        <v>120</v>
      </c>
      <c r="I376" s="2">
        <v>46088</v>
      </c>
      <c r="J376" s="1" t="s">
        <v>1055</v>
      </c>
      <c r="K376">
        <v>120</v>
      </c>
      <c r="L376">
        <v>118.75</v>
      </c>
      <c r="M376" s="2">
        <v>46098</v>
      </c>
      <c r="N376" t="str">
        <f>IF(po_master[[#This Row],[Approved By]]="", "Missing Approval", "OK")</f>
        <v>OK</v>
      </c>
      <c r="O376" t="str">
        <f>IF(ISBLANK(po_master[[#This Row],[GR Quantity]]), "No GR - Not received", "OK")</f>
        <v>OK</v>
      </c>
      <c r="P376" s="1" t="str">
        <f>IF(po_master[[#This Row],[Promised Delivey Date]]&lt;po_master[[#This Row],[Order Date]], "Invalid", "OK")</f>
        <v>OK</v>
      </c>
      <c r="Q376" s="1" t="str">
        <f>IF(ISBLANK(po_master[[#This Row],[Invoice Number]]), "No Invoice", "OK")</f>
        <v>OK</v>
      </c>
      <c r="R376" s="1" t="str">
        <f>IF(AND(NOT(ISBLANK(po_master[[#This Row],[GR Quantity]])), po_master[[#This Row],[GR Quantity]]&lt;&gt;po_master[[#This Row],[PO Quantity]]), "Qty Variance", "OK")</f>
        <v>OK</v>
      </c>
      <c r="S376" s="1" t="str">
        <f>IF(po_master[[#This Row],[Invoice Unit Price]]&gt;po_master[[#This Row],[PO Unit Price]]*1.01, "Price Variance", "OK")</f>
        <v>OK</v>
      </c>
      <c r="T376" s="1" t="str">
        <f>IF(po_master[[#This Row],[Actual Delivery Date]]&gt;po_master[[#This Row],[Promised Delivey Date]], "Late Delivery", "OK")</f>
        <v>OK</v>
      </c>
      <c r="U376" s="1" t="str">
        <f>IF(COUNTIF(po_master[PO Number],po_master[[#This Row],[PO Number]])&gt;1, "Duplicate Invoice", "OK")</f>
        <v>OK</v>
      </c>
    </row>
    <row r="377" spans="1:21" x14ac:dyDescent="0.25">
      <c r="A377" s="1" t="s">
        <v>334</v>
      </c>
      <c r="B377" s="1" t="s">
        <v>1506</v>
      </c>
      <c r="C377" s="2">
        <v>46149</v>
      </c>
      <c r="D377">
        <v>315</v>
      </c>
      <c r="E377">
        <v>177.06</v>
      </c>
      <c r="F377" s="1" t="s">
        <v>1446</v>
      </c>
      <c r="G377" s="2">
        <v>46169</v>
      </c>
      <c r="H377">
        <v>315</v>
      </c>
      <c r="I377" s="2">
        <v>46167</v>
      </c>
      <c r="J377" s="1" t="s">
        <v>1056</v>
      </c>
      <c r="K377">
        <v>315</v>
      </c>
      <c r="L377">
        <v>189.7</v>
      </c>
      <c r="M377" s="2">
        <v>46171</v>
      </c>
      <c r="N377" t="str">
        <f>IF(po_master[[#This Row],[Approved By]]="", "Missing Approval", "OK")</f>
        <v>OK</v>
      </c>
      <c r="O377" t="str">
        <f>IF(ISBLANK(po_master[[#This Row],[GR Quantity]]), "No GR - Not received", "OK")</f>
        <v>OK</v>
      </c>
      <c r="P377" s="1" t="str">
        <f>IF(po_master[[#This Row],[Promised Delivey Date]]&lt;po_master[[#This Row],[Order Date]], "Invalid", "OK")</f>
        <v>OK</v>
      </c>
      <c r="Q377" s="1" t="str">
        <f>IF(ISBLANK(po_master[[#This Row],[Invoice Number]]), "No Invoice", "OK")</f>
        <v>OK</v>
      </c>
      <c r="R377" s="1" t="str">
        <f>IF(AND(NOT(ISBLANK(po_master[[#This Row],[GR Quantity]])), po_master[[#This Row],[GR Quantity]]&lt;&gt;po_master[[#This Row],[PO Quantity]]), "Qty Variance", "OK")</f>
        <v>OK</v>
      </c>
      <c r="S377" s="1" t="str">
        <f>IF(po_master[[#This Row],[Invoice Unit Price]]&gt;po_master[[#This Row],[PO Unit Price]]*1.01, "Price Variance", "OK")</f>
        <v>Price Variance</v>
      </c>
      <c r="T377" s="1" t="str">
        <f>IF(po_master[[#This Row],[Actual Delivery Date]]&gt;po_master[[#This Row],[Promised Delivey Date]], "Late Delivery", "OK")</f>
        <v>OK</v>
      </c>
      <c r="U377" s="1" t="str">
        <f>IF(COUNTIF(po_master[PO Number],po_master[[#This Row],[PO Number]])&gt;1, "Duplicate Invoice", "OK")</f>
        <v>OK</v>
      </c>
    </row>
    <row r="378" spans="1:21" x14ac:dyDescent="0.25">
      <c r="A378" s="1" t="s">
        <v>335</v>
      </c>
      <c r="B378" s="1" t="s">
        <v>1506</v>
      </c>
      <c r="C378" s="2">
        <v>46160</v>
      </c>
      <c r="D378">
        <v>14</v>
      </c>
      <c r="E378">
        <v>170.2</v>
      </c>
      <c r="F378" s="1" t="s">
        <v>1507</v>
      </c>
      <c r="G378" s="2">
        <v>46169</v>
      </c>
      <c r="H378">
        <v>14</v>
      </c>
      <c r="I378" s="2">
        <v>46171</v>
      </c>
      <c r="J378" s="1" t="s">
        <v>1057</v>
      </c>
      <c r="K378">
        <v>14</v>
      </c>
      <c r="L378">
        <v>170.2</v>
      </c>
      <c r="M378" s="2">
        <v>46173</v>
      </c>
      <c r="N378" t="str">
        <f>IF(po_master[[#This Row],[Approved By]]="", "Missing Approval", "OK")</f>
        <v>OK</v>
      </c>
      <c r="O378" t="str">
        <f>IF(ISBLANK(po_master[[#This Row],[GR Quantity]]), "No GR - Not received", "OK")</f>
        <v>OK</v>
      </c>
      <c r="P378" s="1" t="str">
        <f>IF(po_master[[#This Row],[Promised Delivey Date]]&lt;po_master[[#This Row],[Order Date]], "Invalid", "OK")</f>
        <v>OK</v>
      </c>
      <c r="Q378" s="1" t="str">
        <f>IF(ISBLANK(po_master[[#This Row],[Invoice Number]]), "No Invoice", "OK")</f>
        <v>OK</v>
      </c>
      <c r="R378" s="1" t="str">
        <f>IF(AND(NOT(ISBLANK(po_master[[#This Row],[GR Quantity]])), po_master[[#This Row],[GR Quantity]]&lt;&gt;po_master[[#This Row],[PO Quantity]]), "Qty Variance", "OK")</f>
        <v>OK</v>
      </c>
      <c r="S378" s="1" t="str">
        <f>IF(po_master[[#This Row],[Invoice Unit Price]]&gt;po_master[[#This Row],[PO Unit Price]]*1.01, "Price Variance", "OK")</f>
        <v>OK</v>
      </c>
      <c r="T378" s="1" t="str">
        <f>IF(po_master[[#This Row],[Actual Delivery Date]]&gt;po_master[[#This Row],[Promised Delivey Date]], "Late Delivery", "OK")</f>
        <v>Late Delivery</v>
      </c>
      <c r="U378" s="1" t="str">
        <f>IF(COUNTIF(po_master[PO Number],po_master[[#This Row],[PO Number]])&gt;1, "Duplicate Invoice", "OK")</f>
        <v>OK</v>
      </c>
    </row>
    <row r="379" spans="1:21" x14ac:dyDescent="0.25">
      <c r="A379" s="1" t="s">
        <v>336</v>
      </c>
      <c r="B379" s="1" t="s">
        <v>1470</v>
      </c>
      <c r="C379" s="2">
        <v>46116</v>
      </c>
      <c r="D379">
        <v>401</v>
      </c>
      <c r="E379">
        <v>83.63</v>
      </c>
      <c r="F379" s="1" t="s">
        <v>1462</v>
      </c>
      <c r="G379" s="2">
        <v>46133</v>
      </c>
      <c r="H379">
        <v>401</v>
      </c>
      <c r="I379" s="2">
        <v>46134</v>
      </c>
      <c r="J379" s="1" t="s">
        <v>1058</v>
      </c>
      <c r="K379">
        <v>401</v>
      </c>
      <c r="L379">
        <v>83.63</v>
      </c>
      <c r="M379" s="2">
        <v>46141</v>
      </c>
      <c r="N379" t="str">
        <f>IF(po_master[[#This Row],[Approved By]]="", "Missing Approval", "OK")</f>
        <v>OK</v>
      </c>
      <c r="O379" t="str">
        <f>IF(ISBLANK(po_master[[#This Row],[GR Quantity]]), "No GR - Not received", "OK")</f>
        <v>OK</v>
      </c>
      <c r="P379" s="1" t="str">
        <f>IF(po_master[[#This Row],[Promised Delivey Date]]&lt;po_master[[#This Row],[Order Date]], "Invalid", "OK")</f>
        <v>OK</v>
      </c>
      <c r="Q379" s="1" t="str">
        <f>IF(ISBLANK(po_master[[#This Row],[Invoice Number]]), "No Invoice", "OK")</f>
        <v>OK</v>
      </c>
      <c r="R379" s="1" t="str">
        <f>IF(AND(NOT(ISBLANK(po_master[[#This Row],[GR Quantity]])), po_master[[#This Row],[GR Quantity]]&lt;&gt;po_master[[#This Row],[PO Quantity]]), "Qty Variance", "OK")</f>
        <v>OK</v>
      </c>
      <c r="S379" s="1" t="str">
        <f>IF(po_master[[#This Row],[Invoice Unit Price]]&gt;po_master[[#This Row],[PO Unit Price]]*1.01, "Price Variance", "OK")</f>
        <v>OK</v>
      </c>
      <c r="T379" s="1" t="str">
        <f>IF(po_master[[#This Row],[Actual Delivery Date]]&gt;po_master[[#This Row],[Promised Delivey Date]], "Late Delivery", "OK")</f>
        <v>Late Delivery</v>
      </c>
      <c r="U379" s="1" t="str">
        <f>IF(COUNTIF(po_master[PO Number],po_master[[#This Row],[PO Number]])&gt;1, "Duplicate Invoice", "OK")</f>
        <v>OK</v>
      </c>
    </row>
    <row r="380" spans="1:21" x14ac:dyDescent="0.25">
      <c r="A380" s="1" t="s">
        <v>337</v>
      </c>
      <c r="B380" s="1" t="s">
        <v>1475</v>
      </c>
      <c r="C380" s="2">
        <v>46168</v>
      </c>
      <c r="D380">
        <v>297</v>
      </c>
      <c r="E380">
        <v>42.96</v>
      </c>
      <c r="F380" s="1" t="s">
        <v>1442</v>
      </c>
      <c r="G380" s="2">
        <v>46182</v>
      </c>
      <c r="H380">
        <v>297</v>
      </c>
      <c r="I380" s="2">
        <v>46181</v>
      </c>
      <c r="J380" s="1" t="s">
        <v>1059</v>
      </c>
      <c r="K380">
        <v>297</v>
      </c>
      <c r="L380">
        <v>42.96</v>
      </c>
      <c r="M380" s="2">
        <v>46184</v>
      </c>
      <c r="N380" t="str">
        <f>IF(po_master[[#This Row],[Approved By]]="", "Missing Approval", "OK")</f>
        <v>OK</v>
      </c>
      <c r="O380" t="str">
        <f>IF(ISBLANK(po_master[[#This Row],[GR Quantity]]), "No GR - Not received", "OK")</f>
        <v>OK</v>
      </c>
      <c r="P380" s="1" t="str">
        <f>IF(po_master[[#This Row],[Promised Delivey Date]]&lt;po_master[[#This Row],[Order Date]], "Invalid", "OK")</f>
        <v>OK</v>
      </c>
      <c r="Q380" s="1" t="str">
        <f>IF(ISBLANK(po_master[[#This Row],[Invoice Number]]), "No Invoice", "OK")</f>
        <v>OK</v>
      </c>
      <c r="R380" s="1" t="str">
        <f>IF(AND(NOT(ISBLANK(po_master[[#This Row],[GR Quantity]])), po_master[[#This Row],[GR Quantity]]&lt;&gt;po_master[[#This Row],[PO Quantity]]), "Qty Variance", "OK")</f>
        <v>OK</v>
      </c>
      <c r="S380" s="1" t="str">
        <f>IF(po_master[[#This Row],[Invoice Unit Price]]&gt;po_master[[#This Row],[PO Unit Price]]*1.01, "Price Variance", "OK")</f>
        <v>OK</v>
      </c>
      <c r="T380" s="1" t="str">
        <f>IF(po_master[[#This Row],[Actual Delivery Date]]&gt;po_master[[#This Row],[Promised Delivey Date]], "Late Delivery", "OK")</f>
        <v>OK</v>
      </c>
      <c r="U380" s="1" t="str">
        <f>IF(COUNTIF(po_master[PO Number],po_master[[#This Row],[PO Number]])&gt;1, "Duplicate Invoice", "OK")</f>
        <v>OK</v>
      </c>
    </row>
    <row r="381" spans="1:21" x14ac:dyDescent="0.25">
      <c r="A381" s="1" t="s">
        <v>338</v>
      </c>
      <c r="B381" s="1" t="s">
        <v>1492</v>
      </c>
      <c r="C381" s="2">
        <v>46121</v>
      </c>
      <c r="D381">
        <v>268</v>
      </c>
      <c r="E381">
        <v>92.82</v>
      </c>
      <c r="F381" s="1" t="s">
        <v>1442</v>
      </c>
      <c r="G381" s="2">
        <v>46134</v>
      </c>
      <c r="H381">
        <v>268</v>
      </c>
      <c r="I381" s="2">
        <v>46132</v>
      </c>
      <c r="J381" s="1" t="s">
        <v>1060</v>
      </c>
      <c r="K381">
        <v>268</v>
      </c>
      <c r="L381">
        <v>92.82</v>
      </c>
      <c r="M381" s="2">
        <v>46142</v>
      </c>
      <c r="N381" t="str">
        <f>IF(po_master[[#This Row],[Approved By]]="", "Missing Approval", "OK")</f>
        <v>OK</v>
      </c>
      <c r="O381" t="str">
        <f>IF(ISBLANK(po_master[[#This Row],[GR Quantity]]), "No GR - Not received", "OK")</f>
        <v>OK</v>
      </c>
      <c r="P381" s="1" t="str">
        <f>IF(po_master[[#This Row],[Promised Delivey Date]]&lt;po_master[[#This Row],[Order Date]], "Invalid", "OK")</f>
        <v>OK</v>
      </c>
      <c r="Q381" s="1" t="str">
        <f>IF(ISBLANK(po_master[[#This Row],[Invoice Number]]), "No Invoice", "OK")</f>
        <v>OK</v>
      </c>
      <c r="R381" s="1" t="str">
        <f>IF(AND(NOT(ISBLANK(po_master[[#This Row],[GR Quantity]])), po_master[[#This Row],[GR Quantity]]&lt;&gt;po_master[[#This Row],[PO Quantity]]), "Qty Variance", "OK")</f>
        <v>OK</v>
      </c>
      <c r="S381" s="1" t="str">
        <f>IF(po_master[[#This Row],[Invoice Unit Price]]&gt;po_master[[#This Row],[PO Unit Price]]*1.01, "Price Variance", "OK")</f>
        <v>OK</v>
      </c>
      <c r="T381" s="1" t="str">
        <f>IF(po_master[[#This Row],[Actual Delivery Date]]&gt;po_master[[#This Row],[Promised Delivey Date]], "Late Delivery", "OK")</f>
        <v>OK</v>
      </c>
      <c r="U381" s="1" t="str">
        <f>IF(COUNTIF(po_master[PO Number],po_master[[#This Row],[PO Number]])&gt;1, "Duplicate Invoice", "OK")</f>
        <v>OK</v>
      </c>
    </row>
    <row r="382" spans="1:21" x14ac:dyDescent="0.25">
      <c r="A382" s="1" t="s">
        <v>339</v>
      </c>
      <c r="B382" s="1" t="s">
        <v>1497</v>
      </c>
      <c r="C382" s="2">
        <v>46053</v>
      </c>
      <c r="D382">
        <v>75</v>
      </c>
      <c r="E382">
        <v>195.14</v>
      </c>
      <c r="F382" s="1" t="s">
        <v>1453</v>
      </c>
      <c r="G382" s="2">
        <v>46069</v>
      </c>
      <c r="H382">
        <v>75</v>
      </c>
      <c r="I382" s="2">
        <v>46084</v>
      </c>
      <c r="J382" s="1" t="s">
        <v>1061</v>
      </c>
      <c r="K382">
        <v>75</v>
      </c>
      <c r="L382">
        <v>195.14</v>
      </c>
      <c r="M382" s="2">
        <v>46074</v>
      </c>
      <c r="N382" t="str">
        <f>IF(po_master[[#This Row],[Approved By]]="", "Missing Approval", "OK")</f>
        <v>OK</v>
      </c>
      <c r="O382" t="str">
        <f>IF(ISBLANK(po_master[[#This Row],[GR Quantity]]), "No GR - Not received", "OK")</f>
        <v>OK</v>
      </c>
      <c r="P382" s="1" t="str">
        <f>IF(po_master[[#This Row],[Promised Delivey Date]]&lt;po_master[[#This Row],[Order Date]], "Invalid", "OK")</f>
        <v>OK</v>
      </c>
      <c r="Q382" s="1" t="str">
        <f>IF(ISBLANK(po_master[[#This Row],[Invoice Number]]), "No Invoice", "OK")</f>
        <v>OK</v>
      </c>
      <c r="R382" s="1" t="str">
        <f>IF(AND(NOT(ISBLANK(po_master[[#This Row],[GR Quantity]])), po_master[[#This Row],[GR Quantity]]&lt;&gt;po_master[[#This Row],[PO Quantity]]), "Qty Variance", "OK")</f>
        <v>OK</v>
      </c>
      <c r="S382" s="1" t="str">
        <f>IF(po_master[[#This Row],[Invoice Unit Price]]&gt;po_master[[#This Row],[PO Unit Price]]*1.01, "Price Variance", "OK")</f>
        <v>OK</v>
      </c>
      <c r="T382" s="1" t="str">
        <f>IF(po_master[[#This Row],[Actual Delivery Date]]&gt;po_master[[#This Row],[Promised Delivey Date]], "Late Delivery", "OK")</f>
        <v>Late Delivery</v>
      </c>
      <c r="U382" s="1" t="str">
        <f>IF(COUNTIF(po_master[PO Number],po_master[[#This Row],[PO Number]])&gt;1, "Duplicate Invoice", "OK")</f>
        <v>OK</v>
      </c>
    </row>
    <row r="383" spans="1:21" x14ac:dyDescent="0.25">
      <c r="A383" s="1" t="s">
        <v>340</v>
      </c>
      <c r="B383" s="1" t="s">
        <v>1479</v>
      </c>
      <c r="C383" s="2">
        <v>46165</v>
      </c>
      <c r="D383">
        <v>490</v>
      </c>
      <c r="E383">
        <v>76.290000000000006</v>
      </c>
      <c r="F383" s="1" t="s">
        <v>1485</v>
      </c>
      <c r="G383" s="2">
        <v>46176</v>
      </c>
      <c r="H383">
        <v>507</v>
      </c>
      <c r="I383" s="2">
        <v>46177</v>
      </c>
      <c r="J383" s="1" t="s">
        <v>1062</v>
      </c>
      <c r="K383">
        <v>490</v>
      </c>
      <c r="L383">
        <v>76.290000000000006</v>
      </c>
      <c r="M383" s="2">
        <v>46179</v>
      </c>
      <c r="N383" t="str">
        <f>IF(po_master[[#This Row],[Approved By]]="", "Missing Approval", "OK")</f>
        <v>OK</v>
      </c>
      <c r="O383" t="str">
        <f>IF(ISBLANK(po_master[[#This Row],[GR Quantity]]), "No GR - Not received", "OK")</f>
        <v>OK</v>
      </c>
      <c r="P383" s="1" t="str">
        <f>IF(po_master[[#This Row],[Promised Delivey Date]]&lt;po_master[[#This Row],[Order Date]], "Invalid", "OK")</f>
        <v>OK</v>
      </c>
      <c r="Q383" s="1" t="str">
        <f>IF(ISBLANK(po_master[[#This Row],[Invoice Number]]), "No Invoice", "OK")</f>
        <v>OK</v>
      </c>
      <c r="R383" s="1" t="str">
        <f>IF(AND(NOT(ISBLANK(po_master[[#This Row],[GR Quantity]])), po_master[[#This Row],[GR Quantity]]&lt;&gt;po_master[[#This Row],[PO Quantity]]), "Qty Variance", "OK")</f>
        <v>Qty Variance</v>
      </c>
      <c r="S383" s="1" t="str">
        <f>IF(po_master[[#This Row],[Invoice Unit Price]]&gt;po_master[[#This Row],[PO Unit Price]]*1.01, "Price Variance", "OK")</f>
        <v>OK</v>
      </c>
      <c r="T383" s="1" t="str">
        <f>IF(po_master[[#This Row],[Actual Delivery Date]]&gt;po_master[[#This Row],[Promised Delivey Date]], "Late Delivery", "OK")</f>
        <v>Late Delivery</v>
      </c>
      <c r="U383" s="1" t="str">
        <f>IF(COUNTIF(po_master[PO Number],po_master[[#This Row],[PO Number]])&gt;1, "Duplicate Invoice", "OK")</f>
        <v>OK</v>
      </c>
    </row>
    <row r="384" spans="1:21" x14ac:dyDescent="0.25">
      <c r="A384" s="1" t="s">
        <v>341</v>
      </c>
      <c r="B384" s="1" t="s">
        <v>1468</v>
      </c>
      <c r="C384" s="2">
        <v>46153</v>
      </c>
      <c r="D384">
        <v>215</v>
      </c>
      <c r="E384">
        <v>102.52</v>
      </c>
      <c r="F384" s="1" t="s">
        <v>1462</v>
      </c>
      <c r="G384" s="2">
        <v>46159</v>
      </c>
      <c r="H384">
        <v>215</v>
      </c>
      <c r="I384" s="2">
        <v>46159</v>
      </c>
      <c r="J384" s="1" t="s">
        <v>1063</v>
      </c>
      <c r="K384">
        <v>215</v>
      </c>
      <c r="L384">
        <v>102.52</v>
      </c>
      <c r="M384" s="2">
        <v>46169</v>
      </c>
      <c r="N384" t="str">
        <f>IF(po_master[[#This Row],[Approved By]]="", "Missing Approval", "OK")</f>
        <v>OK</v>
      </c>
      <c r="O384" t="str">
        <f>IF(ISBLANK(po_master[[#This Row],[GR Quantity]]), "No GR - Not received", "OK")</f>
        <v>OK</v>
      </c>
      <c r="P384" s="1" t="str">
        <f>IF(po_master[[#This Row],[Promised Delivey Date]]&lt;po_master[[#This Row],[Order Date]], "Invalid", "OK")</f>
        <v>OK</v>
      </c>
      <c r="Q384" s="1" t="str">
        <f>IF(ISBLANK(po_master[[#This Row],[Invoice Number]]), "No Invoice", "OK")</f>
        <v>OK</v>
      </c>
      <c r="R384" s="1" t="str">
        <f>IF(AND(NOT(ISBLANK(po_master[[#This Row],[GR Quantity]])), po_master[[#This Row],[GR Quantity]]&lt;&gt;po_master[[#This Row],[PO Quantity]]), "Qty Variance", "OK")</f>
        <v>OK</v>
      </c>
      <c r="S384" s="1" t="str">
        <f>IF(po_master[[#This Row],[Invoice Unit Price]]&gt;po_master[[#This Row],[PO Unit Price]]*1.01, "Price Variance", "OK")</f>
        <v>OK</v>
      </c>
      <c r="T384" s="1" t="str">
        <f>IF(po_master[[#This Row],[Actual Delivery Date]]&gt;po_master[[#This Row],[Promised Delivey Date]], "Late Delivery", "OK")</f>
        <v>OK</v>
      </c>
      <c r="U384" s="1" t="str">
        <f>IF(COUNTIF(po_master[PO Number],po_master[[#This Row],[PO Number]])&gt;1, "Duplicate Invoice", "OK")</f>
        <v>OK</v>
      </c>
    </row>
    <row r="385" spans="1:21" x14ac:dyDescent="0.25">
      <c r="A385" s="1" t="s">
        <v>342</v>
      </c>
      <c r="B385" s="1" t="s">
        <v>1468</v>
      </c>
      <c r="C385" s="2">
        <v>46154</v>
      </c>
      <c r="D385">
        <v>81</v>
      </c>
      <c r="E385">
        <v>68.95</v>
      </c>
      <c r="F385" s="1" t="s">
        <v>1494</v>
      </c>
      <c r="G385" s="2">
        <v>46169</v>
      </c>
      <c r="H385">
        <v>81</v>
      </c>
      <c r="I385" s="2">
        <v>46171</v>
      </c>
      <c r="J385" s="1" t="s">
        <v>1066</v>
      </c>
      <c r="K385">
        <v>81</v>
      </c>
      <c r="L385">
        <v>79.62</v>
      </c>
      <c r="M385" s="2">
        <v>46170</v>
      </c>
      <c r="N385" t="str">
        <f>IF(po_master[[#This Row],[Approved By]]="", "Missing Approval", "OK")</f>
        <v>OK</v>
      </c>
      <c r="O385" t="str">
        <f>IF(ISBLANK(po_master[[#This Row],[GR Quantity]]), "No GR - Not received", "OK")</f>
        <v>OK</v>
      </c>
      <c r="P385" s="1" t="str">
        <f>IF(po_master[[#This Row],[Promised Delivey Date]]&lt;po_master[[#This Row],[Order Date]], "Invalid", "OK")</f>
        <v>OK</v>
      </c>
      <c r="Q385" s="1" t="str">
        <f>IF(ISBLANK(po_master[[#This Row],[Invoice Number]]), "No Invoice", "OK")</f>
        <v>OK</v>
      </c>
      <c r="R385" s="1" t="str">
        <f>IF(AND(NOT(ISBLANK(po_master[[#This Row],[GR Quantity]])), po_master[[#This Row],[GR Quantity]]&lt;&gt;po_master[[#This Row],[PO Quantity]]), "Qty Variance", "OK")</f>
        <v>OK</v>
      </c>
      <c r="S385" s="1" t="str">
        <f>IF(po_master[[#This Row],[Invoice Unit Price]]&gt;po_master[[#This Row],[PO Unit Price]]*1.01, "Price Variance", "OK")</f>
        <v>Price Variance</v>
      </c>
      <c r="T385" s="1" t="str">
        <f>IF(po_master[[#This Row],[Actual Delivery Date]]&gt;po_master[[#This Row],[Promised Delivey Date]], "Late Delivery", "OK")</f>
        <v>Late Delivery</v>
      </c>
      <c r="U385" s="1" t="str">
        <f>IF(COUNTIF(po_master[PO Number],po_master[[#This Row],[PO Number]])&gt;1, "Duplicate Invoice", "OK")</f>
        <v>OK</v>
      </c>
    </row>
    <row r="386" spans="1:21" x14ac:dyDescent="0.25">
      <c r="A386" s="1" t="s">
        <v>343</v>
      </c>
      <c r="B386" s="1" t="s">
        <v>1460</v>
      </c>
      <c r="C386" s="2">
        <v>46123</v>
      </c>
      <c r="D386">
        <v>325</v>
      </c>
      <c r="E386">
        <v>149.16999999999999</v>
      </c>
      <c r="F386" s="1" t="s">
        <v>1474</v>
      </c>
      <c r="G386" s="2">
        <v>46138</v>
      </c>
      <c r="H386">
        <v>325</v>
      </c>
      <c r="I386" s="2">
        <v>46152</v>
      </c>
      <c r="J386" s="1" t="s">
        <v>1067</v>
      </c>
      <c r="K386">
        <v>325</v>
      </c>
      <c r="L386">
        <v>149.16999999999999</v>
      </c>
      <c r="M386" s="2">
        <v>46143</v>
      </c>
      <c r="N386" t="str">
        <f>IF(po_master[[#This Row],[Approved By]]="", "Missing Approval", "OK")</f>
        <v>OK</v>
      </c>
      <c r="O386" t="str">
        <f>IF(ISBLANK(po_master[[#This Row],[GR Quantity]]), "No GR - Not received", "OK")</f>
        <v>OK</v>
      </c>
      <c r="P386" s="1" t="str">
        <f>IF(po_master[[#This Row],[Promised Delivey Date]]&lt;po_master[[#This Row],[Order Date]], "Invalid", "OK")</f>
        <v>OK</v>
      </c>
      <c r="Q386" s="1" t="str">
        <f>IF(ISBLANK(po_master[[#This Row],[Invoice Number]]), "No Invoice", "OK")</f>
        <v>OK</v>
      </c>
      <c r="R386" s="1" t="str">
        <f>IF(AND(NOT(ISBLANK(po_master[[#This Row],[GR Quantity]])), po_master[[#This Row],[GR Quantity]]&lt;&gt;po_master[[#This Row],[PO Quantity]]), "Qty Variance", "OK")</f>
        <v>OK</v>
      </c>
      <c r="S386" s="1" t="str">
        <f>IF(po_master[[#This Row],[Invoice Unit Price]]&gt;po_master[[#This Row],[PO Unit Price]]*1.01, "Price Variance", "OK")</f>
        <v>OK</v>
      </c>
      <c r="T386" s="1" t="str">
        <f>IF(po_master[[#This Row],[Actual Delivery Date]]&gt;po_master[[#This Row],[Promised Delivey Date]], "Late Delivery", "OK")</f>
        <v>Late Delivery</v>
      </c>
      <c r="U386" s="1" t="str">
        <f>IF(COUNTIF(po_master[PO Number],po_master[[#This Row],[PO Number]])&gt;1, "Duplicate Invoice", "OK")</f>
        <v>OK</v>
      </c>
    </row>
    <row r="387" spans="1:21" x14ac:dyDescent="0.25">
      <c r="A387" s="1" t="s">
        <v>344</v>
      </c>
      <c r="B387" s="1" t="s">
        <v>1445</v>
      </c>
      <c r="C387" s="2">
        <v>46153</v>
      </c>
      <c r="D387">
        <v>282</v>
      </c>
      <c r="E387">
        <v>100.52</v>
      </c>
      <c r="F387" s="1" t="s">
        <v>1480</v>
      </c>
      <c r="G387" s="2">
        <v>46167</v>
      </c>
      <c r="H387">
        <v>282</v>
      </c>
      <c r="I387" s="2">
        <v>46167</v>
      </c>
      <c r="J387" s="1" t="s">
        <v>1068</v>
      </c>
      <c r="K387">
        <v>282</v>
      </c>
      <c r="L387">
        <v>100.52</v>
      </c>
      <c r="M387" s="2">
        <v>46169</v>
      </c>
      <c r="N387" t="str">
        <f>IF(po_master[[#This Row],[Approved By]]="", "Missing Approval", "OK")</f>
        <v>OK</v>
      </c>
      <c r="O387" t="str">
        <f>IF(ISBLANK(po_master[[#This Row],[GR Quantity]]), "No GR - Not received", "OK")</f>
        <v>OK</v>
      </c>
      <c r="P387" s="1" t="str">
        <f>IF(po_master[[#This Row],[Promised Delivey Date]]&lt;po_master[[#This Row],[Order Date]], "Invalid", "OK")</f>
        <v>OK</v>
      </c>
      <c r="Q387" s="1" t="str">
        <f>IF(ISBLANK(po_master[[#This Row],[Invoice Number]]), "No Invoice", "OK")</f>
        <v>OK</v>
      </c>
      <c r="R387" s="1" t="str">
        <f>IF(AND(NOT(ISBLANK(po_master[[#This Row],[GR Quantity]])), po_master[[#This Row],[GR Quantity]]&lt;&gt;po_master[[#This Row],[PO Quantity]]), "Qty Variance", "OK")</f>
        <v>OK</v>
      </c>
      <c r="S387" s="1" t="str">
        <f>IF(po_master[[#This Row],[Invoice Unit Price]]&gt;po_master[[#This Row],[PO Unit Price]]*1.01, "Price Variance", "OK")</f>
        <v>OK</v>
      </c>
      <c r="T387" s="1" t="str">
        <f>IF(po_master[[#This Row],[Actual Delivery Date]]&gt;po_master[[#This Row],[Promised Delivey Date]], "Late Delivery", "OK")</f>
        <v>OK</v>
      </c>
      <c r="U387" s="1" t="str">
        <f>IF(COUNTIF(po_master[PO Number],po_master[[#This Row],[PO Number]])&gt;1, "Duplicate Invoice", "OK")</f>
        <v>OK</v>
      </c>
    </row>
    <row r="388" spans="1:21" x14ac:dyDescent="0.25">
      <c r="A388" s="1" t="s">
        <v>345</v>
      </c>
      <c r="B388" s="1" t="s">
        <v>1510</v>
      </c>
      <c r="C388" s="2">
        <v>46027</v>
      </c>
      <c r="D388">
        <v>198</v>
      </c>
      <c r="E388">
        <v>69.59</v>
      </c>
      <c r="F388" s="1" t="s">
        <v>1483</v>
      </c>
      <c r="G388" s="2">
        <v>46045</v>
      </c>
      <c r="H388">
        <v>207</v>
      </c>
      <c r="I388" s="2">
        <v>46044</v>
      </c>
      <c r="J388" s="1" t="s">
        <v>1069</v>
      </c>
      <c r="K388">
        <v>198</v>
      </c>
      <c r="L388">
        <v>69.59</v>
      </c>
      <c r="M388" s="2">
        <v>46049</v>
      </c>
      <c r="N388" t="str">
        <f>IF(po_master[[#This Row],[Approved By]]="", "Missing Approval", "OK")</f>
        <v>OK</v>
      </c>
      <c r="O388" t="str">
        <f>IF(ISBLANK(po_master[[#This Row],[GR Quantity]]), "No GR - Not received", "OK")</f>
        <v>OK</v>
      </c>
      <c r="P388" s="1" t="str">
        <f>IF(po_master[[#This Row],[Promised Delivey Date]]&lt;po_master[[#This Row],[Order Date]], "Invalid", "OK")</f>
        <v>OK</v>
      </c>
      <c r="Q388" s="1" t="str">
        <f>IF(ISBLANK(po_master[[#This Row],[Invoice Number]]), "No Invoice", "OK")</f>
        <v>OK</v>
      </c>
      <c r="R388" s="1" t="str">
        <f>IF(AND(NOT(ISBLANK(po_master[[#This Row],[GR Quantity]])), po_master[[#This Row],[GR Quantity]]&lt;&gt;po_master[[#This Row],[PO Quantity]]), "Qty Variance", "OK")</f>
        <v>Qty Variance</v>
      </c>
      <c r="S388" s="1" t="str">
        <f>IF(po_master[[#This Row],[Invoice Unit Price]]&gt;po_master[[#This Row],[PO Unit Price]]*1.01, "Price Variance", "OK")</f>
        <v>OK</v>
      </c>
      <c r="T388" s="1" t="str">
        <f>IF(po_master[[#This Row],[Actual Delivery Date]]&gt;po_master[[#This Row],[Promised Delivey Date]], "Late Delivery", "OK")</f>
        <v>OK</v>
      </c>
      <c r="U388" s="1" t="str">
        <f>IF(COUNTIF(po_master[PO Number],po_master[[#This Row],[PO Number]])&gt;1, "Duplicate Invoice", "OK")</f>
        <v>OK</v>
      </c>
    </row>
    <row r="389" spans="1:21" x14ac:dyDescent="0.25">
      <c r="A389" s="1" t="s">
        <v>346</v>
      </c>
      <c r="B389" s="1" t="s">
        <v>1443</v>
      </c>
      <c r="C389" s="2">
        <v>46101</v>
      </c>
      <c r="D389">
        <v>417</v>
      </c>
      <c r="E389">
        <v>180.26</v>
      </c>
      <c r="F389" s="1" t="s">
        <v>1499</v>
      </c>
      <c r="G389" s="2">
        <v>46106</v>
      </c>
      <c r="H389">
        <v>417</v>
      </c>
      <c r="I389" s="2">
        <v>46104</v>
      </c>
      <c r="J389" s="1" t="s">
        <v>1070</v>
      </c>
      <c r="K389">
        <v>417</v>
      </c>
      <c r="L389">
        <v>180.26</v>
      </c>
      <c r="M389" s="2">
        <v>46115</v>
      </c>
      <c r="N389" t="str">
        <f>IF(po_master[[#This Row],[Approved By]]="", "Missing Approval", "OK")</f>
        <v>OK</v>
      </c>
      <c r="O389" t="str">
        <f>IF(ISBLANK(po_master[[#This Row],[GR Quantity]]), "No GR - Not received", "OK")</f>
        <v>OK</v>
      </c>
      <c r="P389" s="1" t="str">
        <f>IF(po_master[[#This Row],[Promised Delivey Date]]&lt;po_master[[#This Row],[Order Date]], "Invalid", "OK")</f>
        <v>OK</v>
      </c>
      <c r="Q389" s="1" t="str">
        <f>IF(ISBLANK(po_master[[#This Row],[Invoice Number]]), "No Invoice", "OK")</f>
        <v>OK</v>
      </c>
      <c r="R389" s="1" t="str">
        <f>IF(AND(NOT(ISBLANK(po_master[[#This Row],[GR Quantity]])), po_master[[#This Row],[GR Quantity]]&lt;&gt;po_master[[#This Row],[PO Quantity]]), "Qty Variance", "OK")</f>
        <v>OK</v>
      </c>
      <c r="S389" s="1" t="str">
        <f>IF(po_master[[#This Row],[Invoice Unit Price]]&gt;po_master[[#This Row],[PO Unit Price]]*1.01, "Price Variance", "OK")</f>
        <v>OK</v>
      </c>
      <c r="T389" s="1" t="str">
        <f>IF(po_master[[#This Row],[Actual Delivery Date]]&gt;po_master[[#This Row],[Promised Delivey Date]], "Late Delivery", "OK")</f>
        <v>OK</v>
      </c>
      <c r="U389" s="1" t="str">
        <f>IF(COUNTIF(po_master[PO Number],po_master[[#This Row],[PO Number]])&gt;1, "Duplicate Invoice", "OK")</f>
        <v>OK</v>
      </c>
    </row>
    <row r="390" spans="1:21" x14ac:dyDescent="0.25">
      <c r="A390" s="1" t="s">
        <v>347</v>
      </c>
      <c r="B390" s="1" t="s">
        <v>1468</v>
      </c>
      <c r="C390" s="2">
        <v>46144</v>
      </c>
      <c r="D390">
        <v>145</v>
      </c>
      <c r="E390">
        <v>193.58</v>
      </c>
      <c r="F390" s="1" t="s">
        <v>1456</v>
      </c>
      <c r="G390" s="2">
        <v>46156</v>
      </c>
      <c r="H390">
        <v>145</v>
      </c>
      <c r="I390" s="2">
        <v>46157</v>
      </c>
      <c r="J390" s="1" t="s">
        <v>1071</v>
      </c>
      <c r="K390">
        <v>145</v>
      </c>
      <c r="L390">
        <v>193.58</v>
      </c>
      <c r="M390" s="2">
        <v>46158</v>
      </c>
      <c r="N390" t="str">
        <f>IF(po_master[[#This Row],[Approved By]]="", "Missing Approval", "OK")</f>
        <v>OK</v>
      </c>
      <c r="O390" t="str">
        <f>IF(ISBLANK(po_master[[#This Row],[GR Quantity]]), "No GR - Not received", "OK")</f>
        <v>OK</v>
      </c>
      <c r="P390" s="1" t="str">
        <f>IF(po_master[[#This Row],[Promised Delivey Date]]&lt;po_master[[#This Row],[Order Date]], "Invalid", "OK")</f>
        <v>OK</v>
      </c>
      <c r="Q390" s="1" t="str">
        <f>IF(ISBLANK(po_master[[#This Row],[Invoice Number]]), "No Invoice", "OK")</f>
        <v>OK</v>
      </c>
      <c r="R390" s="1" t="str">
        <f>IF(AND(NOT(ISBLANK(po_master[[#This Row],[GR Quantity]])), po_master[[#This Row],[GR Quantity]]&lt;&gt;po_master[[#This Row],[PO Quantity]]), "Qty Variance", "OK")</f>
        <v>OK</v>
      </c>
      <c r="S390" s="1" t="str">
        <f>IF(po_master[[#This Row],[Invoice Unit Price]]&gt;po_master[[#This Row],[PO Unit Price]]*1.01, "Price Variance", "OK")</f>
        <v>OK</v>
      </c>
      <c r="T390" s="1" t="str">
        <f>IF(po_master[[#This Row],[Actual Delivery Date]]&gt;po_master[[#This Row],[Promised Delivey Date]], "Late Delivery", "OK")</f>
        <v>Late Delivery</v>
      </c>
      <c r="U390" s="1" t="str">
        <f>IF(COUNTIF(po_master[PO Number],po_master[[#This Row],[PO Number]])&gt;1, "Duplicate Invoice", "OK")</f>
        <v>OK</v>
      </c>
    </row>
    <row r="391" spans="1:21" x14ac:dyDescent="0.25">
      <c r="A391" s="1" t="s">
        <v>348</v>
      </c>
      <c r="B391" s="1" t="s">
        <v>1477</v>
      </c>
      <c r="C391" s="2">
        <v>46036</v>
      </c>
      <c r="D391">
        <v>308</v>
      </c>
      <c r="E391">
        <v>98.69</v>
      </c>
      <c r="F391" s="1" t="s">
        <v>1504</v>
      </c>
      <c r="G391" s="2">
        <v>46053</v>
      </c>
      <c r="H391">
        <v>308</v>
      </c>
      <c r="I391" s="2">
        <v>46052</v>
      </c>
      <c r="J391" s="1" t="s">
        <v>1072</v>
      </c>
      <c r="K391">
        <v>308</v>
      </c>
      <c r="L391">
        <v>98.69</v>
      </c>
      <c r="M391" s="2">
        <v>46060</v>
      </c>
      <c r="N391" t="str">
        <f>IF(po_master[[#This Row],[Approved By]]="", "Missing Approval", "OK")</f>
        <v>OK</v>
      </c>
      <c r="O391" t="str">
        <f>IF(ISBLANK(po_master[[#This Row],[GR Quantity]]), "No GR - Not received", "OK")</f>
        <v>OK</v>
      </c>
      <c r="P391" s="1" t="str">
        <f>IF(po_master[[#This Row],[Promised Delivey Date]]&lt;po_master[[#This Row],[Order Date]], "Invalid", "OK")</f>
        <v>OK</v>
      </c>
      <c r="Q391" s="1" t="str">
        <f>IF(ISBLANK(po_master[[#This Row],[Invoice Number]]), "No Invoice", "OK")</f>
        <v>OK</v>
      </c>
      <c r="R391" s="1" t="str">
        <f>IF(AND(NOT(ISBLANK(po_master[[#This Row],[GR Quantity]])), po_master[[#This Row],[GR Quantity]]&lt;&gt;po_master[[#This Row],[PO Quantity]]), "Qty Variance", "OK")</f>
        <v>OK</v>
      </c>
      <c r="S391" s="1" t="str">
        <f>IF(po_master[[#This Row],[Invoice Unit Price]]&gt;po_master[[#This Row],[PO Unit Price]]*1.01, "Price Variance", "OK")</f>
        <v>OK</v>
      </c>
      <c r="T391" s="1" t="str">
        <f>IF(po_master[[#This Row],[Actual Delivery Date]]&gt;po_master[[#This Row],[Promised Delivey Date]], "Late Delivery", "OK")</f>
        <v>OK</v>
      </c>
      <c r="U391" s="1" t="str">
        <f>IF(COUNTIF(po_master[PO Number],po_master[[#This Row],[PO Number]])&gt;1, "Duplicate Invoice", "OK")</f>
        <v>OK</v>
      </c>
    </row>
    <row r="392" spans="1:21" x14ac:dyDescent="0.25">
      <c r="A392" s="1" t="s">
        <v>349</v>
      </c>
      <c r="B392" s="1" t="s">
        <v>1464</v>
      </c>
      <c r="C392" s="2">
        <v>46085</v>
      </c>
      <c r="D392">
        <v>26</v>
      </c>
      <c r="E392">
        <v>116.65</v>
      </c>
      <c r="F392" s="1" t="s">
        <v>1499</v>
      </c>
      <c r="G392" s="2">
        <v>46093</v>
      </c>
      <c r="H392">
        <v>26</v>
      </c>
      <c r="I392" s="2">
        <v>46093</v>
      </c>
      <c r="J392" s="1" t="s">
        <v>1073</v>
      </c>
      <c r="K392">
        <v>26</v>
      </c>
      <c r="L392">
        <v>116.65</v>
      </c>
      <c r="M392" s="2">
        <v>46102</v>
      </c>
      <c r="N392" t="str">
        <f>IF(po_master[[#This Row],[Approved By]]="", "Missing Approval", "OK")</f>
        <v>OK</v>
      </c>
      <c r="O392" t="str">
        <f>IF(ISBLANK(po_master[[#This Row],[GR Quantity]]), "No GR - Not received", "OK")</f>
        <v>OK</v>
      </c>
      <c r="P392" s="1" t="str">
        <f>IF(po_master[[#This Row],[Promised Delivey Date]]&lt;po_master[[#This Row],[Order Date]], "Invalid", "OK")</f>
        <v>OK</v>
      </c>
      <c r="Q392" s="1" t="str">
        <f>IF(ISBLANK(po_master[[#This Row],[Invoice Number]]), "No Invoice", "OK")</f>
        <v>OK</v>
      </c>
      <c r="R392" s="1" t="str">
        <f>IF(AND(NOT(ISBLANK(po_master[[#This Row],[GR Quantity]])), po_master[[#This Row],[GR Quantity]]&lt;&gt;po_master[[#This Row],[PO Quantity]]), "Qty Variance", "OK")</f>
        <v>OK</v>
      </c>
      <c r="S392" s="1" t="str">
        <f>IF(po_master[[#This Row],[Invoice Unit Price]]&gt;po_master[[#This Row],[PO Unit Price]]*1.01, "Price Variance", "OK")</f>
        <v>OK</v>
      </c>
      <c r="T392" s="1" t="str">
        <f>IF(po_master[[#This Row],[Actual Delivery Date]]&gt;po_master[[#This Row],[Promised Delivey Date]], "Late Delivery", "OK")</f>
        <v>OK</v>
      </c>
      <c r="U392" s="1" t="str">
        <f>IF(COUNTIF(po_master[PO Number],po_master[[#This Row],[PO Number]])&gt;1, "Duplicate Invoice", "OK")</f>
        <v>OK</v>
      </c>
    </row>
    <row r="393" spans="1:21" x14ac:dyDescent="0.25">
      <c r="A393" s="1" t="s">
        <v>350</v>
      </c>
      <c r="B393" s="1" t="s">
        <v>1505</v>
      </c>
      <c r="C393" s="2">
        <v>46027</v>
      </c>
      <c r="D393">
        <v>235</v>
      </c>
      <c r="E393">
        <v>66.17</v>
      </c>
      <c r="F393" s="1" t="s">
        <v>1485</v>
      </c>
      <c r="G393" s="2">
        <v>46045</v>
      </c>
      <c r="H393">
        <v>235</v>
      </c>
      <c r="I393" s="2">
        <v>46044</v>
      </c>
      <c r="J393" s="1" t="s">
        <v>1074</v>
      </c>
      <c r="K393">
        <v>235</v>
      </c>
      <c r="L393">
        <v>75.819999999999993</v>
      </c>
      <c r="M393" s="2">
        <v>46053</v>
      </c>
      <c r="N393" t="str">
        <f>IF(po_master[[#This Row],[Approved By]]="", "Missing Approval", "OK")</f>
        <v>OK</v>
      </c>
      <c r="O393" t="str">
        <f>IF(ISBLANK(po_master[[#This Row],[GR Quantity]]), "No GR - Not received", "OK")</f>
        <v>OK</v>
      </c>
      <c r="P393" s="1" t="str">
        <f>IF(po_master[[#This Row],[Promised Delivey Date]]&lt;po_master[[#This Row],[Order Date]], "Invalid", "OK")</f>
        <v>OK</v>
      </c>
      <c r="Q393" s="1" t="str">
        <f>IF(ISBLANK(po_master[[#This Row],[Invoice Number]]), "No Invoice", "OK")</f>
        <v>OK</v>
      </c>
      <c r="R393" s="1" t="str">
        <f>IF(AND(NOT(ISBLANK(po_master[[#This Row],[GR Quantity]])), po_master[[#This Row],[GR Quantity]]&lt;&gt;po_master[[#This Row],[PO Quantity]]), "Qty Variance", "OK")</f>
        <v>OK</v>
      </c>
      <c r="S393" s="1" t="str">
        <f>IF(po_master[[#This Row],[Invoice Unit Price]]&gt;po_master[[#This Row],[PO Unit Price]]*1.01, "Price Variance", "OK")</f>
        <v>Price Variance</v>
      </c>
      <c r="T393" s="1" t="str">
        <f>IF(po_master[[#This Row],[Actual Delivery Date]]&gt;po_master[[#This Row],[Promised Delivey Date]], "Late Delivery", "OK")</f>
        <v>OK</v>
      </c>
      <c r="U393" s="1" t="str">
        <f>IF(COUNTIF(po_master[PO Number],po_master[[#This Row],[PO Number]])&gt;1, "Duplicate Invoice", "OK")</f>
        <v>OK</v>
      </c>
    </row>
    <row r="394" spans="1:21" x14ac:dyDescent="0.25">
      <c r="A394" s="1" t="s">
        <v>351</v>
      </c>
      <c r="B394" s="1" t="s">
        <v>1449</v>
      </c>
      <c r="C394" s="2">
        <v>46075</v>
      </c>
      <c r="D394">
        <v>220</v>
      </c>
      <c r="E394">
        <v>102.85</v>
      </c>
      <c r="F394" s="1" t="s">
        <v>1494</v>
      </c>
      <c r="G394" s="2">
        <v>46095</v>
      </c>
      <c r="H394">
        <v>220</v>
      </c>
      <c r="I394" s="2">
        <v>46096</v>
      </c>
      <c r="J394" s="1" t="s">
        <v>1075</v>
      </c>
      <c r="K394">
        <v>220</v>
      </c>
      <c r="L394">
        <v>102.85</v>
      </c>
      <c r="M394" s="2">
        <v>46099</v>
      </c>
      <c r="N394" t="str">
        <f>IF(po_master[[#This Row],[Approved By]]="", "Missing Approval", "OK")</f>
        <v>OK</v>
      </c>
      <c r="O394" t="str">
        <f>IF(ISBLANK(po_master[[#This Row],[GR Quantity]]), "No GR - Not received", "OK")</f>
        <v>OK</v>
      </c>
      <c r="P394" s="1" t="str">
        <f>IF(po_master[[#This Row],[Promised Delivey Date]]&lt;po_master[[#This Row],[Order Date]], "Invalid", "OK")</f>
        <v>OK</v>
      </c>
      <c r="Q394" s="1" t="str">
        <f>IF(ISBLANK(po_master[[#This Row],[Invoice Number]]), "No Invoice", "OK")</f>
        <v>OK</v>
      </c>
      <c r="R394" s="1" t="str">
        <f>IF(AND(NOT(ISBLANK(po_master[[#This Row],[GR Quantity]])), po_master[[#This Row],[GR Quantity]]&lt;&gt;po_master[[#This Row],[PO Quantity]]), "Qty Variance", "OK")</f>
        <v>OK</v>
      </c>
      <c r="S394" s="1" t="str">
        <f>IF(po_master[[#This Row],[Invoice Unit Price]]&gt;po_master[[#This Row],[PO Unit Price]]*1.01, "Price Variance", "OK")</f>
        <v>OK</v>
      </c>
      <c r="T394" s="1" t="str">
        <f>IF(po_master[[#This Row],[Actual Delivery Date]]&gt;po_master[[#This Row],[Promised Delivey Date]], "Late Delivery", "OK")</f>
        <v>Late Delivery</v>
      </c>
      <c r="U394" s="1" t="str">
        <f>IF(COUNTIF(po_master[PO Number],po_master[[#This Row],[PO Number]])&gt;1, "Duplicate Invoice", "OK")</f>
        <v>OK</v>
      </c>
    </row>
    <row r="395" spans="1:21" x14ac:dyDescent="0.25">
      <c r="A395" s="1" t="s">
        <v>352</v>
      </c>
      <c r="B395" s="1" t="s">
        <v>1465</v>
      </c>
      <c r="C395" s="2">
        <v>46038</v>
      </c>
      <c r="D395">
        <v>371</v>
      </c>
      <c r="E395">
        <v>31.93</v>
      </c>
      <c r="F395" s="1" t="s">
        <v>1444</v>
      </c>
      <c r="G395" s="2">
        <v>46053</v>
      </c>
      <c r="H395">
        <v>371</v>
      </c>
      <c r="I395" s="2">
        <v>46052</v>
      </c>
      <c r="J395" s="1" t="s">
        <v>1076</v>
      </c>
      <c r="K395">
        <v>371</v>
      </c>
      <c r="L395">
        <v>34.08</v>
      </c>
      <c r="M395" s="2">
        <v>46056</v>
      </c>
      <c r="N395" t="str">
        <f>IF(po_master[[#This Row],[Approved By]]="", "Missing Approval", "OK")</f>
        <v>OK</v>
      </c>
      <c r="O395" t="str">
        <f>IF(ISBLANK(po_master[[#This Row],[GR Quantity]]), "No GR - Not received", "OK")</f>
        <v>OK</v>
      </c>
      <c r="P395" s="1" t="str">
        <f>IF(po_master[[#This Row],[Promised Delivey Date]]&lt;po_master[[#This Row],[Order Date]], "Invalid", "OK")</f>
        <v>OK</v>
      </c>
      <c r="Q395" s="1" t="str">
        <f>IF(ISBLANK(po_master[[#This Row],[Invoice Number]]), "No Invoice", "OK")</f>
        <v>OK</v>
      </c>
      <c r="R395" s="1" t="str">
        <f>IF(AND(NOT(ISBLANK(po_master[[#This Row],[GR Quantity]])), po_master[[#This Row],[GR Quantity]]&lt;&gt;po_master[[#This Row],[PO Quantity]]), "Qty Variance", "OK")</f>
        <v>OK</v>
      </c>
      <c r="S395" s="1" t="str">
        <f>IF(po_master[[#This Row],[Invoice Unit Price]]&gt;po_master[[#This Row],[PO Unit Price]]*1.01, "Price Variance", "OK")</f>
        <v>Price Variance</v>
      </c>
      <c r="T395" s="1" t="str">
        <f>IF(po_master[[#This Row],[Actual Delivery Date]]&gt;po_master[[#This Row],[Promised Delivey Date]], "Late Delivery", "OK")</f>
        <v>OK</v>
      </c>
      <c r="U395" s="1" t="str">
        <f>IF(COUNTIF(po_master[PO Number],po_master[[#This Row],[PO Number]])&gt;1, "Duplicate Invoice", "OK")</f>
        <v>OK</v>
      </c>
    </row>
    <row r="396" spans="1:21" x14ac:dyDescent="0.25">
      <c r="A396" s="1" t="s">
        <v>353</v>
      </c>
      <c r="B396" s="1" t="s">
        <v>1484</v>
      </c>
      <c r="C396" s="2">
        <v>46145</v>
      </c>
      <c r="D396">
        <v>279</v>
      </c>
      <c r="E396">
        <v>78.48</v>
      </c>
      <c r="F396" s="1" t="s">
        <v>1501</v>
      </c>
      <c r="G396" s="2">
        <v>46164</v>
      </c>
      <c r="H396">
        <v>283</v>
      </c>
      <c r="I396" s="2">
        <v>46162</v>
      </c>
      <c r="J396" s="1" t="s">
        <v>1077</v>
      </c>
      <c r="K396">
        <v>279</v>
      </c>
      <c r="L396">
        <v>78.48</v>
      </c>
      <c r="M396" s="2">
        <v>46172</v>
      </c>
      <c r="N396" t="str">
        <f>IF(po_master[[#This Row],[Approved By]]="", "Missing Approval", "OK")</f>
        <v>OK</v>
      </c>
      <c r="O396" t="str">
        <f>IF(ISBLANK(po_master[[#This Row],[GR Quantity]]), "No GR - Not received", "OK")</f>
        <v>OK</v>
      </c>
      <c r="P396" s="1" t="str">
        <f>IF(po_master[[#This Row],[Promised Delivey Date]]&lt;po_master[[#This Row],[Order Date]], "Invalid", "OK")</f>
        <v>OK</v>
      </c>
      <c r="Q396" s="1" t="str">
        <f>IF(ISBLANK(po_master[[#This Row],[Invoice Number]]), "No Invoice", "OK")</f>
        <v>OK</v>
      </c>
      <c r="R396" s="1" t="str">
        <f>IF(AND(NOT(ISBLANK(po_master[[#This Row],[GR Quantity]])), po_master[[#This Row],[GR Quantity]]&lt;&gt;po_master[[#This Row],[PO Quantity]]), "Qty Variance", "OK")</f>
        <v>Qty Variance</v>
      </c>
      <c r="S396" s="1" t="str">
        <f>IF(po_master[[#This Row],[Invoice Unit Price]]&gt;po_master[[#This Row],[PO Unit Price]]*1.01, "Price Variance", "OK")</f>
        <v>OK</v>
      </c>
      <c r="T396" s="1" t="str">
        <f>IF(po_master[[#This Row],[Actual Delivery Date]]&gt;po_master[[#This Row],[Promised Delivey Date]], "Late Delivery", "OK")</f>
        <v>OK</v>
      </c>
      <c r="U396" s="1" t="str">
        <f>IF(COUNTIF(po_master[PO Number],po_master[[#This Row],[PO Number]])&gt;1, "Duplicate Invoice", "OK")</f>
        <v>OK</v>
      </c>
    </row>
    <row r="397" spans="1:21" x14ac:dyDescent="0.25">
      <c r="A397" s="1" t="s">
        <v>354</v>
      </c>
      <c r="B397" s="1" t="s">
        <v>1471</v>
      </c>
      <c r="C397" s="2">
        <v>46110</v>
      </c>
      <c r="D397">
        <v>289</v>
      </c>
      <c r="E397">
        <v>74.09</v>
      </c>
      <c r="F397" s="1" t="s">
        <v>1456</v>
      </c>
      <c r="G397" s="2">
        <v>46123</v>
      </c>
      <c r="H397">
        <v>289</v>
      </c>
      <c r="I397" s="2">
        <v>46125</v>
      </c>
      <c r="J397" s="1" t="s">
        <v>1078</v>
      </c>
      <c r="K397">
        <v>289</v>
      </c>
      <c r="L397">
        <v>85.1</v>
      </c>
      <c r="M397" s="2">
        <v>46131</v>
      </c>
      <c r="N397" t="str">
        <f>IF(po_master[[#This Row],[Approved By]]="", "Missing Approval", "OK")</f>
        <v>OK</v>
      </c>
      <c r="O397" t="str">
        <f>IF(ISBLANK(po_master[[#This Row],[GR Quantity]]), "No GR - Not received", "OK")</f>
        <v>OK</v>
      </c>
      <c r="P397" s="1" t="str">
        <f>IF(po_master[[#This Row],[Promised Delivey Date]]&lt;po_master[[#This Row],[Order Date]], "Invalid", "OK")</f>
        <v>OK</v>
      </c>
      <c r="Q397" s="1" t="str">
        <f>IF(ISBLANK(po_master[[#This Row],[Invoice Number]]), "No Invoice", "OK")</f>
        <v>OK</v>
      </c>
      <c r="R397" s="1" t="str">
        <f>IF(AND(NOT(ISBLANK(po_master[[#This Row],[GR Quantity]])), po_master[[#This Row],[GR Quantity]]&lt;&gt;po_master[[#This Row],[PO Quantity]]), "Qty Variance", "OK")</f>
        <v>OK</v>
      </c>
      <c r="S397" s="1" t="str">
        <f>IF(po_master[[#This Row],[Invoice Unit Price]]&gt;po_master[[#This Row],[PO Unit Price]]*1.01, "Price Variance", "OK")</f>
        <v>Price Variance</v>
      </c>
      <c r="T397" s="1" t="str">
        <f>IF(po_master[[#This Row],[Actual Delivery Date]]&gt;po_master[[#This Row],[Promised Delivey Date]], "Late Delivery", "OK")</f>
        <v>Late Delivery</v>
      </c>
      <c r="U397" s="1" t="str">
        <f>IF(COUNTIF(po_master[PO Number],po_master[[#This Row],[PO Number]])&gt;1, "Duplicate Invoice", "OK")</f>
        <v>OK</v>
      </c>
    </row>
    <row r="398" spans="1:21" x14ac:dyDescent="0.25">
      <c r="A398" s="1" t="s">
        <v>355</v>
      </c>
      <c r="B398" s="1" t="s">
        <v>1497</v>
      </c>
      <c r="C398" s="2">
        <v>46146</v>
      </c>
      <c r="D398">
        <v>108</v>
      </c>
      <c r="E398">
        <v>191.68</v>
      </c>
      <c r="F398" s="1" t="s">
        <v>1458</v>
      </c>
      <c r="G398" s="2">
        <v>46160</v>
      </c>
      <c r="H398">
        <v>108</v>
      </c>
      <c r="I398" s="2">
        <v>46178</v>
      </c>
      <c r="J398" s="1" t="s">
        <v>1079</v>
      </c>
      <c r="K398">
        <v>108</v>
      </c>
      <c r="L398">
        <v>191.68</v>
      </c>
      <c r="M398" s="2">
        <v>46163</v>
      </c>
      <c r="N398" t="str">
        <f>IF(po_master[[#This Row],[Approved By]]="", "Missing Approval", "OK")</f>
        <v>OK</v>
      </c>
      <c r="O398" t="str">
        <f>IF(ISBLANK(po_master[[#This Row],[GR Quantity]]), "No GR - Not received", "OK")</f>
        <v>OK</v>
      </c>
      <c r="P398" s="1" t="str">
        <f>IF(po_master[[#This Row],[Promised Delivey Date]]&lt;po_master[[#This Row],[Order Date]], "Invalid", "OK")</f>
        <v>OK</v>
      </c>
      <c r="Q398" s="1" t="str">
        <f>IF(ISBLANK(po_master[[#This Row],[Invoice Number]]), "No Invoice", "OK")</f>
        <v>OK</v>
      </c>
      <c r="R398" s="1" t="str">
        <f>IF(AND(NOT(ISBLANK(po_master[[#This Row],[GR Quantity]])), po_master[[#This Row],[GR Quantity]]&lt;&gt;po_master[[#This Row],[PO Quantity]]), "Qty Variance", "OK")</f>
        <v>OK</v>
      </c>
      <c r="S398" s="1" t="str">
        <f>IF(po_master[[#This Row],[Invoice Unit Price]]&gt;po_master[[#This Row],[PO Unit Price]]*1.01, "Price Variance", "OK")</f>
        <v>OK</v>
      </c>
      <c r="T398" s="1" t="str">
        <f>IF(po_master[[#This Row],[Actual Delivery Date]]&gt;po_master[[#This Row],[Promised Delivey Date]], "Late Delivery", "OK")</f>
        <v>Late Delivery</v>
      </c>
      <c r="U398" s="1" t="str">
        <f>IF(COUNTIF(po_master[PO Number],po_master[[#This Row],[PO Number]])&gt;1, "Duplicate Invoice", "OK")</f>
        <v>OK</v>
      </c>
    </row>
    <row r="399" spans="1:21" x14ac:dyDescent="0.25">
      <c r="A399" s="1" t="s">
        <v>356</v>
      </c>
      <c r="B399" s="1" t="s">
        <v>1509</v>
      </c>
      <c r="C399" s="2">
        <v>46145</v>
      </c>
      <c r="D399">
        <v>188</v>
      </c>
      <c r="E399">
        <v>114.3</v>
      </c>
      <c r="F399" s="1" t="s">
        <v>1490</v>
      </c>
      <c r="G399" s="2">
        <v>46158</v>
      </c>
      <c r="H399">
        <v>188</v>
      </c>
      <c r="I399" s="2">
        <v>46158</v>
      </c>
      <c r="J399" s="1" t="s">
        <v>1082</v>
      </c>
      <c r="K399">
        <v>188</v>
      </c>
      <c r="L399">
        <v>114.3</v>
      </c>
      <c r="M399" s="2">
        <v>46161</v>
      </c>
      <c r="N399" t="str">
        <f>IF(po_master[[#This Row],[Approved By]]="", "Missing Approval", "OK")</f>
        <v>OK</v>
      </c>
      <c r="O399" t="str">
        <f>IF(ISBLANK(po_master[[#This Row],[GR Quantity]]), "No GR - Not received", "OK")</f>
        <v>OK</v>
      </c>
      <c r="P399" s="1" t="str">
        <f>IF(po_master[[#This Row],[Promised Delivey Date]]&lt;po_master[[#This Row],[Order Date]], "Invalid", "OK")</f>
        <v>OK</v>
      </c>
      <c r="Q399" s="1" t="str">
        <f>IF(ISBLANK(po_master[[#This Row],[Invoice Number]]), "No Invoice", "OK")</f>
        <v>OK</v>
      </c>
      <c r="R399" s="1" t="str">
        <f>IF(AND(NOT(ISBLANK(po_master[[#This Row],[GR Quantity]])), po_master[[#This Row],[GR Quantity]]&lt;&gt;po_master[[#This Row],[PO Quantity]]), "Qty Variance", "OK")</f>
        <v>OK</v>
      </c>
      <c r="S399" s="1" t="str">
        <f>IF(po_master[[#This Row],[Invoice Unit Price]]&gt;po_master[[#This Row],[PO Unit Price]]*1.01, "Price Variance", "OK")</f>
        <v>OK</v>
      </c>
      <c r="T399" s="1" t="str">
        <f>IF(po_master[[#This Row],[Actual Delivery Date]]&gt;po_master[[#This Row],[Promised Delivey Date]], "Late Delivery", "OK")</f>
        <v>OK</v>
      </c>
      <c r="U399" s="1" t="str">
        <f>IF(COUNTIF(po_master[PO Number],po_master[[#This Row],[PO Number]])&gt;1, "Duplicate Invoice", "OK")</f>
        <v>OK</v>
      </c>
    </row>
    <row r="400" spans="1:21" x14ac:dyDescent="0.25">
      <c r="A400" s="1" t="s">
        <v>1064</v>
      </c>
      <c r="B400" s="1" t="s">
        <v>1441</v>
      </c>
      <c r="C400" s="2">
        <v>46108</v>
      </c>
      <c r="D400">
        <v>421</v>
      </c>
      <c r="E400">
        <v>97.38</v>
      </c>
      <c r="F400" s="1" t="s">
        <v>1469</v>
      </c>
      <c r="G400" s="2">
        <v>46117</v>
      </c>
      <c r="I400" s="2"/>
      <c r="J400" s="1" t="s">
        <v>1065</v>
      </c>
      <c r="K400">
        <v>421</v>
      </c>
      <c r="L400">
        <v>97.38</v>
      </c>
      <c r="M400" s="2">
        <v>46120</v>
      </c>
      <c r="N400" t="str">
        <f>IF(po_master[[#This Row],[Approved By]]="", "Missing Approval", "OK")</f>
        <v>OK</v>
      </c>
      <c r="O400" t="str">
        <f>IF(ISBLANK(po_master[[#This Row],[GR Quantity]]), "No GR - Not received", "OK")</f>
        <v>No GR - Not received</v>
      </c>
      <c r="P400" s="1" t="str">
        <f>IF(po_master[[#This Row],[Promised Delivey Date]]&lt;po_master[[#This Row],[Order Date]], "Invalid", "OK")</f>
        <v>OK</v>
      </c>
      <c r="Q400" s="1" t="str">
        <f>IF(ISBLANK(po_master[[#This Row],[Invoice Number]]), "No Invoice", "OK")</f>
        <v>OK</v>
      </c>
      <c r="R400" s="1" t="str">
        <f>IF(AND(NOT(ISBLANK(po_master[[#This Row],[GR Quantity]])), po_master[[#This Row],[GR Quantity]]&lt;&gt;po_master[[#This Row],[PO Quantity]]), "Qty Variance", "OK")</f>
        <v>OK</v>
      </c>
      <c r="S400" s="1" t="str">
        <f>IF(po_master[[#This Row],[Invoice Unit Price]]&gt;po_master[[#This Row],[PO Unit Price]]*1.01, "Price Variance", "OK")</f>
        <v>OK</v>
      </c>
      <c r="T400" s="1" t="str">
        <f>IF(po_master[[#This Row],[Actual Delivery Date]]&gt;po_master[[#This Row],[Promised Delivey Date]], "Late Delivery", "OK")</f>
        <v>OK</v>
      </c>
      <c r="U400" s="1" t="str">
        <f>IF(COUNTIF(po_master[PO Number],po_master[[#This Row],[PO Number]])&gt;1, "Duplicate Invoice", "OK")</f>
        <v>OK</v>
      </c>
    </row>
    <row r="401" spans="1:21" x14ac:dyDescent="0.25">
      <c r="A401" s="1" t="s">
        <v>357</v>
      </c>
      <c r="B401" s="1" t="s">
        <v>1506</v>
      </c>
      <c r="C401" s="2">
        <v>46054</v>
      </c>
      <c r="D401">
        <v>303</v>
      </c>
      <c r="E401">
        <v>136.94</v>
      </c>
      <c r="F401" s="1" t="s">
        <v>1453</v>
      </c>
      <c r="G401" s="2">
        <v>46071</v>
      </c>
      <c r="H401">
        <v>317</v>
      </c>
      <c r="I401" s="2">
        <v>46073</v>
      </c>
      <c r="J401" s="1" t="s">
        <v>1083</v>
      </c>
      <c r="K401">
        <v>303</v>
      </c>
      <c r="L401">
        <v>136.94</v>
      </c>
      <c r="M401" s="2">
        <v>46076</v>
      </c>
      <c r="N401" t="str">
        <f>IF(po_master[[#This Row],[Approved By]]="", "Missing Approval", "OK")</f>
        <v>OK</v>
      </c>
      <c r="O401" t="str">
        <f>IF(ISBLANK(po_master[[#This Row],[GR Quantity]]), "No GR - Not received", "OK")</f>
        <v>OK</v>
      </c>
      <c r="P401" s="1" t="str">
        <f>IF(po_master[[#This Row],[Promised Delivey Date]]&lt;po_master[[#This Row],[Order Date]], "Invalid", "OK")</f>
        <v>OK</v>
      </c>
      <c r="Q401" s="1" t="str">
        <f>IF(ISBLANK(po_master[[#This Row],[Invoice Number]]), "No Invoice", "OK")</f>
        <v>OK</v>
      </c>
      <c r="R401" s="1" t="str">
        <f>IF(AND(NOT(ISBLANK(po_master[[#This Row],[GR Quantity]])), po_master[[#This Row],[GR Quantity]]&lt;&gt;po_master[[#This Row],[PO Quantity]]), "Qty Variance", "OK")</f>
        <v>Qty Variance</v>
      </c>
      <c r="S401" s="1" t="str">
        <f>IF(po_master[[#This Row],[Invoice Unit Price]]&gt;po_master[[#This Row],[PO Unit Price]]*1.01, "Price Variance", "OK")</f>
        <v>OK</v>
      </c>
      <c r="T401" s="1" t="str">
        <f>IF(po_master[[#This Row],[Actual Delivery Date]]&gt;po_master[[#This Row],[Promised Delivey Date]], "Late Delivery", "OK")</f>
        <v>Late Delivery</v>
      </c>
      <c r="U401" s="1" t="str">
        <f>IF(COUNTIF(po_master[PO Number],po_master[[#This Row],[PO Number]])&gt;1, "Duplicate Invoice", "OK")</f>
        <v>OK</v>
      </c>
    </row>
    <row r="402" spans="1:21" x14ac:dyDescent="0.25">
      <c r="A402" s="1" t="s">
        <v>358</v>
      </c>
      <c r="B402" s="1" t="s">
        <v>1503</v>
      </c>
      <c r="C402" s="2">
        <v>46060</v>
      </c>
      <c r="D402">
        <v>158</v>
      </c>
      <c r="E402">
        <v>13.2</v>
      </c>
      <c r="F402" s="1" t="s">
        <v>1499</v>
      </c>
      <c r="G402" s="2">
        <v>46067</v>
      </c>
      <c r="H402">
        <v>158</v>
      </c>
      <c r="I402" s="2">
        <v>46067</v>
      </c>
      <c r="J402" s="1" t="s">
        <v>1084</v>
      </c>
      <c r="K402">
        <v>158</v>
      </c>
      <c r="L402">
        <v>13.2</v>
      </c>
      <c r="M402" s="2">
        <v>46071</v>
      </c>
      <c r="N402" t="str">
        <f>IF(po_master[[#This Row],[Approved By]]="", "Missing Approval", "OK")</f>
        <v>OK</v>
      </c>
      <c r="O402" t="str">
        <f>IF(ISBLANK(po_master[[#This Row],[GR Quantity]]), "No GR - Not received", "OK")</f>
        <v>OK</v>
      </c>
      <c r="P402" s="1" t="str">
        <f>IF(po_master[[#This Row],[Promised Delivey Date]]&lt;po_master[[#This Row],[Order Date]], "Invalid", "OK")</f>
        <v>OK</v>
      </c>
      <c r="Q402" s="1" t="str">
        <f>IF(ISBLANK(po_master[[#This Row],[Invoice Number]]), "No Invoice", "OK")</f>
        <v>OK</v>
      </c>
      <c r="R402" s="1" t="str">
        <f>IF(AND(NOT(ISBLANK(po_master[[#This Row],[GR Quantity]])), po_master[[#This Row],[GR Quantity]]&lt;&gt;po_master[[#This Row],[PO Quantity]]), "Qty Variance", "OK")</f>
        <v>OK</v>
      </c>
      <c r="S402" s="1" t="str">
        <f>IF(po_master[[#This Row],[Invoice Unit Price]]&gt;po_master[[#This Row],[PO Unit Price]]*1.01, "Price Variance", "OK")</f>
        <v>OK</v>
      </c>
      <c r="T402" s="1" t="str">
        <f>IF(po_master[[#This Row],[Actual Delivery Date]]&gt;po_master[[#This Row],[Promised Delivey Date]], "Late Delivery", "OK")</f>
        <v>OK</v>
      </c>
      <c r="U402" s="1" t="str">
        <f>IF(COUNTIF(po_master[PO Number],po_master[[#This Row],[PO Number]])&gt;1, "Duplicate Invoice", "OK")</f>
        <v>OK</v>
      </c>
    </row>
    <row r="403" spans="1:21" x14ac:dyDescent="0.25">
      <c r="A403" s="1" t="s">
        <v>359</v>
      </c>
      <c r="B403" s="1" t="s">
        <v>1503</v>
      </c>
      <c r="C403" s="2">
        <v>46136</v>
      </c>
      <c r="D403">
        <v>345</v>
      </c>
      <c r="E403">
        <v>55.01</v>
      </c>
      <c r="F403" s="1" t="s">
        <v>1487</v>
      </c>
      <c r="G403" s="2">
        <v>46147</v>
      </c>
      <c r="H403">
        <v>345</v>
      </c>
      <c r="I403" s="2">
        <v>46148</v>
      </c>
      <c r="J403" s="1" t="s">
        <v>1085</v>
      </c>
      <c r="K403">
        <v>345</v>
      </c>
      <c r="L403">
        <v>55.01</v>
      </c>
      <c r="M403" s="2">
        <v>46156</v>
      </c>
      <c r="N403" t="str">
        <f>IF(po_master[[#This Row],[Approved By]]="", "Missing Approval", "OK")</f>
        <v>OK</v>
      </c>
      <c r="O403" t="str">
        <f>IF(ISBLANK(po_master[[#This Row],[GR Quantity]]), "No GR - Not received", "OK")</f>
        <v>OK</v>
      </c>
      <c r="P403" s="1" t="str">
        <f>IF(po_master[[#This Row],[Promised Delivey Date]]&lt;po_master[[#This Row],[Order Date]], "Invalid", "OK")</f>
        <v>OK</v>
      </c>
      <c r="Q403" s="1" t="str">
        <f>IF(ISBLANK(po_master[[#This Row],[Invoice Number]]), "No Invoice", "OK")</f>
        <v>OK</v>
      </c>
      <c r="R403" s="1" t="str">
        <f>IF(AND(NOT(ISBLANK(po_master[[#This Row],[GR Quantity]])), po_master[[#This Row],[GR Quantity]]&lt;&gt;po_master[[#This Row],[PO Quantity]]), "Qty Variance", "OK")</f>
        <v>OK</v>
      </c>
      <c r="S403" s="1" t="str">
        <f>IF(po_master[[#This Row],[Invoice Unit Price]]&gt;po_master[[#This Row],[PO Unit Price]]*1.01, "Price Variance", "OK")</f>
        <v>OK</v>
      </c>
      <c r="T403" s="1" t="str">
        <f>IF(po_master[[#This Row],[Actual Delivery Date]]&gt;po_master[[#This Row],[Promised Delivey Date]], "Late Delivery", "OK")</f>
        <v>Late Delivery</v>
      </c>
      <c r="U403" s="1" t="str">
        <f>IF(COUNTIF(po_master[PO Number],po_master[[#This Row],[PO Number]])&gt;1, "Duplicate Invoice", "OK")</f>
        <v>OK</v>
      </c>
    </row>
    <row r="404" spans="1:21" x14ac:dyDescent="0.25">
      <c r="A404" s="1" t="s">
        <v>360</v>
      </c>
      <c r="B404" s="1" t="s">
        <v>1505</v>
      </c>
      <c r="C404" s="2">
        <v>46160</v>
      </c>
      <c r="D404">
        <v>148</v>
      </c>
      <c r="E404">
        <v>186.94</v>
      </c>
      <c r="F404" s="1" t="s">
        <v>1499</v>
      </c>
      <c r="G404" s="2">
        <v>46173</v>
      </c>
      <c r="H404">
        <v>148</v>
      </c>
      <c r="I404" s="2">
        <v>46175</v>
      </c>
      <c r="J404" s="1" t="s">
        <v>1086</v>
      </c>
      <c r="K404">
        <v>148</v>
      </c>
      <c r="L404">
        <v>186.94</v>
      </c>
      <c r="M404" s="2">
        <v>46182</v>
      </c>
      <c r="N404" t="str">
        <f>IF(po_master[[#This Row],[Approved By]]="", "Missing Approval", "OK")</f>
        <v>OK</v>
      </c>
      <c r="O404" t="str">
        <f>IF(ISBLANK(po_master[[#This Row],[GR Quantity]]), "No GR - Not received", "OK")</f>
        <v>OK</v>
      </c>
      <c r="P404" s="1" t="str">
        <f>IF(po_master[[#This Row],[Promised Delivey Date]]&lt;po_master[[#This Row],[Order Date]], "Invalid", "OK")</f>
        <v>OK</v>
      </c>
      <c r="Q404" s="1" t="str">
        <f>IF(ISBLANK(po_master[[#This Row],[Invoice Number]]), "No Invoice", "OK")</f>
        <v>OK</v>
      </c>
      <c r="R404" s="1" t="str">
        <f>IF(AND(NOT(ISBLANK(po_master[[#This Row],[GR Quantity]])), po_master[[#This Row],[GR Quantity]]&lt;&gt;po_master[[#This Row],[PO Quantity]]), "Qty Variance", "OK")</f>
        <v>OK</v>
      </c>
      <c r="S404" s="1" t="str">
        <f>IF(po_master[[#This Row],[Invoice Unit Price]]&gt;po_master[[#This Row],[PO Unit Price]]*1.01, "Price Variance", "OK")</f>
        <v>OK</v>
      </c>
      <c r="T404" s="1" t="str">
        <f>IF(po_master[[#This Row],[Actual Delivery Date]]&gt;po_master[[#This Row],[Promised Delivey Date]], "Late Delivery", "OK")</f>
        <v>Late Delivery</v>
      </c>
      <c r="U404" s="1" t="str">
        <f>IF(COUNTIF(po_master[PO Number],po_master[[#This Row],[PO Number]])&gt;1, "Duplicate Invoice", "OK")</f>
        <v>OK</v>
      </c>
    </row>
    <row r="405" spans="1:21" x14ac:dyDescent="0.25">
      <c r="A405" s="1" t="s">
        <v>361</v>
      </c>
      <c r="B405" s="1" t="s">
        <v>1441</v>
      </c>
      <c r="C405" s="2">
        <v>46050</v>
      </c>
      <c r="D405">
        <v>325</v>
      </c>
      <c r="E405">
        <v>149.47</v>
      </c>
      <c r="F405" s="1" t="s">
        <v>1440</v>
      </c>
      <c r="G405" s="2">
        <v>46062</v>
      </c>
      <c r="H405">
        <v>325</v>
      </c>
      <c r="I405" s="2">
        <v>46061</v>
      </c>
      <c r="J405" s="1" t="s">
        <v>1087</v>
      </c>
      <c r="K405">
        <v>325</v>
      </c>
      <c r="L405">
        <v>149.47</v>
      </c>
      <c r="M405" s="2">
        <v>46064</v>
      </c>
      <c r="N405" t="str">
        <f>IF(po_master[[#This Row],[Approved By]]="", "Missing Approval", "OK")</f>
        <v>OK</v>
      </c>
      <c r="O405" t="str">
        <f>IF(ISBLANK(po_master[[#This Row],[GR Quantity]]), "No GR - Not received", "OK")</f>
        <v>OK</v>
      </c>
      <c r="P405" s="1" t="str">
        <f>IF(po_master[[#This Row],[Promised Delivey Date]]&lt;po_master[[#This Row],[Order Date]], "Invalid", "OK")</f>
        <v>OK</v>
      </c>
      <c r="Q405" s="1" t="str">
        <f>IF(ISBLANK(po_master[[#This Row],[Invoice Number]]), "No Invoice", "OK")</f>
        <v>OK</v>
      </c>
      <c r="R405" s="1" t="str">
        <f>IF(AND(NOT(ISBLANK(po_master[[#This Row],[GR Quantity]])), po_master[[#This Row],[GR Quantity]]&lt;&gt;po_master[[#This Row],[PO Quantity]]), "Qty Variance", "OK")</f>
        <v>OK</v>
      </c>
      <c r="S405" s="1" t="str">
        <f>IF(po_master[[#This Row],[Invoice Unit Price]]&gt;po_master[[#This Row],[PO Unit Price]]*1.01, "Price Variance", "OK")</f>
        <v>OK</v>
      </c>
      <c r="T405" s="1" t="str">
        <f>IF(po_master[[#This Row],[Actual Delivery Date]]&gt;po_master[[#This Row],[Promised Delivey Date]], "Late Delivery", "OK")</f>
        <v>OK</v>
      </c>
      <c r="U405" s="1" t="str">
        <f>IF(COUNTIF(po_master[PO Number],po_master[[#This Row],[PO Number]])&gt;1, "Duplicate Invoice", "OK")</f>
        <v>OK</v>
      </c>
    </row>
    <row r="406" spans="1:21" x14ac:dyDescent="0.25">
      <c r="A406" s="1" t="s">
        <v>362</v>
      </c>
      <c r="B406" s="1" t="s">
        <v>1510</v>
      </c>
      <c r="C406" s="2">
        <v>46074</v>
      </c>
      <c r="D406">
        <v>397</v>
      </c>
      <c r="E406">
        <v>192.96</v>
      </c>
      <c r="F406" s="1" t="s">
        <v>1472</v>
      </c>
      <c r="G406" s="2">
        <v>46088</v>
      </c>
      <c r="H406">
        <v>397</v>
      </c>
      <c r="I406" s="2">
        <v>46089</v>
      </c>
      <c r="J406" s="1" t="s">
        <v>1094</v>
      </c>
      <c r="K406">
        <v>397</v>
      </c>
      <c r="L406">
        <v>203.42</v>
      </c>
      <c r="M406" s="2">
        <v>46089</v>
      </c>
      <c r="N406" t="str">
        <f>IF(po_master[[#This Row],[Approved By]]="", "Missing Approval", "OK")</f>
        <v>OK</v>
      </c>
      <c r="O406" t="str">
        <f>IF(ISBLANK(po_master[[#This Row],[GR Quantity]]), "No GR - Not received", "OK")</f>
        <v>OK</v>
      </c>
      <c r="P406" s="1" t="str">
        <f>IF(po_master[[#This Row],[Promised Delivey Date]]&lt;po_master[[#This Row],[Order Date]], "Invalid", "OK")</f>
        <v>OK</v>
      </c>
      <c r="Q406" s="1" t="str">
        <f>IF(ISBLANK(po_master[[#This Row],[Invoice Number]]), "No Invoice", "OK")</f>
        <v>OK</v>
      </c>
      <c r="R406" s="1" t="str">
        <f>IF(AND(NOT(ISBLANK(po_master[[#This Row],[GR Quantity]])), po_master[[#This Row],[GR Quantity]]&lt;&gt;po_master[[#This Row],[PO Quantity]]), "Qty Variance", "OK")</f>
        <v>OK</v>
      </c>
      <c r="S406" s="1" t="str">
        <f>IF(po_master[[#This Row],[Invoice Unit Price]]&gt;po_master[[#This Row],[PO Unit Price]]*1.01, "Price Variance", "OK")</f>
        <v>Price Variance</v>
      </c>
      <c r="T406" s="1" t="str">
        <f>IF(po_master[[#This Row],[Actual Delivery Date]]&gt;po_master[[#This Row],[Promised Delivey Date]], "Late Delivery", "OK")</f>
        <v>Late Delivery</v>
      </c>
      <c r="U406" s="1" t="str">
        <f>IF(COUNTIF(po_master[PO Number],po_master[[#This Row],[PO Number]])&gt;1, "Duplicate Invoice", "OK")</f>
        <v>OK</v>
      </c>
    </row>
    <row r="407" spans="1:21" x14ac:dyDescent="0.25">
      <c r="A407" s="1" t="s">
        <v>363</v>
      </c>
      <c r="B407" s="1" t="s">
        <v>1508</v>
      </c>
      <c r="C407" s="2">
        <v>46038</v>
      </c>
      <c r="D407">
        <v>474</v>
      </c>
      <c r="E407">
        <v>154.9</v>
      </c>
      <c r="F407" s="1" t="s">
        <v>1446</v>
      </c>
      <c r="G407" s="2">
        <v>46050</v>
      </c>
      <c r="H407">
        <v>474</v>
      </c>
      <c r="I407" s="2">
        <v>46057</v>
      </c>
      <c r="J407" s="1" t="s">
        <v>1095</v>
      </c>
      <c r="K407">
        <v>474</v>
      </c>
      <c r="L407">
        <v>154.9</v>
      </c>
      <c r="M407" s="2">
        <v>46052</v>
      </c>
      <c r="N407" t="str">
        <f>IF(po_master[[#This Row],[Approved By]]="", "Missing Approval", "OK")</f>
        <v>OK</v>
      </c>
      <c r="O407" t="str">
        <f>IF(ISBLANK(po_master[[#This Row],[GR Quantity]]), "No GR - Not received", "OK")</f>
        <v>OK</v>
      </c>
      <c r="P407" s="1" t="str">
        <f>IF(po_master[[#This Row],[Promised Delivey Date]]&lt;po_master[[#This Row],[Order Date]], "Invalid", "OK")</f>
        <v>OK</v>
      </c>
      <c r="Q407" s="1" t="str">
        <f>IF(ISBLANK(po_master[[#This Row],[Invoice Number]]), "No Invoice", "OK")</f>
        <v>OK</v>
      </c>
      <c r="R407" s="1" t="str">
        <f>IF(AND(NOT(ISBLANK(po_master[[#This Row],[GR Quantity]])), po_master[[#This Row],[GR Quantity]]&lt;&gt;po_master[[#This Row],[PO Quantity]]), "Qty Variance", "OK")</f>
        <v>OK</v>
      </c>
      <c r="S407" s="1" t="str">
        <f>IF(po_master[[#This Row],[Invoice Unit Price]]&gt;po_master[[#This Row],[PO Unit Price]]*1.01, "Price Variance", "OK")</f>
        <v>OK</v>
      </c>
      <c r="T407" s="1" t="str">
        <f>IF(po_master[[#This Row],[Actual Delivery Date]]&gt;po_master[[#This Row],[Promised Delivey Date]], "Late Delivery", "OK")</f>
        <v>Late Delivery</v>
      </c>
      <c r="U407" s="1" t="str">
        <f>IF(COUNTIF(po_master[PO Number],po_master[[#This Row],[PO Number]])&gt;1, "Duplicate Invoice", "OK")</f>
        <v>OK</v>
      </c>
    </row>
    <row r="408" spans="1:21" x14ac:dyDescent="0.25">
      <c r="A408" s="1" t="s">
        <v>364</v>
      </c>
      <c r="B408" s="1" t="s">
        <v>1452</v>
      </c>
      <c r="C408" s="2">
        <v>46124</v>
      </c>
      <c r="D408">
        <v>413</v>
      </c>
      <c r="E408">
        <v>101.6</v>
      </c>
      <c r="F408" s="1" t="s">
        <v>1490</v>
      </c>
      <c r="G408" s="2">
        <v>46138</v>
      </c>
      <c r="H408">
        <v>413</v>
      </c>
      <c r="I408" s="2">
        <v>46137</v>
      </c>
      <c r="J408" s="1" t="s">
        <v>1098</v>
      </c>
      <c r="K408">
        <v>413</v>
      </c>
      <c r="L408">
        <v>114.49</v>
      </c>
      <c r="M408" s="2">
        <v>46144</v>
      </c>
      <c r="N408" t="str">
        <f>IF(po_master[[#This Row],[Approved By]]="", "Missing Approval", "OK")</f>
        <v>OK</v>
      </c>
      <c r="O408" t="str">
        <f>IF(ISBLANK(po_master[[#This Row],[GR Quantity]]), "No GR - Not received", "OK")</f>
        <v>OK</v>
      </c>
      <c r="P408" s="1" t="str">
        <f>IF(po_master[[#This Row],[Promised Delivey Date]]&lt;po_master[[#This Row],[Order Date]], "Invalid", "OK")</f>
        <v>OK</v>
      </c>
      <c r="Q408" s="1" t="str">
        <f>IF(ISBLANK(po_master[[#This Row],[Invoice Number]]), "No Invoice", "OK")</f>
        <v>OK</v>
      </c>
      <c r="R408" s="1" t="str">
        <f>IF(AND(NOT(ISBLANK(po_master[[#This Row],[GR Quantity]])), po_master[[#This Row],[GR Quantity]]&lt;&gt;po_master[[#This Row],[PO Quantity]]), "Qty Variance", "OK")</f>
        <v>OK</v>
      </c>
      <c r="S408" s="1" t="str">
        <f>IF(po_master[[#This Row],[Invoice Unit Price]]&gt;po_master[[#This Row],[PO Unit Price]]*1.01, "Price Variance", "OK")</f>
        <v>Price Variance</v>
      </c>
      <c r="T408" s="1" t="str">
        <f>IF(po_master[[#This Row],[Actual Delivery Date]]&gt;po_master[[#This Row],[Promised Delivey Date]], "Late Delivery", "OK")</f>
        <v>OK</v>
      </c>
      <c r="U408" s="1" t="str">
        <f>IF(COUNTIF(po_master[PO Number],po_master[[#This Row],[PO Number]])&gt;1, "Duplicate Invoice", "OK")</f>
        <v>OK</v>
      </c>
    </row>
    <row r="409" spans="1:21" x14ac:dyDescent="0.25">
      <c r="A409" s="1" t="s">
        <v>365</v>
      </c>
      <c r="B409" s="1" t="s">
        <v>1452</v>
      </c>
      <c r="C409" s="2">
        <v>46025</v>
      </c>
      <c r="D409">
        <v>162</v>
      </c>
      <c r="E409">
        <v>115.75</v>
      </c>
      <c r="F409" s="1" t="s">
        <v>1483</v>
      </c>
      <c r="G409" s="2">
        <v>46040</v>
      </c>
      <c r="H409">
        <v>162</v>
      </c>
      <c r="I409" s="2">
        <v>46049</v>
      </c>
      <c r="J409" s="1" t="s">
        <v>1099</v>
      </c>
      <c r="K409">
        <v>162</v>
      </c>
      <c r="L409">
        <v>115.75</v>
      </c>
      <c r="M409" s="2">
        <v>46050</v>
      </c>
      <c r="N409" t="str">
        <f>IF(po_master[[#This Row],[Approved By]]="", "Missing Approval", "OK")</f>
        <v>OK</v>
      </c>
      <c r="O409" t="str">
        <f>IF(ISBLANK(po_master[[#This Row],[GR Quantity]]), "No GR - Not received", "OK")</f>
        <v>OK</v>
      </c>
      <c r="P409" s="1" t="str">
        <f>IF(po_master[[#This Row],[Promised Delivey Date]]&lt;po_master[[#This Row],[Order Date]], "Invalid", "OK")</f>
        <v>OK</v>
      </c>
      <c r="Q409" s="1" t="str">
        <f>IF(ISBLANK(po_master[[#This Row],[Invoice Number]]), "No Invoice", "OK")</f>
        <v>OK</v>
      </c>
      <c r="R409" s="1" t="str">
        <f>IF(AND(NOT(ISBLANK(po_master[[#This Row],[GR Quantity]])), po_master[[#This Row],[GR Quantity]]&lt;&gt;po_master[[#This Row],[PO Quantity]]), "Qty Variance", "OK")</f>
        <v>OK</v>
      </c>
      <c r="S409" s="1" t="str">
        <f>IF(po_master[[#This Row],[Invoice Unit Price]]&gt;po_master[[#This Row],[PO Unit Price]]*1.01, "Price Variance", "OK")</f>
        <v>OK</v>
      </c>
      <c r="T409" s="1" t="str">
        <f>IF(po_master[[#This Row],[Actual Delivery Date]]&gt;po_master[[#This Row],[Promised Delivey Date]], "Late Delivery", "OK")</f>
        <v>Late Delivery</v>
      </c>
      <c r="U409" s="1" t="str">
        <f>IF(COUNTIF(po_master[PO Number],po_master[[#This Row],[PO Number]])&gt;1, "Duplicate Invoice", "OK")</f>
        <v>OK</v>
      </c>
    </row>
    <row r="410" spans="1:21" x14ac:dyDescent="0.25">
      <c r="A410" s="1" t="s">
        <v>366</v>
      </c>
      <c r="B410" s="1" t="s">
        <v>1506</v>
      </c>
      <c r="C410" s="2">
        <v>46139</v>
      </c>
      <c r="D410">
        <v>338</v>
      </c>
      <c r="E410">
        <v>110.94</v>
      </c>
      <c r="F410" s="1" t="s">
        <v>1487</v>
      </c>
      <c r="G410" s="2">
        <v>46148</v>
      </c>
      <c r="H410">
        <v>338</v>
      </c>
      <c r="I410" s="2">
        <v>46150</v>
      </c>
      <c r="J410" s="1" t="s">
        <v>1100</v>
      </c>
      <c r="K410">
        <v>338</v>
      </c>
      <c r="L410">
        <v>110.94</v>
      </c>
      <c r="M410" s="2">
        <v>46155</v>
      </c>
      <c r="N410" t="str">
        <f>IF(po_master[[#This Row],[Approved By]]="", "Missing Approval", "OK")</f>
        <v>OK</v>
      </c>
      <c r="O410" t="str">
        <f>IF(ISBLANK(po_master[[#This Row],[GR Quantity]]), "No GR - Not received", "OK")</f>
        <v>OK</v>
      </c>
      <c r="P410" s="1" t="str">
        <f>IF(po_master[[#This Row],[Promised Delivey Date]]&lt;po_master[[#This Row],[Order Date]], "Invalid", "OK")</f>
        <v>OK</v>
      </c>
      <c r="Q410" s="1" t="str">
        <f>IF(ISBLANK(po_master[[#This Row],[Invoice Number]]), "No Invoice", "OK")</f>
        <v>OK</v>
      </c>
      <c r="R410" s="1" t="str">
        <f>IF(AND(NOT(ISBLANK(po_master[[#This Row],[GR Quantity]])), po_master[[#This Row],[GR Quantity]]&lt;&gt;po_master[[#This Row],[PO Quantity]]), "Qty Variance", "OK")</f>
        <v>OK</v>
      </c>
      <c r="S410" s="1" t="str">
        <f>IF(po_master[[#This Row],[Invoice Unit Price]]&gt;po_master[[#This Row],[PO Unit Price]]*1.01, "Price Variance", "OK")</f>
        <v>OK</v>
      </c>
      <c r="T410" s="1" t="str">
        <f>IF(po_master[[#This Row],[Actual Delivery Date]]&gt;po_master[[#This Row],[Promised Delivey Date]], "Late Delivery", "OK")</f>
        <v>Late Delivery</v>
      </c>
      <c r="U410" s="1" t="str">
        <f>IF(COUNTIF(po_master[PO Number],po_master[[#This Row],[PO Number]])&gt;1, "Duplicate Invoice", "OK")</f>
        <v>OK</v>
      </c>
    </row>
    <row r="411" spans="1:21" x14ac:dyDescent="0.25">
      <c r="A411" s="1" t="s">
        <v>367</v>
      </c>
      <c r="B411" s="1" t="s">
        <v>1445</v>
      </c>
      <c r="C411" s="2">
        <v>46142</v>
      </c>
      <c r="D411">
        <v>149</v>
      </c>
      <c r="E411">
        <v>42.6</v>
      </c>
      <c r="F411" s="1" t="s">
        <v>1483</v>
      </c>
      <c r="G411" s="2">
        <v>46157</v>
      </c>
      <c r="H411">
        <v>149</v>
      </c>
      <c r="I411" s="2">
        <v>46156</v>
      </c>
      <c r="J411" s="1" t="s">
        <v>1101</v>
      </c>
      <c r="K411">
        <v>149</v>
      </c>
      <c r="L411">
        <v>42.6</v>
      </c>
      <c r="M411" s="2">
        <v>46163</v>
      </c>
      <c r="N411" t="str">
        <f>IF(po_master[[#This Row],[Approved By]]="", "Missing Approval", "OK")</f>
        <v>OK</v>
      </c>
      <c r="O411" t="str">
        <f>IF(ISBLANK(po_master[[#This Row],[GR Quantity]]), "No GR - Not received", "OK")</f>
        <v>OK</v>
      </c>
      <c r="P411" s="1" t="str">
        <f>IF(po_master[[#This Row],[Promised Delivey Date]]&lt;po_master[[#This Row],[Order Date]], "Invalid", "OK")</f>
        <v>OK</v>
      </c>
      <c r="Q411" s="1" t="str">
        <f>IF(ISBLANK(po_master[[#This Row],[Invoice Number]]), "No Invoice", "OK")</f>
        <v>OK</v>
      </c>
      <c r="R411" s="1" t="str">
        <f>IF(AND(NOT(ISBLANK(po_master[[#This Row],[GR Quantity]])), po_master[[#This Row],[GR Quantity]]&lt;&gt;po_master[[#This Row],[PO Quantity]]), "Qty Variance", "OK")</f>
        <v>OK</v>
      </c>
      <c r="S411" s="1" t="str">
        <f>IF(po_master[[#This Row],[Invoice Unit Price]]&gt;po_master[[#This Row],[PO Unit Price]]*1.01, "Price Variance", "OK")</f>
        <v>OK</v>
      </c>
      <c r="T411" s="1" t="str">
        <f>IF(po_master[[#This Row],[Actual Delivery Date]]&gt;po_master[[#This Row],[Promised Delivey Date]], "Late Delivery", "OK")</f>
        <v>OK</v>
      </c>
      <c r="U411" s="1" t="str">
        <f>IF(COUNTIF(po_master[PO Number],po_master[[#This Row],[PO Number]])&gt;1, "Duplicate Invoice", "OK")</f>
        <v>OK</v>
      </c>
    </row>
    <row r="412" spans="1:21" x14ac:dyDescent="0.25">
      <c r="A412" s="1" t="s">
        <v>368</v>
      </c>
      <c r="B412" s="1" t="s">
        <v>1460</v>
      </c>
      <c r="C412" s="2">
        <v>46140</v>
      </c>
      <c r="D412">
        <v>341</v>
      </c>
      <c r="E412">
        <v>55.17</v>
      </c>
      <c r="F412" s="1" t="s">
        <v>1501</v>
      </c>
      <c r="G412" s="2">
        <v>46145</v>
      </c>
      <c r="H412">
        <v>341</v>
      </c>
      <c r="I412" s="2">
        <v>46146</v>
      </c>
      <c r="J412" s="1" t="s">
        <v>1102</v>
      </c>
      <c r="K412">
        <v>341</v>
      </c>
      <c r="L412">
        <v>63.34</v>
      </c>
      <c r="M412" s="2">
        <v>46146</v>
      </c>
      <c r="N412" t="str">
        <f>IF(po_master[[#This Row],[Approved By]]="", "Missing Approval", "OK")</f>
        <v>OK</v>
      </c>
      <c r="O412" t="str">
        <f>IF(ISBLANK(po_master[[#This Row],[GR Quantity]]), "No GR - Not received", "OK")</f>
        <v>OK</v>
      </c>
      <c r="P412" s="1" t="str">
        <f>IF(po_master[[#This Row],[Promised Delivey Date]]&lt;po_master[[#This Row],[Order Date]], "Invalid", "OK")</f>
        <v>OK</v>
      </c>
      <c r="Q412" s="1" t="str">
        <f>IF(ISBLANK(po_master[[#This Row],[Invoice Number]]), "No Invoice", "OK")</f>
        <v>OK</v>
      </c>
      <c r="R412" s="1" t="str">
        <f>IF(AND(NOT(ISBLANK(po_master[[#This Row],[GR Quantity]])), po_master[[#This Row],[GR Quantity]]&lt;&gt;po_master[[#This Row],[PO Quantity]]), "Qty Variance", "OK")</f>
        <v>OK</v>
      </c>
      <c r="S412" s="1" t="str">
        <f>IF(po_master[[#This Row],[Invoice Unit Price]]&gt;po_master[[#This Row],[PO Unit Price]]*1.01, "Price Variance", "OK")</f>
        <v>Price Variance</v>
      </c>
      <c r="T412" s="1" t="str">
        <f>IF(po_master[[#This Row],[Actual Delivery Date]]&gt;po_master[[#This Row],[Promised Delivey Date]], "Late Delivery", "OK")</f>
        <v>Late Delivery</v>
      </c>
      <c r="U412" s="1" t="str">
        <f>IF(COUNTIF(po_master[PO Number],po_master[[#This Row],[PO Number]])&gt;1, "Duplicate Invoice", "OK")</f>
        <v>OK</v>
      </c>
    </row>
    <row r="413" spans="1:21" x14ac:dyDescent="0.25">
      <c r="A413" s="1" t="s">
        <v>369</v>
      </c>
      <c r="B413" s="1" t="s">
        <v>1465</v>
      </c>
      <c r="C413" s="2">
        <v>46109</v>
      </c>
      <c r="D413">
        <v>414</v>
      </c>
      <c r="E413">
        <v>62.53</v>
      </c>
      <c r="F413" s="1" t="s">
        <v>1467</v>
      </c>
      <c r="G413" s="2">
        <v>46120</v>
      </c>
      <c r="H413">
        <v>414</v>
      </c>
      <c r="I413" s="2">
        <v>46120</v>
      </c>
      <c r="J413" s="1" t="s">
        <v>1103</v>
      </c>
      <c r="K413">
        <v>414</v>
      </c>
      <c r="L413">
        <v>62.53</v>
      </c>
      <c r="M413" s="2">
        <v>46122</v>
      </c>
      <c r="N413" t="str">
        <f>IF(po_master[[#This Row],[Approved By]]="", "Missing Approval", "OK")</f>
        <v>OK</v>
      </c>
      <c r="O413" t="str">
        <f>IF(ISBLANK(po_master[[#This Row],[GR Quantity]]), "No GR - Not received", "OK")</f>
        <v>OK</v>
      </c>
      <c r="P413" s="1" t="str">
        <f>IF(po_master[[#This Row],[Promised Delivey Date]]&lt;po_master[[#This Row],[Order Date]], "Invalid", "OK")</f>
        <v>OK</v>
      </c>
      <c r="Q413" s="1" t="str">
        <f>IF(ISBLANK(po_master[[#This Row],[Invoice Number]]), "No Invoice", "OK")</f>
        <v>OK</v>
      </c>
      <c r="R413" s="1" t="str">
        <f>IF(AND(NOT(ISBLANK(po_master[[#This Row],[GR Quantity]])), po_master[[#This Row],[GR Quantity]]&lt;&gt;po_master[[#This Row],[PO Quantity]]), "Qty Variance", "OK")</f>
        <v>OK</v>
      </c>
      <c r="S413" s="1" t="str">
        <f>IF(po_master[[#This Row],[Invoice Unit Price]]&gt;po_master[[#This Row],[PO Unit Price]]*1.01, "Price Variance", "OK")</f>
        <v>OK</v>
      </c>
      <c r="T413" s="1" t="str">
        <f>IF(po_master[[#This Row],[Actual Delivery Date]]&gt;po_master[[#This Row],[Promised Delivey Date]], "Late Delivery", "OK")</f>
        <v>OK</v>
      </c>
      <c r="U413" s="1" t="str">
        <f>IF(COUNTIF(po_master[PO Number],po_master[[#This Row],[PO Number]])&gt;1, "Duplicate Invoice", "OK")</f>
        <v>OK</v>
      </c>
    </row>
    <row r="414" spans="1:21" x14ac:dyDescent="0.25">
      <c r="A414" s="1" t="s">
        <v>370</v>
      </c>
      <c r="B414" s="1" t="s">
        <v>1486</v>
      </c>
      <c r="C414" s="2">
        <v>46126</v>
      </c>
      <c r="D414">
        <v>433</v>
      </c>
      <c r="E414">
        <v>88.4</v>
      </c>
      <c r="F414" s="1" t="s">
        <v>1472</v>
      </c>
      <c r="G414" s="2">
        <v>46133</v>
      </c>
      <c r="H414">
        <v>433</v>
      </c>
      <c r="I414" s="2">
        <v>46131</v>
      </c>
      <c r="J414" s="1" t="s">
        <v>1104</v>
      </c>
      <c r="K414">
        <v>433</v>
      </c>
      <c r="L414">
        <v>88.4</v>
      </c>
      <c r="M414" s="2">
        <v>46143</v>
      </c>
      <c r="N414" t="str">
        <f>IF(po_master[[#This Row],[Approved By]]="", "Missing Approval", "OK")</f>
        <v>OK</v>
      </c>
      <c r="O414" t="str">
        <f>IF(ISBLANK(po_master[[#This Row],[GR Quantity]]), "No GR - Not received", "OK")</f>
        <v>OK</v>
      </c>
      <c r="P414" s="1" t="str">
        <f>IF(po_master[[#This Row],[Promised Delivey Date]]&lt;po_master[[#This Row],[Order Date]], "Invalid", "OK")</f>
        <v>OK</v>
      </c>
      <c r="Q414" s="1" t="str">
        <f>IF(ISBLANK(po_master[[#This Row],[Invoice Number]]), "No Invoice", "OK")</f>
        <v>OK</v>
      </c>
      <c r="R414" s="1" t="str">
        <f>IF(AND(NOT(ISBLANK(po_master[[#This Row],[GR Quantity]])), po_master[[#This Row],[GR Quantity]]&lt;&gt;po_master[[#This Row],[PO Quantity]]), "Qty Variance", "OK")</f>
        <v>OK</v>
      </c>
      <c r="S414" s="1" t="str">
        <f>IF(po_master[[#This Row],[Invoice Unit Price]]&gt;po_master[[#This Row],[PO Unit Price]]*1.01, "Price Variance", "OK")</f>
        <v>OK</v>
      </c>
      <c r="T414" s="1" t="str">
        <f>IF(po_master[[#This Row],[Actual Delivery Date]]&gt;po_master[[#This Row],[Promised Delivey Date]], "Late Delivery", "OK")</f>
        <v>OK</v>
      </c>
      <c r="U414" s="1" t="str">
        <f>IF(COUNTIF(po_master[PO Number],po_master[[#This Row],[PO Number]])&gt;1, "Duplicate Invoice", "OK")</f>
        <v>OK</v>
      </c>
    </row>
    <row r="415" spans="1:21" x14ac:dyDescent="0.25">
      <c r="A415" s="1" t="s">
        <v>371</v>
      </c>
      <c r="B415" s="1" t="s">
        <v>1488</v>
      </c>
      <c r="C415" s="2">
        <v>46047</v>
      </c>
      <c r="D415">
        <v>104</v>
      </c>
      <c r="E415">
        <v>196.43</v>
      </c>
      <c r="F415" s="1" t="s">
        <v>1487</v>
      </c>
      <c r="G415" s="2">
        <v>46062</v>
      </c>
      <c r="H415">
        <v>110</v>
      </c>
      <c r="I415" s="2">
        <v>46073</v>
      </c>
      <c r="J415" s="1" t="s">
        <v>1105</v>
      </c>
      <c r="K415">
        <v>104</v>
      </c>
      <c r="L415">
        <v>212.69</v>
      </c>
      <c r="M415" s="2">
        <v>46067</v>
      </c>
      <c r="N415" t="str">
        <f>IF(po_master[[#This Row],[Approved By]]="", "Missing Approval", "OK")</f>
        <v>OK</v>
      </c>
      <c r="O415" t="str">
        <f>IF(ISBLANK(po_master[[#This Row],[GR Quantity]]), "No GR - Not received", "OK")</f>
        <v>OK</v>
      </c>
      <c r="P415" s="1" t="str">
        <f>IF(po_master[[#This Row],[Promised Delivey Date]]&lt;po_master[[#This Row],[Order Date]], "Invalid", "OK")</f>
        <v>OK</v>
      </c>
      <c r="Q415" s="1" t="str">
        <f>IF(ISBLANK(po_master[[#This Row],[Invoice Number]]), "No Invoice", "OK")</f>
        <v>OK</v>
      </c>
      <c r="R415" s="1" t="str">
        <f>IF(AND(NOT(ISBLANK(po_master[[#This Row],[GR Quantity]])), po_master[[#This Row],[GR Quantity]]&lt;&gt;po_master[[#This Row],[PO Quantity]]), "Qty Variance", "OK")</f>
        <v>Qty Variance</v>
      </c>
      <c r="S415" s="1" t="str">
        <f>IF(po_master[[#This Row],[Invoice Unit Price]]&gt;po_master[[#This Row],[PO Unit Price]]*1.01, "Price Variance", "OK")</f>
        <v>Price Variance</v>
      </c>
      <c r="T415" s="1" t="str">
        <f>IF(po_master[[#This Row],[Actual Delivery Date]]&gt;po_master[[#This Row],[Promised Delivey Date]], "Late Delivery", "OK")</f>
        <v>Late Delivery</v>
      </c>
      <c r="U415" s="1" t="str">
        <f>IF(COUNTIF(po_master[PO Number],po_master[[#This Row],[PO Number]])&gt;1, "Duplicate Invoice", "OK")</f>
        <v>OK</v>
      </c>
    </row>
    <row r="416" spans="1:21" x14ac:dyDescent="0.25">
      <c r="A416" s="1" t="s">
        <v>1080</v>
      </c>
      <c r="B416" s="1" t="s">
        <v>1447</v>
      </c>
      <c r="C416" s="2">
        <v>46099</v>
      </c>
      <c r="D416">
        <v>404</v>
      </c>
      <c r="E416">
        <v>61.36</v>
      </c>
      <c r="F416" s="1" t="s">
        <v>1459</v>
      </c>
      <c r="G416" s="2">
        <v>46119</v>
      </c>
      <c r="I416" s="2"/>
      <c r="J416" s="1" t="s">
        <v>1081</v>
      </c>
      <c r="K416">
        <v>404</v>
      </c>
      <c r="L416">
        <v>65.349999999999994</v>
      </c>
      <c r="M416" s="2">
        <v>46124</v>
      </c>
      <c r="N416" t="str">
        <f>IF(po_master[[#This Row],[Approved By]]="", "Missing Approval", "OK")</f>
        <v>Missing Approval</v>
      </c>
      <c r="O416" t="str">
        <f>IF(ISBLANK(po_master[[#This Row],[GR Quantity]]), "No GR - Not received", "OK")</f>
        <v>No GR - Not received</v>
      </c>
      <c r="P416" s="1" t="str">
        <f>IF(po_master[[#This Row],[Promised Delivey Date]]&lt;po_master[[#This Row],[Order Date]], "Invalid", "OK")</f>
        <v>OK</v>
      </c>
      <c r="Q416" s="1" t="str">
        <f>IF(ISBLANK(po_master[[#This Row],[Invoice Number]]), "No Invoice", "OK")</f>
        <v>OK</v>
      </c>
      <c r="R416" s="1" t="str">
        <f>IF(AND(NOT(ISBLANK(po_master[[#This Row],[GR Quantity]])), po_master[[#This Row],[GR Quantity]]&lt;&gt;po_master[[#This Row],[PO Quantity]]), "Qty Variance", "OK")</f>
        <v>OK</v>
      </c>
      <c r="S416" s="1" t="str">
        <f>IF(po_master[[#This Row],[Invoice Unit Price]]&gt;po_master[[#This Row],[PO Unit Price]]*1.01, "Price Variance", "OK")</f>
        <v>Price Variance</v>
      </c>
      <c r="T416" s="1" t="str">
        <f>IF(po_master[[#This Row],[Actual Delivery Date]]&gt;po_master[[#This Row],[Promised Delivey Date]], "Late Delivery", "OK")</f>
        <v>OK</v>
      </c>
      <c r="U416" s="1" t="str">
        <f>IF(COUNTIF(po_master[PO Number],po_master[[#This Row],[PO Number]])&gt;1, "Duplicate Invoice", "OK")</f>
        <v>OK</v>
      </c>
    </row>
    <row r="417" spans="1:21" x14ac:dyDescent="0.25">
      <c r="A417" s="1" t="s">
        <v>372</v>
      </c>
      <c r="B417" s="1" t="s">
        <v>1482</v>
      </c>
      <c r="C417" s="2">
        <v>46024</v>
      </c>
      <c r="D417">
        <v>143</v>
      </c>
      <c r="E417">
        <v>79.8</v>
      </c>
      <c r="F417" s="1" t="s">
        <v>1469</v>
      </c>
      <c r="G417" s="2">
        <v>46037</v>
      </c>
      <c r="H417">
        <v>143</v>
      </c>
      <c r="I417" s="2">
        <v>46055</v>
      </c>
      <c r="J417" s="1" t="s">
        <v>1106</v>
      </c>
      <c r="K417">
        <v>143</v>
      </c>
      <c r="L417">
        <v>79.8</v>
      </c>
      <c r="M417" s="2">
        <v>46039</v>
      </c>
      <c r="N417" t="str">
        <f>IF(po_master[[#This Row],[Approved By]]="", "Missing Approval", "OK")</f>
        <v>OK</v>
      </c>
      <c r="O417" t="str">
        <f>IF(ISBLANK(po_master[[#This Row],[GR Quantity]]), "No GR - Not received", "OK")</f>
        <v>OK</v>
      </c>
      <c r="P417" s="1" t="str">
        <f>IF(po_master[[#This Row],[Promised Delivey Date]]&lt;po_master[[#This Row],[Order Date]], "Invalid", "OK")</f>
        <v>OK</v>
      </c>
      <c r="Q417" s="1" t="str">
        <f>IF(ISBLANK(po_master[[#This Row],[Invoice Number]]), "No Invoice", "OK")</f>
        <v>OK</v>
      </c>
      <c r="R417" s="1" t="str">
        <f>IF(AND(NOT(ISBLANK(po_master[[#This Row],[GR Quantity]])), po_master[[#This Row],[GR Quantity]]&lt;&gt;po_master[[#This Row],[PO Quantity]]), "Qty Variance", "OK")</f>
        <v>OK</v>
      </c>
      <c r="S417" s="1" t="str">
        <f>IF(po_master[[#This Row],[Invoice Unit Price]]&gt;po_master[[#This Row],[PO Unit Price]]*1.01, "Price Variance", "OK")</f>
        <v>OK</v>
      </c>
      <c r="T417" s="1" t="str">
        <f>IF(po_master[[#This Row],[Actual Delivery Date]]&gt;po_master[[#This Row],[Promised Delivey Date]], "Late Delivery", "OK")</f>
        <v>Late Delivery</v>
      </c>
      <c r="U417" s="1" t="str">
        <f>IF(COUNTIF(po_master[PO Number],po_master[[#This Row],[PO Number]])&gt;1, "Duplicate Invoice", "OK")</f>
        <v>OK</v>
      </c>
    </row>
    <row r="418" spans="1:21" x14ac:dyDescent="0.25">
      <c r="A418" s="1" t="s">
        <v>373</v>
      </c>
      <c r="B418" s="1" t="s">
        <v>1479</v>
      </c>
      <c r="C418" s="2">
        <v>46100</v>
      </c>
      <c r="D418">
        <v>308</v>
      </c>
      <c r="E418">
        <v>145.96</v>
      </c>
      <c r="F418" s="1" t="s">
        <v>1448</v>
      </c>
      <c r="G418" s="2">
        <v>46113</v>
      </c>
      <c r="H418">
        <v>308</v>
      </c>
      <c r="I418" s="2">
        <v>46114</v>
      </c>
      <c r="J418" s="1" t="s">
        <v>1107</v>
      </c>
      <c r="K418">
        <v>308</v>
      </c>
      <c r="L418">
        <v>145.96</v>
      </c>
      <c r="M418" s="2">
        <v>46123</v>
      </c>
      <c r="N418" t="str">
        <f>IF(po_master[[#This Row],[Approved By]]="", "Missing Approval", "OK")</f>
        <v>OK</v>
      </c>
      <c r="O418" t="str">
        <f>IF(ISBLANK(po_master[[#This Row],[GR Quantity]]), "No GR - Not received", "OK")</f>
        <v>OK</v>
      </c>
      <c r="P418" s="1" t="str">
        <f>IF(po_master[[#This Row],[Promised Delivey Date]]&lt;po_master[[#This Row],[Order Date]], "Invalid", "OK")</f>
        <v>OK</v>
      </c>
      <c r="Q418" s="1" t="str">
        <f>IF(ISBLANK(po_master[[#This Row],[Invoice Number]]), "No Invoice", "OK")</f>
        <v>OK</v>
      </c>
      <c r="R418" s="1" t="str">
        <f>IF(AND(NOT(ISBLANK(po_master[[#This Row],[GR Quantity]])), po_master[[#This Row],[GR Quantity]]&lt;&gt;po_master[[#This Row],[PO Quantity]]), "Qty Variance", "OK")</f>
        <v>OK</v>
      </c>
      <c r="S418" s="1" t="str">
        <f>IF(po_master[[#This Row],[Invoice Unit Price]]&gt;po_master[[#This Row],[PO Unit Price]]*1.01, "Price Variance", "OK")</f>
        <v>OK</v>
      </c>
      <c r="T418" s="1" t="str">
        <f>IF(po_master[[#This Row],[Actual Delivery Date]]&gt;po_master[[#This Row],[Promised Delivey Date]], "Late Delivery", "OK")</f>
        <v>Late Delivery</v>
      </c>
      <c r="U418" s="1" t="str">
        <f>IF(COUNTIF(po_master[PO Number],po_master[[#This Row],[PO Number]])&gt;1, "Duplicate Invoice", "OK")</f>
        <v>OK</v>
      </c>
    </row>
    <row r="419" spans="1:21" x14ac:dyDescent="0.25">
      <c r="A419" s="1" t="s">
        <v>374</v>
      </c>
      <c r="B419" s="1" t="s">
        <v>1508</v>
      </c>
      <c r="C419" s="2">
        <v>46115</v>
      </c>
      <c r="D419">
        <v>364</v>
      </c>
      <c r="E419">
        <v>51.08</v>
      </c>
      <c r="F419" s="1" t="s">
        <v>1467</v>
      </c>
      <c r="G419" s="2">
        <v>46123</v>
      </c>
      <c r="H419">
        <v>379</v>
      </c>
      <c r="I419" s="2">
        <v>46121</v>
      </c>
      <c r="J419" s="1" t="s">
        <v>1108</v>
      </c>
      <c r="K419">
        <v>364</v>
      </c>
      <c r="L419">
        <v>51.08</v>
      </c>
      <c r="M419" s="2">
        <v>46133</v>
      </c>
      <c r="N419" t="str">
        <f>IF(po_master[[#This Row],[Approved By]]="", "Missing Approval", "OK")</f>
        <v>OK</v>
      </c>
      <c r="O419" t="str">
        <f>IF(ISBLANK(po_master[[#This Row],[GR Quantity]]), "No GR - Not received", "OK")</f>
        <v>OK</v>
      </c>
      <c r="P419" s="1" t="str">
        <f>IF(po_master[[#This Row],[Promised Delivey Date]]&lt;po_master[[#This Row],[Order Date]], "Invalid", "OK")</f>
        <v>OK</v>
      </c>
      <c r="Q419" s="1" t="str">
        <f>IF(ISBLANK(po_master[[#This Row],[Invoice Number]]), "No Invoice", "OK")</f>
        <v>OK</v>
      </c>
      <c r="R419" s="1" t="str">
        <f>IF(AND(NOT(ISBLANK(po_master[[#This Row],[GR Quantity]])), po_master[[#This Row],[GR Quantity]]&lt;&gt;po_master[[#This Row],[PO Quantity]]), "Qty Variance", "OK")</f>
        <v>Qty Variance</v>
      </c>
      <c r="S419" s="1" t="str">
        <f>IF(po_master[[#This Row],[Invoice Unit Price]]&gt;po_master[[#This Row],[PO Unit Price]]*1.01, "Price Variance", "OK")</f>
        <v>OK</v>
      </c>
      <c r="T419" s="1" t="str">
        <f>IF(po_master[[#This Row],[Actual Delivery Date]]&gt;po_master[[#This Row],[Promised Delivey Date]], "Late Delivery", "OK")</f>
        <v>OK</v>
      </c>
      <c r="U419" s="1" t="str">
        <f>IF(COUNTIF(po_master[PO Number],po_master[[#This Row],[PO Number]])&gt;1, "Duplicate Invoice", "OK")</f>
        <v>OK</v>
      </c>
    </row>
    <row r="420" spans="1:21" x14ac:dyDescent="0.25">
      <c r="A420" s="1" t="s">
        <v>375</v>
      </c>
      <c r="B420" s="1" t="s">
        <v>1489</v>
      </c>
      <c r="C420" s="2">
        <v>46101</v>
      </c>
      <c r="D420">
        <v>91</v>
      </c>
      <c r="E420">
        <v>84.06</v>
      </c>
      <c r="F420" s="1" t="s">
        <v>1504</v>
      </c>
      <c r="G420" s="2">
        <v>46115</v>
      </c>
      <c r="H420">
        <v>91</v>
      </c>
      <c r="I420" s="2">
        <v>46113</v>
      </c>
      <c r="J420" s="1" t="s">
        <v>1109</v>
      </c>
      <c r="K420">
        <v>91</v>
      </c>
      <c r="L420">
        <v>84.06</v>
      </c>
      <c r="M420" s="2">
        <v>46122</v>
      </c>
      <c r="N420" t="str">
        <f>IF(po_master[[#This Row],[Approved By]]="", "Missing Approval", "OK")</f>
        <v>OK</v>
      </c>
      <c r="O420" t="str">
        <f>IF(ISBLANK(po_master[[#This Row],[GR Quantity]]), "No GR - Not received", "OK")</f>
        <v>OK</v>
      </c>
      <c r="P420" s="1" t="str">
        <f>IF(po_master[[#This Row],[Promised Delivey Date]]&lt;po_master[[#This Row],[Order Date]], "Invalid", "OK")</f>
        <v>OK</v>
      </c>
      <c r="Q420" s="1" t="str">
        <f>IF(ISBLANK(po_master[[#This Row],[Invoice Number]]), "No Invoice", "OK")</f>
        <v>OK</v>
      </c>
      <c r="R420" s="1" t="str">
        <f>IF(AND(NOT(ISBLANK(po_master[[#This Row],[GR Quantity]])), po_master[[#This Row],[GR Quantity]]&lt;&gt;po_master[[#This Row],[PO Quantity]]), "Qty Variance", "OK")</f>
        <v>OK</v>
      </c>
      <c r="S420" s="1" t="str">
        <f>IF(po_master[[#This Row],[Invoice Unit Price]]&gt;po_master[[#This Row],[PO Unit Price]]*1.01, "Price Variance", "OK")</f>
        <v>OK</v>
      </c>
      <c r="T420" s="1" t="str">
        <f>IF(po_master[[#This Row],[Actual Delivery Date]]&gt;po_master[[#This Row],[Promised Delivey Date]], "Late Delivery", "OK")</f>
        <v>OK</v>
      </c>
      <c r="U420" s="1" t="str">
        <f>IF(COUNTIF(po_master[PO Number],po_master[[#This Row],[PO Number]])&gt;1, "Duplicate Invoice", "OK")</f>
        <v>OK</v>
      </c>
    </row>
    <row r="421" spans="1:21" x14ac:dyDescent="0.25">
      <c r="A421" s="1" t="s">
        <v>376</v>
      </c>
      <c r="B421" s="1" t="s">
        <v>1449</v>
      </c>
      <c r="C421" s="2">
        <v>46053</v>
      </c>
      <c r="D421">
        <v>337</v>
      </c>
      <c r="E421">
        <v>183.65</v>
      </c>
      <c r="F421" s="1" t="s">
        <v>1474</v>
      </c>
      <c r="G421" s="2">
        <v>46069</v>
      </c>
      <c r="H421">
        <v>337</v>
      </c>
      <c r="I421" s="2">
        <v>46070</v>
      </c>
      <c r="J421" s="1" t="s">
        <v>1110</v>
      </c>
      <c r="K421">
        <v>337</v>
      </c>
      <c r="L421">
        <v>183.65</v>
      </c>
      <c r="M421" s="2">
        <v>46072</v>
      </c>
      <c r="N421" t="str">
        <f>IF(po_master[[#This Row],[Approved By]]="", "Missing Approval", "OK")</f>
        <v>OK</v>
      </c>
      <c r="O421" t="str">
        <f>IF(ISBLANK(po_master[[#This Row],[GR Quantity]]), "No GR - Not received", "OK")</f>
        <v>OK</v>
      </c>
      <c r="P421" s="1" t="str">
        <f>IF(po_master[[#This Row],[Promised Delivey Date]]&lt;po_master[[#This Row],[Order Date]], "Invalid", "OK")</f>
        <v>OK</v>
      </c>
      <c r="Q421" s="1" t="str">
        <f>IF(ISBLANK(po_master[[#This Row],[Invoice Number]]), "No Invoice", "OK")</f>
        <v>OK</v>
      </c>
      <c r="R421" s="1" t="str">
        <f>IF(AND(NOT(ISBLANK(po_master[[#This Row],[GR Quantity]])), po_master[[#This Row],[GR Quantity]]&lt;&gt;po_master[[#This Row],[PO Quantity]]), "Qty Variance", "OK")</f>
        <v>OK</v>
      </c>
      <c r="S421" s="1" t="str">
        <f>IF(po_master[[#This Row],[Invoice Unit Price]]&gt;po_master[[#This Row],[PO Unit Price]]*1.01, "Price Variance", "OK")</f>
        <v>OK</v>
      </c>
      <c r="T421" s="1" t="str">
        <f>IF(po_master[[#This Row],[Actual Delivery Date]]&gt;po_master[[#This Row],[Promised Delivey Date]], "Late Delivery", "OK")</f>
        <v>Late Delivery</v>
      </c>
      <c r="U421" s="1" t="str">
        <f>IF(COUNTIF(po_master[PO Number],po_master[[#This Row],[PO Number]])&gt;1, "Duplicate Invoice", "OK")</f>
        <v>OK</v>
      </c>
    </row>
    <row r="422" spans="1:21" x14ac:dyDescent="0.25">
      <c r="A422" s="1" t="s">
        <v>377</v>
      </c>
      <c r="B422" s="1" t="s">
        <v>1497</v>
      </c>
      <c r="C422" s="2">
        <v>46079</v>
      </c>
      <c r="D422">
        <v>122</v>
      </c>
      <c r="E422">
        <v>191.69</v>
      </c>
      <c r="F422" s="1" t="s">
        <v>1459</v>
      </c>
      <c r="G422" s="2">
        <v>46088</v>
      </c>
      <c r="H422">
        <v>122</v>
      </c>
      <c r="I422" s="2">
        <v>46089</v>
      </c>
      <c r="J422" s="1" t="s">
        <v>1111</v>
      </c>
      <c r="K422">
        <v>122</v>
      </c>
      <c r="L422">
        <v>191.69</v>
      </c>
      <c r="M422" s="2">
        <v>46094</v>
      </c>
      <c r="N422" t="str">
        <f>IF(po_master[[#This Row],[Approved By]]="", "Missing Approval", "OK")</f>
        <v>Missing Approval</v>
      </c>
      <c r="O422" t="str">
        <f>IF(ISBLANK(po_master[[#This Row],[GR Quantity]]), "No GR - Not received", "OK")</f>
        <v>OK</v>
      </c>
      <c r="P422" s="1" t="str">
        <f>IF(po_master[[#This Row],[Promised Delivey Date]]&lt;po_master[[#This Row],[Order Date]], "Invalid", "OK")</f>
        <v>OK</v>
      </c>
      <c r="Q422" s="1" t="str">
        <f>IF(ISBLANK(po_master[[#This Row],[Invoice Number]]), "No Invoice", "OK")</f>
        <v>OK</v>
      </c>
      <c r="R422" s="1" t="str">
        <f>IF(AND(NOT(ISBLANK(po_master[[#This Row],[GR Quantity]])), po_master[[#This Row],[GR Quantity]]&lt;&gt;po_master[[#This Row],[PO Quantity]]), "Qty Variance", "OK")</f>
        <v>OK</v>
      </c>
      <c r="S422" s="1" t="str">
        <f>IF(po_master[[#This Row],[Invoice Unit Price]]&gt;po_master[[#This Row],[PO Unit Price]]*1.01, "Price Variance", "OK")</f>
        <v>OK</v>
      </c>
      <c r="T422" s="1" t="str">
        <f>IF(po_master[[#This Row],[Actual Delivery Date]]&gt;po_master[[#This Row],[Promised Delivey Date]], "Late Delivery", "OK")</f>
        <v>Late Delivery</v>
      </c>
      <c r="U422" s="1" t="str">
        <f>IF(COUNTIF(po_master[PO Number],po_master[[#This Row],[PO Number]])&gt;1, "Duplicate Invoice", "OK")</f>
        <v>OK</v>
      </c>
    </row>
    <row r="423" spans="1:21" x14ac:dyDescent="0.25">
      <c r="A423" s="1" t="s">
        <v>1088</v>
      </c>
      <c r="B423" s="1" t="s">
        <v>1475</v>
      </c>
      <c r="C423" s="2">
        <v>46158</v>
      </c>
      <c r="D423">
        <v>125</v>
      </c>
      <c r="E423">
        <v>129.4</v>
      </c>
      <c r="F423" s="1" t="s">
        <v>1462</v>
      </c>
      <c r="G423" s="2">
        <v>46166</v>
      </c>
      <c r="I423" s="2"/>
      <c r="J423" s="1" t="s">
        <v>1089</v>
      </c>
      <c r="K423">
        <v>125</v>
      </c>
      <c r="L423">
        <v>129.4</v>
      </c>
      <c r="M423" s="2">
        <v>46167</v>
      </c>
      <c r="N423" t="str">
        <f>IF(po_master[[#This Row],[Approved By]]="", "Missing Approval", "OK")</f>
        <v>OK</v>
      </c>
      <c r="O423" t="str">
        <f>IF(ISBLANK(po_master[[#This Row],[GR Quantity]]), "No GR - Not received", "OK")</f>
        <v>No GR - Not received</v>
      </c>
      <c r="P423" s="1" t="str">
        <f>IF(po_master[[#This Row],[Promised Delivey Date]]&lt;po_master[[#This Row],[Order Date]], "Invalid", "OK")</f>
        <v>OK</v>
      </c>
      <c r="Q423" s="1" t="str">
        <f>IF(ISBLANK(po_master[[#This Row],[Invoice Number]]), "No Invoice", "OK")</f>
        <v>OK</v>
      </c>
      <c r="R423" s="1" t="str">
        <f>IF(AND(NOT(ISBLANK(po_master[[#This Row],[GR Quantity]])), po_master[[#This Row],[GR Quantity]]&lt;&gt;po_master[[#This Row],[PO Quantity]]), "Qty Variance", "OK")</f>
        <v>OK</v>
      </c>
      <c r="S423" s="1" t="str">
        <f>IF(po_master[[#This Row],[Invoice Unit Price]]&gt;po_master[[#This Row],[PO Unit Price]]*1.01, "Price Variance", "OK")</f>
        <v>OK</v>
      </c>
      <c r="T423" s="1" t="str">
        <f>IF(po_master[[#This Row],[Actual Delivery Date]]&gt;po_master[[#This Row],[Promised Delivey Date]], "Late Delivery", "OK")</f>
        <v>OK</v>
      </c>
      <c r="U423" s="1" t="str">
        <f>IF(COUNTIF(po_master[PO Number],po_master[[#This Row],[PO Number]])&gt;1, "Duplicate Invoice", "OK")</f>
        <v>OK</v>
      </c>
    </row>
    <row r="424" spans="1:21" x14ac:dyDescent="0.25">
      <c r="A424" s="1" t="s">
        <v>378</v>
      </c>
      <c r="B424" s="1" t="s">
        <v>1489</v>
      </c>
      <c r="C424" s="2">
        <v>46118</v>
      </c>
      <c r="D424">
        <v>222</v>
      </c>
      <c r="E424">
        <v>141.88</v>
      </c>
      <c r="F424" s="1" t="s">
        <v>1487</v>
      </c>
      <c r="G424" s="2">
        <v>46129</v>
      </c>
      <c r="H424">
        <v>222</v>
      </c>
      <c r="I424" s="2">
        <v>46127</v>
      </c>
      <c r="J424" s="1" t="s">
        <v>1112</v>
      </c>
      <c r="K424">
        <v>222</v>
      </c>
      <c r="L424">
        <v>141.88</v>
      </c>
      <c r="M424" s="2">
        <v>46131</v>
      </c>
      <c r="N424" t="str">
        <f>IF(po_master[[#This Row],[Approved By]]="", "Missing Approval", "OK")</f>
        <v>OK</v>
      </c>
      <c r="O424" t="str">
        <f>IF(ISBLANK(po_master[[#This Row],[GR Quantity]]), "No GR - Not received", "OK")</f>
        <v>OK</v>
      </c>
      <c r="P424" s="1" t="str">
        <f>IF(po_master[[#This Row],[Promised Delivey Date]]&lt;po_master[[#This Row],[Order Date]], "Invalid", "OK")</f>
        <v>OK</v>
      </c>
      <c r="Q424" s="1" t="str">
        <f>IF(ISBLANK(po_master[[#This Row],[Invoice Number]]), "No Invoice", "OK")</f>
        <v>OK</v>
      </c>
      <c r="R424" s="1" t="str">
        <f>IF(AND(NOT(ISBLANK(po_master[[#This Row],[GR Quantity]])), po_master[[#This Row],[GR Quantity]]&lt;&gt;po_master[[#This Row],[PO Quantity]]), "Qty Variance", "OK")</f>
        <v>OK</v>
      </c>
      <c r="S424" s="1" t="str">
        <f>IF(po_master[[#This Row],[Invoice Unit Price]]&gt;po_master[[#This Row],[PO Unit Price]]*1.01, "Price Variance", "OK")</f>
        <v>OK</v>
      </c>
      <c r="T424" s="1" t="str">
        <f>IF(po_master[[#This Row],[Actual Delivery Date]]&gt;po_master[[#This Row],[Promised Delivey Date]], "Late Delivery", "OK")</f>
        <v>OK</v>
      </c>
      <c r="U424" s="1" t="str">
        <f>IF(COUNTIF(po_master[PO Number],po_master[[#This Row],[PO Number]])&gt;1, "Duplicate Invoice", "OK")</f>
        <v>OK</v>
      </c>
    </row>
    <row r="425" spans="1:21" x14ac:dyDescent="0.25">
      <c r="A425" s="1" t="s">
        <v>1090</v>
      </c>
      <c r="B425" s="1" t="s">
        <v>1495</v>
      </c>
      <c r="C425" s="2">
        <v>46107</v>
      </c>
      <c r="D425">
        <v>377</v>
      </c>
      <c r="E425">
        <v>97.12</v>
      </c>
      <c r="F425" s="1" t="s">
        <v>1467</v>
      </c>
      <c r="G425" s="2">
        <v>46116</v>
      </c>
      <c r="I425" s="2"/>
      <c r="J425" s="1" t="s">
        <v>1091</v>
      </c>
      <c r="K425">
        <v>377</v>
      </c>
      <c r="L425">
        <v>107.47</v>
      </c>
      <c r="M425" s="2">
        <v>46120</v>
      </c>
      <c r="N425" t="str">
        <f>IF(po_master[[#This Row],[Approved By]]="", "Missing Approval", "OK")</f>
        <v>OK</v>
      </c>
      <c r="O425" t="str">
        <f>IF(ISBLANK(po_master[[#This Row],[GR Quantity]]), "No GR - Not received", "OK")</f>
        <v>No GR - Not received</v>
      </c>
      <c r="P425" s="1" t="str">
        <f>IF(po_master[[#This Row],[Promised Delivey Date]]&lt;po_master[[#This Row],[Order Date]], "Invalid", "OK")</f>
        <v>OK</v>
      </c>
      <c r="Q425" s="1" t="str">
        <f>IF(ISBLANK(po_master[[#This Row],[Invoice Number]]), "No Invoice", "OK")</f>
        <v>OK</v>
      </c>
      <c r="R425" s="1" t="str">
        <f>IF(AND(NOT(ISBLANK(po_master[[#This Row],[GR Quantity]])), po_master[[#This Row],[GR Quantity]]&lt;&gt;po_master[[#This Row],[PO Quantity]]), "Qty Variance", "OK")</f>
        <v>OK</v>
      </c>
      <c r="S425" s="1" t="str">
        <f>IF(po_master[[#This Row],[Invoice Unit Price]]&gt;po_master[[#This Row],[PO Unit Price]]*1.01, "Price Variance", "OK")</f>
        <v>Price Variance</v>
      </c>
      <c r="T425" s="1" t="str">
        <f>IF(po_master[[#This Row],[Actual Delivery Date]]&gt;po_master[[#This Row],[Promised Delivey Date]], "Late Delivery", "OK")</f>
        <v>OK</v>
      </c>
      <c r="U425" s="1" t="str">
        <f>IF(COUNTIF(po_master[PO Number],po_master[[#This Row],[PO Number]])&gt;1, "Duplicate Invoice", "OK")</f>
        <v>OK</v>
      </c>
    </row>
    <row r="426" spans="1:21" x14ac:dyDescent="0.25">
      <c r="A426" s="1" t="s">
        <v>379</v>
      </c>
      <c r="B426" s="1" t="s">
        <v>1492</v>
      </c>
      <c r="C426" s="2">
        <v>46167</v>
      </c>
      <c r="D426">
        <v>67</v>
      </c>
      <c r="E426">
        <v>17.04</v>
      </c>
      <c r="F426" s="1" t="s">
        <v>1442</v>
      </c>
      <c r="G426" s="2">
        <v>46188</v>
      </c>
      <c r="H426">
        <v>67</v>
      </c>
      <c r="I426" s="2">
        <v>46204</v>
      </c>
      <c r="J426" s="1" t="s">
        <v>1115</v>
      </c>
      <c r="K426">
        <v>67</v>
      </c>
      <c r="L426">
        <v>17.04</v>
      </c>
      <c r="M426" s="2">
        <v>46192</v>
      </c>
      <c r="N426" t="str">
        <f>IF(po_master[[#This Row],[Approved By]]="", "Missing Approval", "OK")</f>
        <v>OK</v>
      </c>
      <c r="O426" t="str">
        <f>IF(ISBLANK(po_master[[#This Row],[GR Quantity]]), "No GR - Not received", "OK")</f>
        <v>OK</v>
      </c>
      <c r="P426" s="1" t="str">
        <f>IF(po_master[[#This Row],[Promised Delivey Date]]&lt;po_master[[#This Row],[Order Date]], "Invalid", "OK")</f>
        <v>OK</v>
      </c>
      <c r="Q426" s="1" t="str">
        <f>IF(ISBLANK(po_master[[#This Row],[Invoice Number]]), "No Invoice", "OK")</f>
        <v>OK</v>
      </c>
      <c r="R426" s="1" t="str">
        <f>IF(AND(NOT(ISBLANK(po_master[[#This Row],[GR Quantity]])), po_master[[#This Row],[GR Quantity]]&lt;&gt;po_master[[#This Row],[PO Quantity]]), "Qty Variance", "OK")</f>
        <v>OK</v>
      </c>
      <c r="S426" s="1" t="str">
        <f>IF(po_master[[#This Row],[Invoice Unit Price]]&gt;po_master[[#This Row],[PO Unit Price]]*1.01, "Price Variance", "OK")</f>
        <v>OK</v>
      </c>
      <c r="T426" s="1" t="str">
        <f>IF(po_master[[#This Row],[Actual Delivery Date]]&gt;po_master[[#This Row],[Promised Delivey Date]], "Late Delivery", "OK")</f>
        <v>Late Delivery</v>
      </c>
      <c r="U426" s="1" t="str">
        <f>IF(COUNTIF(po_master[PO Number],po_master[[#This Row],[PO Number]])&gt;1, "Duplicate Invoice", "OK")</f>
        <v>OK</v>
      </c>
    </row>
    <row r="427" spans="1:21" x14ac:dyDescent="0.25">
      <c r="A427" s="1" t="s">
        <v>1092</v>
      </c>
      <c r="B427" s="1" t="s">
        <v>1481</v>
      </c>
      <c r="C427" s="2">
        <v>46163</v>
      </c>
      <c r="D427">
        <v>485</v>
      </c>
      <c r="E427">
        <v>35.799999999999997</v>
      </c>
      <c r="F427" s="1" t="s">
        <v>1446</v>
      </c>
      <c r="G427" s="2">
        <v>46183</v>
      </c>
      <c r="I427" s="2"/>
      <c r="J427" s="1" t="s">
        <v>1093</v>
      </c>
      <c r="K427">
        <v>485</v>
      </c>
      <c r="L427">
        <v>35.799999999999997</v>
      </c>
      <c r="M427" s="2">
        <v>46187</v>
      </c>
      <c r="N427" t="str">
        <f>IF(po_master[[#This Row],[Approved By]]="", "Missing Approval", "OK")</f>
        <v>OK</v>
      </c>
      <c r="O427" t="str">
        <f>IF(ISBLANK(po_master[[#This Row],[GR Quantity]]), "No GR - Not received", "OK")</f>
        <v>No GR - Not received</v>
      </c>
      <c r="P427" s="1" t="str">
        <f>IF(po_master[[#This Row],[Promised Delivey Date]]&lt;po_master[[#This Row],[Order Date]], "Invalid", "OK")</f>
        <v>OK</v>
      </c>
      <c r="Q427" s="1" t="str">
        <f>IF(ISBLANK(po_master[[#This Row],[Invoice Number]]), "No Invoice", "OK")</f>
        <v>OK</v>
      </c>
      <c r="R427" s="1" t="str">
        <f>IF(AND(NOT(ISBLANK(po_master[[#This Row],[GR Quantity]])), po_master[[#This Row],[GR Quantity]]&lt;&gt;po_master[[#This Row],[PO Quantity]]), "Qty Variance", "OK")</f>
        <v>OK</v>
      </c>
      <c r="S427" s="1" t="str">
        <f>IF(po_master[[#This Row],[Invoice Unit Price]]&gt;po_master[[#This Row],[PO Unit Price]]*1.01, "Price Variance", "OK")</f>
        <v>OK</v>
      </c>
      <c r="T427" s="1" t="str">
        <f>IF(po_master[[#This Row],[Actual Delivery Date]]&gt;po_master[[#This Row],[Promised Delivey Date]], "Late Delivery", "OK")</f>
        <v>OK</v>
      </c>
      <c r="U427" s="1" t="str">
        <f>IF(COUNTIF(po_master[PO Number],po_master[[#This Row],[PO Number]])&gt;1, "Duplicate Invoice", "OK")</f>
        <v>OK</v>
      </c>
    </row>
    <row r="428" spans="1:21" x14ac:dyDescent="0.25">
      <c r="A428" s="1" t="s">
        <v>380</v>
      </c>
      <c r="B428" s="1" t="s">
        <v>1505</v>
      </c>
      <c r="C428" s="2">
        <v>46169</v>
      </c>
      <c r="D428">
        <v>284</v>
      </c>
      <c r="E428">
        <v>34.22</v>
      </c>
      <c r="F428" s="1" t="s">
        <v>1472</v>
      </c>
      <c r="G428" s="2">
        <v>46190</v>
      </c>
      <c r="H428">
        <v>284</v>
      </c>
      <c r="I428" s="2">
        <v>46188</v>
      </c>
      <c r="J428" s="1" t="s">
        <v>1116</v>
      </c>
      <c r="K428">
        <v>284</v>
      </c>
      <c r="L428">
        <v>34.22</v>
      </c>
      <c r="M428" s="2">
        <v>46191</v>
      </c>
      <c r="N428" t="str">
        <f>IF(po_master[[#This Row],[Approved By]]="", "Missing Approval", "OK")</f>
        <v>OK</v>
      </c>
      <c r="O428" t="str">
        <f>IF(ISBLANK(po_master[[#This Row],[GR Quantity]]), "No GR - Not received", "OK")</f>
        <v>OK</v>
      </c>
      <c r="P428" s="1" t="str">
        <f>IF(po_master[[#This Row],[Promised Delivey Date]]&lt;po_master[[#This Row],[Order Date]], "Invalid", "OK")</f>
        <v>OK</v>
      </c>
      <c r="Q428" s="1" t="str">
        <f>IF(ISBLANK(po_master[[#This Row],[Invoice Number]]), "No Invoice", "OK")</f>
        <v>OK</v>
      </c>
      <c r="R428" s="1" t="str">
        <f>IF(AND(NOT(ISBLANK(po_master[[#This Row],[GR Quantity]])), po_master[[#This Row],[GR Quantity]]&lt;&gt;po_master[[#This Row],[PO Quantity]]), "Qty Variance", "OK")</f>
        <v>OK</v>
      </c>
      <c r="S428" s="1" t="str">
        <f>IF(po_master[[#This Row],[Invoice Unit Price]]&gt;po_master[[#This Row],[PO Unit Price]]*1.01, "Price Variance", "OK")</f>
        <v>OK</v>
      </c>
      <c r="T428" s="1" t="str">
        <f>IF(po_master[[#This Row],[Actual Delivery Date]]&gt;po_master[[#This Row],[Promised Delivey Date]], "Late Delivery", "OK")</f>
        <v>OK</v>
      </c>
      <c r="U428" s="1" t="str">
        <f>IF(COUNTIF(po_master[PO Number],po_master[[#This Row],[PO Number]])&gt;1, "Duplicate Invoice", "OK")</f>
        <v>OK</v>
      </c>
    </row>
    <row r="429" spans="1:21" x14ac:dyDescent="0.25">
      <c r="A429" s="1" t="s">
        <v>381</v>
      </c>
      <c r="B429" s="1" t="s">
        <v>1478</v>
      </c>
      <c r="C429" s="2">
        <v>46052</v>
      </c>
      <c r="D429">
        <v>358</v>
      </c>
      <c r="E429">
        <v>45.05</v>
      </c>
      <c r="F429" s="1" t="s">
        <v>1480</v>
      </c>
      <c r="G429" s="2">
        <v>46072</v>
      </c>
      <c r="H429">
        <v>358</v>
      </c>
      <c r="I429" s="2">
        <v>46074</v>
      </c>
      <c r="J429" s="1" t="s">
        <v>1117</v>
      </c>
      <c r="K429">
        <v>358</v>
      </c>
      <c r="L429">
        <v>45.05</v>
      </c>
      <c r="M429" s="2">
        <v>46074</v>
      </c>
      <c r="N429" t="str">
        <f>IF(po_master[[#This Row],[Approved By]]="", "Missing Approval", "OK")</f>
        <v>OK</v>
      </c>
      <c r="O429" t="str">
        <f>IF(ISBLANK(po_master[[#This Row],[GR Quantity]]), "No GR - Not received", "OK")</f>
        <v>OK</v>
      </c>
      <c r="P429" s="1" t="str">
        <f>IF(po_master[[#This Row],[Promised Delivey Date]]&lt;po_master[[#This Row],[Order Date]], "Invalid", "OK")</f>
        <v>OK</v>
      </c>
      <c r="Q429" s="1" t="str">
        <f>IF(ISBLANK(po_master[[#This Row],[Invoice Number]]), "No Invoice", "OK")</f>
        <v>OK</v>
      </c>
      <c r="R429" s="1" t="str">
        <f>IF(AND(NOT(ISBLANK(po_master[[#This Row],[GR Quantity]])), po_master[[#This Row],[GR Quantity]]&lt;&gt;po_master[[#This Row],[PO Quantity]]), "Qty Variance", "OK")</f>
        <v>OK</v>
      </c>
      <c r="S429" s="1" t="str">
        <f>IF(po_master[[#This Row],[Invoice Unit Price]]&gt;po_master[[#This Row],[PO Unit Price]]*1.01, "Price Variance", "OK")</f>
        <v>OK</v>
      </c>
      <c r="T429" s="1" t="str">
        <f>IF(po_master[[#This Row],[Actual Delivery Date]]&gt;po_master[[#This Row],[Promised Delivey Date]], "Late Delivery", "OK")</f>
        <v>Late Delivery</v>
      </c>
      <c r="U429" s="1" t="str">
        <f>IF(COUNTIF(po_master[PO Number],po_master[[#This Row],[PO Number]])&gt;1, "Duplicate Invoice", "OK")</f>
        <v>OK</v>
      </c>
    </row>
    <row r="430" spans="1:21" x14ac:dyDescent="0.25">
      <c r="A430" s="1" t="s">
        <v>382</v>
      </c>
      <c r="B430" s="1" t="s">
        <v>1457</v>
      </c>
      <c r="C430" s="2">
        <v>46153</v>
      </c>
      <c r="D430">
        <v>238</v>
      </c>
      <c r="E430">
        <v>162.69</v>
      </c>
      <c r="F430" s="1" t="s">
        <v>1469</v>
      </c>
      <c r="G430" s="2">
        <v>46162</v>
      </c>
      <c r="H430">
        <v>238</v>
      </c>
      <c r="I430" s="2">
        <v>46162</v>
      </c>
      <c r="J430" s="1" t="s">
        <v>1118</v>
      </c>
      <c r="K430">
        <v>238</v>
      </c>
      <c r="L430">
        <v>162.69</v>
      </c>
      <c r="M430" s="2">
        <v>46166</v>
      </c>
      <c r="N430" t="str">
        <f>IF(po_master[[#This Row],[Approved By]]="", "Missing Approval", "OK")</f>
        <v>OK</v>
      </c>
      <c r="O430" t="str">
        <f>IF(ISBLANK(po_master[[#This Row],[GR Quantity]]), "No GR - Not received", "OK")</f>
        <v>OK</v>
      </c>
      <c r="P430" s="1" t="str">
        <f>IF(po_master[[#This Row],[Promised Delivey Date]]&lt;po_master[[#This Row],[Order Date]], "Invalid", "OK")</f>
        <v>OK</v>
      </c>
      <c r="Q430" s="1" t="str">
        <f>IF(ISBLANK(po_master[[#This Row],[Invoice Number]]), "No Invoice", "OK")</f>
        <v>OK</v>
      </c>
      <c r="R430" s="1" t="str">
        <f>IF(AND(NOT(ISBLANK(po_master[[#This Row],[GR Quantity]])), po_master[[#This Row],[GR Quantity]]&lt;&gt;po_master[[#This Row],[PO Quantity]]), "Qty Variance", "OK")</f>
        <v>OK</v>
      </c>
      <c r="S430" s="1" t="str">
        <f>IF(po_master[[#This Row],[Invoice Unit Price]]&gt;po_master[[#This Row],[PO Unit Price]]*1.01, "Price Variance", "OK")</f>
        <v>OK</v>
      </c>
      <c r="T430" s="1" t="str">
        <f>IF(po_master[[#This Row],[Actual Delivery Date]]&gt;po_master[[#This Row],[Promised Delivey Date]], "Late Delivery", "OK")</f>
        <v>OK</v>
      </c>
      <c r="U430" s="1" t="str">
        <f>IF(COUNTIF(po_master[PO Number],po_master[[#This Row],[PO Number]])&gt;1, "Duplicate Invoice", "OK")</f>
        <v>OK</v>
      </c>
    </row>
    <row r="431" spans="1:21" x14ac:dyDescent="0.25">
      <c r="A431" s="1" t="s">
        <v>1096</v>
      </c>
      <c r="B431" s="1" t="s">
        <v>1471</v>
      </c>
      <c r="C431" s="2">
        <v>46032</v>
      </c>
      <c r="D431">
        <v>477</v>
      </c>
      <c r="E431">
        <v>184.69</v>
      </c>
      <c r="F431" s="1" t="s">
        <v>1507</v>
      </c>
      <c r="G431" s="2">
        <v>46042</v>
      </c>
      <c r="I431" s="2"/>
      <c r="J431" s="1" t="s">
        <v>1097</v>
      </c>
      <c r="K431">
        <v>477</v>
      </c>
      <c r="L431">
        <v>184.69</v>
      </c>
      <c r="M431" s="2">
        <v>46045</v>
      </c>
      <c r="N431" t="str">
        <f>IF(po_master[[#This Row],[Approved By]]="", "Missing Approval", "OK")</f>
        <v>OK</v>
      </c>
      <c r="O431" t="str">
        <f>IF(ISBLANK(po_master[[#This Row],[GR Quantity]]), "No GR - Not received", "OK")</f>
        <v>No GR - Not received</v>
      </c>
      <c r="P431" s="1" t="str">
        <f>IF(po_master[[#This Row],[Promised Delivey Date]]&lt;po_master[[#This Row],[Order Date]], "Invalid", "OK")</f>
        <v>OK</v>
      </c>
      <c r="Q431" s="1" t="str">
        <f>IF(ISBLANK(po_master[[#This Row],[Invoice Number]]), "No Invoice", "OK")</f>
        <v>OK</v>
      </c>
      <c r="R431" s="1" t="str">
        <f>IF(AND(NOT(ISBLANK(po_master[[#This Row],[GR Quantity]])), po_master[[#This Row],[GR Quantity]]&lt;&gt;po_master[[#This Row],[PO Quantity]]), "Qty Variance", "OK")</f>
        <v>OK</v>
      </c>
      <c r="S431" s="1" t="str">
        <f>IF(po_master[[#This Row],[Invoice Unit Price]]&gt;po_master[[#This Row],[PO Unit Price]]*1.01, "Price Variance", "OK")</f>
        <v>OK</v>
      </c>
      <c r="T431" s="1" t="str">
        <f>IF(po_master[[#This Row],[Actual Delivery Date]]&gt;po_master[[#This Row],[Promised Delivey Date]], "Late Delivery", "OK")</f>
        <v>OK</v>
      </c>
      <c r="U431" s="1" t="str">
        <f>IF(COUNTIF(po_master[PO Number],po_master[[#This Row],[PO Number]])&gt;1, "Duplicate Invoice", "OK")</f>
        <v>OK</v>
      </c>
    </row>
    <row r="432" spans="1:21" x14ac:dyDescent="0.25">
      <c r="A432" s="1" t="s">
        <v>383</v>
      </c>
      <c r="B432" s="1" t="s">
        <v>1445</v>
      </c>
      <c r="C432" s="2">
        <v>46129</v>
      </c>
      <c r="D432">
        <v>243</v>
      </c>
      <c r="E432">
        <v>114.96</v>
      </c>
      <c r="F432" s="1" t="s">
        <v>1442</v>
      </c>
      <c r="G432" s="2">
        <v>46148</v>
      </c>
      <c r="H432">
        <v>250</v>
      </c>
      <c r="I432" s="2">
        <v>46148</v>
      </c>
      <c r="J432" s="1" t="s">
        <v>1119</v>
      </c>
      <c r="K432">
        <v>243</v>
      </c>
      <c r="L432">
        <v>127.17</v>
      </c>
      <c r="M432" s="2">
        <v>46153</v>
      </c>
      <c r="N432" t="str">
        <f>IF(po_master[[#This Row],[Approved By]]="", "Missing Approval", "OK")</f>
        <v>OK</v>
      </c>
      <c r="O432" t="str">
        <f>IF(ISBLANK(po_master[[#This Row],[GR Quantity]]), "No GR - Not received", "OK")</f>
        <v>OK</v>
      </c>
      <c r="P432" s="1" t="str">
        <f>IF(po_master[[#This Row],[Promised Delivey Date]]&lt;po_master[[#This Row],[Order Date]], "Invalid", "OK")</f>
        <v>OK</v>
      </c>
      <c r="Q432" s="1" t="str">
        <f>IF(ISBLANK(po_master[[#This Row],[Invoice Number]]), "No Invoice", "OK")</f>
        <v>OK</v>
      </c>
      <c r="R432" s="1" t="str">
        <f>IF(AND(NOT(ISBLANK(po_master[[#This Row],[GR Quantity]])), po_master[[#This Row],[GR Quantity]]&lt;&gt;po_master[[#This Row],[PO Quantity]]), "Qty Variance", "OK")</f>
        <v>Qty Variance</v>
      </c>
      <c r="S432" s="1" t="str">
        <f>IF(po_master[[#This Row],[Invoice Unit Price]]&gt;po_master[[#This Row],[PO Unit Price]]*1.01, "Price Variance", "OK")</f>
        <v>Price Variance</v>
      </c>
      <c r="T432" s="1" t="str">
        <f>IF(po_master[[#This Row],[Actual Delivery Date]]&gt;po_master[[#This Row],[Promised Delivey Date]], "Late Delivery", "OK")</f>
        <v>OK</v>
      </c>
      <c r="U432" s="1" t="str">
        <f>IF(COUNTIF(po_master[PO Number],po_master[[#This Row],[PO Number]])&gt;1, "Duplicate Invoice", "OK")</f>
        <v>OK</v>
      </c>
    </row>
    <row r="433" spans="1:21" x14ac:dyDescent="0.25">
      <c r="A433" s="1" t="s">
        <v>384</v>
      </c>
      <c r="B433" s="1" t="s">
        <v>1461</v>
      </c>
      <c r="C433" s="2">
        <v>46101</v>
      </c>
      <c r="D433">
        <v>380</v>
      </c>
      <c r="E433">
        <v>9.25</v>
      </c>
      <c r="F433" s="1" t="s">
        <v>1458</v>
      </c>
      <c r="G433" s="2">
        <v>46106</v>
      </c>
      <c r="H433">
        <v>380</v>
      </c>
      <c r="I433" s="2">
        <v>46106</v>
      </c>
      <c r="J433" s="1" t="s">
        <v>1120</v>
      </c>
      <c r="K433">
        <v>380</v>
      </c>
      <c r="L433">
        <v>9.25</v>
      </c>
      <c r="M433" s="2">
        <v>46107</v>
      </c>
      <c r="N433" t="str">
        <f>IF(po_master[[#This Row],[Approved By]]="", "Missing Approval", "OK")</f>
        <v>OK</v>
      </c>
      <c r="O433" t="str">
        <f>IF(ISBLANK(po_master[[#This Row],[GR Quantity]]), "No GR - Not received", "OK")</f>
        <v>OK</v>
      </c>
      <c r="P433" s="1" t="str">
        <f>IF(po_master[[#This Row],[Promised Delivey Date]]&lt;po_master[[#This Row],[Order Date]], "Invalid", "OK")</f>
        <v>OK</v>
      </c>
      <c r="Q433" s="1" t="str">
        <f>IF(ISBLANK(po_master[[#This Row],[Invoice Number]]), "No Invoice", "OK")</f>
        <v>OK</v>
      </c>
      <c r="R433" s="1" t="str">
        <f>IF(AND(NOT(ISBLANK(po_master[[#This Row],[GR Quantity]])), po_master[[#This Row],[GR Quantity]]&lt;&gt;po_master[[#This Row],[PO Quantity]]), "Qty Variance", "OK")</f>
        <v>OK</v>
      </c>
      <c r="S433" s="1" t="str">
        <f>IF(po_master[[#This Row],[Invoice Unit Price]]&gt;po_master[[#This Row],[PO Unit Price]]*1.01, "Price Variance", "OK")</f>
        <v>OK</v>
      </c>
      <c r="T433" s="1" t="str">
        <f>IF(po_master[[#This Row],[Actual Delivery Date]]&gt;po_master[[#This Row],[Promised Delivey Date]], "Late Delivery", "OK")</f>
        <v>OK</v>
      </c>
      <c r="U433" s="1" t="str">
        <f>IF(COUNTIF(po_master[PO Number],po_master[[#This Row],[PO Number]])&gt;1, "Duplicate Invoice", "OK")</f>
        <v>OK</v>
      </c>
    </row>
    <row r="434" spans="1:21" x14ac:dyDescent="0.25">
      <c r="A434" s="1" t="s">
        <v>385</v>
      </c>
      <c r="B434" s="1" t="s">
        <v>1465</v>
      </c>
      <c r="C434" s="2">
        <v>46078</v>
      </c>
      <c r="D434">
        <v>306</v>
      </c>
      <c r="E434">
        <v>19.239999999999998</v>
      </c>
      <c r="F434" s="1" t="s">
        <v>1507</v>
      </c>
      <c r="G434" s="2">
        <v>46094</v>
      </c>
      <c r="H434">
        <v>306</v>
      </c>
      <c r="I434" s="2">
        <v>46105</v>
      </c>
      <c r="J434" s="1" t="s">
        <v>1121</v>
      </c>
      <c r="K434">
        <v>306</v>
      </c>
      <c r="L434">
        <v>19.239999999999998</v>
      </c>
      <c r="M434" s="2">
        <v>46102</v>
      </c>
      <c r="N434" t="str">
        <f>IF(po_master[[#This Row],[Approved By]]="", "Missing Approval", "OK")</f>
        <v>OK</v>
      </c>
      <c r="O434" t="str">
        <f>IF(ISBLANK(po_master[[#This Row],[GR Quantity]]), "No GR - Not received", "OK")</f>
        <v>OK</v>
      </c>
      <c r="P434" s="1" t="str">
        <f>IF(po_master[[#This Row],[Promised Delivey Date]]&lt;po_master[[#This Row],[Order Date]], "Invalid", "OK")</f>
        <v>OK</v>
      </c>
      <c r="Q434" s="1" t="str">
        <f>IF(ISBLANK(po_master[[#This Row],[Invoice Number]]), "No Invoice", "OK")</f>
        <v>OK</v>
      </c>
      <c r="R434" s="1" t="str">
        <f>IF(AND(NOT(ISBLANK(po_master[[#This Row],[GR Quantity]])), po_master[[#This Row],[GR Quantity]]&lt;&gt;po_master[[#This Row],[PO Quantity]]), "Qty Variance", "OK")</f>
        <v>OK</v>
      </c>
      <c r="S434" s="1" t="str">
        <f>IF(po_master[[#This Row],[Invoice Unit Price]]&gt;po_master[[#This Row],[PO Unit Price]]*1.01, "Price Variance", "OK")</f>
        <v>OK</v>
      </c>
      <c r="T434" s="1" t="str">
        <f>IF(po_master[[#This Row],[Actual Delivery Date]]&gt;po_master[[#This Row],[Promised Delivey Date]], "Late Delivery", "OK")</f>
        <v>Late Delivery</v>
      </c>
      <c r="U434" s="1" t="str">
        <f>IF(COUNTIF(po_master[PO Number],po_master[[#This Row],[PO Number]])&gt;1, "Duplicate Invoice", "OK")</f>
        <v>OK</v>
      </c>
    </row>
    <row r="435" spans="1:21" x14ac:dyDescent="0.25">
      <c r="A435" s="1" t="s">
        <v>386</v>
      </c>
      <c r="B435" s="1" t="s">
        <v>1452</v>
      </c>
      <c r="C435" s="2">
        <v>46096</v>
      </c>
      <c r="D435">
        <v>219</v>
      </c>
      <c r="E435">
        <v>40.1</v>
      </c>
      <c r="F435" s="1" t="s">
        <v>1485</v>
      </c>
      <c r="G435" s="2">
        <v>46114</v>
      </c>
      <c r="H435">
        <v>219</v>
      </c>
      <c r="I435" s="2">
        <v>46128</v>
      </c>
      <c r="J435" s="1" t="s">
        <v>1124</v>
      </c>
      <c r="K435">
        <v>219</v>
      </c>
      <c r="L435">
        <v>40.1</v>
      </c>
      <c r="M435" s="2">
        <v>46115</v>
      </c>
      <c r="N435" t="str">
        <f>IF(po_master[[#This Row],[Approved By]]="", "Missing Approval", "OK")</f>
        <v>OK</v>
      </c>
      <c r="O435" t="str">
        <f>IF(ISBLANK(po_master[[#This Row],[GR Quantity]]), "No GR - Not received", "OK")</f>
        <v>OK</v>
      </c>
      <c r="P435" s="1" t="str">
        <f>IF(po_master[[#This Row],[Promised Delivey Date]]&lt;po_master[[#This Row],[Order Date]], "Invalid", "OK")</f>
        <v>OK</v>
      </c>
      <c r="Q435" s="1" t="str">
        <f>IF(ISBLANK(po_master[[#This Row],[Invoice Number]]), "No Invoice", "OK")</f>
        <v>OK</v>
      </c>
      <c r="R435" s="1" t="str">
        <f>IF(AND(NOT(ISBLANK(po_master[[#This Row],[GR Quantity]])), po_master[[#This Row],[GR Quantity]]&lt;&gt;po_master[[#This Row],[PO Quantity]]), "Qty Variance", "OK")</f>
        <v>OK</v>
      </c>
      <c r="S435" s="1" t="str">
        <f>IF(po_master[[#This Row],[Invoice Unit Price]]&gt;po_master[[#This Row],[PO Unit Price]]*1.01, "Price Variance", "OK")</f>
        <v>OK</v>
      </c>
      <c r="T435" s="1" t="str">
        <f>IF(po_master[[#This Row],[Actual Delivery Date]]&gt;po_master[[#This Row],[Promised Delivey Date]], "Late Delivery", "OK")</f>
        <v>Late Delivery</v>
      </c>
      <c r="U435" s="1" t="str">
        <f>IF(COUNTIF(po_master[PO Number],po_master[[#This Row],[PO Number]])&gt;1, "Duplicate Invoice", "OK")</f>
        <v>OK</v>
      </c>
    </row>
    <row r="436" spans="1:21" x14ac:dyDescent="0.25">
      <c r="A436" s="1" t="s">
        <v>387</v>
      </c>
      <c r="B436" s="1" t="s">
        <v>1496</v>
      </c>
      <c r="C436" s="2">
        <v>46120</v>
      </c>
      <c r="D436">
        <v>239</v>
      </c>
      <c r="E436">
        <v>174.58</v>
      </c>
      <c r="F436" s="1" t="s">
        <v>1453</v>
      </c>
      <c r="G436" s="2">
        <v>46137</v>
      </c>
      <c r="H436">
        <v>239</v>
      </c>
      <c r="I436" s="2">
        <v>46138</v>
      </c>
      <c r="J436" s="1" t="s">
        <v>1125</v>
      </c>
      <c r="K436">
        <v>239</v>
      </c>
      <c r="L436">
        <v>174.58</v>
      </c>
      <c r="M436" s="2">
        <v>46142</v>
      </c>
      <c r="N436" t="str">
        <f>IF(po_master[[#This Row],[Approved By]]="", "Missing Approval", "OK")</f>
        <v>OK</v>
      </c>
      <c r="O436" t="str">
        <f>IF(ISBLANK(po_master[[#This Row],[GR Quantity]]), "No GR - Not received", "OK")</f>
        <v>OK</v>
      </c>
      <c r="P436" s="1" t="str">
        <f>IF(po_master[[#This Row],[Promised Delivey Date]]&lt;po_master[[#This Row],[Order Date]], "Invalid", "OK")</f>
        <v>OK</v>
      </c>
      <c r="Q436" s="1" t="str">
        <f>IF(ISBLANK(po_master[[#This Row],[Invoice Number]]), "No Invoice", "OK")</f>
        <v>OK</v>
      </c>
      <c r="R436" s="1" t="str">
        <f>IF(AND(NOT(ISBLANK(po_master[[#This Row],[GR Quantity]])), po_master[[#This Row],[GR Quantity]]&lt;&gt;po_master[[#This Row],[PO Quantity]]), "Qty Variance", "OK")</f>
        <v>OK</v>
      </c>
      <c r="S436" s="1" t="str">
        <f>IF(po_master[[#This Row],[Invoice Unit Price]]&gt;po_master[[#This Row],[PO Unit Price]]*1.01, "Price Variance", "OK")</f>
        <v>OK</v>
      </c>
      <c r="T436" s="1" t="str">
        <f>IF(po_master[[#This Row],[Actual Delivery Date]]&gt;po_master[[#This Row],[Promised Delivey Date]], "Late Delivery", "OK")</f>
        <v>Late Delivery</v>
      </c>
      <c r="U436" s="1" t="str">
        <f>IF(COUNTIF(po_master[PO Number],po_master[[#This Row],[PO Number]])&gt;1, "Duplicate Invoice", "OK")</f>
        <v>OK</v>
      </c>
    </row>
    <row r="437" spans="1:21" x14ac:dyDescent="0.25">
      <c r="A437" s="1" t="s">
        <v>388</v>
      </c>
      <c r="B437" s="1" t="s">
        <v>1486</v>
      </c>
      <c r="C437" s="2">
        <v>46160</v>
      </c>
      <c r="D437">
        <v>211</v>
      </c>
      <c r="E437">
        <v>108.12</v>
      </c>
      <c r="F437" s="1" t="s">
        <v>1490</v>
      </c>
      <c r="G437" s="2">
        <v>46172</v>
      </c>
      <c r="H437">
        <v>211</v>
      </c>
      <c r="I437" s="2">
        <v>46170</v>
      </c>
      <c r="J437" s="1" t="s">
        <v>1128</v>
      </c>
      <c r="K437">
        <v>211</v>
      </c>
      <c r="L437">
        <v>108.12</v>
      </c>
      <c r="M437" s="2">
        <v>46173</v>
      </c>
      <c r="N437" t="str">
        <f>IF(po_master[[#This Row],[Approved By]]="", "Missing Approval", "OK")</f>
        <v>OK</v>
      </c>
      <c r="O437" t="str">
        <f>IF(ISBLANK(po_master[[#This Row],[GR Quantity]]), "No GR - Not received", "OK")</f>
        <v>OK</v>
      </c>
      <c r="P437" s="1" t="str">
        <f>IF(po_master[[#This Row],[Promised Delivey Date]]&lt;po_master[[#This Row],[Order Date]], "Invalid", "OK")</f>
        <v>OK</v>
      </c>
      <c r="Q437" s="1" t="str">
        <f>IF(ISBLANK(po_master[[#This Row],[Invoice Number]]), "No Invoice", "OK")</f>
        <v>OK</v>
      </c>
      <c r="R437" s="1" t="str">
        <f>IF(AND(NOT(ISBLANK(po_master[[#This Row],[GR Quantity]])), po_master[[#This Row],[GR Quantity]]&lt;&gt;po_master[[#This Row],[PO Quantity]]), "Qty Variance", "OK")</f>
        <v>OK</v>
      </c>
      <c r="S437" s="1" t="str">
        <f>IF(po_master[[#This Row],[Invoice Unit Price]]&gt;po_master[[#This Row],[PO Unit Price]]*1.01, "Price Variance", "OK")</f>
        <v>OK</v>
      </c>
      <c r="T437" s="1" t="str">
        <f>IF(po_master[[#This Row],[Actual Delivery Date]]&gt;po_master[[#This Row],[Promised Delivey Date]], "Late Delivery", "OK")</f>
        <v>OK</v>
      </c>
      <c r="U437" s="1" t="str">
        <f>IF(COUNTIF(po_master[PO Number],po_master[[#This Row],[PO Number]])&gt;1, "Duplicate Invoice", "OK")</f>
        <v>OK</v>
      </c>
    </row>
    <row r="438" spans="1:21" x14ac:dyDescent="0.25">
      <c r="A438" s="1" t="s">
        <v>389</v>
      </c>
      <c r="B438" s="1" t="s">
        <v>1481</v>
      </c>
      <c r="C438" s="2">
        <v>46028</v>
      </c>
      <c r="D438">
        <v>162</v>
      </c>
      <c r="E438">
        <v>95.29</v>
      </c>
      <c r="F438" s="1" t="s">
        <v>1490</v>
      </c>
      <c r="G438" s="2">
        <v>46046</v>
      </c>
      <c r="H438">
        <v>162</v>
      </c>
      <c r="I438" s="2">
        <v>46048</v>
      </c>
      <c r="J438" s="1" t="s">
        <v>1129</v>
      </c>
      <c r="K438">
        <v>162</v>
      </c>
      <c r="L438">
        <v>95.29</v>
      </c>
      <c r="M438" s="2">
        <v>46050</v>
      </c>
      <c r="N438" t="str">
        <f>IF(po_master[[#This Row],[Approved By]]="", "Missing Approval", "OK")</f>
        <v>OK</v>
      </c>
      <c r="O438" t="str">
        <f>IF(ISBLANK(po_master[[#This Row],[GR Quantity]]), "No GR - Not received", "OK")</f>
        <v>OK</v>
      </c>
      <c r="P438" s="1" t="str">
        <f>IF(po_master[[#This Row],[Promised Delivey Date]]&lt;po_master[[#This Row],[Order Date]], "Invalid", "OK")</f>
        <v>OK</v>
      </c>
      <c r="Q438" s="1" t="str">
        <f>IF(ISBLANK(po_master[[#This Row],[Invoice Number]]), "No Invoice", "OK")</f>
        <v>OK</v>
      </c>
      <c r="R438" s="1" t="str">
        <f>IF(AND(NOT(ISBLANK(po_master[[#This Row],[GR Quantity]])), po_master[[#This Row],[GR Quantity]]&lt;&gt;po_master[[#This Row],[PO Quantity]]), "Qty Variance", "OK")</f>
        <v>OK</v>
      </c>
      <c r="S438" s="1" t="str">
        <f>IF(po_master[[#This Row],[Invoice Unit Price]]&gt;po_master[[#This Row],[PO Unit Price]]*1.01, "Price Variance", "OK")</f>
        <v>OK</v>
      </c>
      <c r="T438" s="1" t="str">
        <f>IF(po_master[[#This Row],[Actual Delivery Date]]&gt;po_master[[#This Row],[Promised Delivey Date]], "Late Delivery", "OK")</f>
        <v>Late Delivery</v>
      </c>
      <c r="U438" s="1" t="str">
        <f>IF(COUNTIF(po_master[PO Number],po_master[[#This Row],[PO Number]])&gt;1, "Duplicate Invoice", "OK")</f>
        <v>OK</v>
      </c>
    </row>
    <row r="439" spans="1:21" x14ac:dyDescent="0.25">
      <c r="A439" s="1" t="s">
        <v>390</v>
      </c>
      <c r="B439" s="1" t="s">
        <v>1471</v>
      </c>
      <c r="C439" s="2">
        <v>46120</v>
      </c>
      <c r="D439">
        <v>431</v>
      </c>
      <c r="E439">
        <v>49.78</v>
      </c>
      <c r="F439" s="1" t="s">
        <v>1469</v>
      </c>
      <c r="G439" s="2">
        <v>46136</v>
      </c>
      <c r="H439">
        <v>431</v>
      </c>
      <c r="I439" s="2">
        <v>46135</v>
      </c>
      <c r="J439" s="1" t="s">
        <v>1130</v>
      </c>
      <c r="K439">
        <v>431</v>
      </c>
      <c r="L439">
        <v>49.78</v>
      </c>
      <c r="M439" s="2">
        <v>46140</v>
      </c>
      <c r="N439" t="str">
        <f>IF(po_master[[#This Row],[Approved By]]="", "Missing Approval", "OK")</f>
        <v>OK</v>
      </c>
      <c r="O439" t="str">
        <f>IF(ISBLANK(po_master[[#This Row],[GR Quantity]]), "No GR - Not received", "OK")</f>
        <v>OK</v>
      </c>
      <c r="P439" s="1" t="str">
        <f>IF(po_master[[#This Row],[Promised Delivey Date]]&lt;po_master[[#This Row],[Order Date]], "Invalid", "OK")</f>
        <v>OK</v>
      </c>
      <c r="Q439" s="1" t="str">
        <f>IF(ISBLANK(po_master[[#This Row],[Invoice Number]]), "No Invoice", "OK")</f>
        <v>OK</v>
      </c>
      <c r="R439" s="1" t="str">
        <f>IF(AND(NOT(ISBLANK(po_master[[#This Row],[GR Quantity]])), po_master[[#This Row],[GR Quantity]]&lt;&gt;po_master[[#This Row],[PO Quantity]]), "Qty Variance", "OK")</f>
        <v>OK</v>
      </c>
      <c r="S439" s="1" t="str">
        <f>IF(po_master[[#This Row],[Invoice Unit Price]]&gt;po_master[[#This Row],[PO Unit Price]]*1.01, "Price Variance", "OK")</f>
        <v>OK</v>
      </c>
      <c r="T439" s="1" t="str">
        <f>IF(po_master[[#This Row],[Actual Delivery Date]]&gt;po_master[[#This Row],[Promised Delivey Date]], "Late Delivery", "OK")</f>
        <v>OK</v>
      </c>
      <c r="U439" s="1" t="str">
        <f>IF(COUNTIF(po_master[PO Number],po_master[[#This Row],[PO Number]])&gt;1, "Duplicate Invoice", "OK")</f>
        <v>OK</v>
      </c>
    </row>
    <row r="440" spans="1:21" x14ac:dyDescent="0.25">
      <c r="A440" s="1" t="s">
        <v>391</v>
      </c>
      <c r="B440" s="1" t="s">
        <v>1464</v>
      </c>
      <c r="C440" s="2">
        <v>46093</v>
      </c>
      <c r="D440">
        <v>106</v>
      </c>
      <c r="E440">
        <v>187.8</v>
      </c>
      <c r="F440" s="1" t="s">
        <v>1490</v>
      </c>
      <c r="G440" s="2">
        <v>46101</v>
      </c>
      <c r="H440">
        <v>90</v>
      </c>
      <c r="I440" s="2">
        <v>46099</v>
      </c>
      <c r="J440" s="1" t="s">
        <v>1131</v>
      </c>
      <c r="K440">
        <v>106</v>
      </c>
      <c r="L440">
        <v>187.8</v>
      </c>
      <c r="M440" s="2">
        <v>46107</v>
      </c>
      <c r="N440" t="str">
        <f>IF(po_master[[#This Row],[Approved By]]="", "Missing Approval", "OK")</f>
        <v>OK</v>
      </c>
      <c r="O440" t="str">
        <f>IF(ISBLANK(po_master[[#This Row],[GR Quantity]]), "No GR - Not received", "OK")</f>
        <v>OK</v>
      </c>
      <c r="P440" s="1" t="str">
        <f>IF(po_master[[#This Row],[Promised Delivey Date]]&lt;po_master[[#This Row],[Order Date]], "Invalid", "OK")</f>
        <v>OK</v>
      </c>
      <c r="Q440" s="1" t="str">
        <f>IF(ISBLANK(po_master[[#This Row],[Invoice Number]]), "No Invoice", "OK")</f>
        <v>OK</v>
      </c>
      <c r="R440" s="1" t="str">
        <f>IF(AND(NOT(ISBLANK(po_master[[#This Row],[GR Quantity]])), po_master[[#This Row],[GR Quantity]]&lt;&gt;po_master[[#This Row],[PO Quantity]]), "Qty Variance", "OK")</f>
        <v>Qty Variance</v>
      </c>
      <c r="S440" s="1" t="str">
        <f>IF(po_master[[#This Row],[Invoice Unit Price]]&gt;po_master[[#This Row],[PO Unit Price]]*1.01, "Price Variance", "OK")</f>
        <v>OK</v>
      </c>
      <c r="T440" s="1" t="str">
        <f>IF(po_master[[#This Row],[Actual Delivery Date]]&gt;po_master[[#This Row],[Promised Delivey Date]], "Late Delivery", "OK")</f>
        <v>OK</v>
      </c>
      <c r="U440" s="1" t="str">
        <f>IF(COUNTIF(po_master[PO Number],po_master[[#This Row],[PO Number]])&gt;1, "Duplicate Invoice", "OK")</f>
        <v>OK</v>
      </c>
    </row>
    <row r="441" spans="1:21" x14ac:dyDescent="0.25">
      <c r="A441" s="1" t="s">
        <v>392</v>
      </c>
      <c r="B441" s="1" t="s">
        <v>1452</v>
      </c>
      <c r="C441" s="2">
        <v>46130</v>
      </c>
      <c r="D441">
        <v>324</v>
      </c>
      <c r="E441">
        <v>154.38</v>
      </c>
      <c r="F441" s="1" t="s">
        <v>1448</v>
      </c>
      <c r="G441" s="2">
        <v>46142</v>
      </c>
      <c r="H441">
        <v>323</v>
      </c>
      <c r="I441" s="2">
        <v>46141</v>
      </c>
      <c r="J441" s="1" t="s">
        <v>1132</v>
      </c>
      <c r="K441">
        <v>324</v>
      </c>
      <c r="L441">
        <v>154.38</v>
      </c>
      <c r="M441" s="2">
        <v>46144</v>
      </c>
      <c r="N441" t="str">
        <f>IF(po_master[[#This Row],[Approved By]]="", "Missing Approval", "OK")</f>
        <v>OK</v>
      </c>
      <c r="O441" t="str">
        <f>IF(ISBLANK(po_master[[#This Row],[GR Quantity]]), "No GR - Not received", "OK")</f>
        <v>OK</v>
      </c>
      <c r="P441" s="1" t="str">
        <f>IF(po_master[[#This Row],[Promised Delivey Date]]&lt;po_master[[#This Row],[Order Date]], "Invalid", "OK")</f>
        <v>OK</v>
      </c>
      <c r="Q441" s="1" t="str">
        <f>IF(ISBLANK(po_master[[#This Row],[Invoice Number]]), "No Invoice", "OK")</f>
        <v>OK</v>
      </c>
      <c r="R441" s="1" t="str">
        <f>IF(AND(NOT(ISBLANK(po_master[[#This Row],[GR Quantity]])), po_master[[#This Row],[GR Quantity]]&lt;&gt;po_master[[#This Row],[PO Quantity]]), "Qty Variance", "OK")</f>
        <v>Qty Variance</v>
      </c>
      <c r="S441" s="1" t="str">
        <f>IF(po_master[[#This Row],[Invoice Unit Price]]&gt;po_master[[#This Row],[PO Unit Price]]*1.01, "Price Variance", "OK")</f>
        <v>OK</v>
      </c>
      <c r="T441" s="1" t="str">
        <f>IF(po_master[[#This Row],[Actual Delivery Date]]&gt;po_master[[#This Row],[Promised Delivey Date]], "Late Delivery", "OK")</f>
        <v>OK</v>
      </c>
      <c r="U441" s="1" t="str">
        <f>IF(COUNTIF(po_master[PO Number],po_master[[#This Row],[PO Number]])&gt;1, "Duplicate Invoice", "OK")</f>
        <v>OK</v>
      </c>
    </row>
    <row r="442" spans="1:21" x14ac:dyDescent="0.25">
      <c r="A442" s="1" t="s">
        <v>393</v>
      </c>
      <c r="B442" s="1" t="s">
        <v>1463</v>
      </c>
      <c r="C442" s="2">
        <v>46040</v>
      </c>
      <c r="D442">
        <v>61</v>
      </c>
      <c r="E442">
        <v>120.82</v>
      </c>
      <c r="F442" s="1" t="s">
        <v>1469</v>
      </c>
      <c r="G442" s="2">
        <v>46046</v>
      </c>
      <c r="H442">
        <v>61</v>
      </c>
      <c r="I442" s="2">
        <v>46044</v>
      </c>
      <c r="J442" s="1" t="s">
        <v>1133</v>
      </c>
      <c r="K442">
        <v>61</v>
      </c>
      <c r="L442">
        <v>130.35</v>
      </c>
      <c r="M442" s="2">
        <v>46049</v>
      </c>
      <c r="N442" t="str">
        <f>IF(po_master[[#This Row],[Approved By]]="", "Missing Approval", "OK")</f>
        <v>OK</v>
      </c>
      <c r="O442" t="str">
        <f>IF(ISBLANK(po_master[[#This Row],[GR Quantity]]), "No GR - Not received", "OK")</f>
        <v>OK</v>
      </c>
      <c r="P442" s="1" t="str">
        <f>IF(po_master[[#This Row],[Promised Delivey Date]]&lt;po_master[[#This Row],[Order Date]], "Invalid", "OK")</f>
        <v>OK</v>
      </c>
      <c r="Q442" s="1" t="str">
        <f>IF(ISBLANK(po_master[[#This Row],[Invoice Number]]), "No Invoice", "OK")</f>
        <v>OK</v>
      </c>
      <c r="R442" s="1" t="str">
        <f>IF(AND(NOT(ISBLANK(po_master[[#This Row],[GR Quantity]])), po_master[[#This Row],[GR Quantity]]&lt;&gt;po_master[[#This Row],[PO Quantity]]), "Qty Variance", "OK")</f>
        <v>OK</v>
      </c>
      <c r="S442" s="1" t="str">
        <f>IF(po_master[[#This Row],[Invoice Unit Price]]&gt;po_master[[#This Row],[PO Unit Price]]*1.01, "Price Variance", "OK")</f>
        <v>Price Variance</v>
      </c>
      <c r="T442" s="1" t="str">
        <f>IF(po_master[[#This Row],[Actual Delivery Date]]&gt;po_master[[#This Row],[Promised Delivey Date]], "Late Delivery", "OK")</f>
        <v>OK</v>
      </c>
      <c r="U442" s="1" t="str">
        <f>IF(COUNTIF(po_master[PO Number],po_master[[#This Row],[PO Number]])&gt;1, "Duplicate Invoice", "OK")</f>
        <v>OK</v>
      </c>
    </row>
    <row r="443" spans="1:21" x14ac:dyDescent="0.25">
      <c r="A443" s="1" t="s">
        <v>394</v>
      </c>
      <c r="B443" s="1" t="s">
        <v>1482</v>
      </c>
      <c r="C443" s="2">
        <v>46034</v>
      </c>
      <c r="D443">
        <v>215</v>
      </c>
      <c r="E443">
        <v>90.6</v>
      </c>
      <c r="F443" s="1" t="s">
        <v>1442</v>
      </c>
      <c r="G443" s="2">
        <v>46045</v>
      </c>
      <c r="H443">
        <v>215</v>
      </c>
      <c r="I443" s="2">
        <v>46057</v>
      </c>
      <c r="J443" s="1" t="s">
        <v>1134</v>
      </c>
      <c r="K443">
        <v>215</v>
      </c>
      <c r="L443">
        <v>90.6</v>
      </c>
      <c r="M443" s="2">
        <v>46048</v>
      </c>
      <c r="N443" t="str">
        <f>IF(po_master[[#This Row],[Approved By]]="", "Missing Approval", "OK")</f>
        <v>OK</v>
      </c>
      <c r="O443" t="str">
        <f>IF(ISBLANK(po_master[[#This Row],[GR Quantity]]), "No GR - Not received", "OK")</f>
        <v>OK</v>
      </c>
      <c r="P443" s="1" t="str">
        <f>IF(po_master[[#This Row],[Promised Delivey Date]]&lt;po_master[[#This Row],[Order Date]], "Invalid", "OK")</f>
        <v>OK</v>
      </c>
      <c r="Q443" s="1" t="str">
        <f>IF(ISBLANK(po_master[[#This Row],[Invoice Number]]), "No Invoice", "OK")</f>
        <v>OK</v>
      </c>
      <c r="R443" s="1" t="str">
        <f>IF(AND(NOT(ISBLANK(po_master[[#This Row],[GR Quantity]])), po_master[[#This Row],[GR Quantity]]&lt;&gt;po_master[[#This Row],[PO Quantity]]), "Qty Variance", "OK")</f>
        <v>OK</v>
      </c>
      <c r="S443" s="1" t="str">
        <f>IF(po_master[[#This Row],[Invoice Unit Price]]&gt;po_master[[#This Row],[PO Unit Price]]*1.01, "Price Variance", "OK")</f>
        <v>OK</v>
      </c>
      <c r="T443" s="1" t="str">
        <f>IF(po_master[[#This Row],[Actual Delivery Date]]&gt;po_master[[#This Row],[Promised Delivey Date]], "Late Delivery", "OK")</f>
        <v>Late Delivery</v>
      </c>
      <c r="U443" s="1" t="str">
        <f>IF(COUNTIF(po_master[PO Number],po_master[[#This Row],[PO Number]])&gt;1, "Duplicate Invoice", "OK")</f>
        <v>OK</v>
      </c>
    </row>
    <row r="444" spans="1:21" x14ac:dyDescent="0.25">
      <c r="A444" s="1" t="s">
        <v>395</v>
      </c>
      <c r="B444" s="1" t="s">
        <v>1493</v>
      </c>
      <c r="C444" s="2">
        <v>46105</v>
      </c>
      <c r="D444">
        <v>131</v>
      </c>
      <c r="E444">
        <v>63.84</v>
      </c>
      <c r="F444" s="1" t="s">
        <v>1485</v>
      </c>
      <c r="G444" s="2">
        <v>46126</v>
      </c>
      <c r="H444">
        <v>131</v>
      </c>
      <c r="I444" s="2">
        <v>46127</v>
      </c>
      <c r="J444" s="1" t="s">
        <v>1137</v>
      </c>
      <c r="K444">
        <v>131</v>
      </c>
      <c r="L444">
        <v>73.97</v>
      </c>
      <c r="M444" s="2">
        <v>46131</v>
      </c>
      <c r="N444" t="str">
        <f>IF(po_master[[#This Row],[Approved By]]="", "Missing Approval", "OK")</f>
        <v>OK</v>
      </c>
      <c r="O444" t="str">
        <f>IF(ISBLANK(po_master[[#This Row],[GR Quantity]]), "No GR - Not received", "OK")</f>
        <v>OK</v>
      </c>
      <c r="P444" s="1" t="str">
        <f>IF(po_master[[#This Row],[Promised Delivey Date]]&lt;po_master[[#This Row],[Order Date]], "Invalid", "OK")</f>
        <v>OK</v>
      </c>
      <c r="Q444" s="1" t="str">
        <f>IF(ISBLANK(po_master[[#This Row],[Invoice Number]]), "No Invoice", "OK")</f>
        <v>OK</v>
      </c>
      <c r="R444" s="1" t="str">
        <f>IF(AND(NOT(ISBLANK(po_master[[#This Row],[GR Quantity]])), po_master[[#This Row],[GR Quantity]]&lt;&gt;po_master[[#This Row],[PO Quantity]]), "Qty Variance", "OK")</f>
        <v>OK</v>
      </c>
      <c r="S444" s="1" t="str">
        <f>IF(po_master[[#This Row],[Invoice Unit Price]]&gt;po_master[[#This Row],[PO Unit Price]]*1.01, "Price Variance", "OK")</f>
        <v>Price Variance</v>
      </c>
      <c r="T444" s="1" t="str">
        <f>IF(po_master[[#This Row],[Actual Delivery Date]]&gt;po_master[[#This Row],[Promised Delivey Date]], "Late Delivery", "OK")</f>
        <v>Late Delivery</v>
      </c>
      <c r="U444" s="1" t="str">
        <f>IF(COUNTIF(po_master[PO Number],po_master[[#This Row],[PO Number]])&gt;1, "Duplicate Invoice", "OK")</f>
        <v>OK</v>
      </c>
    </row>
    <row r="445" spans="1:21" x14ac:dyDescent="0.25">
      <c r="A445" s="1" t="s">
        <v>1113</v>
      </c>
      <c r="B445" s="1" t="s">
        <v>1482</v>
      </c>
      <c r="C445" s="2">
        <v>46043</v>
      </c>
      <c r="D445">
        <v>279</v>
      </c>
      <c r="E445">
        <v>92.12</v>
      </c>
      <c r="F445" s="1" t="s">
        <v>1499</v>
      </c>
      <c r="G445" s="2">
        <v>46059</v>
      </c>
      <c r="I445" s="2"/>
      <c r="J445" s="1" t="s">
        <v>1114</v>
      </c>
      <c r="K445">
        <v>279</v>
      </c>
      <c r="L445">
        <v>92.12</v>
      </c>
      <c r="M445" s="2">
        <v>46069</v>
      </c>
      <c r="N445" t="str">
        <f>IF(po_master[[#This Row],[Approved By]]="", "Missing Approval", "OK")</f>
        <v>OK</v>
      </c>
      <c r="O445" t="str">
        <f>IF(ISBLANK(po_master[[#This Row],[GR Quantity]]), "No GR - Not received", "OK")</f>
        <v>No GR - Not received</v>
      </c>
      <c r="P445" s="1" t="str">
        <f>IF(po_master[[#This Row],[Promised Delivey Date]]&lt;po_master[[#This Row],[Order Date]], "Invalid", "OK")</f>
        <v>OK</v>
      </c>
      <c r="Q445" s="1" t="str">
        <f>IF(ISBLANK(po_master[[#This Row],[Invoice Number]]), "No Invoice", "OK")</f>
        <v>OK</v>
      </c>
      <c r="R445" s="1" t="str">
        <f>IF(AND(NOT(ISBLANK(po_master[[#This Row],[GR Quantity]])), po_master[[#This Row],[GR Quantity]]&lt;&gt;po_master[[#This Row],[PO Quantity]]), "Qty Variance", "OK")</f>
        <v>OK</v>
      </c>
      <c r="S445" s="1" t="str">
        <f>IF(po_master[[#This Row],[Invoice Unit Price]]&gt;po_master[[#This Row],[PO Unit Price]]*1.01, "Price Variance", "OK")</f>
        <v>OK</v>
      </c>
      <c r="T445" s="1" t="str">
        <f>IF(po_master[[#This Row],[Actual Delivery Date]]&gt;po_master[[#This Row],[Promised Delivey Date]], "Late Delivery", "OK")</f>
        <v>OK</v>
      </c>
      <c r="U445" s="1" t="str">
        <f>IF(COUNTIF(po_master[PO Number],po_master[[#This Row],[PO Number]])&gt;1, "Duplicate Invoice", "OK")</f>
        <v>OK</v>
      </c>
    </row>
    <row r="446" spans="1:21" x14ac:dyDescent="0.25">
      <c r="A446" s="1" t="s">
        <v>396</v>
      </c>
      <c r="B446" s="1" t="s">
        <v>1447</v>
      </c>
      <c r="C446" s="2">
        <v>46128</v>
      </c>
      <c r="D446">
        <v>163</v>
      </c>
      <c r="E446">
        <v>58.66</v>
      </c>
      <c r="F446" s="1" t="s">
        <v>1442</v>
      </c>
      <c r="G446" s="2">
        <v>46138</v>
      </c>
      <c r="H446">
        <v>163</v>
      </c>
      <c r="I446" s="2">
        <v>46137</v>
      </c>
      <c r="J446" s="1" t="s">
        <v>1138</v>
      </c>
      <c r="K446">
        <v>163</v>
      </c>
      <c r="L446">
        <v>58.66</v>
      </c>
      <c r="M446" s="2">
        <v>46145</v>
      </c>
      <c r="N446" t="str">
        <f>IF(po_master[[#This Row],[Approved By]]="", "Missing Approval", "OK")</f>
        <v>OK</v>
      </c>
      <c r="O446" t="str">
        <f>IF(ISBLANK(po_master[[#This Row],[GR Quantity]]), "No GR - Not received", "OK")</f>
        <v>OK</v>
      </c>
      <c r="P446" s="1" t="str">
        <f>IF(po_master[[#This Row],[Promised Delivey Date]]&lt;po_master[[#This Row],[Order Date]], "Invalid", "OK")</f>
        <v>OK</v>
      </c>
      <c r="Q446" s="1" t="str">
        <f>IF(ISBLANK(po_master[[#This Row],[Invoice Number]]), "No Invoice", "OK")</f>
        <v>OK</v>
      </c>
      <c r="R446" s="1" t="str">
        <f>IF(AND(NOT(ISBLANK(po_master[[#This Row],[GR Quantity]])), po_master[[#This Row],[GR Quantity]]&lt;&gt;po_master[[#This Row],[PO Quantity]]), "Qty Variance", "OK")</f>
        <v>OK</v>
      </c>
      <c r="S446" s="1" t="str">
        <f>IF(po_master[[#This Row],[Invoice Unit Price]]&gt;po_master[[#This Row],[PO Unit Price]]*1.01, "Price Variance", "OK")</f>
        <v>OK</v>
      </c>
      <c r="T446" s="1" t="str">
        <f>IF(po_master[[#This Row],[Actual Delivery Date]]&gt;po_master[[#This Row],[Promised Delivey Date]], "Late Delivery", "OK")</f>
        <v>OK</v>
      </c>
      <c r="U446" s="1" t="str">
        <f>IF(COUNTIF(po_master[PO Number],po_master[[#This Row],[PO Number]])&gt;1, "Duplicate Invoice", "OK")</f>
        <v>OK</v>
      </c>
    </row>
    <row r="447" spans="1:21" x14ac:dyDescent="0.25">
      <c r="A447" s="1" t="s">
        <v>397</v>
      </c>
      <c r="B447" s="1" t="s">
        <v>1439</v>
      </c>
      <c r="C447" s="2">
        <v>46132</v>
      </c>
      <c r="D447">
        <v>294</v>
      </c>
      <c r="E447">
        <v>101.65</v>
      </c>
      <c r="F447" s="1" t="s">
        <v>1451</v>
      </c>
      <c r="G447" s="2">
        <v>46149</v>
      </c>
      <c r="H447">
        <v>294</v>
      </c>
      <c r="I447" s="2">
        <v>46147</v>
      </c>
      <c r="J447" s="1" t="s">
        <v>1139</v>
      </c>
      <c r="K447">
        <v>294</v>
      </c>
      <c r="L447">
        <v>101.65</v>
      </c>
      <c r="M447" s="2">
        <v>46154</v>
      </c>
      <c r="N447" t="str">
        <f>IF(po_master[[#This Row],[Approved By]]="", "Missing Approval", "OK")</f>
        <v>OK</v>
      </c>
      <c r="O447" t="str">
        <f>IF(ISBLANK(po_master[[#This Row],[GR Quantity]]), "No GR - Not received", "OK")</f>
        <v>OK</v>
      </c>
      <c r="P447" s="1" t="str">
        <f>IF(po_master[[#This Row],[Promised Delivey Date]]&lt;po_master[[#This Row],[Order Date]], "Invalid", "OK")</f>
        <v>OK</v>
      </c>
      <c r="Q447" s="1" t="str">
        <f>IF(ISBLANK(po_master[[#This Row],[Invoice Number]]), "No Invoice", "OK")</f>
        <v>OK</v>
      </c>
      <c r="R447" s="1" t="str">
        <f>IF(AND(NOT(ISBLANK(po_master[[#This Row],[GR Quantity]])), po_master[[#This Row],[GR Quantity]]&lt;&gt;po_master[[#This Row],[PO Quantity]]), "Qty Variance", "OK")</f>
        <v>OK</v>
      </c>
      <c r="S447" s="1" t="str">
        <f>IF(po_master[[#This Row],[Invoice Unit Price]]&gt;po_master[[#This Row],[PO Unit Price]]*1.01, "Price Variance", "OK")</f>
        <v>OK</v>
      </c>
      <c r="T447" s="1" t="str">
        <f>IF(po_master[[#This Row],[Actual Delivery Date]]&gt;po_master[[#This Row],[Promised Delivey Date]], "Late Delivery", "OK")</f>
        <v>OK</v>
      </c>
      <c r="U447" s="1" t="str">
        <f>IF(COUNTIF(po_master[PO Number],po_master[[#This Row],[PO Number]])&gt;1, "Duplicate Invoice", "OK")</f>
        <v>OK</v>
      </c>
    </row>
    <row r="448" spans="1:21" x14ac:dyDescent="0.25">
      <c r="A448" s="1" t="s">
        <v>398</v>
      </c>
      <c r="B448" s="1" t="s">
        <v>1491</v>
      </c>
      <c r="C448" s="2">
        <v>46104</v>
      </c>
      <c r="D448">
        <v>366</v>
      </c>
      <c r="E448">
        <v>86.18</v>
      </c>
      <c r="F448" s="1" t="s">
        <v>1485</v>
      </c>
      <c r="G448" s="2">
        <v>46118</v>
      </c>
      <c r="H448">
        <v>366</v>
      </c>
      <c r="I448" s="2">
        <v>46117</v>
      </c>
      <c r="J448" s="1" t="s">
        <v>1140</v>
      </c>
      <c r="K448">
        <v>366</v>
      </c>
      <c r="L448">
        <v>86.18</v>
      </c>
      <c r="M448" s="2">
        <v>46122</v>
      </c>
      <c r="N448" t="str">
        <f>IF(po_master[[#This Row],[Approved By]]="", "Missing Approval", "OK")</f>
        <v>OK</v>
      </c>
      <c r="O448" t="str">
        <f>IF(ISBLANK(po_master[[#This Row],[GR Quantity]]), "No GR - Not received", "OK")</f>
        <v>OK</v>
      </c>
      <c r="P448" s="1" t="str">
        <f>IF(po_master[[#This Row],[Promised Delivey Date]]&lt;po_master[[#This Row],[Order Date]], "Invalid", "OK")</f>
        <v>OK</v>
      </c>
      <c r="Q448" s="1" t="str">
        <f>IF(ISBLANK(po_master[[#This Row],[Invoice Number]]), "No Invoice", "OK")</f>
        <v>OK</v>
      </c>
      <c r="R448" s="1" t="str">
        <f>IF(AND(NOT(ISBLANK(po_master[[#This Row],[GR Quantity]])), po_master[[#This Row],[GR Quantity]]&lt;&gt;po_master[[#This Row],[PO Quantity]]), "Qty Variance", "OK")</f>
        <v>OK</v>
      </c>
      <c r="S448" s="1" t="str">
        <f>IF(po_master[[#This Row],[Invoice Unit Price]]&gt;po_master[[#This Row],[PO Unit Price]]*1.01, "Price Variance", "OK")</f>
        <v>OK</v>
      </c>
      <c r="T448" s="1" t="str">
        <f>IF(po_master[[#This Row],[Actual Delivery Date]]&gt;po_master[[#This Row],[Promised Delivey Date]], "Late Delivery", "OK")</f>
        <v>OK</v>
      </c>
      <c r="U448" s="1" t="str">
        <f>IF(COUNTIF(po_master[PO Number],po_master[[#This Row],[PO Number]])&gt;1, "Duplicate Invoice", "OK")</f>
        <v>OK</v>
      </c>
    </row>
    <row r="449" spans="1:21" x14ac:dyDescent="0.25">
      <c r="A449" s="1" t="s">
        <v>399</v>
      </c>
      <c r="B449" s="1" t="s">
        <v>1502</v>
      </c>
      <c r="C449" s="2">
        <v>46070</v>
      </c>
      <c r="D449">
        <v>396</v>
      </c>
      <c r="E449">
        <v>109.9</v>
      </c>
      <c r="F449" s="1" t="s">
        <v>1440</v>
      </c>
      <c r="G449" s="2">
        <v>46082</v>
      </c>
      <c r="H449">
        <v>396</v>
      </c>
      <c r="I449" s="2">
        <v>46081</v>
      </c>
      <c r="J449" s="1" t="s">
        <v>1141</v>
      </c>
      <c r="K449">
        <v>396</v>
      </c>
      <c r="L449">
        <v>109.9</v>
      </c>
      <c r="M449" s="2">
        <v>46084</v>
      </c>
      <c r="N449" t="str">
        <f>IF(po_master[[#This Row],[Approved By]]="", "Missing Approval", "OK")</f>
        <v>OK</v>
      </c>
      <c r="O449" t="str">
        <f>IF(ISBLANK(po_master[[#This Row],[GR Quantity]]), "No GR - Not received", "OK")</f>
        <v>OK</v>
      </c>
      <c r="P449" s="1" t="str">
        <f>IF(po_master[[#This Row],[Promised Delivey Date]]&lt;po_master[[#This Row],[Order Date]], "Invalid", "OK")</f>
        <v>OK</v>
      </c>
      <c r="Q449" s="1" t="str">
        <f>IF(ISBLANK(po_master[[#This Row],[Invoice Number]]), "No Invoice", "OK")</f>
        <v>OK</v>
      </c>
      <c r="R449" s="1" t="str">
        <f>IF(AND(NOT(ISBLANK(po_master[[#This Row],[GR Quantity]])), po_master[[#This Row],[GR Quantity]]&lt;&gt;po_master[[#This Row],[PO Quantity]]), "Qty Variance", "OK")</f>
        <v>OK</v>
      </c>
      <c r="S449" s="1" t="str">
        <f>IF(po_master[[#This Row],[Invoice Unit Price]]&gt;po_master[[#This Row],[PO Unit Price]]*1.01, "Price Variance", "OK")</f>
        <v>OK</v>
      </c>
      <c r="T449" s="1" t="str">
        <f>IF(po_master[[#This Row],[Actual Delivery Date]]&gt;po_master[[#This Row],[Promised Delivey Date]], "Late Delivery", "OK")</f>
        <v>OK</v>
      </c>
      <c r="U449" s="1" t="str">
        <f>IF(COUNTIF(po_master[PO Number],po_master[[#This Row],[PO Number]])&gt;1, "Duplicate Invoice", "OK")</f>
        <v>OK</v>
      </c>
    </row>
    <row r="450" spans="1:21" x14ac:dyDescent="0.25">
      <c r="A450" s="1" t="s">
        <v>400</v>
      </c>
      <c r="B450" s="1" t="s">
        <v>1512</v>
      </c>
      <c r="C450" s="2">
        <v>46059</v>
      </c>
      <c r="D450">
        <v>422</v>
      </c>
      <c r="E450">
        <v>95.29</v>
      </c>
      <c r="F450" s="1" t="s">
        <v>1459</v>
      </c>
      <c r="G450" s="2">
        <v>46077</v>
      </c>
      <c r="H450">
        <v>402</v>
      </c>
      <c r="I450" s="2">
        <v>46078</v>
      </c>
      <c r="J450" s="1" t="s">
        <v>1142</v>
      </c>
      <c r="K450">
        <v>422</v>
      </c>
      <c r="L450">
        <v>95.29</v>
      </c>
      <c r="M450" s="2">
        <v>46084</v>
      </c>
      <c r="N450" t="str">
        <f>IF(po_master[[#This Row],[Approved By]]="", "Missing Approval", "OK")</f>
        <v>Missing Approval</v>
      </c>
      <c r="O450" t="str">
        <f>IF(ISBLANK(po_master[[#This Row],[GR Quantity]]), "No GR - Not received", "OK")</f>
        <v>OK</v>
      </c>
      <c r="P450" s="1" t="str">
        <f>IF(po_master[[#This Row],[Promised Delivey Date]]&lt;po_master[[#This Row],[Order Date]], "Invalid", "OK")</f>
        <v>OK</v>
      </c>
      <c r="Q450" s="1" t="str">
        <f>IF(ISBLANK(po_master[[#This Row],[Invoice Number]]), "No Invoice", "OK")</f>
        <v>OK</v>
      </c>
      <c r="R450" s="1" t="str">
        <f>IF(AND(NOT(ISBLANK(po_master[[#This Row],[GR Quantity]])), po_master[[#This Row],[GR Quantity]]&lt;&gt;po_master[[#This Row],[PO Quantity]]), "Qty Variance", "OK")</f>
        <v>Qty Variance</v>
      </c>
      <c r="S450" s="1" t="str">
        <f>IF(po_master[[#This Row],[Invoice Unit Price]]&gt;po_master[[#This Row],[PO Unit Price]]*1.01, "Price Variance", "OK")</f>
        <v>OK</v>
      </c>
      <c r="T450" s="1" t="str">
        <f>IF(po_master[[#This Row],[Actual Delivery Date]]&gt;po_master[[#This Row],[Promised Delivey Date]], "Late Delivery", "OK")</f>
        <v>Late Delivery</v>
      </c>
      <c r="U450" s="1" t="str">
        <f>IF(COUNTIF(po_master[PO Number],po_master[[#This Row],[PO Number]])&gt;1, "Duplicate Invoice", "OK")</f>
        <v>OK</v>
      </c>
    </row>
    <row r="451" spans="1:21" x14ac:dyDescent="0.25">
      <c r="A451" s="1" t="s">
        <v>401</v>
      </c>
      <c r="B451" s="1" t="s">
        <v>1463</v>
      </c>
      <c r="C451" s="2">
        <v>46107</v>
      </c>
      <c r="D451">
        <v>341</v>
      </c>
      <c r="E451">
        <v>20.420000000000002</v>
      </c>
      <c r="F451" s="1" t="s">
        <v>1469</v>
      </c>
      <c r="G451" s="2">
        <v>46123</v>
      </c>
      <c r="H451">
        <v>338</v>
      </c>
      <c r="I451" s="2">
        <v>46125</v>
      </c>
      <c r="J451" s="1" t="s">
        <v>1145</v>
      </c>
      <c r="K451">
        <v>341</v>
      </c>
      <c r="L451">
        <v>20.420000000000002</v>
      </c>
      <c r="M451" s="2">
        <v>46126</v>
      </c>
      <c r="N451" t="str">
        <f>IF(po_master[[#This Row],[Approved By]]="", "Missing Approval", "OK")</f>
        <v>OK</v>
      </c>
      <c r="O451" t="str">
        <f>IF(ISBLANK(po_master[[#This Row],[GR Quantity]]), "No GR - Not received", "OK")</f>
        <v>OK</v>
      </c>
      <c r="P451" s="1" t="str">
        <f>IF(po_master[[#This Row],[Promised Delivey Date]]&lt;po_master[[#This Row],[Order Date]], "Invalid", "OK")</f>
        <v>OK</v>
      </c>
      <c r="Q451" s="1" t="str">
        <f>IF(ISBLANK(po_master[[#This Row],[Invoice Number]]), "No Invoice", "OK")</f>
        <v>OK</v>
      </c>
      <c r="R451" s="1" t="str">
        <f>IF(AND(NOT(ISBLANK(po_master[[#This Row],[GR Quantity]])), po_master[[#This Row],[GR Quantity]]&lt;&gt;po_master[[#This Row],[PO Quantity]]), "Qty Variance", "OK")</f>
        <v>Qty Variance</v>
      </c>
      <c r="S451" s="1" t="str">
        <f>IF(po_master[[#This Row],[Invoice Unit Price]]&gt;po_master[[#This Row],[PO Unit Price]]*1.01, "Price Variance", "OK")</f>
        <v>OK</v>
      </c>
      <c r="T451" s="1" t="str">
        <f>IF(po_master[[#This Row],[Actual Delivery Date]]&gt;po_master[[#This Row],[Promised Delivey Date]], "Late Delivery", "OK")</f>
        <v>Late Delivery</v>
      </c>
      <c r="U451" s="1" t="str">
        <f>IF(COUNTIF(po_master[PO Number],po_master[[#This Row],[PO Number]])&gt;1, "Duplicate Invoice", "OK")</f>
        <v>OK</v>
      </c>
    </row>
    <row r="452" spans="1:21" x14ac:dyDescent="0.25">
      <c r="A452" s="1" t="s">
        <v>1122</v>
      </c>
      <c r="B452" s="1" t="s">
        <v>1449</v>
      </c>
      <c r="C452" s="2">
        <v>46039</v>
      </c>
      <c r="D452">
        <v>287</v>
      </c>
      <c r="E452">
        <v>198.85</v>
      </c>
      <c r="F452" s="1" t="s">
        <v>1476</v>
      </c>
      <c r="G452" s="2">
        <v>46059</v>
      </c>
      <c r="I452" s="2"/>
      <c r="J452" s="1" t="s">
        <v>1123</v>
      </c>
      <c r="K452">
        <v>287</v>
      </c>
      <c r="L452">
        <v>198.85</v>
      </c>
      <c r="M452" s="2">
        <v>46064</v>
      </c>
      <c r="N452" t="str">
        <f>IF(po_master[[#This Row],[Approved By]]="", "Missing Approval", "OK")</f>
        <v>OK</v>
      </c>
      <c r="O452" t="str">
        <f>IF(ISBLANK(po_master[[#This Row],[GR Quantity]]), "No GR - Not received", "OK")</f>
        <v>No GR - Not received</v>
      </c>
      <c r="P452" s="1" t="str">
        <f>IF(po_master[[#This Row],[Promised Delivey Date]]&lt;po_master[[#This Row],[Order Date]], "Invalid", "OK")</f>
        <v>OK</v>
      </c>
      <c r="Q452" s="1" t="str">
        <f>IF(ISBLANK(po_master[[#This Row],[Invoice Number]]), "No Invoice", "OK")</f>
        <v>OK</v>
      </c>
      <c r="R452" s="1" t="str">
        <f>IF(AND(NOT(ISBLANK(po_master[[#This Row],[GR Quantity]])), po_master[[#This Row],[GR Quantity]]&lt;&gt;po_master[[#This Row],[PO Quantity]]), "Qty Variance", "OK")</f>
        <v>OK</v>
      </c>
      <c r="S452" s="1" t="str">
        <f>IF(po_master[[#This Row],[Invoice Unit Price]]&gt;po_master[[#This Row],[PO Unit Price]]*1.01, "Price Variance", "OK")</f>
        <v>OK</v>
      </c>
      <c r="T452" s="1" t="str">
        <f>IF(po_master[[#This Row],[Actual Delivery Date]]&gt;po_master[[#This Row],[Promised Delivey Date]], "Late Delivery", "OK")</f>
        <v>OK</v>
      </c>
      <c r="U452" s="1" t="str">
        <f>IF(COUNTIF(po_master[PO Number],po_master[[#This Row],[PO Number]])&gt;1, "Duplicate Invoice", "OK")</f>
        <v>OK</v>
      </c>
    </row>
    <row r="453" spans="1:21" x14ac:dyDescent="0.25">
      <c r="A453" s="1" t="s">
        <v>402</v>
      </c>
      <c r="B453" s="1" t="s">
        <v>1457</v>
      </c>
      <c r="C453" s="2">
        <v>46160</v>
      </c>
      <c r="D453">
        <v>380</v>
      </c>
      <c r="E453">
        <v>166.73</v>
      </c>
      <c r="F453" s="1" t="s">
        <v>1462</v>
      </c>
      <c r="G453" s="2">
        <v>46173</v>
      </c>
      <c r="H453">
        <v>380</v>
      </c>
      <c r="I453" s="2">
        <v>46174</v>
      </c>
      <c r="J453" s="1" t="s">
        <v>1146</v>
      </c>
      <c r="K453">
        <v>380</v>
      </c>
      <c r="L453">
        <v>166.73</v>
      </c>
      <c r="M453" s="2">
        <v>46174</v>
      </c>
      <c r="N453" t="str">
        <f>IF(po_master[[#This Row],[Approved By]]="", "Missing Approval", "OK")</f>
        <v>OK</v>
      </c>
      <c r="O453" t="str">
        <f>IF(ISBLANK(po_master[[#This Row],[GR Quantity]]), "No GR - Not received", "OK")</f>
        <v>OK</v>
      </c>
      <c r="P453" s="1" t="str">
        <f>IF(po_master[[#This Row],[Promised Delivey Date]]&lt;po_master[[#This Row],[Order Date]], "Invalid", "OK")</f>
        <v>OK</v>
      </c>
      <c r="Q453" s="1" t="str">
        <f>IF(ISBLANK(po_master[[#This Row],[Invoice Number]]), "No Invoice", "OK")</f>
        <v>OK</v>
      </c>
      <c r="R453" s="1" t="str">
        <f>IF(AND(NOT(ISBLANK(po_master[[#This Row],[GR Quantity]])), po_master[[#This Row],[GR Quantity]]&lt;&gt;po_master[[#This Row],[PO Quantity]]), "Qty Variance", "OK")</f>
        <v>OK</v>
      </c>
      <c r="S453" s="1" t="str">
        <f>IF(po_master[[#This Row],[Invoice Unit Price]]&gt;po_master[[#This Row],[PO Unit Price]]*1.01, "Price Variance", "OK")</f>
        <v>OK</v>
      </c>
      <c r="T453" s="1" t="str">
        <f>IF(po_master[[#This Row],[Actual Delivery Date]]&gt;po_master[[#This Row],[Promised Delivey Date]], "Late Delivery", "OK")</f>
        <v>Late Delivery</v>
      </c>
      <c r="U453" s="1" t="str">
        <f>IF(COUNTIF(po_master[PO Number],po_master[[#This Row],[PO Number]])&gt;1, "Duplicate Invoice", "OK")</f>
        <v>OK</v>
      </c>
    </row>
    <row r="454" spans="1:21" x14ac:dyDescent="0.25">
      <c r="A454" s="1" t="s">
        <v>403</v>
      </c>
      <c r="B454" s="1" t="s">
        <v>1502</v>
      </c>
      <c r="C454" s="2">
        <v>46033</v>
      </c>
      <c r="D454">
        <v>457</v>
      </c>
      <c r="E454">
        <v>19.190000000000001</v>
      </c>
      <c r="F454" s="1" t="s">
        <v>1456</v>
      </c>
      <c r="G454" s="2">
        <v>46044</v>
      </c>
      <c r="H454">
        <v>457</v>
      </c>
      <c r="I454" s="2">
        <v>46046</v>
      </c>
      <c r="J454" s="1" t="s">
        <v>1147</v>
      </c>
      <c r="K454">
        <v>457</v>
      </c>
      <c r="L454">
        <v>19.190000000000001</v>
      </c>
      <c r="M454" s="2">
        <v>46046</v>
      </c>
      <c r="N454" t="str">
        <f>IF(po_master[[#This Row],[Approved By]]="", "Missing Approval", "OK")</f>
        <v>OK</v>
      </c>
      <c r="O454" t="str">
        <f>IF(ISBLANK(po_master[[#This Row],[GR Quantity]]), "No GR - Not received", "OK")</f>
        <v>OK</v>
      </c>
      <c r="P454" s="1" t="str">
        <f>IF(po_master[[#This Row],[Promised Delivey Date]]&lt;po_master[[#This Row],[Order Date]], "Invalid", "OK")</f>
        <v>OK</v>
      </c>
      <c r="Q454" s="1" t="str">
        <f>IF(ISBLANK(po_master[[#This Row],[Invoice Number]]), "No Invoice", "OK")</f>
        <v>OK</v>
      </c>
      <c r="R454" s="1" t="str">
        <f>IF(AND(NOT(ISBLANK(po_master[[#This Row],[GR Quantity]])), po_master[[#This Row],[GR Quantity]]&lt;&gt;po_master[[#This Row],[PO Quantity]]), "Qty Variance", "OK")</f>
        <v>OK</v>
      </c>
      <c r="S454" s="1" t="str">
        <f>IF(po_master[[#This Row],[Invoice Unit Price]]&gt;po_master[[#This Row],[PO Unit Price]]*1.01, "Price Variance", "OK")</f>
        <v>OK</v>
      </c>
      <c r="T454" s="1" t="str">
        <f>IF(po_master[[#This Row],[Actual Delivery Date]]&gt;po_master[[#This Row],[Promised Delivey Date]], "Late Delivery", "OK")</f>
        <v>Late Delivery</v>
      </c>
      <c r="U454" s="1" t="str">
        <f>IF(COUNTIF(po_master[PO Number],po_master[[#This Row],[PO Number]])&gt;1, "Duplicate Invoice", "OK")</f>
        <v>OK</v>
      </c>
    </row>
    <row r="455" spans="1:21" x14ac:dyDescent="0.25">
      <c r="A455" s="1" t="s">
        <v>404</v>
      </c>
      <c r="B455" s="1" t="s">
        <v>1510</v>
      </c>
      <c r="C455" s="2">
        <v>46076</v>
      </c>
      <c r="D455">
        <v>455</v>
      </c>
      <c r="E455">
        <v>181.87</v>
      </c>
      <c r="F455" s="1" t="s">
        <v>1459</v>
      </c>
      <c r="G455" s="2">
        <v>46081</v>
      </c>
      <c r="H455">
        <v>455</v>
      </c>
      <c r="I455" s="2">
        <v>46079</v>
      </c>
      <c r="J455" s="1" t="s">
        <v>1148</v>
      </c>
      <c r="K455">
        <v>455</v>
      </c>
      <c r="L455">
        <v>181.87</v>
      </c>
      <c r="M455" s="2">
        <v>46091</v>
      </c>
      <c r="N455" t="str">
        <f>IF(po_master[[#This Row],[Approved By]]="", "Missing Approval", "OK")</f>
        <v>Missing Approval</v>
      </c>
      <c r="O455" t="str">
        <f>IF(ISBLANK(po_master[[#This Row],[GR Quantity]]), "No GR - Not received", "OK")</f>
        <v>OK</v>
      </c>
      <c r="P455" s="1" t="str">
        <f>IF(po_master[[#This Row],[Promised Delivey Date]]&lt;po_master[[#This Row],[Order Date]], "Invalid", "OK")</f>
        <v>OK</v>
      </c>
      <c r="Q455" s="1" t="str">
        <f>IF(ISBLANK(po_master[[#This Row],[Invoice Number]]), "No Invoice", "OK")</f>
        <v>OK</v>
      </c>
      <c r="R455" s="1" t="str">
        <f>IF(AND(NOT(ISBLANK(po_master[[#This Row],[GR Quantity]])), po_master[[#This Row],[GR Quantity]]&lt;&gt;po_master[[#This Row],[PO Quantity]]), "Qty Variance", "OK")</f>
        <v>OK</v>
      </c>
      <c r="S455" s="1" t="str">
        <f>IF(po_master[[#This Row],[Invoice Unit Price]]&gt;po_master[[#This Row],[PO Unit Price]]*1.01, "Price Variance", "OK")</f>
        <v>OK</v>
      </c>
      <c r="T455" s="1" t="str">
        <f>IF(po_master[[#This Row],[Actual Delivery Date]]&gt;po_master[[#This Row],[Promised Delivey Date]], "Late Delivery", "OK")</f>
        <v>OK</v>
      </c>
      <c r="U455" s="1" t="str">
        <f>IF(COUNTIF(po_master[PO Number],po_master[[#This Row],[PO Number]])&gt;1, "Duplicate Invoice", "OK")</f>
        <v>OK</v>
      </c>
    </row>
    <row r="456" spans="1:21" x14ac:dyDescent="0.25">
      <c r="A456" s="1" t="s">
        <v>1126</v>
      </c>
      <c r="B456" s="1" t="s">
        <v>1457</v>
      </c>
      <c r="C456" s="2">
        <v>46161</v>
      </c>
      <c r="D456">
        <v>78</v>
      </c>
      <c r="E456">
        <v>132.44</v>
      </c>
      <c r="F456" s="1" t="s">
        <v>1451</v>
      </c>
      <c r="G456" s="2">
        <v>46169</v>
      </c>
      <c r="I456" s="2"/>
      <c r="J456" s="1" t="s">
        <v>1127</v>
      </c>
      <c r="K456">
        <v>78</v>
      </c>
      <c r="L456">
        <v>132.44</v>
      </c>
      <c r="M456" s="2">
        <v>46175</v>
      </c>
      <c r="N456" t="str">
        <f>IF(po_master[[#This Row],[Approved By]]="", "Missing Approval", "OK")</f>
        <v>OK</v>
      </c>
      <c r="O456" t="str">
        <f>IF(ISBLANK(po_master[[#This Row],[GR Quantity]]), "No GR - Not received", "OK")</f>
        <v>No GR - Not received</v>
      </c>
      <c r="P456" s="1" t="str">
        <f>IF(po_master[[#This Row],[Promised Delivey Date]]&lt;po_master[[#This Row],[Order Date]], "Invalid", "OK")</f>
        <v>OK</v>
      </c>
      <c r="Q456" s="1" t="str">
        <f>IF(ISBLANK(po_master[[#This Row],[Invoice Number]]), "No Invoice", "OK")</f>
        <v>OK</v>
      </c>
      <c r="R456" s="1" t="str">
        <f>IF(AND(NOT(ISBLANK(po_master[[#This Row],[GR Quantity]])), po_master[[#This Row],[GR Quantity]]&lt;&gt;po_master[[#This Row],[PO Quantity]]), "Qty Variance", "OK")</f>
        <v>OK</v>
      </c>
      <c r="S456" s="1" t="str">
        <f>IF(po_master[[#This Row],[Invoice Unit Price]]&gt;po_master[[#This Row],[PO Unit Price]]*1.01, "Price Variance", "OK")</f>
        <v>OK</v>
      </c>
      <c r="T456" s="1" t="str">
        <f>IF(po_master[[#This Row],[Actual Delivery Date]]&gt;po_master[[#This Row],[Promised Delivey Date]], "Late Delivery", "OK")</f>
        <v>OK</v>
      </c>
      <c r="U456" s="1" t="str">
        <f>IF(COUNTIF(po_master[PO Number],po_master[[#This Row],[PO Number]])&gt;1, "Duplicate Invoice", "OK")</f>
        <v>OK</v>
      </c>
    </row>
    <row r="457" spans="1:21" x14ac:dyDescent="0.25">
      <c r="A457" s="1" t="s">
        <v>405</v>
      </c>
      <c r="B457" s="1" t="s">
        <v>1463</v>
      </c>
      <c r="C457" s="2">
        <v>46071</v>
      </c>
      <c r="D457">
        <v>389</v>
      </c>
      <c r="E457">
        <v>27.88</v>
      </c>
      <c r="F457" s="1" t="s">
        <v>1456</v>
      </c>
      <c r="G457" s="2">
        <v>46091</v>
      </c>
      <c r="H457">
        <v>389</v>
      </c>
      <c r="I457" s="2">
        <v>46089</v>
      </c>
      <c r="J457" s="1" t="s">
        <v>1149</v>
      </c>
      <c r="K457">
        <v>389</v>
      </c>
      <c r="L457">
        <v>27.88</v>
      </c>
      <c r="M457" s="2">
        <v>46094</v>
      </c>
      <c r="N457" t="str">
        <f>IF(po_master[[#This Row],[Approved By]]="", "Missing Approval", "OK")</f>
        <v>OK</v>
      </c>
      <c r="O457" t="str">
        <f>IF(ISBLANK(po_master[[#This Row],[GR Quantity]]), "No GR - Not received", "OK")</f>
        <v>OK</v>
      </c>
      <c r="P457" s="1" t="str">
        <f>IF(po_master[[#This Row],[Promised Delivey Date]]&lt;po_master[[#This Row],[Order Date]], "Invalid", "OK")</f>
        <v>OK</v>
      </c>
      <c r="Q457" s="1" t="str">
        <f>IF(ISBLANK(po_master[[#This Row],[Invoice Number]]), "No Invoice", "OK")</f>
        <v>OK</v>
      </c>
      <c r="R457" s="1" t="str">
        <f>IF(AND(NOT(ISBLANK(po_master[[#This Row],[GR Quantity]])), po_master[[#This Row],[GR Quantity]]&lt;&gt;po_master[[#This Row],[PO Quantity]]), "Qty Variance", "OK")</f>
        <v>OK</v>
      </c>
      <c r="S457" s="1" t="str">
        <f>IF(po_master[[#This Row],[Invoice Unit Price]]&gt;po_master[[#This Row],[PO Unit Price]]*1.01, "Price Variance", "OK")</f>
        <v>OK</v>
      </c>
      <c r="T457" s="1" t="str">
        <f>IF(po_master[[#This Row],[Actual Delivery Date]]&gt;po_master[[#This Row],[Promised Delivey Date]], "Late Delivery", "OK")</f>
        <v>OK</v>
      </c>
      <c r="U457" s="1" t="str">
        <f>IF(COUNTIF(po_master[PO Number],po_master[[#This Row],[PO Number]])&gt;1, "Duplicate Invoice", "OK")</f>
        <v>OK</v>
      </c>
    </row>
    <row r="458" spans="1:21" x14ac:dyDescent="0.25">
      <c r="A458" s="1" t="s">
        <v>406</v>
      </c>
      <c r="B458" s="1" t="s">
        <v>1482</v>
      </c>
      <c r="C458" s="2">
        <v>46075</v>
      </c>
      <c r="D458">
        <v>213</v>
      </c>
      <c r="E458">
        <v>183.45</v>
      </c>
      <c r="F458" s="1" t="s">
        <v>1442</v>
      </c>
      <c r="G458" s="2">
        <v>46090</v>
      </c>
      <c r="H458">
        <v>213</v>
      </c>
      <c r="I458" s="2">
        <v>46088</v>
      </c>
      <c r="J458" s="1" t="s">
        <v>1150</v>
      </c>
      <c r="K458">
        <v>213</v>
      </c>
      <c r="L458">
        <v>183.45</v>
      </c>
      <c r="M458" s="2">
        <v>46098</v>
      </c>
      <c r="N458" t="str">
        <f>IF(po_master[[#This Row],[Approved By]]="", "Missing Approval", "OK")</f>
        <v>OK</v>
      </c>
      <c r="O458" t="str">
        <f>IF(ISBLANK(po_master[[#This Row],[GR Quantity]]), "No GR - Not received", "OK")</f>
        <v>OK</v>
      </c>
      <c r="P458" s="1" t="str">
        <f>IF(po_master[[#This Row],[Promised Delivey Date]]&lt;po_master[[#This Row],[Order Date]], "Invalid", "OK")</f>
        <v>OK</v>
      </c>
      <c r="Q458" s="1" t="str">
        <f>IF(ISBLANK(po_master[[#This Row],[Invoice Number]]), "No Invoice", "OK")</f>
        <v>OK</v>
      </c>
      <c r="R458" s="1" t="str">
        <f>IF(AND(NOT(ISBLANK(po_master[[#This Row],[GR Quantity]])), po_master[[#This Row],[GR Quantity]]&lt;&gt;po_master[[#This Row],[PO Quantity]]), "Qty Variance", "OK")</f>
        <v>OK</v>
      </c>
      <c r="S458" s="1" t="str">
        <f>IF(po_master[[#This Row],[Invoice Unit Price]]&gt;po_master[[#This Row],[PO Unit Price]]*1.01, "Price Variance", "OK")</f>
        <v>OK</v>
      </c>
      <c r="T458" s="1" t="str">
        <f>IF(po_master[[#This Row],[Actual Delivery Date]]&gt;po_master[[#This Row],[Promised Delivey Date]], "Late Delivery", "OK")</f>
        <v>OK</v>
      </c>
      <c r="U458" s="1" t="str">
        <f>IF(COUNTIF(po_master[PO Number],po_master[[#This Row],[PO Number]])&gt;1, "Duplicate Invoice", "OK")</f>
        <v>OK</v>
      </c>
    </row>
    <row r="459" spans="1:21" x14ac:dyDescent="0.25">
      <c r="A459" s="1" t="s">
        <v>407</v>
      </c>
      <c r="B459" s="1" t="s">
        <v>1506</v>
      </c>
      <c r="C459" s="2">
        <v>46120</v>
      </c>
      <c r="D459">
        <v>248</v>
      </c>
      <c r="E459">
        <v>109.06</v>
      </c>
      <c r="F459" s="1" t="s">
        <v>1459</v>
      </c>
      <c r="G459" s="2">
        <v>46134</v>
      </c>
      <c r="H459">
        <v>248</v>
      </c>
      <c r="I459" s="2">
        <v>46132</v>
      </c>
      <c r="J459" s="1" t="s">
        <v>1151</v>
      </c>
      <c r="K459">
        <v>248</v>
      </c>
      <c r="L459">
        <v>109.06</v>
      </c>
      <c r="M459" s="2">
        <v>46142</v>
      </c>
      <c r="N459" t="str">
        <f>IF(po_master[[#This Row],[Approved By]]="", "Missing Approval", "OK")</f>
        <v>Missing Approval</v>
      </c>
      <c r="O459" t="str">
        <f>IF(ISBLANK(po_master[[#This Row],[GR Quantity]]), "No GR - Not received", "OK")</f>
        <v>OK</v>
      </c>
      <c r="P459" s="1" t="str">
        <f>IF(po_master[[#This Row],[Promised Delivey Date]]&lt;po_master[[#This Row],[Order Date]], "Invalid", "OK")</f>
        <v>OK</v>
      </c>
      <c r="Q459" s="1" t="str">
        <f>IF(ISBLANK(po_master[[#This Row],[Invoice Number]]), "No Invoice", "OK")</f>
        <v>OK</v>
      </c>
      <c r="R459" s="1" t="str">
        <f>IF(AND(NOT(ISBLANK(po_master[[#This Row],[GR Quantity]])), po_master[[#This Row],[GR Quantity]]&lt;&gt;po_master[[#This Row],[PO Quantity]]), "Qty Variance", "OK")</f>
        <v>OK</v>
      </c>
      <c r="S459" s="1" t="str">
        <f>IF(po_master[[#This Row],[Invoice Unit Price]]&gt;po_master[[#This Row],[PO Unit Price]]*1.01, "Price Variance", "OK")</f>
        <v>OK</v>
      </c>
      <c r="T459" s="1" t="str">
        <f>IF(po_master[[#This Row],[Actual Delivery Date]]&gt;po_master[[#This Row],[Promised Delivey Date]], "Late Delivery", "OK")</f>
        <v>OK</v>
      </c>
      <c r="U459" s="1" t="str">
        <f>IF(COUNTIF(po_master[PO Number],po_master[[#This Row],[PO Number]])&gt;1, "Duplicate Invoice", "OK")</f>
        <v>OK</v>
      </c>
    </row>
    <row r="460" spans="1:21" x14ac:dyDescent="0.25">
      <c r="A460" s="1" t="s">
        <v>408</v>
      </c>
      <c r="B460" s="1" t="s">
        <v>1470</v>
      </c>
      <c r="C460" s="2">
        <v>46115</v>
      </c>
      <c r="D460">
        <v>272</v>
      </c>
      <c r="E460">
        <v>177.15</v>
      </c>
      <c r="F460" s="1" t="s">
        <v>1469</v>
      </c>
      <c r="G460" s="2">
        <v>46123</v>
      </c>
      <c r="H460">
        <v>272</v>
      </c>
      <c r="I460" s="2">
        <v>46125</v>
      </c>
      <c r="J460" s="1" t="s">
        <v>1152</v>
      </c>
      <c r="K460">
        <v>272</v>
      </c>
      <c r="L460">
        <v>177.15</v>
      </c>
      <c r="M460" s="2">
        <v>46131</v>
      </c>
      <c r="N460" t="str">
        <f>IF(po_master[[#This Row],[Approved By]]="", "Missing Approval", "OK")</f>
        <v>OK</v>
      </c>
      <c r="O460" t="str">
        <f>IF(ISBLANK(po_master[[#This Row],[GR Quantity]]), "No GR - Not received", "OK")</f>
        <v>OK</v>
      </c>
      <c r="P460" s="1" t="str">
        <f>IF(po_master[[#This Row],[Promised Delivey Date]]&lt;po_master[[#This Row],[Order Date]], "Invalid", "OK")</f>
        <v>OK</v>
      </c>
      <c r="Q460" s="1" t="str">
        <f>IF(ISBLANK(po_master[[#This Row],[Invoice Number]]), "No Invoice", "OK")</f>
        <v>OK</v>
      </c>
      <c r="R460" s="1" t="str">
        <f>IF(AND(NOT(ISBLANK(po_master[[#This Row],[GR Quantity]])), po_master[[#This Row],[GR Quantity]]&lt;&gt;po_master[[#This Row],[PO Quantity]]), "Qty Variance", "OK")</f>
        <v>OK</v>
      </c>
      <c r="S460" s="1" t="str">
        <f>IF(po_master[[#This Row],[Invoice Unit Price]]&gt;po_master[[#This Row],[PO Unit Price]]*1.01, "Price Variance", "OK")</f>
        <v>OK</v>
      </c>
      <c r="T460" s="1" t="str">
        <f>IF(po_master[[#This Row],[Actual Delivery Date]]&gt;po_master[[#This Row],[Promised Delivey Date]], "Late Delivery", "OK")</f>
        <v>Late Delivery</v>
      </c>
      <c r="U460" s="1" t="str">
        <f>IF(COUNTIF(po_master[PO Number],po_master[[#This Row],[PO Number]])&gt;1, "Duplicate Invoice", "OK")</f>
        <v>OK</v>
      </c>
    </row>
    <row r="461" spans="1:21" x14ac:dyDescent="0.25">
      <c r="A461" s="1" t="s">
        <v>409</v>
      </c>
      <c r="B461" s="1" t="s">
        <v>1477</v>
      </c>
      <c r="C461" s="2">
        <v>46143</v>
      </c>
      <c r="D461">
        <v>399</v>
      </c>
      <c r="E461">
        <v>168.75</v>
      </c>
      <c r="F461" s="1" t="s">
        <v>1444</v>
      </c>
      <c r="G461" s="2">
        <v>46159</v>
      </c>
      <c r="H461">
        <v>399</v>
      </c>
      <c r="I461" s="2">
        <v>46167</v>
      </c>
      <c r="J461" s="1" t="s">
        <v>1153</v>
      </c>
      <c r="K461">
        <v>399</v>
      </c>
      <c r="L461">
        <v>168.75</v>
      </c>
      <c r="M461" s="2">
        <v>46160</v>
      </c>
      <c r="N461" t="str">
        <f>IF(po_master[[#This Row],[Approved By]]="", "Missing Approval", "OK")</f>
        <v>OK</v>
      </c>
      <c r="O461" t="str">
        <f>IF(ISBLANK(po_master[[#This Row],[GR Quantity]]), "No GR - Not received", "OK")</f>
        <v>OK</v>
      </c>
      <c r="P461" s="1" t="str">
        <f>IF(po_master[[#This Row],[Promised Delivey Date]]&lt;po_master[[#This Row],[Order Date]], "Invalid", "OK")</f>
        <v>OK</v>
      </c>
      <c r="Q461" s="1" t="str">
        <f>IF(ISBLANK(po_master[[#This Row],[Invoice Number]]), "No Invoice", "OK")</f>
        <v>OK</v>
      </c>
      <c r="R461" s="1" t="str">
        <f>IF(AND(NOT(ISBLANK(po_master[[#This Row],[GR Quantity]])), po_master[[#This Row],[GR Quantity]]&lt;&gt;po_master[[#This Row],[PO Quantity]]), "Qty Variance", "OK")</f>
        <v>OK</v>
      </c>
      <c r="S461" s="1" t="str">
        <f>IF(po_master[[#This Row],[Invoice Unit Price]]&gt;po_master[[#This Row],[PO Unit Price]]*1.01, "Price Variance", "OK")</f>
        <v>OK</v>
      </c>
      <c r="T461" s="1" t="str">
        <f>IF(po_master[[#This Row],[Actual Delivery Date]]&gt;po_master[[#This Row],[Promised Delivey Date]], "Late Delivery", "OK")</f>
        <v>Late Delivery</v>
      </c>
      <c r="U461" s="1" t="str">
        <f>IF(COUNTIF(po_master[PO Number],po_master[[#This Row],[PO Number]])&gt;1, "Duplicate Invoice", "OK")</f>
        <v>Duplicate Invoice</v>
      </c>
    </row>
    <row r="462" spans="1:21" x14ac:dyDescent="0.25">
      <c r="A462" s="1" t="s">
        <v>409</v>
      </c>
      <c r="B462" s="1" t="s">
        <v>1477</v>
      </c>
      <c r="C462" s="2">
        <v>46143</v>
      </c>
      <c r="D462">
        <v>399</v>
      </c>
      <c r="E462">
        <v>168.75</v>
      </c>
      <c r="F462" s="1" t="s">
        <v>1444</v>
      </c>
      <c r="G462" s="2">
        <v>46159</v>
      </c>
      <c r="H462">
        <v>399</v>
      </c>
      <c r="I462" s="2">
        <v>46167</v>
      </c>
      <c r="J462" s="1" t="s">
        <v>1154</v>
      </c>
      <c r="K462">
        <v>399</v>
      </c>
      <c r="L462">
        <v>168.75</v>
      </c>
      <c r="M462" s="2">
        <v>46165</v>
      </c>
      <c r="N462" t="str">
        <f>IF(po_master[[#This Row],[Approved By]]="", "Missing Approval", "OK")</f>
        <v>OK</v>
      </c>
      <c r="O462" t="str">
        <f>IF(ISBLANK(po_master[[#This Row],[GR Quantity]]), "No GR - Not received", "OK")</f>
        <v>OK</v>
      </c>
      <c r="P462" s="1" t="str">
        <f>IF(po_master[[#This Row],[Promised Delivey Date]]&lt;po_master[[#This Row],[Order Date]], "Invalid", "OK")</f>
        <v>OK</v>
      </c>
      <c r="Q462" s="1" t="str">
        <f>IF(ISBLANK(po_master[[#This Row],[Invoice Number]]), "No Invoice", "OK")</f>
        <v>OK</v>
      </c>
      <c r="R462" s="1" t="str">
        <f>IF(AND(NOT(ISBLANK(po_master[[#This Row],[GR Quantity]])), po_master[[#This Row],[GR Quantity]]&lt;&gt;po_master[[#This Row],[PO Quantity]]), "Qty Variance", "OK")</f>
        <v>OK</v>
      </c>
      <c r="S462" s="1" t="str">
        <f>IF(po_master[[#This Row],[Invoice Unit Price]]&gt;po_master[[#This Row],[PO Unit Price]]*1.01, "Price Variance", "OK")</f>
        <v>OK</v>
      </c>
      <c r="T462" s="1" t="str">
        <f>IF(po_master[[#This Row],[Actual Delivery Date]]&gt;po_master[[#This Row],[Promised Delivey Date]], "Late Delivery", "OK")</f>
        <v>Late Delivery</v>
      </c>
      <c r="U462" s="1" t="str">
        <f>IF(COUNTIF(po_master[PO Number],po_master[[#This Row],[PO Number]])&gt;1, "Duplicate Invoice", "OK")</f>
        <v>Duplicate Invoice</v>
      </c>
    </row>
    <row r="463" spans="1:21" x14ac:dyDescent="0.25">
      <c r="A463" s="1" t="s">
        <v>410</v>
      </c>
      <c r="B463" s="1" t="s">
        <v>1509</v>
      </c>
      <c r="C463" s="2">
        <v>46128</v>
      </c>
      <c r="D463">
        <v>33</v>
      </c>
      <c r="E463">
        <v>114.69</v>
      </c>
      <c r="F463" s="1" t="s">
        <v>1440</v>
      </c>
      <c r="G463" s="2">
        <v>46137</v>
      </c>
      <c r="H463">
        <v>33</v>
      </c>
      <c r="I463" s="2">
        <v>46138</v>
      </c>
      <c r="J463" s="1" t="s">
        <v>1155</v>
      </c>
      <c r="K463">
        <v>33</v>
      </c>
      <c r="L463">
        <v>114.69</v>
      </c>
      <c r="M463" s="2">
        <v>46143</v>
      </c>
      <c r="N463" t="str">
        <f>IF(po_master[[#This Row],[Approved By]]="", "Missing Approval", "OK")</f>
        <v>OK</v>
      </c>
      <c r="O463" t="str">
        <f>IF(ISBLANK(po_master[[#This Row],[GR Quantity]]), "No GR - Not received", "OK")</f>
        <v>OK</v>
      </c>
      <c r="P463" s="1" t="str">
        <f>IF(po_master[[#This Row],[Promised Delivey Date]]&lt;po_master[[#This Row],[Order Date]], "Invalid", "OK")</f>
        <v>OK</v>
      </c>
      <c r="Q463" s="1" t="str">
        <f>IF(ISBLANK(po_master[[#This Row],[Invoice Number]]), "No Invoice", "OK")</f>
        <v>OK</v>
      </c>
      <c r="R463" s="1" t="str">
        <f>IF(AND(NOT(ISBLANK(po_master[[#This Row],[GR Quantity]])), po_master[[#This Row],[GR Quantity]]&lt;&gt;po_master[[#This Row],[PO Quantity]]), "Qty Variance", "OK")</f>
        <v>OK</v>
      </c>
      <c r="S463" s="1" t="str">
        <f>IF(po_master[[#This Row],[Invoice Unit Price]]&gt;po_master[[#This Row],[PO Unit Price]]*1.01, "Price Variance", "OK")</f>
        <v>OK</v>
      </c>
      <c r="T463" s="1" t="str">
        <f>IF(po_master[[#This Row],[Actual Delivery Date]]&gt;po_master[[#This Row],[Promised Delivey Date]], "Late Delivery", "OK")</f>
        <v>Late Delivery</v>
      </c>
      <c r="U463" s="1" t="str">
        <f>IF(COUNTIF(po_master[PO Number],po_master[[#This Row],[PO Number]])&gt;1, "Duplicate Invoice", "OK")</f>
        <v>OK</v>
      </c>
    </row>
    <row r="464" spans="1:21" x14ac:dyDescent="0.25">
      <c r="A464" s="1" t="s">
        <v>411</v>
      </c>
      <c r="B464" s="1" t="s">
        <v>1473</v>
      </c>
      <c r="C464" s="2">
        <v>46089</v>
      </c>
      <c r="D464">
        <v>293</v>
      </c>
      <c r="E464">
        <v>187.28</v>
      </c>
      <c r="F464" s="1" t="s">
        <v>1480</v>
      </c>
      <c r="G464" s="2">
        <v>46107</v>
      </c>
      <c r="H464">
        <v>293</v>
      </c>
      <c r="I464" s="2">
        <v>46105</v>
      </c>
      <c r="J464" s="1" t="s">
        <v>1156</v>
      </c>
      <c r="K464">
        <v>293</v>
      </c>
      <c r="L464">
        <v>187.28</v>
      </c>
      <c r="M464" s="2">
        <v>46114</v>
      </c>
      <c r="N464" t="str">
        <f>IF(po_master[[#This Row],[Approved By]]="", "Missing Approval", "OK")</f>
        <v>OK</v>
      </c>
      <c r="O464" t="str">
        <f>IF(ISBLANK(po_master[[#This Row],[GR Quantity]]), "No GR - Not received", "OK")</f>
        <v>OK</v>
      </c>
      <c r="P464" s="1" t="str">
        <f>IF(po_master[[#This Row],[Promised Delivey Date]]&lt;po_master[[#This Row],[Order Date]], "Invalid", "OK")</f>
        <v>OK</v>
      </c>
      <c r="Q464" s="1" t="str">
        <f>IF(ISBLANK(po_master[[#This Row],[Invoice Number]]), "No Invoice", "OK")</f>
        <v>OK</v>
      </c>
      <c r="R464" s="1" t="str">
        <f>IF(AND(NOT(ISBLANK(po_master[[#This Row],[GR Quantity]])), po_master[[#This Row],[GR Quantity]]&lt;&gt;po_master[[#This Row],[PO Quantity]]), "Qty Variance", "OK")</f>
        <v>OK</v>
      </c>
      <c r="S464" s="1" t="str">
        <f>IF(po_master[[#This Row],[Invoice Unit Price]]&gt;po_master[[#This Row],[PO Unit Price]]*1.01, "Price Variance", "OK")</f>
        <v>OK</v>
      </c>
      <c r="T464" s="1" t="str">
        <f>IF(po_master[[#This Row],[Actual Delivery Date]]&gt;po_master[[#This Row],[Promised Delivey Date]], "Late Delivery", "OK")</f>
        <v>OK</v>
      </c>
      <c r="U464" s="1" t="str">
        <f>IF(COUNTIF(po_master[PO Number],po_master[[#This Row],[PO Number]])&gt;1, "Duplicate Invoice", "OK")</f>
        <v>OK</v>
      </c>
    </row>
    <row r="465" spans="1:21" x14ac:dyDescent="0.25">
      <c r="A465" s="1" t="s">
        <v>412</v>
      </c>
      <c r="B465" s="1" t="s">
        <v>1506</v>
      </c>
      <c r="C465" s="2">
        <v>46062</v>
      </c>
      <c r="D465">
        <v>110</v>
      </c>
      <c r="E465">
        <v>69.319999999999993</v>
      </c>
      <c r="F465" s="1" t="s">
        <v>1453</v>
      </c>
      <c r="G465" s="2">
        <v>46074</v>
      </c>
      <c r="H465">
        <v>110</v>
      </c>
      <c r="I465" s="2">
        <v>46074</v>
      </c>
      <c r="J465" s="1" t="s">
        <v>1157</v>
      </c>
      <c r="K465">
        <v>110</v>
      </c>
      <c r="L465">
        <v>69.319999999999993</v>
      </c>
      <c r="M465" s="2">
        <v>46082</v>
      </c>
      <c r="N465" t="str">
        <f>IF(po_master[[#This Row],[Approved By]]="", "Missing Approval", "OK")</f>
        <v>OK</v>
      </c>
      <c r="O465" t="str">
        <f>IF(ISBLANK(po_master[[#This Row],[GR Quantity]]), "No GR - Not received", "OK")</f>
        <v>OK</v>
      </c>
      <c r="P465" s="1" t="str">
        <f>IF(po_master[[#This Row],[Promised Delivey Date]]&lt;po_master[[#This Row],[Order Date]], "Invalid", "OK")</f>
        <v>OK</v>
      </c>
      <c r="Q465" s="1" t="str">
        <f>IF(ISBLANK(po_master[[#This Row],[Invoice Number]]), "No Invoice", "OK")</f>
        <v>OK</v>
      </c>
      <c r="R465" s="1" t="str">
        <f>IF(AND(NOT(ISBLANK(po_master[[#This Row],[GR Quantity]])), po_master[[#This Row],[GR Quantity]]&lt;&gt;po_master[[#This Row],[PO Quantity]]), "Qty Variance", "OK")</f>
        <v>OK</v>
      </c>
      <c r="S465" s="1" t="str">
        <f>IF(po_master[[#This Row],[Invoice Unit Price]]&gt;po_master[[#This Row],[PO Unit Price]]*1.01, "Price Variance", "OK")</f>
        <v>OK</v>
      </c>
      <c r="T465" s="1" t="str">
        <f>IF(po_master[[#This Row],[Actual Delivery Date]]&gt;po_master[[#This Row],[Promised Delivey Date]], "Late Delivery", "OK")</f>
        <v>OK</v>
      </c>
      <c r="U465" s="1" t="str">
        <f>IF(COUNTIF(po_master[PO Number],po_master[[#This Row],[PO Number]])&gt;1, "Duplicate Invoice", "OK")</f>
        <v>OK</v>
      </c>
    </row>
    <row r="466" spans="1:21" x14ac:dyDescent="0.25">
      <c r="A466" s="1" t="s">
        <v>1135</v>
      </c>
      <c r="B466" s="1" t="s">
        <v>1475</v>
      </c>
      <c r="C466" s="2">
        <v>46058</v>
      </c>
      <c r="D466">
        <v>267</v>
      </c>
      <c r="E466">
        <v>198.73</v>
      </c>
      <c r="F466" s="1" t="s">
        <v>1440</v>
      </c>
      <c r="G466" s="2">
        <v>46073</v>
      </c>
      <c r="I466" s="2"/>
      <c r="J466" s="1" t="s">
        <v>1136</v>
      </c>
      <c r="K466">
        <v>267</v>
      </c>
      <c r="L466">
        <v>198.73</v>
      </c>
      <c r="M466" s="2">
        <v>46077</v>
      </c>
      <c r="N466" t="str">
        <f>IF(po_master[[#This Row],[Approved By]]="", "Missing Approval", "OK")</f>
        <v>OK</v>
      </c>
      <c r="O466" t="str">
        <f>IF(ISBLANK(po_master[[#This Row],[GR Quantity]]), "No GR - Not received", "OK")</f>
        <v>No GR - Not received</v>
      </c>
      <c r="P466" s="1" t="str">
        <f>IF(po_master[[#This Row],[Promised Delivey Date]]&lt;po_master[[#This Row],[Order Date]], "Invalid", "OK")</f>
        <v>OK</v>
      </c>
      <c r="Q466" s="1" t="str">
        <f>IF(ISBLANK(po_master[[#This Row],[Invoice Number]]), "No Invoice", "OK")</f>
        <v>OK</v>
      </c>
      <c r="R466" s="1" t="str">
        <f>IF(AND(NOT(ISBLANK(po_master[[#This Row],[GR Quantity]])), po_master[[#This Row],[GR Quantity]]&lt;&gt;po_master[[#This Row],[PO Quantity]]), "Qty Variance", "OK")</f>
        <v>OK</v>
      </c>
      <c r="S466" s="1" t="str">
        <f>IF(po_master[[#This Row],[Invoice Unit Price]]&gt;po_master[[#This Row],[PO Unit Price]]*1.01, "Price Variance", "OK")</f>
        <v>OK</v>
      </c>
      <c r="T466" s="1" t="str">
        <f>IF(po_master[[#This Row],[Actual Delivery Date]]&gt;po_master[[#This Row],[Promised Delivey Date]], "Late Delivery", "OK")</f>
        <v>OK</v>
      </c>
      <c r="U466" s="1" t="str">
        <f>IF(COUNTIF(po_master[PO Number],po_master[[#This Row],[PO Number]])&gt;1, "Duplicate Invoice", "OK")</f>
        <v>OK</v>
      </c>
    </row>
    <row r="467" spans="1:21" x14ac:dyDescent="0.25">
      <c r="A467" s="1" t="s">
        <v>413</v>
      </c>
      <c r="B467" s="1" t="s">
        <v>1498</v>
      </c>
      <c r="C467" s="2">
        <v>46163</v>
      </c>
      <c r="D467">
        <v>345</v>
      </c>
      <c r="E467">
        <v>188.98</v>
      </c>
      <c r="F467" s="1" t="s">
        <v>1472</v>
      </c>
      <c r="G467" s="2">
        <v>46176</v>
      </c>
      <c r="H467">
        <v>345</v>
      </c>
      <c r="I467" s="2">
        <v>46174</v>
      </c>
      <c r="J467" s="1" t="s">
        <v>1158</v>
      </c>
      <c r="K467">
        <v>345</v>
      </c>
      <c r="L467">
        <v>188.98</v>
      </c>
      <c r="M467" s="2">
        <v>46178</v>
      </c>
      <c r="N467" t="str">
        <f>IF(po_master[[#This Row],[Approved By]]="", "Missing Approval", "OK")</f>
        <v>OK</v>
      </c>
      <c r="O467" t="str">
        <f>IF(ISBLANK(po_master[[#This Row],[GR Quantity]]), "No GR - Not received", "OK")</f>
        <v>OK</v>
      </c>
      <c r="P467" s="1" t="str">
        <f>IF(po_master[[#This Row],[Promised Delivey Date]]&lt;po_master[[#This Row],[Order Date]], "Invalid", "OK")</f>
        <v>OK</v>
      </c>
      <c r="Q467" s="1" t="str">
        <f>IF(ISBLANK(po_master[[#This Row],[Invoice Number]]), "No Invoice", "OK")</f>
        <v>OK</v>
      </c>
      <c r="R467" s="1" t="str">
        <f>IF(AND(NOT(ISBLANK(po_master[[#This Row],[GR Quantity]])), po_master[[#This Row],[GR Quantity]]&lt;&gt;po_master[[#This Row],[PO Quantity]]), "Qty Variance", "OK")</f>
        <v>OK</v>
      </c>
      <c r="S467" s="1" t="str">
        <f>IF(po_master[[#This Row],[Invoice Unit Price]]&gt;po_master[[#This Row],[PO Unit Price]]*1.01, "Price Variance", "OK")</f>
        <v>OK</v>
      </c>
      <c r="T467" s="1" t="str">
        <f>IF(po_master[[#This Row],[Actual Delivery Date]]&gt;po_master[[#This Row],[Promised Delivey Date]], "Late Delivery", "OK")</f>
        <v>OK</v>
      </c>
      <c r="U467" s="1" t="str">
        <f>IF(COUNTIF(po_master[PO Number],po_master[[#This Row],[PO Number]])&gt;1, "Duplicate Invoice", "OK")</f>
        <v>OK</v>
      </c>
    </row>
    <row r="468" spans="1:21" x14ac:dyDescent="0.25">
      <c r="A468" s="1" t="s">
        <v>414</v>
      </c>
      <c r="B468" s="1" t="s">
        <v>1498</v>
      </c>
      <c r="C468" s="2">
        <v>46148</v>
      </c>
      <c r="D468">
        <v>245</v>
      </c>
      <c r="E468">
        <v>37.81</v>
      </c>
      <c r="F468" s="1" t="s">
        <v>1451</v>
      </c>
      <c r="G468" s="2">
        <v>46158</v>
      </c>
      <c r="H468">
        <v>245</v>
      </c>
      <c r="I468" s="2">
        <v>46156</v>
      </c>
      <c r="J468" s="1" t="s">
        <v>1159</v>
      </c>
      <c r="K468">
        <v>245</v>
      </c>
      <c r="L468">
        <v>44.93</v>
      </c>
      <c r="M468" s="2">
        <v>46165</v>
      </c>
      <c r="N468" t="str">
        <f>IF(po_master[[#This Row],[Approved By]]="", "Missing Approval", "OK")</f>
        <v>OK</v>
      </c>
      <c r="O468" t="str">
        <f>IF(ISBLANK(po_master[[#This Row],[GR Quantity]]), "No GR - Not received", "OK")</f>
        <v>OK</v>
      </c>
      <c r="P468" s="1" t="str">
        <f>IF(po_master[[#This Row],[Promised Delivey Date]]&lt;po_master[[#This Row],[Order Date]], "Invalid", "OK")</f>
        <v>OK</v>
      </c>
      <c r="Q468" s="1" t="str">
        <f>IF(ISBLANK(po_master[[#This Row],[Invoice Number]]), "No Invoice", "OK")</f>
        <v>OK</v>
      </c>
      <c r="R468" s="1" t="str">
        <f>IF(AND(NOT(ISBLANK(po_master[[#This Row],[GR Quantity]])), po_master[[#This Row],[GR Quantity]]&lt;&gt;po_master[[#This Row],[PO Quantity]]), "Qty Variance", "OK")</f>
        <v>OK</v>
      </c>
      <c r="S468" s="1" t="str">
        <f>IF(po_master[[#This Row],[Invoice Unit Price]]&gt;po_master[[#This Row],[PO Unit Price]]*1.01, "Price Variance", "OK")</f>
        <v>Price Variance</v>
      </c>
      <c r="T468" s="1" t="str">
        <f>IF(po_master[[#This Row],[Actual Delivery Date]]&gt;po_master[[#This Row],[Promised Delivey Date]], "Late Delivery", "OK")</f>
        <v>OK</v>
      </c>
      <c r="U468" s="1" t="str">
        <f>IF(COUNTIF(po_master[PO Number],po_master[[#This Row],[PO Number]])&gt;1, "Duplicate Invoice", "OK")</f>
        <v>OK</v>
      </c>
    </row>
    <row r="469" spans="1:21" x14ac:dyDescent="0.25">
      <c r="A469" s="1" t="s">
        <v>415</v>
      </c>
      <c r="B469" s="1" t="s">
        <v>1441</v>
      </c>
      <c r="C469" s="2">
        <v>46162</v>
      </c>
      <c r="D469">
        <v>260</v>
      </c>
      <c r="E469">
        <v>40.89</v>
      </c>
      <c r="F469" s="1" t="s">
        <v>1442</v>
      </c>
      <c r="G469" s="2">
        <v>46168</v>
      </c>
      <c r="H469">
        <v>260</v>
      </c>
      <c r="I469" s="2">
        <v>46169</v>
      </c>
      <c r="J469" s="1" t="s">
        <v>1160</v>
      </c>
      <c r="K469">
        <v>260</v>
      </c>
      <c r="L469">
        <v>40.89</v>
      </c>
      <c r="M469" s="2">
        <v>46175</v>
      </c>
      <c r="N469" t="str">
        <f>IF(po_master[[#This Row],[Approved By]]="", "Missing Approval", "OK")</f>
        <v>OK</v>
      </c>
      <c r="O469" t="str">
        <f>IF(ISBLANK(po_master[[#This Row],[GR Quantity]]), "No GR - Not received", "OK")</f>
        <v>OK</v>
      </c>
      <c r="P469" s="1" t="str">
        <f>IF(po_master[[#This Row],[Promised Delivey Date]]&lt;po_master[[#This Row],[Order Date]], "Invalid", "OK")</f>
        <v>OK</v>
      </c>
      <c r="Q469" s="1" t="str">
        <f>IF(ISBLANK(po_master[[#This Row],[Invoice Number]]), "No Invoice", "OK")</f>
        <v>OK</v>
      </c>
      <c r="R469" s="1" t="str">
        <f>IF(AND(NOT(ISBLANK(po_master[[#This Row],[GR Quantity]])), po_master[[#This Row],[GR Quantity]]&lt;&gt;po_master[[#This Row],[PO Quantity]]), "Qty Variance", "OK")</f>
        <v>OK</v>
      </c>
      <c r="S469" s="1" t="str">
        <f>IF(po_master[[#This Row],[Invoice Unit Price]]&gt;po_master[[#This Row],[PO Unit Price]]*1.01, "Price Variance", "OK")</f>
        <v>OK</v>
      </c>
      <c r="T469" s="1" t="str">
        <f>IF(po_master[[#This Row],[Actual Delivery Date]]&gt;po_master[[#This Row],[Promised Delivey Date]], "Late Delivery", "OK")</f>
        <v>Late Delivery</v>
      </c>
      <c r="U469" s="1" t="str">
        <f>IF(COUNTIF(po_master[PO Number],po_master[[#This Row],[PO Number]])&gt;1, "Duplicate Invoice", "OK")</f>
        <v>OK</v>
      </c>
    </row>
    <row r="470" spans="1:21" x14ac:dyDescent="0.25">
      <c r="A470" s="1" t="s">
        <v>416</v>
      </c>
      <c r="B470" s="1" t="s">
        <v>1491</v>
      </c>
      <c r="C470" s="2">
        <v>46031</v>
      </c>
      <c r="D470">
        <v>439</v>
      </c>
      <c r="E470">
        <v>170.11</v>
      </c>
      <c r="F470" s="1" t="s">
        <v>1467</v>
      </c>
      <c r="G470" s="2">
        <v>46037</v>
      </c>
      <c r="H470">
        <v>439</v>
      </c>
      <c r="I470" s="2">
        <v>46037</v>
      </c>
      <c r="J470" s="1" t="s">
        <v>1161</v>
      </c>
      <c r="K470">
        <v>439</v>
      </c>
      <c r="L470">
        <v>170.11</v>
      </c>
      <c r="M470" s="2">
        <v>46043</v>
      </c>
      <c r="N470" t="str">
        <f>IF(po_master[[#This Row],[Approved By]]="", "Missing Approval", "OK")</f>
        <v>OK</v>
      </c>
      <c r="O470" t="str">
        <f>IF(ISBLANK(po_master[[#This Row],[GR Quantity]]), "No GR - Not received", "OK")</f>
        <v>OK</v>
      </c>
      <c r="P470" s="1" t="str">
        <f>IF(po_master[[#This Row],[Promised Delivey Date]]&lt;po_master[[#This Row],[Order Date]], "Invalid", "OK")</f>
        <v>OK</v>
      </c>
      <c r="Q470" s="1" t="str">
        <f>IF(ISBLANK(po_master[[#This Row],[Invoice Number]]), "No Invoice", "OK")</f>
        <v>OK</v>
      </c>
      <c r="R470" s="1" t="str">
        <f>IF(AND(NOT(ISBLANK(po_master[[#This Row],[GR Quantity]])), po_master[[#This Row],[GR Quantity]]&lt;&gt;po_master[[#This Row],[PO Quantity]]), "Qty Variance", "OK")</f>
        <v>OK</v>
      </c>
      <c r="S470" s="1" t="str">
        <f>IF(po_master[[#This Row],[Invoice Unit Price]]&gt;po_master[[#This Row],[PO Unit Price]]*1.01, "Price Variance", "OK")</f>
        <v>OK</v>
      </c>
      <c r="T470" s="1" t="str">
        <f>IF(po_master[[#This Row],[Actual Delivery Date]]&gt;po_master[[#This Row],[Promised Delivey Date]], "Late Delivery", "OK")</f>
        <v>OK</v>
      </c>
      <c r="U470" s="1" t="str">
        <f>IF(COUNTIF(po_master[PO Number],po_master[[#This Row],[PO Number]])&gt;1, "Duplicate Invoice", "OK")</f>
        <v>OK</v>
      </c>
    </row>
    <row r="471" spans="1:21" x14ac:dyDescent="0.25">
      <c r="A471" s="1" t="s">
        <v>417</v>
      </c>
      <c r="B471" s="1" t="s">
        <v>1481</v>
      </c>
      <c r="C471" s="2">
        <v>46128</v>
      </c>
      <c r="D471">
        <v>80</v>
      </c>
      <c r="E471">
        <v>169.3</v>
      </c>
      <c r="F471" s="1" t="s">
        <v>1440</v>
      </c>
      <c r="G471" s="2">
        <v>46135</v>
      </c>
      <c r="H471">
        <v>80</v>
      </c>
      <c r="I471" s="2">
        <v>46134</v>
      </c>
      <c r="J471" s="1" t="s">
        <v>1162</v>
      </c>
      <c r="K471">
        <v>80</v>
      </c>
      <c r="L471">
        <v>169.3</v>
      </c>
      <c r="M471" s="2">
        <v>46141</v>
      </c>
      <c r="N471" t="str">
        <f>IF(po_master[[#This Row],[Approved By]]="", "Missing Approval", "OK")</f>
        <v>OK</v>
      </c>
      <c r="O471" t="str">
        <f>IF(ISBLANK(po_master[[#This Row],[GR Quantity]]), "No GR - Not received", "OK")</f>
        <v>OK</v>
      </c>
      <c r="P471" s="1" t="str">
        <f>IF(po_master[[#This Row],[Promised Delivey Date]]&lt;po_master[[#This Row],[Order Date]], "Invalid", "OK")</f>
        <v>OK</v>
      </c>
      <c r="Q471" s="1" t="str">
        <f>IF(ISBLANK(po_master[[#This Row],[Invoice Number]]), "No Invoice", "OK")</f>
        <v>OK</v>
      </c>
      <c r="R471" s="1" t="str">
        <f>IF(AND(NOT(ISBLANK(po_master[[#This Row],[GR Quantity]])), po_master[[#This Row],[GR Quantity]]&lt;&gt;po_master[[#This Row],[PO Quantity]]), "Qty Variance", "OK")</f>
        <v>OK</v>
      </c>
      <c r="S471" s="1" t="str">
        <f>IF(po_master[[#This Row],[Invoice Unit Price]]&gt;po_master[[#This Row],[PO Unit Price]]*1.01, "Price Variance", "OK")</f>
        <v>OK</v>
      </c>
      <c r="T471" s="1" t="str">
        <f>IF(po_master[[#This Row],[Actual Delivery Date]]&gt;po_master[[#This Row],[Promised Delivey Date]], "Late Delivery", "OK")</f>
        <v>OK</v>
      </c>
      <c r="U471" s="1" t="str">
        <f>IF(COUNTIF(po_master[PO Number],po_master[[#This Row],[PO Number]])&gt;1, "Duplicate Invoice", "OK")</f>
        <v>OK</v>
      </c>
    </row>
    <row r="472" spans="1:21" x14ac:dyDescent="0.25">
      <c r="A472" s="1" t="s">
        <v>418</v>
      </c>
      <c r="B472" s="1" t="s">
        <v>1455</v>
      </c>
      <c r="C472" s="2">
        <v>46061</v>
      </c>
      <c r="D472">
        <v>14</v>
      </c>
      <c r="E472">
        <v>47.65</v>
      </c>
      <c r="F472" s="1" t="s">
        <v>1469</v>
      </c>
      <c r="G472" s="2">
        <v>46077</v>
      </c>
      <c r="H472">
        <v>14</v>
      </c>
      <c r="I472" s="2">
        <v>46097</v>
      </c>
      <c r="J472" s="1" t="s">
        <v>1163</v>
      </c>
      <c r="K472">
        <v>14</v>
      </c>
      <c r="L472">
        <v>47.65</v>
      </c>
      <c r="M472" s="2">
        <v>46084</v>
      </c>
      <c r="N472" t="str">
        <f>IF(po_master[[#This Row],[Approved By]]="", "Missing Approval", "OK")</f>
        <v>OK</v>
      </c>
      <c r="O472" t="str">
        <f>IF(ISBLANK(po_master[[#This Row],[GR Quantity]]), "No GR - Not received", "OK")</f>
        <v>OK</v>
      </c>
      <c r="P472" s="1" t="str">
        <f>IF(po_master[[#This Row],[Promised Delivey Date]]&lt;po_master[[#This Row],[Order Date]], "Invalid", "OK")</f>
        <v>OK</v>
      </c>
      <c r="Q472" s="1" t="str">
        <f>IF(ISBLANK(po_master[[#This Row],[Invoice Number]]), "No Invoice", "OK")</f>
        <v>OK</v>
      </c>
      <c r="R472" s="1" t="str">
        <f>IF(AND(NOT(ISBLANK(po_master[[#This Row],[GR Quantity]])), po_master[[#This Row],[GR Quantity]]&lt;&gt;po_master[[#This Row],[PO Quantity]]), "Qty Variance", "OK")</f>
        <v>OK</v>
      </c>
      <c r="S472" s="1" t="str">
        <f>IF(po_master[[#This Row],[Invoice Unit Price]]&gt;po_master[[#This Row],[PO Unit Price]]*1.01, "Price Variance", "OK")</f>
        <v>OK</v>
      </c>
      <c r="T472" s="1" t="str">
        <f>IF(po_master[[#This Row],[Actual Delivery Date]]&gt;po_master[[#This Row],[Promised Delivey Date]], "Late Delivery", "OK")</f>
        <v>Late Delivery</v>
      </c>
      <c r="U472" s="1" t="str">
        <f>IF(COUNTIF(po_master[PO Number],po_master[[#This Row],[PO Number]])&gt;1, "Duplicate Invoice", "OK")</f>
        <v>OK</v>
      </c>
    </row>
    <row r="473" spans="1:21" x14ac:dyDescent="0.25">
      <c r="A473" s="1" t="s">
        <v>1143</v>
      </c>
      <c r="B473" s="1" t="s">
        <v>1495</v>
      </c>
      <c r="C473" s="2">
        <v>46165</v>
      </c>
      <c r="D473">
        <v>281</v>
      </c>
      <c r="E473">
        <v>31.15</v>
      </c>
      <c r="F473" s="1" t="s">
        <v>1440</v>
      </c>
      <c r="G473" s="2">
        <v>46178</v>
      </c>
      <c r="I473" s="2"/>
      <c r="J473" s="1" t="s">
        <v>1144</v>
      </c>
      <c r="K473">
        <v>281</v>
      </c>
      <c r="L473">
        <v>31.15</v>
      </c>
      <c r="M473" s="2">
        <v>46187</v>
      </c>
      <c r="N473" t="str">
        <f>IF(po_master[[#This Row],[Approved By]]="", "Missing Approval", "OK")</f>
        <v>OK</v>
      </c>
      <c r="O473" t="str">
        <f>IF(ISBLANK(po_master[[#This Row],[GR Quantity]]), "No GR - Not received", "OK")</f>
        <v>No GR - Not received</v>
      </c>
      <c r="P473" s="1" t="str">
        <f>IF(po_master[[#This Row],[Promised Delivey Date]]&lt;po_master[[#This Row],[Order Date]], "Invalid", "OK")</f>
        <v>OK</v>
      </c>
      <c r="Q473" s="1" t="str">
        <f>IF(ISBLANK(po_master[[#This Row],[Invoice Number]]), "No Invoice", "OK")</f>
        <v>OK</v>
      </c>
      <c r="R473" s="1" t="str">
        <f>IF(AND(NOT(ISBLANK(po_master[[#This Row],[GR Quantity]])), po_master[[#This Row],[GR Quantity]]&lt;&gt;po_master[[#This Row],[PO Quantity]]), "Qty Variance", "OK")</f>
        <v>OK</v>
      </c>
      <c r="S473" s="1" t="str">
        <f>IF(po_master[[#This Row],[Invoice Unit Price]]&gt;po_master[[#This Row],[PO Unit Price]]*1.01, "Price Variance", "OK")</f>
        <v>OK</v>
      </c>
      <c r="T473" s="1" t="str">
        <f>IF(po_master[[#This Row],[Actual Delivery Date]]&gt;po_master[[#This Row],[Promised Delivey Date]], "Late Delivery", "OK")</f>
        <v>OK</v>
      </c>
      <c r="U473" s="1" t="str">
        <f>IF(COUNTIF(po_master[PO Number],po_master[[#This Row],[PO Number]])&gt;1, "Duplicate Invoice", "OK")</f>
        <v>OK</v>
      </c>
    </row>
    <row r="474" spans="1:21" x14ac:dyDescent="0.25">
      <c r="A474" s="1" t="s">
        <v>419</v>
      </c>
      <c r="B474" s="1" t="s">
        <v>1481</v>
      </c>
      <c r="C474" s="2">
        <v>46027</v>
      </c>
      <c r="D474">
        <v>281</v>
      </c>
      <c r="E474">
        <v>145.83000000000001</v>
      </c>
      <c r="F474" s="1" t="s">
        <v>1442</v>
      </c>
      <c r="G474" s="2">
        <v>46041</v>
      </c>
      <c r="H474">
        <v>281</v>
      </c>
      <c r="I474" s="2">
        <v>46043</v>
      </c>
      <c r="J474" s="1" t="s">
        <v>1166</v>
      </c>
      <c r="K474">
        <v>281</v>
      </c>
      <c r="L474">
        <v>145.83000000000001</v>
      </c>
      <c r="M474" s="2">
        <v>46042</v>
      </c>
      <c r="N474" t="str">
        <f>IF(po_master[[#This Row],[Approved By]]="", "Missing Approval", "OK")</f>
        <v>OK</v>
      </c>
      <c r="O474" t="str">
        <f>IF(ISBLANK(po_master[[#This Row],[GR Quantity]]), "No GR - Not received", "OK")</f>
        <v>OK</v>
      </c>
      <c r="P474" s="1" t="str">
        <f>IF(po_master[[#This Row],[Promised Delivey Date]]&lt;po_master[[#This Row],[Order Date]], "Invalid", "OK")</f>
        <v>OK</v>
      </c>
      <c r="Q474" s="1" t="str">
        <f>IF(ISBLANK(po_master[[#This Row],[Invoice Number]]), "No Invoice", "OK")</f>
        <v>OK</v>
      </c>
      <c r="R474" s="1" t="str">
        <f>IF(AND(NOT(ISBLANK(po_master[[#This Row],[GR Quantity]])), po_master[[#This Row],[GR Quantity]]&lt;&gt;po_master[[#This Row],[PO Quantity]]), "Qty Variance", "OK")</f>
        <v>OK</v>
      </c>
      <c r="S474" s="1" t="str">
        <f>IF(po_master[[#This Row],[Invoice Unit Price]]&gt;po_master[[#This Row],[PO Unit Price]]*1.01, "Price Variance", "OK")</f>
        <v>OK</v>
      </c>
      <c r="T474" s="1" t="str">
        <f>IF(po_master[[#This Row],[Actual Delivery Date]]&gt;po_master[[#This Row],[Promised Delivey Date]], "Late Delivery", "OK")</f>
        <v>Late Delivery</v>
      </c>
      <c r="U474" s="1" t="str">
        <f>IF(COUNTIF(po_master[PO Number],po_master[[#This Row],[PO Number]])&gt;1, "Duplicate Invoice", "OK")</f>
        <v>OK</v>
      </c>
    </row>
    <row r="475" spans="1:21" x14ac:dyDescent="0.25">
      <c r="A475" s="1" t="s">
        <v>420</v>
      </c>
      <c r="B475" s="1" t="s">
        <v>1473</v>
      </c>
      <c r="C475" s="2">
        <v>46151</v>
      </c>
      <c r="D475">
        <v>426</v>
      </c>
      <c r="E475">
        <v>141.08000000000001</v>
      </c>
      <c r="F475" s="1" t="s">
        <v>1507</v>
      </c>
      <c r="G475" s="2">
        <v>46161</v>
      </c>
      <c r="H475">
        <v>426</v>
      </c>
      <c r="I475" s="2">
        <v>46160</v>
      </c>
      <c r="J475" s="1" t="s">
        <v>1167</v>
      </c>
      <c r="K475">
        <v>426</v>
      </c>
      <c r="L475">
        <v>141.08000000000001</v>
      </c>
      <c r="M475" s="2">
        <v>46166</v>
      </c>
      <c r="N475" t="str">
        <f>IF(po_master[[#This Row],[Approved By]]="", "Missing Approval", "OK")</f>
        <v>OK</v>
      </c>
      <c r="O475" t="str">
        <f>IF(ISBLANK(po_master[[#This Row],[GR Quantity]]), "No GR - Not received", "OK")</f>
        <v>OK</v>
      </c>
      <c r="P475" s="1" t="str">
        <f>IF(po_master[[#This Row],[Promised Delivey Date]]&lt;po_master[[#This Row],[Order Date]], "Invalid", "OK")</f>
        <v>OK</v>
      </c>
      <c r="Q475" s="1" t="str">
        <f>IF(ISBLANK(po_master[[#This Row],[Invoice Number]]), "No Invoice", "OK")</f>
        <v>OK</v>
      </c>
      <c r="R475" s="1" t="str">
        <f>IF(AND(NOT(ISBLANK(po_master[[#This Row],[GR Quantity]])), po_master[[#This Row],[GR Quantity]]&lt;&gt;po_master[[#This Row],[PO Quantity]]), "Qty Variance", "OK")</f>
        <v>OK</v>
      </c>
      <c r="S475" s="1" t="str">
        <f>IF(po_master[[#This Row],[Invoice Unit Price]]&gt;po_master[[#This Row],[PO Unit Price]]*1.01, "Price Variance", "OK")</f>
        <v>OK</v>
      </c>
      <c r="T475" s="1" t="str">
        <f>IF(po_master[[#This Row],[Actual Delivery Date]]&gt;po_master[[#This Row],[Promised Delivey Date]], "Late Delivery", "OK")</f>
        <v>OK</v>
      </c>
      <c r="U475" s="1" t="str">
        <f>IF(COUNTIF(po_master[PO Number],po_master[[#This Row],[PO Number]])&gt;1, "Duplicate Invoice", "OK")</f>
        <v>OK</v>
      </c>
    </row>
    <row r="476" spans="1:21" x14ac:dyDescent="0.25">
      <c r="A476" s="1" t="s">
        <v>421</v>
      </c>
      <c r="B476" s="1" t="s">
        <v>1450</v>
      </c>
      <c r="C476" s="2">
        <v>46047</v>
      </c>
      <c r="D476">
        <v>278</v>
      </c>
      <c r="E476">
        <v>34.04</v>
      </c>
      <c r="F476" s="1" t="s">
        <v>1444</v>
      </c>
      <c r="G476" s="2">
        <v>46068</v>
      </c>
      <c r="H476">
        <v>278</v>
      </c>
      <c r="I476" s="2">
        <v>46074</v>
      </c>
      <c r="J476" s="1" t="s">
        <v>1168</v>
      </c>
      <c r="K476">
        <v>278</v>
      </c>
      <c r="L476">
        <v>34.04</v>
      </c>
      <c r="M476" s="2">
        <v>46071</v>
      </c>
      <c r="N476" t="str">
        <f>IF(po_master[[#This Row],[Approved By]]="", "Missing Approval", "OK")</f>
        <v>OK</v>
      </c>
      <c r="O476" t="str">
        <f>IF(ISBLANK(po_master[[#This Row],[GR Quantity]]), "No GR - Not received", "OK")</f>
        <v>OK</v>
      </c>
      <c r="P476" s="1" t="str">
        <f>IF(po_master[[#This Row],[Promised Delivey Date]]&lt;po_master[[#This Row],[Order Date]], "Invalid", "OK")</f>
        <v>OK</v>
      </c>
      <c r="Q476" s="1" t="str">
        <f>IF(ISBLANK(po_master[[#This Row],[Invoice Number]]), "No Invoice", "OK")</f>
        <v>OK</v>
      </c>
      <c r="R476" s="1" t="str">
        <f>IF(AND(NOT(ISBLANK(po_master[[#This Row],[GR Quantity]])), po_master[[#This Row],[GR Quantity]]&lt;&gt;po_master[[#This Row],[PO Quantity]]), "Qty Variance", "OK")</f>
        <v>OK</v>
      </c>
      <c r="S476" s="1" t="str">
        <f>IF(po_master[[#This Row],[Invoice Unit Price]]&gt;po_master[[#This Row],[PO Unit Price]]*1.01, "Price Variance", "OK")</f>
        <v>OK</v>
      </c>
      <c r="T476" s="1" t="str">
        <f>IF(po_master[[#This Row],[Actual Delivery Date]]&gt;po_master[[#This Row],[Promised Delivey Date]], "Late Delivery", "OK")</f>
        <v>Late Delivery</v>
      </c>
      <c r="U476" s="1" t="str">
        <f>IF(COUNTIF(po_master[PO Number],po_master[[#This Row],[PO Number]])&gt;1, "Duplicate Invoice", "OK")</f>
        <v>OK</v>
      </c>
    </row>
    <row r="477" spans="1:21" x14ac:dyDescent="0.25">
      <c r="A477" s="1" t="s">
        <v>422</v>
      </c>
      <c r="B477" s="1" t="s">
        <v>1470</v>
      </c>
      <c r="C477" s="2">
        <v>46113</v>
      </c>
      <c r="D477">
        <v>146</v>
      </c>
      <c r="E477">
        <v>160.01</v>
      </c>
      <c r="F477" s="1" t="s">
        <v>1476</v>
      </c>
      <c r="G477" s="2">
        <v>46129</v>
      </c>
      <c r="H477">
        <v>146</v>
      </c>
      <c r="I477" s="2">
        <v>46130</v>
      </c>
      <c r="J477" s="1" t="s">
        <v>1169</v>
      </c>
      <c r="K477">
        <v>146</v>
      </c>
      <c r="L477">
        <v>160.01</v>
      </c>
      <c r="M477" s="2">
        <v>46132</v>
      </c>
      <c r="N477" t="str">
        <f>IF(po_master[[#This Row],[Approved By]]="", "Missing Approval", "OK")</f>
        <v>OK</v>
      </c>
      <c r="O477" t="str">
        <f>IF(ISBLANK(po_master[[#This Row],[GR Quantity]]), "No GR - Not received", "OK")</f>
        <v>OK</v>
      </c>
      <c r="P477" s="1" t="str">
        <f>IF(po_master[[#This Row],[Promised Delivey Date]]&lt;po_master[[#This Row],[Order Date]], "Invalid", "OK")</f>
        <v>OK</v>
      </c>
      <c r="Q477" s="1" t="str">
        <f>IF(ISBLANK(po_master[[#This Row],[Invoice Number]]), "No Invoice", "OK")</f>
        <v>OK</v>
      </c>
      <c r="R477" s="1" t="str">
        <f>IF(AND(NOT(ISBLANK(po_master[[#This Row],[GR Quantity]])), po_master[[#This Row],[GR Quantity]]&lt;&gt;po_master[[#This Row],[PO Quantity]]), "Qty Variance", "OK")</f>
        <v>OK</v>
      </c>
      <c r="S477" s="1" t="str">
        <f>IF(po_master[[#This Row],[Invoice Unit Price]]&gt;po_master[[#This Row],[PO Unit Price]]*1.01, "Price Variance", "OK")</f>
        <v>OK</v>
      </c>
      <c r="T477" s="1" t="str">
        <f>IF(po_master[[#This Row],[Actual Delivery Date]]&gt;po_master[[#This Row],[Promised Delivey Date]], "Late Delivery", "OK")</f>
        <v>Late Delivery</v>
      </c>
      <c r="U477" s="1" t="str">
        <f>IF(COUNTIF(po_master[PO Number],po_master[[#This Row],[PO Number]])&gt;1, "Duplicate Invoice", "OK")</f>
        <v>Duplicate Invoice</v>
      </c>
    </row>
    <row r="478" spans="1:21" x14ac:dyDescent="0.25">
      <c r="A478" s="1" t="s">
        <v>422</v>
      </c>
      <c r="B478" s="1" t="s">
        <v>1470</v>
      </c>
      <c r="C478" s="2">
        <v>46113</v>
      </c>
      <c r="D478">
        <v>146</v>
      </c>
      <c r="E478">
        <v>160.01</v>
      </c>
      <c r="F478" s="1" t="s">
        <v>1476</v>
      </c>
      <c r="G478" s="2">
        <v>46129</v>
      </c>
      <c r="H478">
        <v>146</v>
      </c>
      <c r="I478" s="2">
        <v>46130</v>
      </c>
      <c r="J478" s="1" t="s">
        <v>1170</v>
      </c>
      <c r="K478">
        <v>146</v>
      </c>
      <c r="L478">
        <v>160.01</v>
      </c>
      <c r="M478" s="2">
        <v>46133</v>
      </c>
      <c r="N478" t="str">
        <f>IF(po_master[[#This Row],[Approved By]]="", "Missing Approval", "OK")</f>
        <v>OK</v>
      </c>
      <c r="O478" t="str">
        <f>IF(ISBLANK(po_master[[#This Row],[GR Quantity]]), "No GR - Not received", "OK")</f>
        <v>OK</v>
      </c>
      <c r="P478" s="1" t="str">
        <f>IF(po_master[[#This Row],[Promised Delivey Date]]&lt;po_master[[#This Row],[Order Date]], "Invalid", "OK")</f>
        <v>OK</v>
      </c>
      <c r="Q478" s="1" t="str">
        <f>IF(ISBLANK(po_master[[#This Row],[Invoice Number]]), "No Invoice", "OK")</f>
        <v>OK</v>
      </c>
      <c r="R478" s="1" t="str">
        <f>IF(AND(NOT(ISBLANK(po_master[[#This Row],[GR Quantity]])), po_master[[#This Row],[GR Quantity]]&lt;&gt;po_master[[#This Row],[PO Quantity]]), "Qty Variance", "OK")</f>
        <v>OK</v>
      </c>
      <c r="S478" s="1" t="str">
        <f>IF(po_master[[#This Row],[Invoice Unit Price]]&gt;po_master[[#This Row],[PO Unit Price]]*1.01, "Price Variance", "OK")</f>
        <v>OK</v>
      </c>
      <c r="T478" s="1" t="str">
        <f>IF(po_master[[#This Row],[Actual Delivery Date]]&gt;po_master[[#This Row],[Promised Delivey Date]], "Late Delivery", "OK")</f>
        <v>Late Delivery</v>
      </c>
      <c r="U478" s="1" t="str">
        <f>IF(COUNTIF(po_master[PO Number],po_master[[#This Row],[PO Number]])&gt;1, "Duplicate Invoice", "OK")</f>
        <v>Duplicate Invoice</v>
      </c>
    </row>
    <row r="479" spans="1:21" x14ac:dyDescent="0.25">
      <c r="A479" s="1" t="s">
        <v>423</v>
      </c>
      <c r="B479" s="1" t="s">
        <v>1488</v>
      </c>
      <c r="C479" s="2">
        <v>46140</v>
      </c>
      <c r="D479">
        <v>299</v>
      </c>
      <c r="E479">
        <v>52.43</v>
      </c>
      <c r="F479" s="1" t="s">
        <v>1499</v>
      </c>
      <c r="G479" s="2">
        <v>46152</v>
      </c>
      <c r="H479">
        <v>299</v>
      </c>
      <c r="I479" s="2">
        <v>46152</v>
      </c>
      <c r="J479" s="1" t="s">
        <v>1171</v>
      </c>
      <c r="K479">
        <v>299</v>
      </c>
      <c r="L479">
        <v>52.43</v>
      </c>
      <c r="M479" s="2">
        <v>46159</v>
      </c>
      <c r="N479" t="str">
        <f>IF(po_master[[#This Row],[Approved By]]="", "Missing Approval", "OK")</f>
        <v>OK</v>
      </c>
      <c r="O479" t="str">
        <f>IF(ISBLANK(po_master[[#This Row],[GR Quantity]]), "No GR - Not received", "OK")</f>
        <v>OK</v>
      </c>
      <c r="P479" s="1" t="str">
        <f>IF(po_master[[#This Row],[Promised Delivey Date]]&lt;po_master[[#This Row],[Order Date]], "Invalid", "OK")</f>
        <v>OK</v>
      </c>
      <c r="Q479" s="1" t="str">
        <f>IF(ISBLANK(po_master[[#This Row],[Invoice Number]]), "No Invoice", "OK")</f>
        <v>OK</v>
      </c>
      <c r="R479" s="1" t="str">
        <f>IF(AND(NOT(ISBLANK(po_master[[#This Row],[GR Quantity]])), po_master[[#This Row],[GR Quantity]]&lt;&gt;po_master[[#This Row],[PO Quantity]]), "Qty Variance", "OK")</f>
        <v>OK</v>
      </c>
      <c r="S479" s="1" t="str">
        <f>IF(po_master[[#This Row],[Invoice Unit Price]]&gt;po_master[[#This Row],[PO Unit Price]]*1.01, "Price Variance", "OK")</f>
        <v>OK</v>
      </c>
      <c r="T479" s="1" t="str">
        <f>IF(po_master[[#This Row],[Actual Delivery Date]]&gt;po_master[[#This Row],[Promised Delivey Date]], "Late Delivery", "OK")</f>
        <v>OK</v>
      </c>
      <c r="U479" s="1" t="str">
        <f>IF(COUNTIF(po_master[PO Number],po_master[[#This Row],[PO Number]])&gt;1, "Duplicate Invoice", "OK")</f>
        <v>OK</v>
      </c>
    </row>
    <row r="480" spans="1:21" x14ac:dyDescent="0.25">
      <c r="A480" s="1" t="s">
        <v>424</v>
      </c>
      <c r="B480" s="1" t="s">
        <v>1512</v>
      </c>
      <c r="C480" s="2">
        <v>46043</v>
      </c>
      <c r="D480">
        <v>344</v>
      </c>
      <c r="E480">
        <v>198.38</v>
      </c>
      <c r="F480" s="1" t="s">
        <v>1446</v>
      </c>
      <c r="G480" s="2">
        <v>46049</v>
      </c>
      <c r="H480">
        <v>344</v>
      </c>
      <c r="I480" s="2">
        <v>46051</v>
      </c>
      <c r="J480" s="1" t="s">
        <v>1172</v>
      </c>
      <c r="K480">
        <v>344</v>
      </c>
      <c r="L480">
        <v>198.38</v>
      </c>
      <c r="M480" s="2">
        <v>46051</v>
      </c>
      <c r="N480" t="str">
        <f>IF(po_master[[#This Row],[Approved By]]="", "Missing Approval", "OK")</f>
        <v>OK</v>
      </c>
      <c r="O480" t="str">
        <f>IF(ISBLANK(po_master[[#This Row],[GR Quantity]]), "No GR - Not received", "OK")</f>
        <v>OK</v>
      </c>
      <c r="P480" s="1" t="str">
        <f>IF(po_master[[#This Row],[Promised Delivey Date]]&lt;po_master[[#This Row],[Order Date]], "Invalid", "OK")</f>
        <v>OK</v>
      </c>
      <c r="Q480" s="1" t="str">
        <f>IF(ISBLANK(po_master[[#This Row],[Invoice Number]]), "No Invoice", "OK")</f>
        <v>OK</v>
      </c>
      <c r="R480" s="1" t="str">
        <f>IF(AND(NOT(ISBLANK(po_master[[#This Row],[GR Quantity]])), po_master[[#This Row],[GR Quantity]]&lt;&gt;po_master[[#This Row],[PO Quantity]]), "Qty Variance", "OK")</f>
        <v>OK</v>
      </c>
      <c r="S480" s="1" t="str">
        <f>IF(po_master[[#This Row],[Invoice Unit Price]]&gt;po_master[[#This Row],[PO Unit Price]]*1.01, "Price Variance", "OK")</f>
        <v>OK</v>
      </c>
      <c r="T480" s="1" t="str">
        <f>IF(po_master[[#This Row],[Actual Delivery Date]]&gt;po_master[[#This Row],[Promised Delivey Date]], "Late Delivery", "OK")</f>
        <v>Late Delivery</v>
      </c>
      <c r="U480" s="1" t="str">
        <f>IF(COUNTIF(po_master[PO Number],po_master[[#This Row],[PO Number]])&gt;1, "Duplicate Invoice", "OK")</f>
        <v>OK</v>
      </c>
    </row>
    <row r="481" spans="1:21" x14ac:dyDescent="0.25">
      <c r="A481" s="1" t="s">
        <v>425</v>
      </c>
      <c r="B481" s="1" t="s">
        <v>1457</v>
      </c>
      <c r="C481" s="2">
        <v>46126</v>
      </c>
      <c r="D481">
        <v>204</v>
      </c>
      <c r="E481">
        <v>78.55</v>
      </c>
      <c r="F481" s="1" t="s">
        <v>1487</v>
      </c>
      <c r="G481" s="2">
        <v>46132</v>
      </c>
      <c r="H481">
        <v>204</v>
      </c>
      <c r="I481" s="2">
        <v>46152</v>
      </c>
      <c r="J481" s="1" t="s">
        <v>1173</v>
      </c>
      <c r="K481">
        <v>204</v>
      </c>
      <c r="L481">
        <v>78.55</v>
      </c>
      <c r="M481" s="2">
        <v>46139</v>
      </c>
      <c r="N481" t="str">
        <f>IF(po_master[[#This Row],[Approved By]]="", "Missing Approval", "OK")</f>
        <v>OK</v>
      </c>
      <c r="O481" t="str">
        <f>IF(ISBLANK(po_master[[#This Row],[GR Quantity]]), "No GR - Not received", "OK")</f>
        <v>OK</v>
      </c>
      <c r="P481" s="1" t="str">
        <f>IF(po_master[[#This Row],[Promised Delivey Date]]&lt;po_master[[#This Row],[Order Date]], "Invalid", "OK")</f>
        <v>OK</v>
      </c>
      <c r="Q481" s="1" t="str">
        <f>IF(ISBLANK(po_master[[#This Row],[Invoice Number]]), "No Invoice", "OK")</f>
        <v>OK</v>
      </c>
      <c r="R481" s="1" t="str">
        <f>IF(AND(NOT(ISBLANK(po_master[[#This Row],[GR Quantity]])), po_master[[#This Row],[GR Quantity]]&lt;&gt;po_master[[#This Row],[PO Quantity]]), "Qty Variance", "OK")</f>
        <v>OK</v>
      </c>
      <c r="S481" s="1" t="str">
        <f>IF(po_master[[#This Row],[Invoice Unit Price]]&gt;po_master[[#This Row],[PO Unit Price]]*1.01, "Price Variance", "OK")</f>
        <v>OK</v>
      </c>
      <c r="T481" s="1" t="str">
        <f>IF(po_master[[#This Row],[Actual Delivery Date]]&gt;po_master[[#This Row],[Promised Delivey Date]], "Late Delivery", "OK")</f>
        <v>Late Delivery</v>
      </c>
      <c r="U481" s="1" t="str">
        <f>IF(COUNTIF(po_master[PO Number],po_master[[#This Row],[PO Number]])&gt;1, "Duplicate Invoice", "OK")</f>
        <v>OK</v>
      </c>
    </row>
    <row r="482" spans="1:21" x14ac:dyDescent="0.25">
      <c r="A482" s="1" t="s">
        <v>426</v>
      </c>
      <c r="B482" s="1" t="s">
        <v>1439</v>
      </c>
      <c r="C482" s="2">
        <v>46025</v>
      </c>
      <c r="D482">
        <v>369</v>
      </c>
      <c r="E482">
        <v>38.42</v>
      </c>
      <c r="F482" s="1" t="s">
        <v>1487</v>
      </c>
      <c r="G482" s="2">
        <v>46043</v>
      </c>
      <c r="H482">
        <v>369</v>
      </c>
      <c r="I482" s="2">
        <v>46044</v>
      </c>
      <c r="J482" s="1" t="s">
        <v>1174</v>
      </c>
      <c r="K482">
        <v>369</v>
      </c>
      <c r="L482">
        <v>38.42</v>
      </c>
      <c r="M482" s="2">
        <v>46048</v>
      </c>
      <c r="N482" t="str">
        <f>IF(po_master[[#This Row],[Approved By]]="", "Missing Approval", "OK")</f>
        <v>OK</v>
      </c>
      <c r="O482" t="str">
        <f>IF(ISBLANK(po_master[[#This Row],[GR Quantity]]), "No GR - Not received", "OK")</f>
        <v>OK</v>
      </c>
      <c r="P482" s="1" t="str">
        <f>IF(po_master[[#This Row],[Promised Delivey Date]]&lt;po_master[[#This Row],[Order Date]], "Invalid", "OK")</f>
        <v>OK</v>
      </c>
      <c r="Q482" s="1" t="str">
        <f>IF(ISBLANK(po_master[[#This Row],[Invoice Number]]), "No Invoice", "OK")</f>
        <v>OK</v>
      </c>
      <c r="R482" s="1" t="str">
        <f>IF(AND(NOT(ISBLANK(po_master[[#This Row],[GR Quantity]])), po_master[[#This Row],[GR Quantity]]&lt;&gt;po_master[[#This Row],[PO Quantity]]), "Qty Variance", "OK")</f>
        <v>OK</v>
      </c>
      <c r="S482" s="1" t="str">
        <f>IF(po_master[[#This Row],[Invoice Unit Price]]&gt;po_master[[#This Row],[PO Unit Price]]*1.01, "Price Variance", "OK")</f>
        <v>OK</v>
      </c>
      <c r="T482" s="1" t="str">
        <f>IF(po_master[[#This Row],[Actual Delivery Date]]&gt;po_master[[#This Row],[Promised Delivey Date]], "Late Delivery", "OK")</f>
        <v>Late Delivery</v>
      </c>
      <c r="U482" s="1" t="str">
        <f>IF(COUNTIF(po_master[PO Number],po_master[[#This Row],[PO Number]])&gt;1, "Duplicate Invoice", "OK")</f>
        <v>OK</v>
      </c>
    </row>
    <row r="483" spans="1:21" x14ac:dyDescent="0.25">
      <c r="A483" s="1" t="s">
        <v>427</v>
      </c>
      <c r="B483" s="1" t="s">
        <v>1508</v>
      </c>
      <c r="C483" s="2">
        <v>46107</v>
      </c>
      <c r="D483">
        <v>299</v>
      </c>
      <c r="E483">
        <v>195.58</v>
      </c>
      <c r="F483" s="1" t="s">
        <v>1483</v>
      </c>
      <c r="G483" s="2">
        <v>46128</v>
      </c>
      <c r="H483">
        <v>299</v>
      </c>
      <c r="I483" s="2">
        <v>46127</v>
      </c>
      <c r="J483" s="1" t="s">
        <v>1175</v>
      </c>
      <c r="K483">
        <v>299</v>
      </c>
      <c r="L483">
        <v>195.58</v>
      </c>
      <c r="M483" s="2">
        <v>46135</v>
      </c>
      <c r="N483" t="str">
        <f>IF(po_master[[#This Row],[Approved By]]="", "Missing Approval", "OK")</f>
        <v>OK</v>
      </c>
      <c r="O483" t="str">
        <f>IF(ISBLANK(po_master[[#This Row],[GR Quantity]]), "No GR - Not received", "OK")</f>
        <v>OK</v>
      </c>
      <c r="P483" s="1" t="str">
        <f>IF(po_master[[#This Row],[Promised Delivey Date]]&lt;po_master[[#This Row],[Order Date]], "Invalid", "OK")</f>
        <v>OK</v>
      </c>
      <c r="Q483" s="1" t="str">
        <f>IF(ISBLANK(po_master[[#This Row],[Invoice Number]]), "No Invoice", "OK")</f>
        <v>OK</v>
      </c>
      <c r="R483" s="1" t="str">
        <f>IF(AND(NOT(ISBLANK(po_master[[#This Row],[GR Quantity]])), po_master[[#This Row],[GR Quantity]]&lt;&gt;po_master[[#This Row],[PO Quantity]]), "Qty Variance", "OK")</f>
        <v>OK</v>
      </c>
      <c r="S483" s="1" t="str">
        <f>IF(po_master[[#This Row],[Invoice Unit Price]]&gt;po_master[[#This Row],[PO Unit Price]]*1.01, "Price Variance", "OK")</f>
        <v>OK</v>
      </c>
      <c r="T483" s="1" t="str">
        <f>IF(po_master[[#This Row],[Actual Delivery Date]]&gt;po_master[[#This Row],[Promised Delivey Date]], "Late Delivery", "OK")</f>
        <v>OK</v>
      </c>
      <c r="U483" s="1" t="str">
        <f>IF(COUNTIF(po_master[PO Number],po_master[[#This Row],[PO Number]])&gt;1, "Duplicate Invoice", "OK")</f>
        <v>OK</v>
      </c>
    </row>
    <row r="484" spans="1:21" x14ac:dyDescent="0.25">
      <c r="A484" s="1" t="s">
        <v>428</v>
      </c>
      <c r="B484" s="1" t="s">
        <v>1452</v>
      </c>
      <c r="C484" s="2">
        <v>46081</v>
      </c>
      <c r="D484">
        <v>118</v>
      </c>
      <c r="E484">
        <v>180.75</v>
      </c>
      <c r="F484" s="1" t="s">
        <v>1499</v>
      </c>
      <c r="G484" s="2">
        <v>46101</v>
      </c>
      <c r="H484">
        <v>118</v>
      </c>
      <c r="I484" s="2">
        <v>46103</v>
      </c>
      <c r="J484" s="1" t="s">
        <v>1176</v>
      </c>
      <c r="K484">
        <v>118</v>
      </c>
      <c r="L484">
        <v>180.75</v>
      </c>
      <c r="M484" s="2">
        <v>46103</v>
      </c>
      <c r="N484" t="str">
        <f>IF(po_master[[#This Row],[Approved By]]="", "Missing Approval", "OK")</f>
        <v>OK</v>
      </c>
      <c r="O484" t="str">
        <f>IF(ISBLANK(po_master[[#This Row],[GR Quantity]]), "No GR - Not received", "OK")</f>
        <v>OK</v>
      </c>
      <c r="P484" s="1" t="str">
        <f>IF(po_master[[#This Row],[Promised Delivey Date]]&lt;po_master[[#This Row],[Order Date]], "Invalid", "OK")</f>
        <v>OK</v>
      </c>
      <c r="Q484" s="1" t="str">
        <f>IF(ISBLANK(po_master[[#This Row],[Invoice Number]]), "No Invoice", "OK")</f>
        <v>OK</v>
      </c>
      <c r="R484" s="1" t="str">
        <f>IF(AND(NOT(ISBLANK(po_master[[#This Row],[GR Quantity]])), po_master[[#This Row],[GR Quantity]]&lt;&gt;po_master[[#This Row],[PO Quantity]]), "Qty Variance", "OK")</f>
        <v>OK</v>
      </c>
      <c r="S484" s="1" t="str">
        <f>IF(po_master[[#This Row],[Invoice Unit Price]]&gt;po_master[[#This Row],[PO Unit Price]]*1.01, "Price Variance", "OK")</f>
        <v>OK</v>
      </c>
      <c r="T484" s="1" t="str">
        <f>IF(po_master[[#This Row],[Actual Delivery Date]]&gt;po_master[[#This Row],[Promised Delivey Date]], "Late Delivery", "OK")</f>
        <v>Late Delivery</v>
      </c>
      <c r="U484" s="1" t="str">
        <f>IF(COUNTIF(po_master[PO Number],po_master[[#This Row],[PO Number]])&gt;1, "Duplicate Invoice", "OK")</f>
        <v>OK</v>
      </c>
    </row>
    <row r="485" spans="1:21" x14ac:dyDescent="0.25">
      <c r="A485" s="1" t="s">
        <v>429</v>
      </c>
      <c r="B485" s="1" t="s">
        <v>1511</v>
      </c>
      <c r="C485" s="2">
        <v>46034</v>
      </c>
      <c r="D485">
        <v>483</v>
      </c>
      <c r="E485">
        <v>19.5</v>
      </c>
      <c r="F485" s="1" t="s">
        <v>1458</v>
      </c>
      <c r="G485" s="2">
        <v>46040</v>
      </c>
      <c r="H485">
        <v>483</v>
      </c>
      <c r="I485" s="2">
        <v>46041</v>
      </c>
      <c r="J485" s="1" t="s">
        <v>1177</v>
      </c>
      <c r="K485">
        <v>483</v>
      </c>
      <c r="L485">
        <v>19.5</v>
      </c>
      <c r="M485" s="2">
        <v>46046</v>
      </c>
      <c r="N485" t="str">
        <f>IF(po_master[[#This Row],[Approved By]]="", "Missing Approval", "OK")</f>
        <v>OK</v>
      </c>
      <c r="O485" t="str">
        <f>IF(ISBLANK(po_master[[#This Row],[GR Quantity]]), "No GR - Not received", "OK")</f>
        <v>OK</v>
      </c>
      <c r="P485" s="1" t="str">
        <f>IF(po_master[[#This Row],[Promised Delivey Date]]&lt;po_master[[#This Row],[Order Date]], "Invalid", "OK")</f>
        <v>OK</v>
      </c>
      <c r="Q485" s="1" t="str">
        <f>IF(ISBLANK(po_master[[#This Row],[Invoice Number]]), "No Invoice", "OK")</f>
        <v>OK</v>
      </c>
      <c r="R485" s="1" t="str">
        <f>IF(AND(NOT(ISBLANK(po_master[[#This Row],[GR Quantity]])), po_master[[#This Row],[GR Quantity]]&lt;&gt;po_master[[#This Row],[PO Quantity]]), "Qty Variance", "OK")</f>
        <v>OK</v>
      </c>
      <c r="S485" s="1" t="str">
        <f>IF(po_master[[#This Row],[Invoice Unit Price]]&gt;po_master[[#This Row],[PO Unit Price]]*1.01, "Price Variance", "OK")</f>
        <v>OK</v>
      </c>
      <c r="T485" s="1" t="str">
        <f>IF(po_master[[#This Row],[Actual Delivery Date]]&gt;po_master[[#This Row],[Promised Delivey Date]], "Late Delivery", "OK")</f>
        <v>Late Delivery</v>
      </c>
      <c r="U485" s="1" t="str">
        <f>IF(COUNTIF(po_master[PO Number],po_master[[#This Row],[PO Number]])&gt;1, "Duplicate Invoice", "OK")</f>
        <v>OK</v>
      </c>
    </row>
    <row r="486" spans="1:21" x14ac:dyDescent="0.25">
      <c r="A486" s="1" t="s">
        <v>430</v>
      </c>
      <c r="B486" s="1" t="s">
        <v>1455</v>
      </c>
      <c r="C486" s="2">
        <v>46124</v>
      </c>
      <c r="D486">
        <v>485</v>
      </c>
      <c r="E486">
        <v>20</v>
      </c>
      <c r="F486" s="1" t="s">
        <v>1501</v>
      </c>
      <c r="G486" s="2">
        <v>46136</v>
      </c>
      <c r="H486">
        <v>485</v>
      </c>
      <c r="I486" s="2">
        <v>46134</v>
      </c>
      <c r="J486" s="1" t="s">
        <v>1180</v>
      </c>
      <c r="K486">
        <v>485</v>
      </c>
      <c r="L486">
        <v>20</v>
      </c>
      <c r="M486" s="2">
        <v>46141</v>
      </c>
      <c r="N486" t="str">
        <f>IF(po_master[[#This Row],[Approved By]]="", "Missing Approval", "OK")</f>
        <v>OK</v>
      </c>
      <c r="O486" t="str">
        <f>IF(ISBLANK(po_master[[#This Row],[GR Quantity]]), "No GR - Not received", "OK")</f>
        <v>OK</v>
      </c>
      <c r="P486" s="1" t="str">
        <f>IF(po_master[[#This Row],[Promised Delivey Date]]&lt;po_master[[#This Row],[Order Date]], "Invalid", "OK")</f>
        <v>OK</v>
      </c>
      <c r="Q486" s="1" t="str">
        <f>IF(ISBLANK(po_master[[#This Row],[Invoice Number]]), "No Invoice", "OK")</f>
        <v>OK</v>
      </c>
      <c r="R486" s="1" t="str">
        <f>IF(AND(NOT(ISBLANK(po_master[[#This Row],[GR Quantity]])), po_master[[#This Row],[GR Quantity]]&lt;&gt;po_master[[#This Row],[PO Quantity]]), "Qty Variance", "OK")</f>
        <v>OK</v>
      </c>
      <c r="S486" s="1" t="str">
        <f>IF(po_master[[#This Row],[Invoice Unit Price]]&gt;po_master[[#This Row],[PO Unit Price]]*1.01, "Price Variance", "OK")</f>
        <v>OK</v>
      </c>
      <c r="T486" s="1" t="str">
        <f>IF(po_master[[#This Row],[Actual Delivery Date]]&gt;po_master[[#This Row],[Promised Delivey Date]], "Late Delivery", "OK")</f>
        <v>OK</v>
      </c>
      <c r="U486" s="1" t="str">
        <f>IF(COUNTIF(po_master[PO Number],po_master[[#This Row],[PO Number]])&gt;1, "Duplicate Invoice", "OK")</f>
        <v>Duplicate Invoice</v>
      </c>
    </row>
    <row r="487" spans="1:21" x14ac:dyDescent="0.25">
      <c r="A487" s="1" t="s">
        <v>430</v>
      </c>
      <c r="B487" s="1" t="s">
        <v>1455</v>
      </c>
      <c r="C487" s="2">
        <v>46124</v>
      </c>
      <c r="D487">
        <v>485</v>
      </c>
      <c r="E487">
        <v>20</v>
      </c>
      <c r="F487" s="1" t="s">
        <v>1501</v>
      </c>
      <c r="G487" s="2">
        <v>46136</v>
      </c>
      <c r="H487">
        <v>485</v>
      </c>
      <c r="I487" s="2">
        <v>46134</v>
      </c>
      <c r="J487" s="1" t="s">
        <v>1181</v>
      </c>
      <c r="K487">
        <v>485</v>
      </c>
      <c r="L487">
        <v>20</v>
      </c>
      <c r="M487" s="2">
        <v>46143</v>
      </c>
      <c r="N487" t="str">
        <f>IF(po_master[[#This Row],[Approved By]]="", "Missing Approval", "OK")</f>
        <v>OK</v>
      </c>
      <c r="O487" t="str">
        <f>IF(ISBLANK(po_master[[#This Row],[GR Quantity]]), "No GR - Not received", "OK")</f>
        <v>OK</v>
      </c>
      <c r="P487" s="1" t="str">
        <f>IF(po_master[[#This Row],[Promised Delivey Date]]&lt;po_master[[#This Row],[Order Date]], "Invalid", "OK")</f>
        <v>OK</v>
      </c>
      <c r="Q487" s="1" t="str">
        <f>IF(ISBLANK(po_master[[#This Row],[Invoice Number]]), "No Invoice", "OK")</f>
        <v>OK</v>
      </c>
      <c r="R487" s="1" t="str">
        <f>IF(AND(NOT(ISBLANK(po_master[[#This Row],[GR Quantity]])), po_master[[#This Row],[GR Quantity]]&lt;&gt;po_master[[#This Row],[PO Quantity]]), "Qty Variance", "OK")</f>
        <v>OK</v>
      </c>
      <c r="S487" s="1" t="str">
        <f>IF(po_master[[#This Row],[Invoice Unit Price]]&gt;po_master[[#This Row],[PO Unit Price]]*1.01, "Price Variance", "OK")</f>
        <v>OK</v>
      </c>
      <c r="T487" s="1" t="str">
        <f>IF(po_master[[#This Row],[Actual Delivery Date]]&gt;po_master[[#This Row],[Promised Delivey Date]], "Late Delivery", "OK")</f>
        <v>OK</v>
      </c>
      <c r="U487" s="1" t="str">
        <f>IF(COUNTIF(po_master[PO Number],po_master[[#This Row],[PO Number]])&gt;1, "Duplicate Invoice", "OK")</f>
        <v>Duplicate Invoice</v>
      </c>
    </row>
    <row r="488" spans="1:21" x14ac:dyDescent="0.25">
      <c r="A488" s="1" t="s">
        <v>431</v>
      </c>
      <c r="B488" s="1" t="s">
        <v>1493</v>
      </c>
      <c r="C488" s="2">
        <v>46122</v>
      </c>
      <c r="D488">
        <v>356</v>
      </c>
      <c r="E488">
        <v>179.82</v>
      </c>
      <c r="F488" s="1" t="s">
        <v>1472</v>
      </c>
      <c r="G488" s="2">
        <v>46139</v>
      </c>
      <c r="H488">
        <v>356</v>
      </c>
      <c r="I488" s="2">
        <v>46137</v>
      </c>
      <c r="J488" s="1" t="s">
        <v>1182</v>
      </c>
      <c r="K488">
        <v>356</v>
      </c>
      <c r="L488">
        <v>179.82</v>
      </c>
      <c r="M488" s="2">
        <v>46140</v>
      </c>
      <c r="N488" t="str">
        <f>IF(po_master[[#This Row],[Approved By]]="", "Missing Approval", "OK")</f>
        <v>OK</v>
      </c>
      <c r="O488" t="str">
        <f>IF(ISBLANK(po_master[[#This Row],[GR Quantity]]), "No GR - Not received", "OK")</f>
        <v>OK</v>
      </c>
      <c r="P488" s="1" t="str">
        <f>IF(po_master[[#This Row],[Promised Delivey Date]]&lt;po_master[[#This Row],[Order Date]], "Invalid", "OK")</f>
        <v>OK</v>
      </c>
      <c r="Q488" s="1" t="str">
        <f>IF(ISBLANK(po_master[[#This Row],[Invoice Number]]), "No Invoice", "OK")</f>
        <v>OK</v>
      </c>
      <c r="R488" s="1" t="str">
        <f>IF(AND(NOT(ISBLANK(po_master[[#This Row],[GR Quantity]])), po_master[[#This Row],[GR Quantity]]&lt;&gt;po_master[[#This Row],[PO Quantity]]), "Qty Variance", "OK")</f>
        <v>OK</v>
      </c>
      <c r="S488" s="1" t="str">
        <f>IF(po_master[[#This Row],[Invoice Unit Price]]&gt;po_master[[#This Row],[PO Unit Price]]*1.01, "Price Variance", "OK")</f>
        <v>OK</v>
      </c>
      <c r="T488" s="1" t="str">
        <f>IF(po_master[[#This Row],[Actual Delivery Date]]&gt;po_master[[#This Row],[Promised Delivey Date]], "Late Delivery", "OK")</f>
        <v>OK</v>
      </c>
      <c r="U488" s="1" t="str">
        <f>IF(COUNTIF(po_master[PO Number],po_master[[#This Row],[PO Number]])&gt;1, "Duplicate Invoice", "OK")</f>
        <v>OK</v>
      </c>
    </row>
    <row r="489" spans="1:21" x14ac:dyDescent="0.25">
      <c r="A489" s="1" t="s">
        <v>432</v>
      </c>
      <c r="B489" s="1" t="s">
        <v>1465</v>
      </c>
      <c r="C489" s="2">
        <v>46058</v>
      </c>
      <c r="D489">
        <v>414</v>
      </c>
      <c r="E489">
        <v>197.75</v>
      </c>
      <c r="F489" s="1" t="s">
        <v>1490</v>
      </c>
      <c r="G489" s="2">
        <v>46065</v>
      </c>
      <c r="H489">
        <v>414</v>
      </c>
      <c r="I489" s="2">
        <v>46063</v>
      </c>
      <c r="J489" s="1" t="s">
        <v>1183</v>
      </c>
      <c r="K489">
        <v>414</v>
      </c>
      <c r="L489">
        <v>197.75</v>
      </c>
      <c r="M489" s="2">
        <v>46072</v>
      </c>
      <c r="N489" t="str">
        <f>IF(po_master[[#This Row],[Approved By]]="", "Missing Approval", "OK")</f>
        <v>OK</v>
      </c>
      <c r="O489" t="str">
        <f>IF(ISBLANK(po_master[[#This Row],[GR Quantity]]), "No GR - Not received", "OK")</f>
        <v>OK</v>
      </c>
      <c r="P489" s="1" t="str">
        <f>IF(po_master[[#This Row],[Promised Delivey Date]]&lt;po_master[[#This Row],[Order Date]], "Invalid", "OK")</f>
        <v>OK</v>
      </c>
      <c r="Q489" s="1" t="str">
        <f>IF(ISBLANK(po_master[[#This Row],[Invoice Number]]), "No Invoice", "OK")</f>
        <v>OK</v>
      </c>
      <c r="R489" s="1" t="str">
        <f>IF(AND(NOT(ISBLANK(po_master[[#This Row],[GR Quantity]])), po_master[[#This Row],[GR Quantity]]&lt;&gt;po_master[[#This Row],[PO Quantity]]), "Qty Variance", "OK")</f>
        <v>OK</v>
      </c>
      <c r="S489" s="1" t="str">
        <f>IF(po_master[[#This Row],[Invoice Unit Price]]&gt;po_master[[#This Row],[PO Unit Price]]*1.01, "Price Variance", "OK")</f>
        <v>OK</v>
      </c>
      <c r="T489" s="1" t="str">
        <f>IF(po_master[[#This Row],[Actual Delivery Date]]&gt;po_master[[#This Row],[Promised Delivey Date]], "Late Delivery", "OK")</f>
        <v>OK</v>
      </c>
      <c r="U489" s="1" t="str">
        <f>IF(COUNTIF(po_master[PO Number],po_master[[#This Row],[PO Number]])&gt;1, "Duplicate Invoice", "OK")</f>
        <v>OK</v>
      </c>
    </row>
    <row r="490" spans="1:21" x14ac:dyDescent="0.25">
      <c r="A490" s="1" t="s">
        <v>433</v>
      </c>
      <c r="B490" s="1" t="s">
        <v>1445</v>
      </c>
      <c r="C490" s="2">
        <v>46111</v>
      </c>
      <c r="D490">
        <v>37</v>
      </c>
      <c r="E490">
        <v>24.05</v>
      </c>
      <c r="F490" s="1" t="s">
        <v>1440</v>
      </c>
      <c r="G490" s="2">
        <v>46118</v>
      </c>
      <c r="H490">
        <v>37</v>
      </c>
      <c r="I490" s="2">
        <v>46118</v>
      </c>
      <c r="J490" s="1" t="s">
        <v>1184</v>
      </c>
      <c r="K490">
        <v>37</v>
      </c>
      <c r="L490">
        <v>24.05</v>
      </c>
      <c r="M490" s="2">
        <v>46125</v>
      </c>
      <c r="N490" t="str">
        <f>IF(po_master[[#This Row],[Approved By]]="", "Missing Approval", "OK")</f>
        <v>OK</v>
      </c>
      <c r="O490" t="str">
        <f>IF(ISBLANK(po_master[[#This Row],[GR Quantity]]), "No GR - Not received", "OK")</f>
        <v>OK</v>
      </c>
      <c r="P490" s="1" t="str">
        <f>IF(po_master[[#This Row],[Promised Delivey Date]]&lt;po_master[[#This Row],[Order Date]], "Invalid", "OK")</f>
        <v>OK</v>
      </c>
      <c r="Q490" s="1" t="str">
        <f>IF(ISBLANK(po_master[[#This Row],[Invoice Number]]), "No Invoice", "OK")</f>
        <v>OK</v>
      </c>
      <c r="R490" s="1" t="str">
        <f>IF(AND(NOT(ISBLANK(po_master[[#This Row],[GR Quantity]])), po_master[[#This Row],[GR Quantity]]&lt;&gt;po_master[[#This Row],[PO Quantity]]), "Qty Variance", "OK")</f>
        <v>OK</v>
      </c>
      <c r="S490" s="1" t="str">
        <f>IF(po_master[[#This Row],[Invoice Unit Price]]&gt;po_master[[#This Row],[PO Unit Price]]*1.01, "Price Variance", "OK")</f>
        <v>OK</v>
      </c>
      <c r="T490" s="1" t="str">
        <f>IF(po_master[[#This Row],[Actual Delivery Date]]&gt;po_master[[#This Row],[Promised Delivey Date]], "Late Delivery", "OK")</f>
        <v>OK</v>
      </c>
      <c r="U490" s="1" t="str">
        <f>IF(COUNTIF(po_master[PO Number],po_master[[#This Row],[PO Number]])&gt;1, "Duplicate Invoice", "OK")</f>
        <v>OK</v>
      </c>
    </row>
    <row r="491" spans="1:21" x14ac:dyDescent="0.25">
      <c r="A491" s="1" t="s">
        <v>434</v>
      </c>
      <c r="B491" s="1" t="s">
        <v>1479</v>
      </c>
      <c r="C491" s="2">
        <v>46124</v>
      </c>
      <c r="D491">
        <v>406</v>
      </c>
      <c r="E491">
        <v>68.64</v>
      </c>
      <c r="F491" s="1" t="s">
        <v>1446</v>
      </c>
      <c r="G491" s="2">
        <v>46137</v>
      </c>
      <c r="H491">
        <v>406</v>
      </c>
      <c r="I491" s="2">
        <v>46138</v>
      </c>
      <c r="J491" s="1" t="s">
        <v>1185</v>
      </c>
      <c r="K491">
        <v>406</v>
      </c>
      <c r="L491">
        <v>68.64</v>
      </c>
      <c r="M491" s="2">
        <v>46140</v>
      </c>
      <c r="N491" t="str">
        <f>IF(po_master[[#This Row],[Approved By]]="", "Missing Approval", "OK")</f>
        <v>OK</v>
      </c>
      <c r="O491" t="str">
        <f>IF(ISBLANK(po_master[[#This Row],[GR Quantity]]), "No GR - Not received", "OK")</f>
        <v>OK</v>
      </c>
      <c r="P491" s="1" t="str">
        <f>IF(po_master[[#This Row],[Promised Delivey Date]]&lt;po_master[[#This Row],[Order Date]], "Invalid", "OK")</f>
        <v>OK</v>
      </c>
      <c r="Q491" s="1" t="str">
        <f>IF(ISBLANK(po_master[[#This Row],[Invoice Number]]), "No Invoice", "OK")</f>
        <v>OK</v>
      </c>
      <c r="R491" s="1" t="str">
        <f>IF(AND(NOT(ISBLANK(po_master[[#This Row],[GR Quantity]])), po_master[[#This Row],[GR Quantity]]&lt;&gt;po_master[[#This Row],[PO Quantity]]), "Qty Variance", "OK")</f>
        <v>OK</v>
      </c>
      <c r="S491" s="1" t="str">
        <f>IF(po_master[[#This Row],[Invoice Unit Price]]&gt;po_master[[#This Row],[PO Unit Price]]*1.01, "Price Variance", "OK")</f>
        <v>OK</v>
      </c>
      <c r="T491" s="1" t="str">
        <f>IF(po_master[[#This Row],[Actual Delivery Date]]&gt;po_master[[#This Row],[Promised Delivey Date]], "Late Delivery", "OK")</f>
        <v>Late Delivery</v>
      </c>
      <c r="U491" s="1" t="str">
        <f>IF(COUNTIF(po_master[PO Number],po_master[[#This Row],[PO Number]])&gt;1, "Duplicate Invoice", "OK")</f>
        <v>OK</v>
      </c>
    </row>
    <row r="492" spans="1:21" x14ac:dyDescent="0.25">
      <c r="A492" s="1" t="s">
        <v>435</v>
      </c>
      <c r="B492" s="1" t="s">
        <v>1478</v>
      </c>
      <c r="C492" s="2">
        <v>46148</v>
      </c>
      <c r="D492">
        <v>126</v>
      </c>
      <c r="E492">
        <v>74.38</v>
      </c>
      <c r="F492" s="1" t="s">
        <v>1453</v>
      </c>
      <c r="G492" s="2">
        <v>46166</v>
      </c>
      <c r="H492">
        <v>126</v>
      </c>
      <c r="I492" s="2">
        <v>46168</v>
      </c>
      <c r="J492" s="1" t="s">
        <v>1186</v>
      </c>
      <c r="K492">
        <v>126</v>
      </c>
      <c r="L492">
        <v>74.38</v>
      </c>
      <c r="M492" s="2">
        <v>46168</v>
      </c>
      <c r="N492" t="str">
        <f>IF(po_master[[#This Row],[Approved By]]="", "Missing Approval", "OK")</f>
        <v>OK</v>
      </c>
      <c r="O492" t="str">
        <f>IF(ISBLANK(po_master[[#This Row],[GR Quantity]]), "No GR - Not received", "OK")</f>
        <v>OK</v>
      </c>
      <c r="P492" s="1" t="str">
        <f>IF(po_master[[#This Row],[Promised Delivey Date]]&lt;po_master[[#This Row],[Order Date]], "Invalid", "OK")</f>
        <v>OK</v>
      </c>
      <c r="Q492" s="1" t="str">
        <f>IF(ISBLANK(po_master[[#This Row],[Invoice Number]]), "No Invoice", "OK")</f>
        <v>OK</v>
      </c>
      <c r="R492" s="1" t="str">
        <f>IF(AND(NOT(ISBLANK(po_master[[#This Row],[GR Quantity]])), po_master[[#This Row],[GR Quantity]]&lt;&gt;po_master[[#This Row],[PO Quantity]]), "Qty Variance", "OK")</f>
        <v>OK</v>
      </c>
      <c r="S492" s="1" t="str">
        <f>IF(po_master[[#This Row],[Invoice Unit Price]]&gt;po_master[[#This Row],[PO Unit Price]]*1.01, "Price Variance", "OK")</f>
        <v>OK</v>
      </c>
      <c r="T492" s="1" t="str">
        <f>IF(po_master[[#This Row],[Actual Delivery Date]]&gt;po_master[[#This Row],[Promised Delivey Date]], "Late Delivery", "OK")</f>
        <v>Late Delivery</v>
      </c>
      <c r="U492" s="1" t="str">
        <f>IF(COUNTIF(po_master[PO Number],po_master[[#This Row],[PO Number]])&gt;1, "Duplicate Invoice", "OK")</f>
        <v>OK</v>
      </c>
    </row>
    <row r="493" spans="1:21" x14ac:dyDescent="0.25">
      <c r="A493" s="1" t="s">
        <v>1164</v>
      </c>
      <c r="B493" s="1" t="s">
        <v>1475</v>
      </c>
      <c r="C493" s="2">
        <v>46146</v>
      </c>
      <c r="D493">
        <v>347</v>
      </c>
      <c r="E493">
        <v>100.13</v>
      </c>
      <c r="F493" s="1" t="s">
        <v>1448</v>
      </c>
      <c r="G493" s="2">
        <v>46164</v>
      </c>
      <c r="I493" s="2"/>
      <c r="J493" s="1" t="s">
        <v>1165</v>
      </c>
      <c r="K493">
        <v>347</v>
      </c>
      <c r="L493">
        <v>100.13</v>
      </c>
      <c r="M493" s="2">
        <v>46165</v>
      </c>
      <c r="N493" t="str">
        <f>IF(po_master[[#This Row],[Approved By]]="", "Missing Approval", "OK")</f>
        <v>OK</v>
      </c>
      <c r="O493" t="str">
        <f>IF(ISBLANK(po_master[[#This Row],[GR Quantity]]), "No GR - Not received", "OK")</f>
        <v>No GR - Not received</v>
      </c>
      <c r="P493" s="1" t="str">
        <f>IF(po_master[[#This Row],[Promised Delivey Date]]&lt;po_master[[#This Row],[Order Date]], "Invalid", "OK")</f>
        <v>OK</v>
      </c>
      <c r="Q493" s="1" t="str">
        <f>IF(ISBLANK(po_master[[#This Row],[Invoice Number]]), "No Invoice", "OK")</f>
        <v>OK</v>
      </c>
      <c r="R493" s="1" t="str">
        <f>IF(AND(NOT(ISBLANK(po_master[[#This Row],[GR Quantity]])), po_master[[#This Row],[GR Quantity]]&lt;&gt;po_master[[#This Row],[PO Quantity]]), "Qty Variance", "OK")</f>
        <v>OK</v>
      </c>
      <c r="S493" s="1" t="str">
        <f>IF(po_master[[#This Row],[Invoice Unit Price]]&gt;po_master[[#This Row],[PO Unit Price]]*1.01, "Price Variance", "OK")</f>
        <v>OK</v>
      </c>
      <c r="T493" s="1" t="str">
        <f>IF(po_master[[#This Row],[Actual Delivery Date]]&gt;po_master[[#This Row],[Promised Delivey Date]], "Late Delivery", "OK")</f>
        <v>OK</v>
      </c>
      <c r="U493" s="1" t="str">
        <f>IF(COUNTIF(po_master[PO Number],po_master[[#This Row],[PO Number]])&gt;1, "Duplicate Invoice", "OK")</f>
        <v>OK</v>
      </c>
    </row>
    <row r="494" spans="1:21" x14ac:dyDescent="0.25">
      <c r="A494" s="1" t="s">
        <v>436</v>
      </c>
      <c r="B494" s="1" t="s">
        <v>1482</v>
      </c>
      <c r="C494" s="2">
        <v>46041</v>
      </c>
      <c r="D494">
        <v>52</v>
      </c>
      <c r="E494">
        <v>57.25</v>
      </c>
      <c r="F494" s="1" t="s">
        <v>1453</v>
      </c>
      <c r="G494" s="2">
        <v>46050</v>
      </c>
      <c r="H494">
        <v>52</v>
      </c>
      <c r="I494" s="2">
        <v>46051</v>
      </c>
      <c r="J494" s="1" t="s">
        <v>1189</v>
      </c>
      <c r="K494">
        <v>52</v>
      </c>
      <c r="L494">
        <v>57.25</v>
      </c>
      <c r="M494" s="2">
        <v>46054</v>
      </c>
      <c r="N494" t="str">
        <f>IF(po_master[[#This Row],[Approved By]]="", "Missing Approval", "OK")</f>
        <v>OK</v>
      </c>
      <c r="O494" t="str">
        <f>IF(ISBLANK(po_master[[#This Row],[GR Quantity]]), "No GR - Not received", "OK")</f>
        <v>OK</v>
      </c>
      <c r="P494" s="1" t="str">
        <f>IF(po_master[[#This Row],[Promised Delivey Date]]&lt;po_master[[#This Row],[Order Date]], "Invalid", "OK")</f>
        <v>OK</v>
      </c>
      <c r="Q494" s="1" t="str">
        <f>IF(ISBLANK(po_master[[#This Row],[Invoice Number]]), "No Invoice", "OK")</f>
        <v>OK</v>
      </c>
      <c r="R494" s="1" t="str">
        <f>IF(AND(NOT(ISBLANK(po_master[[#This Row],[GR Quantity]])), po_master[[#This Row],[GR Quantity]]&lt;&gt;po_master[[#This Row],[PO Quantity]]), "Qty Variance", "OK")</f>
        <v>OK</v>
      </c>
      <c r="S494" s="1" t="str">
        <f>IF(po_master[[#This Row],[Invoice Unit Price]]&gt;po_master[[#This Row],[PO Unit Price]]*1.01, "Price Variance", "OK")</f>
        <v>OK</v>
      </c>
      <c r="T494" s="1" t="str">
        <f>IF(po_master[[#This Row],[Actual Delivery Date]]&gt;po_master[[#This Row],[Promised Delivey Date]], "Late Delivery", "OK")</f>
        <v>Late Delivery</v>
      </c>
      <c r="U494" s="1" t="str">
        <f>IF(COUNTIF(po_master[PO Number],po_master[[#This Row],[PO Number]])&gt;1, "Duplicate Invoice", "OK")</f>
        <v>OK</v>
      </c>
    </row>
    <row r="495" spans="1:21" x14ac:dyDescent="0.25">
      <c r="A495" s="1" t="s">
        <v>437</v>
      </c>
      <c r="B495" s="1" t="s">
        <v>1465</v>
      </c>
      <c r="C495" s="2">
        <v>46122</v>
      </c>
      <c r="D495">
        <v>172</v>
      </c>
      <c r="E495">
        <v>75.34</v>
      </c>
      <c r="F495" s="1" t="s">
        <v>1476</v>
      </c>
      <c r="G495" s="2">
        <v>46127</v>
      </c>
      <c r="H495">
        <v>172</v>
      </c>
      <c r="I495" s="2">
        <v>46125</v>
      </c>
      <c r="J495" s="1" t="s">
        <v>1190</v>
      </c>
      <c r="K495">
        <v>172</v>
      </c>
      <c r="L495">
        <v>75.34</v>
      </c>
      <c r="M495" s="2">
        <v>46134</v>
      </c>
      <c r="N495" t="str">
        <f>IF(po_master[[#This Row],[Approved By]]="", "Missing Approval", "OK")</f>
        <v>OK</v>
      </c>
      <c r="O495" t="str">
        <f>IF(ISBLANK(po_master[[#This Row],[GR Quantity]]), "No GR - Not received", "OK")</f>
        <v>OK</v>
      </c>
      <c r="P495" s="1" t="str">
        <f>IF(po_master[[#This Row],[Promised Delivey Date]]&lt;po_master[[#This Row],[Order Date]], "Invalid", "OK")</f>
        <v>OK</v>
      </c>
      <c r="Q495" s="1" t="str">
        <f>IF(ISBLANK(po_master[[#This Row],[Invoice Number]]), "No Invoice", "OK")</f>
        <v>OK</v>
      </c>
      <c r="R495" s="1" t="str">
        <f>IF(AND(NOT(ISBLANK(po_master[[#This Row],[GR Quantity]])), po_master[[#This Row],[GR Quantity]]&lt;&gt;po_master[[#This Row],[PO Quantity]]), "Qty Variance", "OK")</f>
        <v>OK</v>
      </c>
      <c r="S495" s="1" t="str">
        <f>IF(po_master[[#This Row],[Invoice Unit Price]]&gt;po_master[[#This Row],[PO Unit Price]]*1.01, "Price Variance", "OK")</f>
        <v>OK</v>
      </c>
      <c r="T495" s="1" t="str">
        <f>IF(po_master[[#This Row],[Actual Delivery Date]]&gt;po_master[[#This Row],[Promised Delivey Date]], "Late Delivery", "OK")</f>
        <v>OK</v>
      </c>
      <c r="U495" s="1" t="str">
        <f>IF(COUNTIF(po_master[PO Number],po_master[[#This Row],[PO Number]])&gt;1, "Duplicate Invoice", "OK")</f>
        <v>OK</v>
      </c>
    </row>
    <row r="496" spans="1:21" x14ac:dyDescent="0.25">
      <c r="A496" s="1" t="s">
        <v>438</v>
      </c>
      <c r="B496" s="1" t="s">
        <v>1457</v>
      </c>
      <c r="C496" s="2">
        <v>46070</v>
      </c>
      <c r="D496">
        <v>230</v>
      </c>
      <c r="E496">
        <v>92.52</v>
      </c>
      <c r="F496" s="1" t="s">
        <v>1459</v>
      </c>
      <c r="G496" s="2">
        <v>46091</v>
      </c>
      <c r="H496">
        <v>230</v>
      </c>
      <c r="I496" s="2">
        <v>46089</v>
      </c>
      <c r="J496" s="1" t="s">
        <v>1193</v>
      </c>
      <c r="K496">
        <v>230</v>
      </c>
      <c r="L496">
        <v>92.52</v>
      </c>
      <c r="M496" s="2">
        <v>46096</v>
      </c>
      <c r="N496" t="str">
        <f>IF(po_master[[#This Row],[Approved By]]="", "Missing Approval", "OK")</f>
        <v>Missing Approval</v>
      </c>
      <c r="O496" t="str">
        <f>IF(ISBLANK(po_master[[#This Row],[GR Quantity]]), "No GR - Not received", "OK")</f>
        <v>OK</v>
      </c>
      <c r="P496" s="1" t="str">
        <f>IF(po_master[[#This Row],[Promised Delivey Date]]&lt;po_master[[#This Row],[Order Date]], "Invalid", "OK")</f>
        <v>OK</v>
      </c>
      <c r="Q496" s="1" t="str">
        <f>IF(ISBLANK(po_master[[#This Row],[Invoice Number]]), "No Invoice", "OK")</f>
        <v>OK</v>
      </c>
      <c r="R496" s="1" t="str">
        <f>IF(AND(NOT(ISBLANK(po_master[[#This Row],[GR Quantity]])), po_master[[#This Row],[GR Quantity]]&lt;&gt;po_master[[#This Row],[PO Quantity]]), "Qty Variance", "OK")</f>
        <v>OK</v>
      </c>
      <c r="S496" s="1" t="str">
        <f>IF(po_master[[#This Row],[Invoice Unit Price]]&gt;po_master[[#This Row],[PO Unit Price]]*1.01, "Price Variance", "OK")</f>
        <v>OK</v>
      </c>
      <c r="T496" s="1" t="str">
        <f>IF(po_master[[#This Row],[Actual Delivery Date]]&gt;po_master[[#This Row],[Promised Delivey Date]], "Late Delivery", "OK")</f>
        <v>OK</v>
      </c>
      <c r="U496" s="1" t="str">
        <f>IF(COUNTIF(po_master[PO Number],po_master[[#This Row],[PO Number]])&gt;1, "Duplicate Invoice", "OK")</f>
        <v>OK</v>
      </c>
    </row>
    <row r="497" spans="1:21" x14ac:dyDescent="0.25">
      <c r="A497" s="1" t="s">
        <v>439</v>
      </c>
      <c r="B497" s="1" t="s">
        <v>1495</v>
      </c>
      <c r="C497" s="2">
        <v>46049</v>
      </c>
      <c r="D497">
        <v>23</v>
      </c>
      <c r="E497">
        <v>22.48</v>
      </c>
      <c r="F497" s="1" t="s">
        <v>1442</v>
      </c>
      <c r="G497" s="2">
        <v>46056</v>
      </c>
      <c r="H497">
        <v>23</v>
      </c>
      <c r="I497" s="2">
        <v>46058</v>
      </c>
      <c r="J497" s="1" t="s">
        <v>1194</v>
      </c>
      <c r="K497">
        <v>23</v>
      </c>
      <c r="L497">
        <v>22.48</v>
      </c>
      <c r="M497" s="2">
        <v>46058</v>
      </c>
      <c r="N497" t="str">
        <f>IF(po_master[[#This Row],[Approved By]]="", "Missing Approval", "OK")</f>
        <v>OK</v>
      </c>
      <c r="O497" t="str">
        <f>IF(ISBLANK(po_master[[#This Row],[GR Quantity]]), "No GR - Not received", "OK")</f>
        <v>OK</v>
      </c>
      <c r="P497" s="1" t="str">
        <f>IF(po_master[[#This Row],[Promised Delivey Date]]&lt;po_master[[#This Row],[Order Date]], "Invalid", "OK")</f>
        <v>OK</v>
      </c>
      <c r="Q497" s="1" t="str">
        <f>IF(ISBLANK(po_master[[#This Row],[Invoice Number]]), "No Invoice", "OK")</f>
        <v>OK</v>
      </c>
      <c r="R497" s="1" t="str">
        <f>IF(AND(NOT(ISBLANK(po_master[[#This Row],[GR Quantity]])), po_master[[#This Row],[GR Quantity]]&lt;&gt;po_master[[#This Row],[PO Quantity]]), "Qty Variance", "OK")</f>
        <v>OK</v>
      </c>
      <c r="S497" s="1" t="str">
        <f>IF(po_master[[#This Row],[Invoice Unit Price]]&gt;po_master[[#This Row],[PO Unit Price]]*1.01, "Price Variance", "OK")</f>
        <v>OK</v>
      </c>
      <c r="T497" s="1" t="str">
        <f>IF(po_master[[#This Row],[Actual Delivery Date]]&gt;po_master[[#This Row],[Promised Delivey Date]], "Late Delivery", "OK")</f>
        <v>Late Delivery</v>
      </c>
      <c r="U497" s="1" t="str">
        <f>IF(COUNTIF(po_master[PO Number],po_master[[#This Row],[PO Number]])&gt;1, "Duplicate Invoice", "OK")</f>
        <v>OK</v>
      </c>
    </row>
    <row r="498" spans="1:21" x14ac:dyDescent="0.25">
      <c r="A498" s="1" t="s">
        <v>440</v>
      </c>
      <c r="B498" s="1" t="s">
        <v>1468</v>
      </c>
      <c r="C498" s="2">
        <v>46106</v>
      </c>
      <c r="D498">
        <v>452</v>
      </c>
      <c r="E498">
        <v>80.12</v>
      </c>
      <c r="F498" s="1" t="s">
        <v>1474</v>
      </c>
      <c r="G498" s="2">
        <v>46124</v>
      </c>
      <c r="H498">
        <v>452</v>
      </c>
      <c r="I498" s="2">
        <v>46122</v>
      </c>
      <c r="J498" s="1" t="s">
        <v>1195</v>
      </c>
      <c r="K498">
        <v>452</v>
      </c>
      <c r="L498">
        <v>80.12</v>
      </c>
      <c r="M498" s="2">
        <v>46132</v>
      </c>
      <c r="N498" t="str">
        <f>IF(po_master[[#This Row],[Approved By]]="", "Missing Approval", "OK")</f>
        <v>OK</v>
      </c>
      <c r="O498" t="str">
        <f>IF(ISBLANK(po_master[[#This Row],[GR Quantity]]), "No GR - Not received", "OK")</f>
        <v>OK</v>
      </c>
      <c r="P498" s="1" t="str">
        <f>IF(po_master[[#This Row],[Promised Delivey Date]]&lt;po_master[[#This Row],[Order Date]], "Invalid", "OK")</f>
        <v>OK</v>
      </c>
      <c r="Q498" s="1" t="str">
        <f>IF(ISBLANK(po_master[[#This Row],[Invoice Number]]), "No Invoice", "OK")</f>
        <v>OK</v>
      </c>
      <c r="R498" s="1" t="str">
        <f>IF(AND(NOT(ISBLANK(po_master[[#This Row],[GR Quantity]])), po_master[[#This Row],[GR Quantity]]&lt;&gt;po_master[[#This Row],[PO Quantity]]), "Qty Variance", "OK")</f>
        <v>OK</v>
      </c>
      <c r="S498" s="1" t="str">
        <f>IF(po_master[[#This Row],[Invoice Unit Price]]&gt;po_master[[#This Row],[PO Unit Price]]*1.01, "Price Variance", "OK")</f>
        <v>OK</v>
      </c>
      <c r="T498" s="1" t="str">
        <f>IF(po_master[[#This Row],[Actual Delivery Date]]&gt;po_master[[#This Row],[Promised Delivey Date]], "Late Delivery", "OK")</f>
        <v>OK</v>
      </c>
      <c r="U498" s="1" t="str">
        <f>IF(COUNTIF(po_master[PO Number],po_master[[#This Row],[PO Number]])&gt;1, "Duplicate Invoice", "OK")</f>
        <v>OK</v>
      </c>
    </row>
    <row r="499" spans="1:21" x14ac:dyDescent="0.25">
      <c r="A499" s="1" t="s">
        <v>441</v>
      </c>
      <c r="B499" s="1" t="s">
        <v>1502</v>
      </c>
      <c r="C499" s="2">
        <v>46044</v>
      </c>
      <c r="D499">
        <v>381</v>
      </c>
      <c r="E499">
        <v>180.72</v>
      </c>
      <c r="F499" s="1" t="s">
        <v>1440</v>
      </c>
      <c r="G499" s="2">
        <v>46065</v>
      </c>
      <c r="H499">
        <v>381</v>
      </c>
      <c r="I499" s="2">
        <v>46067</v>
      </c>
      <c r="J499" s="1" t="s">
        <v>1196</v>
      </c>
      <c r="K499">
        <v>381</v>
      </c>
      <c r="L499">
        <v>180.72</v>
      </c>
      <c r="M499" s="2">
        <v>46066</v>
      </c>
      <c r="N499" t="str">
        <f>IF(po_master[[#This Row],[Approved By]]="", "Missing Approval", "OK")</f>
        <v>OK</v>
      </c>
      <c r="O499" t="str">
        <f>IF(ISBLANK(po_master[[#This Row],[GR Quantity]]), "No GR - Not received", "OK")</f>
        <v>OK</v>
      </c>
      <c r="P499" s="1" t="str">
        <f>IF(po_master[[#This Row],[Promised Delivey Date]]&lt;po_master[[#This Row],[Order Date]], "Invalid", "OK")</f>
        <v>OK</v>
      </c>
      <c r="Q499" s="1" t="str">
        <f>IF(ISBLANK(po_master[[#This Row],[Invoice Number]]), "No Invoice", "OK")</f>
        <v>OK</v>
      </c>
      <c r="R499" s="1" t="str">
        <f>IF(AND(NOT(ISBLANK(po_master[[#This Row],[GR Quantity]])), po_master[[#This Row],[GR Quantity]]&lt;&gt;po_master[[#This Row],[PO Quantity]]), "Qty Variance", "OK")</f>
        <v>OK</v>
      </c>
      <c r="S499" s="1" t="str">
        <f>IF(po_master[[#This Row],[Invoice Unit Price]]&gt;po_master[[#This Row],[PO Unit Price]]*1.01, "Price Variance", "OK")</f>
        <v>OK</v>
      </c>
      <c r="T499" s="1" t="str">
        <f>IF(po_master[[#This Row],[Actual Delivery Date]]&gt;po_master[[#This Row],[Promised Delivey Date]], "Late Delivery", "OK")</f>
        <v>Late Delivery</v>
      </c>
      <c r="U499" s="1" t="str">
        <f>IF(COUNTIF(po_master[PO Number],po_master[[#This Row],[PO Number]])&gt;1, "Duplicate Invoice", "OK")</f>
        <v>OK</v>
      </c>
    </row>
    <row r="500" spans="1:21" x14ac:dyDescent="0.25">
      <c r="A500" s="1" t="s">
        <v>442</v>
      </c>
      <c r="B500" s="1" t="s">
        <v>1460</v>
      </c>
      <c r="C500" s="2">
        <v>46120</v>
      </c>
      <c r="D500">
        <v>96</v>
      </c>
      <c r="E500">
        <v>32.07</v>
      </c>
      <c r="F500" s="1" t="s">
        <v>1474</v>
      </c>
      <c r="G500" s="2">
        <v>46133</v>
      </c>
      <c r="H500">
        <v>96</v>
      </c>
      <c r="I500" s="2">
        <v>46131</v>
      </c>
      <c r="J500" s="1" t="s">
        <v>1197</v>
      </c>
      <c r="K500">
        <v>96</v>
      </c>
      <c r="L500">
        <v>32.07</v>
      </c>
      <c r="M500" s="2">
        <v>46134</v>
      </c>
      <c r="N500" t="str">
        <f>IF(po_master[[#This Row],[Approved By]]="", "Missing Approval", "OK")</f>
        <v>OK</v>
      </c>
      <c r="O500" t="str">
        <f>IF(ISBLANK(po_master[[#This Row],[GR Quantity]]), "No GR - Not received", "OK")</f>
        <v>OK</v>
      </c>
      <c r="P500" s="1" t="str">
        <f>IF(po_master[[#This Row],[Promised Delivey Date]]&lt;po_master[[#This Row],[Order Date]], "Invalid", "OK")</f>
        <v>OK</v>
      </c>
      <c r="Q500" s="1" t="str">
        <f>IF(ISBLANK(po_master[[#This Row],[Invoice Number]]), "No Invoice", "OK")</f>
        <v>OK</v>
      </c>
      <c r="R500" s="1" t="str">
        <f>IF(AND(NOT(ISBLANK(po_master[[#This Row],[GR Quantity]])), po_master[[#This Row],[GR Quantity]]&lt;&gt;po_master[[#This Row],[PO Quantity]]), "Qty Variance", "OK")</f>
        <v>OK</v>
      </c>
      <c r="S500" s="1" t="str">
        <f>IF(po_master[[#This Row],[Invoice Unit Price]]&gt;po_master[[#This Row],[PO Unit Price]]*1.01, "Price Variance", "OK")</f>
        <v>OK</v>
      </c>
      <c r="T500" s="1" t="str">
        <f>IF(po_master[[#This Row],[Actual Delivery Date]]&gt;po_master[[#This Row],[Promised Delivey Date]], "Late Delivery", "OK")</f>
        <v>OK</v>
      </c>
      <c r="U500" s="1" t="str">
        <f>IF(COUNTIF(po_master[PO Number],po_master[[#This Row],[PO Number]])&gt;1, "Duplicate Invoice", "OK")</f>
        <v>OK</v>
      </c>
    </row>
    <row r="501" spans="1:21" x14ac:dyDescent="0.25">
      <c r="A501" s="1" t="s">
        <v>443</v>
      </c>
      <c r="B501" s="1" t="s">
        <v>1498</v>
      </c>
      <c r="C501" s="2">
        <v>46060</v>
      </c>
      <c r="D501">
        <v>42</v>
      </c>
      <c r="E501">
        <v>37.61</v>
      </c>
      <c r="F501" s="1" t="s">
        <v>1458</v>
      </c>
      <c r="G501" s="2">
        <v>46078</v>
      </c>
      <c r="H501">
        <v>48</v>
      </c>
      <c r="I501" s="2">
        <v>46080</v>
      </c>
      <c r="J501" s="1" t="s">
        <v>1198</v>
      </c>
      <c r="K501">
        <v>42</v>
      </c>
      <c r="L501">
        <v>37.61</v>
      </c>
      <c r="M501" s="2">
        <v>46079</v>
      </c>
      <c r="N501" t="str">
        <f>IF(po_master[[#This Row],[Approved By]]="", "Missing Approval", "OK")</f>
        <v>OK</v>
      </c>
      <c r="O501" t="str">
        <f>IF(ISBLANK(po_master[[#This Row],[GR Quantity]]), "No GR - Not received", "OK")</f>
        <v>OK</v>
      </c>
      <c r="P501" s="1" t="str">
        <f>IF(po_master[[#This Row],[Promised Delivey Date]]&lt;po_master[[#This Row],[Order Date]], "Invalid", "OK")</f>
        <v>OK</v>
      </c>
      <c r="Q501" s="1" t="str">
        <f>IF(ISBLANK(po_master[[#This Row],[Invoice Number]]), "No Invoice", "OK")</f>
        <v>OK</v>
      </c>
      <c r="R501" s="1" t="str">
        <f>IF(AND(NOT(ISBLANK(po_master[[#This Row],[GR Quantity]])), po_master[[#This Row],[GR Quantity]]&lt;&gt;po_master[[#This Row],[PO Quantity]]), "Qty Variance", "OK")</f>
        <v>Qty Variance</v>
      </c>
      <c r="S501" s="1" t="str">
        <f>IF(po_master[[#This Row],[Invoice Unit Price]]&gt;po_master[[#This Row],[PO Unit Price]]*1.01, "Price Variance", "OK")</f>
        <v>OK</v>
      </c>
      <c r="T501" s="1" t="str">
        <f>IF(po_master[[#This Row],[Actual Delivery Date]]&gt;po_master[[#This Row],[Promised Delivey Date]], "Late Delivery", "OK")</f>
        <v>Late Delivery</v>
      </c>
      <c r="U501" s="1" t="str">
        <f>IF(COUNTIF(po_master[PO Number],po_master[[#This Row],[PO Number]])&gt;1, "Duplicate Invoice", "OK")</f>
        <v>OK</v>
      </c>
    </row>
    <row r="502" spans="1:21" x14ac:dyDescent="0.25">
      <c r="A502" s="1" t="s">
        <v>444</v>
      </c>
      <c r="B502" s="1" t="s">
        <v>1512</v>
      </c>
      <c r="C502" s="2">
        <v>46146</v>
      </c>
      <c r="D502">
        <v>410</v>
      </c>
      <c r="E502">
        <v>20</v>
      </c>
      <c r="F502" s="1" t="s">
        <v>1458</v>
      </c>
      <c r="G502" s="2">
        <v>46158</v>
      </c>
      <c r="H502">
        <v>410</v>
      </c>
      <c r="I502" s="2">
        <v>46157</v>
      </c>
      <c r="J502" s="1" t="s">
        <v>1199</v>
      </c>
      <c r="K502">
        <v>410</v>
      </c>
      <c r="L502">
        <v>20</v>
      </c>
      <c r="M502" s="2">
        <v>46159</v>
      </c>
      <c r="N502" t="str">
        <f>IF(po_master[[#This Row],[Approved By]]="", "Missing Approval", "OK")</f>
        <v>OK</v>
      </c>
      <c r="O502" t="str">
        <f>IF(ISBLANK(po_master[[#This Row],[GR Quantity]]), "No GR - Not received", "OK")</f>
        <v>OK</v>
      </c>
      <c r="P502" s="1" t="str">
        <f>IF(po_master[[#This Row],[Promised Delivey Date]]&lt;po_master[[#This Row],[Order Date]], "Invalid", "OK")</f>
        <v>OK</v>
      </c>
      <c r="Q502" s="1" t="str">
        <f>IF(ISBLANK(po_master[[#This Row],[Invoice Number]]), "No Invoice", "OK")</f>
        <v>OK</v>
      </c>
      <c r="R502" s="1" t="str">
        <f>IF(AND(NOT(ISBLANK(po_master[[#This Row],[GR Quantity]])), po_master[[#This Row],[GR Quantity]]&lt;&gt;po_master[[#This Row],[PO Quantity]]), "Qty Variance", "OK")</f>
        <v>OK</v>
      </c>
      <c r="S502" s="1" t="str">
        <f>IF(po_master[[#This Row],[Invoice Unit Price]]&gt;po_master[[#This Row],[PO Unit Price]]*1.01, "Price Variance", "OK")</f>
        <v>OK</v>
      </c>
      <c r="T502" s="1" t="str">
        <f>IF(po_master[[#This Row],[Actual Delivery Date]]&gt;po_master[[#This Row],[Promised Delivey Date]], "Late Delivery", "OK")</f>
        <v>OK</v>
      </c>
      <c r="U502" s="1" t="str">
        <f>IF(COUNTIF(po_master[PO Number],po_master[[#This Row],[PO Number]])&gt;1, "Duplicate Invoice", "OK")</f>
        <v>OK</v>
      </c>
    </row>
    <row r="503" spans="1:21" x14ac:dyDescent="0.25">
      <c r="A503" s="1" t="s">
        <v>445</v>
      </c>
      <c r="B503" s="1" t="s">
        <v>1477</v>
      </c>
      <c r="C503" s="2">
        <v>46149</v>
      </c>
      <c r="D503">
        <v>314</v>
      </c>
      <c r="E503">
        <v>125.25</v>
      </c>
      <c r="F503" s="1" t="s">
        <v>1459</v>
      </c>
      <c r="G503" s="2">
        <v>46157</v>
      </c>
      <c r="H503">
        <v>314</v>
      </c>
      <c r="I503" s="2">
        <v>46158</v>
      </c>
      <c r="J503" s="1" t="s">
        <v>1200</v>
      </c>
      <c r="K503">
        <v>314</v>
      </c>
      <c r="L503">
        <v>125.25</v>
      </c>
      <c r="M503" s="2">
        <v>46162</v>
      </c>
      <c r="N503" t="str">
        <f>IF(po_master[[#This Row],[Approved By]]="", "Missing Approval", "OK")</f>
        <v>Missing Approval</v>
      </c>
      <c r="O503" t="str">
        <f>IF(ISBLANK(po_master[[#This Row],[GR Quantity]]), "No GR - Not received", "OK")</f>
        <v>OK</v>
      </c>
      <c r="P503" s="1" t="str">
        <f>IF(po_master[[#This Row],[Promised Delivey Date]]&lt;po_master[[#This Row],[Order Date]], "Invalid", "OK")</f>
        <v>OK</v>
      </c>
      <c r="Q503" s="1" t="str">
        <f>IF(ISBLANK(po_master[[#This Row],[Invoice Number]]), "No Invoice", "OK")</f>
        <v>OK</v>
      </c>
      <c r="R503" s="1" t="str">
        <f>IF(AND(NOT(ISBLANK(po_master[[#This Row],[GR Quantity]])), po_master[[#This Row],[GR Quantity]]&lt;&gt;po_master[[#This Row],[PO Quantity]]), "Qty Variance", "OK")</f>
        <v>OK</v>
      </c>
      <c r="S503" s="1" t="str">
        <f>IF(po_master[[#This Row],[Invoice Unit Price]]&gt;po_master[[#This Row],[PO Unit Price]]*1.01, "Price Variance", "OK")</f>
        <v>OK</v>
      </c>
      <c r="T503" s="1" t="str">
        <f>IF(po_master[[#This Row],[Actual Delivery Date]]&gt;po_master[[#This Row],[Promised Delivey Date]], "Late Delivery", "OK")</f>
        <v>Late Delivery</v>
      </c>
      <c r="U503" s="1" t="str">
        <f>IF(COUNTIF(po_master[PO Number],po_master[[#This Row],[PO Number]])&gt;1, "Duplicate Invoice", "OK")</f>
        <v>OK</v>
      </c>
    </row>
    <row r="504" spans="1:21" x14ac:dyDescent="0.25">
      <c r="A504" s="1" t="s">
        <v>446</v>
      </c>
      <c r="B504" s="1" t="s">
        <v>1441</v>
      </c>
      <c r="C504" s="2">
        <v>46100</v>
      </c>
      <c r="D504">
        <v>13</v>
      </c>
      <c r="E504">
        <v>190.02</v>
      </c>
      <c r="F504" s="1" t="s">
        <v>1472</v>
      </c>
      <c r="G504" s="2">
        <v>46117</v>
      </c>
      <c r="H504">
        <v>13</v>
      </c>
      <c r="I504" s="2">
        <v>46116</v>
      </c>
      <c r="J504" s="1" t="s">
        <v>1201</v>
      </c>
      <c r="K504">
        <v>13</v>
      </c>
      <c r="L504">
        <v>190.02</v>
      </c>
      <c r="M504" s="2">
        <v>46123</v>
      </c>
      <c r="N504" t="str">
        <f>IF(po_master[[#This Row],[Approved By]]="", "Missing Approval", "OK")</f>
        <v>OK</v>
      </c>
      <c r="O504" t="str">
        <f>IF(ISBLANK(po_master[[#This Row],[GR Quantity]]), "No GR - Not received", "OK")</f>
        <v>OK</v>
      </c>
      <c r="P504" s="1" t="str">
        <f>IF(po_master[[#This Row],[Promised Delivey Date]]&lt;po_master[[#This Row],[Order Date]], "Invalid", "OK")</f>
        <v>OK</v>
      </c>
      <c r="Q504" s="1" t="str">
        <f>IF(ISBLANK(po_master[[#This Row],[Invoice Number]]), "No Invoice", "OK")</f>
        <v>OK</v>
      </c>
      <c r="R504" s="1" t="str">
        <f>IF(AND(NOT(ISBLANK(po_master[[#This Row],[GR Quantity]])), po_master[[#This Row],[GR Quantity]]&lt;&gt;po_master[[#This Row],[PO Quantity]]), "Qty Variance", "OK")</f>
        <v>OK</v>
      </c>
      <c r="S504" s="1" t="str">
        <f>IF(po_master[[#This Row],[Invoice Unit Price]]&gt;po_master[[#This Row],[PO Unit Price]]*1.01, "Price Variance", "OK")</f>
        <v>OK</v>
      </c>
      <c r="T504" s="1" t="str">
        <f>IF(po_master[[#This Row],[Actual Delivery Date]]&gt;po_master[[#This Row],[Promised Delivey Date]], "Late Delivery", "OK")</f>
        <v>OK</v>
      </c>
      <c r="U504" s="1" t="str">
        <f>IF(COUNTIF(po_master[PO Number],po_master[[#This Row],[PO Number]])&gt;1, "Duplicate Invoice", "OK")</f>
        <v>OK</v>
      </c>
    </row>
    <row r="505" spans="1:21" x14ac:dyDescent="0.25">
      <c r="A505" s="1" t="s">
        <v>447</v>
      </c>
      <c r="B505" s="1" t="s">
        <v>1479</v>
      </c>
      <c r="C505" s="2">
        <v>46135</v>
      </c>
      <c r="D505">
        <v>181</v>
      </c>
      <c r="E505">
        <v>88.97</v>
      </c>
      <c r="F505" s="1" t="s">
        <v>1446</v>
      </c>
      <c r="G505" s="2">
        <v>46144</v>
      </c>
      <c r="H505">
        <v>181</v>
      </c>
      <c r="I505" s="2">
        <v>46144</v>
      </c>
      <c r="J505" s="1" t="s">
        <v>1202</v>
      </c>
      <c r="K505">
        <v>181</v>
      </c>
      <c r="L505">
        <v>88.97</v>
      </c>
      <c r="M505" s="2">
        <v>46150</v>
      </c>
      <c r="N505" t="str">
        <f>IF(po_master[[#This Row],[Approved By]]="", "Missing Approval", "OK")</f>
        <v>OK</v>
      </c>
      <c r="O505" t="str">
        <f>IF(ISBLANK(po_master[[#This Row],[GR Quantity]]), "No GR - Not received", "OK")</f>
        <v>OK</v>
      </c>
      <c r="P505" s="1" t="str">
        <f>IF(po_master[[#This Row],[Promised Delivey Date]]&lt;po_master[[#This Row],[Order Date]], "Invalid", "OK")</f>
        <v>OK</v>
      </c>
      <c r="Q505" s="1" t="str">
        <f>IF(ISBLANK(po_master[[#This Row],[Invoice Number]]), "No Invoice", "OK")</f>
        <v>OK</v>
      </c>
      <c r="R505" s="1" t="str">
        <f>IF(AND(NOT(ISBLANK(po_master[[#This Row],[GR Quantity]])), po_master[[#This Row],[GR Quantity]]&lt;&gt;po_master[[#This Row],[PO Quantity]]), "Qty Variance", "OK")</f>
        <v>OK</v>
      </c>
      <c r="S505" s="1" t="str">
        <f>IF(po_master[[#This Row],[Invoice Unit Price]]&gt;po_master[[#This Row],[PO Unit Price]]*1.01, "Price Variance", "OK")</f>
        <v>OK</v>
      </c>
      <c r="T505" s="1" t="str">
        <f>IF(po_master[[#This Row],[Actual Delivery Date]]&gt;po_master[[#This Row],[Promised Delivey Date]], "Late Delivery", "OK")</f>
        <v>OK</v>
      </c>
      <c r="U505" s="1" t="str">
        <f>IF(COUNTIF(po_master[PO Number],po_master[[#This Row],[PO Number]])&gt;1, "Duplicate Invoice", "OK")</f>
        <v>OK</v>
      </c>
    </row>
    <row r="506" spans="1:21" x14ac:dyDescent="0.25">
      <c r="A506" s="1" t="s">
        <v>1178</v>
      </c>
      <c r="B506" s="1" t="s">
        <v>1486</v>
      </c>
      <c r="C506" s="2">
        <v>46103</v>
      </c>
      <c r="D506">
        <v>18</v>
      </c>
      <c r="E506">
        <v>192.49</v>
      </c>
      <c r="F506" s="1" t="s">
        <v>1480</v>
      </c>
      <c r="G506" s="2">
        <v>46112</v>
      </c>
      <c r="I506" s="2"/>
      <c r="J506" s="1" t="s">
        <v>1179</v>
      </c>
      <c r="K506">
        <v>18</v>
      </c>
      <c r="L506">
        <v>192.49</v>
      </c>
      <c r="M506" s="2">
        <v>46116</v>
      </c>
      <c r="N506" t="str">
        <f>IF(po_master[[#This Row],[Approved By]]="", "Missing Approval", "OK")</f>
        <v>OK</v>
      </c>
      <c r="O506" t="str">
        <f>IF(ISBLANK(po_master[[#This Row],[GR Quantity]]), "No GR - Not received", "OK")</f>
        <v>No GR - Not received</v>
      </c>
      <c r="P506" s="1" t="str">
        <f>IF(po_master[[#This Row],[Promised Delivey Date]]&lt;po_master[[#This Row],[Order Date]], "Invalid", "OK")</f>
        <v>OK</v>
      </c>
      <c r="Q506" s="1" t="str">
        <f>IF(ISBLANK(po_master[[#This Row],[Invoice Number]]), "No Invoice", "OK")</f>
        <v>OK</v>
      </c>
      <c r="R506" s="1" t="str">
        <f>IF(AND(NOT(ISBLANK(po_master[[#This Row],[GR Quantity]])), po_master[[#This Row],[GR Quantity]]&lt;&gt;po_master[[#This Row],[PO Quantity]]), "Qty Variance", "OK")</f>
        <v>OK</v>
      </c>
      <c r="S506" s="1" t="str">
        <f>IF(po_master[[#This Row],[Invoice Unit Price]]&gt;po_master[[#This Row],[PO Unit Price]]*1.01, "Price Variance", "OK")</f>
        <v>OK</v>
      </c>
      <c r="T506" s="1" t="str">
        <f>IF(po_master[[#This Row],[Actual Delivery Date]]&gt;po_master[[#This Row],[Promised Delivey Date]], "Late Delivery", "OK")</f>
        <v>OK</v>
      </c>
      <c r="U506" s="1" t="str">
        <f>IF(COUNTIF(po_master[PO Number],po_master[[#This Row],[PO Number]])&gt;1, "Duplicate Invoice", "OK")</f>
        <v>OK</v>
      </c>
    </row>
    <row r="507" spans="1:21" x14ac:dyDescent="0.25">
      <c r="A507" s="1" t="s">
        <v>448</v>
      </c>
      <c r="B507" s="1" t="s">
        <v>1512</v>
      </c>
      <c r="C507" s="2">
        <v>46105</v>
      </c>
      <c r="D507">
        <v>318</v>
      </c>
      <c r="E507">
        <v>189.72</v>
      </c>
      <c r="F507" s="1" t="s">
        <v>1444</v>
      </c>
      <c r="G507" s="2">
        <v>46125</v>
      </c>
      <c r="H507">
        <v>330</v>
      </c>
      <c r="I507" s="2">
        <v>46126</v>
      </c>
      <c r="J507" s="1" t="s">
        <v>1203</v>
      </c>
      <c r="K507">
        <v>318</v>
      </c>
      <c r="L507">
        <v>189.72</v>
      </c>
      <c r="M507" s="2">
        <v>46131</v>
      </c>
      <c r="N507" t="str">
        <f>IF(po_master[[#This Row],[Approved By]]="", "Missing Approval", "OK")</f>
        <v>OK</v>
      </c>
      <c r="O507" t="str">
        <f>IF(ISBLANK(po_master[[#This Row],[GR Quantity]]), "No GR - Not received", "OK")</f>
        <v>OK</v>
      </c>
      <c r="P507" s="1" t="str">
        <f>IF(po_master[[#This Row],[Promised Delivey Date]]&lt;po_master[[#This Row],[Order Date]], "Invalid", "OK")</f>
        <v>OK</v>
      </c>
      <c r="Q507" s="1" t="str">
        <f>IF(ISBLANK(po_master[[#This Row],[Invoice Number]]), "No Invoice", "OK")</f>
        <v>OK</v>
      </c>
      <c r="R507" s="1" t="str">
        <f>IF(AND(NOT(ISBLANK(po_master[[#This Row],[GR Quantity]])), po_master[[#This Row],[GR Quantity]]&lt;&gt;po_master[[#This Row],[PO Quantity]]), "Qty Variance", "OK")</f>
        <v>Qty Variance</v>
      </c>
      <c r="S507" s="1" t="str">
        <f>IF(po_master[[#This Row],[Invoice Unit Price]]&gt;po_master[[#This Row],[PO Unit Price]]*1.01, "Price Variance", "OK")</f>
        <v>OK</v>
      </c>
      <c r="T507" s="1" t="str">
        <f>IF(po_master[[#This Row],[Actual Delivery Date]]&gt;po_master[[#This Row],[Promised Delivey Date]], "Late Delivery", "OK")</f>
        <v>Late Delivery</v>
      </c>
      <c r="U507" s="1" t="str">
        <f>IF(COUNTIF(po_master[PO Number],po_master[[#This Row],[PO Number]])&gt;1, "Duplicate Invoice", "OK")</f>
        <v>OK</v>
      </c>
    </row>
    <row r="508" spans="1:21" x14ac:dyDescent="0.25">
      <c r="A508" s="1" t="s">
        <v>449</v>
      </c>
      <c r="B508" s="1" t="s">
        <v>1509</v>
      </c>
      <c r="C508" s="2">
        <v>46068</v>
      </c>
      <c r="D508">
        <v>213</v>
      </c>
      <c r="E508">
        <v>193.9</v>
      </c>
      <c r="F508" s="1" t="s">
        <v>1474</v>
      </c>
      <c r="G508" s="2">
        <v>46088</v>
      </c>
      <c r="H508">
        <v>213</v>
      </c>
      <c r="I508" s="2">
        <v>46090</v>
      </c>
      <c r="J508" s="1" t="s">
        <v>1204</v>
      </c>
      <c r="K508">
        <v>213</v>
      </c>
      <c r="L508">
        <v>193.9</v>
      </c>
      <c r="M508" s="2">
        <v>46089</v>
      </c>
      <c r="N508" t="str">
        <f>IF(po_master[[#This Row],[Approved By]]="", "Missing Approval", "OK")</f>
        <v>OK</v>
      </c>
      <c r="O508" t="str">
        <f>IF(ISBLANK(po_master[[#This Row],[GR Quantity]]), "No GR - Not received", "OK")</f>
        <v>OK</v>
      </c>
      <c r="P508" s="1" t="str">
        <f>IF(po_master[[#This Row],[Promised Delivey Date]]&lt;po_master[[#This Row],[Order Date]], "Invalid", "OK")</f>
        <v>OK</v>
      </c>
      <c r="Q508" s="1" t="str">
        <f>IF(ISBLANK(po_master[[#This Row],[Invoice Number]]), "No Invoice", "OK")</f>
        <v>OK</v>
      </c>
      <c r="R508" s="1" t="str">
        <f>IF(AND(NOT(ISBLANK(po_master[[#This Row],[GR Quantity]])), po_master[[#This Row],[GR Quantity]]&lt;&gt;po_master[[#This Row],[PO Quantity]]), "Qty Variance", "OK")</f>
        <v>OK</v>
      </c>
      <c r="S508" s="1" t="str">
        <f>IF(po_master[[#This Row],[Invoice Unit Price]]&gt;po_master[[#This Row],[PO Unit Price]]*1.01, "Price Variance", "OK")</f>
        <v>OK</v>
      </c>
      <c r="T508" s="1" t="str">
        <f>IF(po_master[[#This Row],[Actual Delivery Date]]&gt;po_master[[#This Row],[Promised Delivey Date]], "Late Delivery", "OK")</f>
        <v>Late Delivery</v>
      </c>
      <c r="U508" s="1" t="str">
        <f>IF(COUNTIF(po_master[PO Number],po_master[[#This Row],[PO Number]])&gt;1, "Duplicate Invoice", "OK")</f>
        <v>OK</v>
      </c>
    </row>
    <row r="509" spans="1:21" x14ac:dyDescent="0.25">
      <c r="A509" s="1" t="s">
        <v>450</v>
      </c>
      <c r="B509" s="1" t="s">
        <v>1493</v>
      </c>
      <c r="C509" s="2">
        <v>46085</v>
      </c>
      <c r="D509">
        <v>176</v>
      </c>
      <c r="E509">
        <v>78.33</v>
      </c>
      <c r="F509" s="1" t="s">
        <v>1453</v>
      </c>
      <c r="G509" s="2">
        <v>46101</v>
      </c>
      <c r="H509">
        <v>176</v>
      </c>
      <c r="I509" s="2">
        <v>46103</v>
      </c>
      <c r="J509" s="1" t="s">
        <v>1205</v>
      </c>
      <c r="K509">
        <v>176</v>
      </c>
      <c r="L509">
        <v>78.33</v>
      </c>
      <c r="M509" s="2">
        <v>46103</v>
      </c>
      <c r="N509" t="str">
        <f>IF(po_master[[#This Row],[Approved By]]="", "Missing Approval", "OK")</f>
        <v>OK</v>
      </c>
      <c r="O509" t="str">
        <f>IF(ISBLANK(po_master[[#This Row],[GR Quantity]]), "No GR - Not received", "OK")</f>
        <v>OK</v>
      </c>
      <c r="P509" s="1" t="str">
        <f>IF(po_master[[#This Row],[Promised Delivey Date]]&lt;po_master[[#This Row],[Order Date]], "Invalid", "OK")</f>
        <v>OK</v>
      </c>
      <c r="Q509" s="1" t="str">
        <f>IF(ISBLANK(po_master[[#This Row],[Invoice Number]]), "No Invoice", "OK")</f>
        <v>OK</v>
      </c>
      <c r="R509" s="1" t="str">
        <f>IF(AND(NOT(ISBLANK(po_master[[#This Row],[GR Quantity]])), po_master[[#This Row],[GR Quantity]]&lt;&gt;po_master[[#This Row],[PO Quantity]]), "Qty Variance", "OK")</f>
        <v>OK</v>
      </c>
      <c r="S509" s="1" t="str">
        <f>IF(po_master[[#This Row],[Invoice Unit Price]]&gt;po_master[[#This Row],[PO Unit Price]]*1.01, "Price Variance", "OK")</f>
        <v>OK</v>
      </c>
      <c r="T509" s="1" t="str">
        <f>IF(po_master[[#This Row],[Actual Delivery Date]]&gt;po_master[[#This Row],[Promised Delivey Date]], "Late Delivery", "OK")</f>
        <v>Late Delivery</v>
      </c>
      <c r="U509" s="1" t="str">
        <f>IF(COUNTIF(po_master[PO Number],po_master[[#This Row],[PO Number]])&gt;1, "Duplicate Invoice", "OK")</f>
        <v>Duplicate Invoice</v>
      </c>
    </row>
    <row r="510" spans="1:21" x14ac:dyDescent="0.25">
      <c r="A510" s="1" t="s">
        <v>450</v>
      </c>
      <c r="B510" s="1" t="s">
        <v>1493</v>
      </c>
      <c r="C510" s="2">
        <v>46085</v>
      </c>
      <c r="D510">
        <v>176</v>
      </c>
      <c r="E510">
        <v>78.33</v>
      </c>
      <c r="F510" s="1" t="s">
        <v>1453</v>
      </c>
      <c r="G510" s="2">
        <v>46101</v>
      </c>
      <c r="H510">
        <v>176</v>
      </c>
      <c r="I510" s="2">
        <v>46103</v>
      </c>
      <c r="J510" s="1" t="s">
        <v>1206</v>
      </c>
      <c r="K510">
        <v>176</v>
      </c>
      <c r="L510">
        <v>78.33</v>
      </c>
      <c r="M510" s="2">
        <v>46107</v>
      </c>
      <c r="N510" t="str">
        <f>IF(po_master[[#This Row],[Approved By]]="", "Missing Approval", "OK")</f>
        <v>OK</v>
      </c>
      <c r="O510" t="str">
        <f>IF(ISBLANK(po_master[[#This Row],[GR Quantity]]), "No GR - Not received", "OK")</f>
        <v>OK</v>
      </c>
      <c r="P510" s="1" t="str">
        <f>IF(po_master[[#This Row],[Promised Delivey Date]]&lt;po_master[[#This Row],[Order Date]], "Invalid", "OK")</f>
        <v>OK</v>
      </c>
      <c r="Q510" s="1" t="str">
        <f>IF(ISBLANK(po_master[[#This Row],[Invoice Number]]), "No Invoice", "OK")</f>
        <v>OK</v>
      </c>
      <c r="R510" s="1" t="str">
        <f>IF(AND(NOT(ISBLANK(po_master[[#This Row],[GR Quantity]])), po_master[[#This Row],[GR Quantity]]&lt;&gt;po_master[[#This Row],[PO Quantity]]), "Qty Variance", "OK")</f>
        <v>OK</v>
      </c>
      <c r="S510" s="1" t="str">
        <f>IF(po_master[[#This Row],[Invoice Unit Price]]&gt;po_master[[#This Row],[PO Unit Price]]*1.01, "Price Variance", "OK")</f>
        <v>OK</v>
      </c>
      <c r="T510" s="1" t="str">
        <f>IF(po_master[[#This Row],[Actual Delivery Date]]&gt;po_master[[#This Row],[Promised Delivey Date]], "Late Delivery", "OK")</f>
        <v>Late Delivery</v>
      </c>
      <c r="U510" s="1" t="str">
        <f>IF(COUNTIF(po_master[PO Number],po_master[[#This Row],[PO Number]])&gt;1, "Duplicate Invoice", "OK")</f>
        <v>Duplicate Invoice</v>
      </c>
    </row>
    <row r="511" spans="1:21" x14ac:dyDescent="0.25">
      <c r="A511" s="1" t="s">
        <v>451</v>
      </c>
      <c r="B511" s="1" t="s">
        <v>1466</v>
      </c>
      <c r="C511" s="2">
        <v>46167</v>
      </c>
      <c r="D511">
        <v>112</v>
      </c>
      <c r="E511">
        <v>120.48</v>
      </c>
      <c r="F511" s="1" t="s">
        <v>1442</v>
      </c>
      <c r="G511" s="2">
        <v>46177</v>
      </c>
      <c r="H511">
        <v>112</v>
      </c>
      <c r="I511" s="2">
        <v>46175</v>
      </c>
      <c r="J511" s="1" t="s">
        <v>1207</v>
      </c>
      <c r="K511">
        <v>112</v>
      </c>
      <c r="L511">
        <v>120.48</v>
      </c>
      <c r="M511" s="2">
        <v>46180</v>
      </c>
      <c r="N511" t="str">
        <f>IF(po_master[[#This Row],[Approved By]]="", "Missing Approval", "OK")</f>
        <v>OK</v>
      </c>
      <c r="O511" t="str">
        <f>IF(ISBLANK(po_master[[#This Row],[GR Quantity]]), "No GR - Not received", "OK")</f>
        <v>OK</v>
      </c>
      <c r="P511" s="1" t="str">
        <f>IF(po_master[[#This Row],[Promised Delivey Date]]&lt;po_master[[#This Row],[Order Date]], "Invalid", "OK")</f>
        <v>OK</v>
      </c>
      <c r="Q511" s="1" t="str">
        <f>IF(ISBLANK(po_master[[#This Row],[Invoice Number]]), "No Invoice", "OK")</f>
        <v>OK</v>
      </c>
      <c r="R511" s="1" t="str">
        <f>IF(AND(NOT(ISBLANK(po_master[[#This Row],[GR Quantity]])), po_master[[#This Row],[GR Quantity]]&lt;&gt;po_master[[#This Row],[PO Quantity]]), "Qty Variance", "OK")</f>
        <v>OK</v>
      </c>
      <c r="S511" s="1" t="str">
        <f>IF(po_master[[#This Row],[Invoice Unit Price]]&gt;po_master[[#This Row],[PO Unit Price]]*1.01, "Price Variance", "OK")</f>
        <v>OK</v>
      </c>
      <c r="T511" s="1" t="str">
        <f>IF(po_master[[#This Row],[Actual Delivery Date]]&gt;po_master[[#This Row],[Promised Delivey Date]], "Late Delivery", "OK")</f>
        <v>OK</v>
      </c>
      <c r="U511" s="1" t="str">
        <f>IF(COUNTIF(po_master[PO Number],po_master[[#This Row],[PO Number]])&gt;1, "Duplicate Invoice", "OK")</f>
        <v>Duplicate Invoice</v>
      </c>
    </row>
    <row r="512" spans="1:21" x14ac:dyDescent="0.25">
      <c r="A512" s="1" t="s">
        <v>451</v>
      </c>
      <c r="B512" s="1" t="s">
        <v>1466</v>
      </c>
      <c r="C512" s="2">
        <v>46167</v>
      </c>
      <c r="D512">
        <v>112</v>
      </c>
      <c r="E512">
        <v>120.48</v>
      </c>
      <c r="F512" s="1" t="s">
        <v>1442</v>
      </c>
      <c r="G512" s="2">
        <v>46177</v>
      </c>
      <c r="H512">
        <v>112</v>
      </c>
      <c r="I512" s="2">
        <v>46175</v>
      </c>
      <c r="J512" s="1" t="s">
        <v>1208</v>
      </c>
      <c r="K512">
        <v>112</v>
      </c>
      <c r="L512">
        <v>120.48</v>
      </c>
      <c r="M512" s="2">
        <v>46181</v>
      </c>
      <c r="N512" t="str">
        <f>IF(po_master[[#This Row],[Approved By]]="", "Missing Approval", "OK")</f>
        <v>OK</v>
      </c>
      <c r="O512" t="str">
        <f>IF(ISBLANK(po_master[[#This Row],[GR Quantity]]), "No GR - Not received", "OK")</f>
        <v>OK</v>
      </c>
      <c r="P512" s="1" t="str">
        <f>IF(po_master[[#This Row],[Promised Delivey Date]]&lt;po_master[[#This Row],[Order Date]], "Invalid", "OK")</f>
        <v>OK</v>
      </c>
      <c r="Q512" s="1" t="str">
        <f>IF(ISBLANK(po_master[[#This Row],[Invoice Number]]), "No Invoice", "OK")</f>
        <v>OK</v>
      </c>
      <c r="R512" s="1" t="str">
        <f>IF(AND(NOT(ISBLANK(po_master[[#This Row],[GR Quantity]])), po_master[[#This Row],[GR Quantity]]&lt;&gt;po_master[[#This Row],[PO Quantity]]), "Qty Variance", "OK")</f>
        <v>OK</v>
      </c>
      <c r="S512" s="1" t="str">
        <f>IF(po_master[[#This Row],[Invoice Unit Price]]&gt;po_master[[#This Row],[PO Unit Price]]*1.01, "Price Variance", "OK")</f>
        <v>OK</v>
      </c>
      <c r="T512" s="1" t="str">
        <f>IF(po_master[[#This Row],[Actual Delivery Date]]&gt;po_master[[#This Row],[Promised Delivey Date]], "Late Delivery", "OK")</f>
        <v>OK</v>
      </c>
      <c r="U512" s="1" t="str">
        <f>IF(COUNTIF(po_master[PO Number],po_master[[#This Row],[PO Number]])&gt;1, "Duplicate Invoice", "OK")</f>
        <v>Duplicate Invoice</v>
      </c>
    </row>
    <row r="513" spans="1:21" x14ac:dyDescent="0.25">
      <c r="A513" s="1" t="s">
        <v>452</v>
      </c>
      <c r="B513" s="1" t="s">
        <v>1461</v>
      </c>
      <c r="C513" s="2">
        <v>46163</v>
      </c>
      <c r="D513">
        <v>23</v>
      </c>
      <c r="E513">
        <v>190.84</v>
      </c>
      <c r="F513" s="1" t="s">
        <v>1469</v>
      </c>
      <c r="G513" s="2">
        <v>46174</v>
      </c>
      <c r="H513">
        <v>23</v>
      </c>
      <c r="I513" s="2">
        <v>46175</v>
      </c>
      <c r="J513" s="1" t="s">
        <v>1209</v>
      </c>
      <c r="K513">
        <v>23</v>
      </c>
      <c r="L513">
        <v>190.84</v>
      </c>
      <c r="M513" s="2">
        <v>46179</v>
      </c>
      <c r="N513" t="str">
        <f>IF(po_master[[#This Row],[Approved By]]="", "Missing Approval", "OK")</f>
        <v>OK</v>
      </c>
      <c r="O513" t="str">
        <f>IF(ISBLANK(po_master[[#This Row],[GR Quantity]]), "No GR - Not received", "OK")</f>
        <v>OK</v>
      </c>
      <c r="P513" s="1" t="str">
        <f>IF(po_master[[#This Row],[Promised Delivey Date]]&lt;po_master[[#This Row],[Order Date]], "Invalid", "OK")</f>
        <v>OK</v>
      </c>
      <c r="Q513" s="1" t="str">
        <f>IF(ISBLANK(po_master[[#This Row],[Invoice Number]]), "No Invoice", "OK")</f>
        <v>OK</v>
      </c>
      <c r="R513" s="1" t="str">
        <f>IF(AND(NOT(ISBLANK(po_master[[#This Row],[GR Quantity]])), po_master[[#This Row],[GR Quantity]]&lt;&gt;po_master[[#This Row],[PO Quantity]]), "Qty Variance", "OK")</f>
        <v>OK</v>
      </c>
      <c r="S513" s="1" t="str">
        <f>IF(po_master[[#This Row],[Invoice Unit Price]]&gt;po_master[[#This Row],[PO Unit Price]]*1.01, "Price Variance", "OK")</f>
        <v>OK</v>
      </c>
      <c r="T513" s="1" t="str">
        <f>IF(po_master[[#This Row],[Actual Delivery Date]]&gt;po_master[[#This Row],[Promised Delivey Date]], "Late Delivery", "OK")</f>
        <v>Late Delivery</v>
      </c>
      <c r="U513" s="1" t="str">
        <f>IF(COUNTIF(po_master[PO Number],po_master[[#This Row],[PO Number]])&gt;1, "Duplicate Invoice", "OK")</f>
        <v>OK</v>
      </c>
    </row>
    <row r="514" spans="1:21" x14ac:dyDescent="0.25">
      <c r="A514" s="1" t="s">
        <v>453</v>
      </c>
      <c r="B514" s="1" t="s">
        <v>1478</v>
      </c>
      <c r="C514" s="2">
        <v>46097</v>
      </c>
      <c r="D514">
        <v>435</v>
      </c>
      <c r="E514">
        <v>140.1</v>
      </c>
      <c r="F514" s="1" t="s">
        <v>1507</v>
      </c>
      <c r="G514" s="2">
        <v>46117</v>
      </c>
      <c r="H514">
        <v>435</v>
      </c>
      <c r="I514" s="2">
        <v>46115</v>
      </c>
      <c r="J514" s="1" t="s">
        <v>1210</v>
      </c>
      <c r="K514">
        <v>435</v>
      </c>
      <c r="L514">
        <v>140.1</v>
      </c>
      <c r="M514" s="2">
        <v>46121</v>
      </c>
      <c r="N514" t="str">
        <f>IF(po_master[[#This Row],[Approved By]]="", "Missing Approval", "OK")</f>
        <v>OK</v>
      </c>
      <c r="O514" t="str">
        <f>IF(ISBLANK(po_master[[#This Row],[GR Quantity]]), "No GR - Not received", "OK")</f>
        <v>OK</v>
      </c>
      <c r="P514" s="1" t="str">
        <f>IF(po_master[[#This Row],[Promised Delivey Date]]&lt;po_master[[#This Row],[Order Date]], "Invalid", "OK")</f>
        <v>OK</v>
      </c>
      <c r="Q514" s="1" t="str">
        <f>IF(ISBLANK(po_master[[#This Row],[Invoice Number]]), "No Invoice", "OK")</f>
        <v>OK</v>
      </c>
      <c r="R514" s="1" t="str">
        <f>IF(AND(NOT(ISBLANK(po_master[[#This Row],[GR Quantity]])), po_master[[#This Row],[GR Quantity]]&lt;&gt;po_master[[#This Row],[PO Quantity]]), "Qty Variance", "OK")</f>
        <v>OK</v>
      </c>
      <c r="S514" s="1" t="str">
        <f>IF(po_master[[#This Row],[Invoice Unit Price]]&gt;po_master[[#This Row],[PO Unit Price]]*1.01, "Price Variance", "OK")</f>
        <v>OK</v>
      </c>
      <c r="T514" s="1" t="str">
        <f>IF(po_master[[#This Row],[Actual Delivery Date]]&gt;po_master[[#This Row],[Promised Delivey Date]], "Late Delivery", "OK")</f>
        <v>OK</v>
      </c>
      <c r="U514" s="1" t="str">
        <f>IF(COUNTIF(po_master[PO Number],po_master[[#This Row],[PO Number]])&gt;1, "Duplicate Invoice", "OK")</f>
        <v>OK</v>
      </c>
    </row>
    <row r="515" spans="1:21" x14ac:dyDescent="0.25">
      <c r="A515" s="1" t="s">
        <v>454</v>
      </c>
      <c r="B515" s="1" t="s">
        <v>1441</v>
      </c>
      <c r="C515" s="2">
        <v>46100</v>
      </c>
      <c r="D515">
        <v>133</v>
      </c>
      <c r="E515">
        <v>54.27</v>
      </c>
      <c r="F515" s="1" t="s">
        <v>1485</v>
      </c>
      <c r="G515" s="2">
        <v>46118</v>
      </c>
      <c r="H515">
        <v>133</v>
      </c>
      <c r="I515" s="2">
        <v>46117</v>
      </c>
      <c r="J515" s="1" t="s">
        <v>1211</v>
      </c>
      <c r="K515">
        <v>133</v>
      </c>
      <c r="L515">
        <v>54.27</v>
      </c>
      <c r="M515" s="2">
        <v>46126</v>
      </c>
      <c r="N515" t="str">
        <f>IF(po_master[[#This Row],[Approved By]]="", "Missing Approval", "OK")</f>
        <v>OK</v>
      </c>
      <c r="O515" t="str">
        <f>IF(ISBLANK(po_master[[#This Row],[GR Quantity]]), "No GR - Not received", "OK")</f>
        <v>OK</v>
      </c>
      <c r="P515" s="1" t="str">
        <f>IF(po_master[[#This Row],[Promised Delivey Date]]&lt;po_master[[#This Row],[Order Date]], "Invalid", "OK")</f>
        <v>OK</v>
      </c>
      <c r="Q515" s="1" t="str">
        <f>IF(ISBLANK(po_master[[#This Row],[Invoice Number]]), "No Invoice", "OK")</f>
        <v>OK</v>
      </c>
      <c r="R515" s="1" t="str">
        <f>IF(AND(NOT(ISBLANK(po_master[[#This Row],[GR Quantity]])), po_master[[#This Row],[GR Quantity]]&lt;&gt;po_master[[#This Row],[PO Quantity]]), "Qty Variance", "OK")</f>
        <v>OK</v>
      </c>
      <c r="S515" s="1" t="str">
        <f>IF(po_master[[#This Row],[Invoice Unit Price]]&gt;po_master[[#This Row],[PO Unit Price]]*1.01, "Price Variance", "OK")</f>
        <v>OK</v>
      </c>
      <c r="T515" s="1" t="str">
        <f>IF(po_master[[#This Row],[Actual Delivery Date]]&gt;po_master[[#This Row],[Promised Delivey Date]], "Late Delivery", "OK")</f>
        <v>OK</v>
      </c>
      <c r="U515" s="1" t="str">
        <f>IF(COUNTIF(po_master[PO Number],po_master[[#This Row],[PO Number]])&gt;1, "Duplicate Invoice", "OK")</f>
        <v>OK</v>
      </c>
    </row>
    <row r="516" spans="1:21" x14ac:dyDescent="0.25">
      <c r="A516" s="1" t="s">
        <v>455</v>
      </c>
      <c r="B516" s="1" t="s">
        <v>1502</v>
      </c>
      <c r="C516" s="2">
        <v>46041</v>
      </c>
      <c r="D516">
        <v>239</v>
      </c>
      <c r="E516">
        <v>198.19</v>
      </c>
      <c r="F516" s="1" t="s">
        <v>1487</v>
      </c>
      <c r="G516" s="2">
        <v>46058</v>
      </c>
      <c r="H516">
        <v>239</v>
      </c>
      <c r="I516" s="2">
        <v>46058</v>
      </c>
      <c r="J516" s="1" t="s">
        <v>1212</v>
      </c>
      <c r="K516">
        <v>239</v>
      </c>
      <c r="L516">
        <v>198.19</v>
      </c>
      <c r="M516" s="2">
        <v>46059</v>
      </c>
      <c r="N516" t="str">
        <f>IF(po_master[[#This Row],[Approved By]]="", "Missing Approval", "OK")</f>
        <v>OK</v>
      </c>
      <c r="O516" t="str">
        <f>IF(ISBLANK(po_master[[#This Row],[GR Quantity]]), "No GR - Not received", "OK")</f>
        <v>OK</v>
      </c>
      <c r="P516" s="1" t="str">
        <f>IF(po_master[[#This Row],[Promised Delivey Date]]&lt;po_master[[#This Row],[Order Date]], "Invalid", "OK")</f>
        <v>OK</v>
      </c>
      <c r="Q516" s="1" t="str">
        <f>IF(ISBLANK(po_master[[#This Row],[Invoice Number]]), "No Invoice", "OK")</f>
        <v>OK</v>
      </c>
      <c r="R516" s="1" t="str">
        <f>IF(AND(NOT(ISBLANK(po_master[[#This Row],[GR Quantity]])), po_master[[#This Row],[GR Quantity]]&lt;&gt;po_master[[#This Row],[PO Quantity]]), "Qty Variance", "OK")</f>
        <v>OK</v>
      </c>
      <c r="S516" s="1" t="str">
        <f>IF(po_master[[#This Row],[Invoice Unit Price]]&gt;po_master[[#This Row],[PO Unit Price]]*1.01, "Price Variance", "OK")</f>
        <v>OK</v>
      </c>
      <c r="T516" s="1" t="str">
        <f>IF(po_master[[#This Row],[Actual Delivery Date]]&gt;po_master[[#This Row],[Promised Delivey Date]], "Late Delivery", "OK")</f>
        <v>OK</v>
      </c>
      <c r="U516" s="1" t="str">
        <f>IF(COUNTIF(po_master[PO Number],po_master[[#This Row],[PO Number]])&gt;1, "Duplicate Invoice", "OK")</f>
        <v>OK</v>
      </c>
    </row>
    <row r="517" spans="1:21" x14ac:dyDescent="0.25">
      <c r="A517" s="1" t="s">
        <v>1187</v>
      </c>
      <c r="B517" s="1" t="s">
        <v>1486</v>
      </c>
      <c r="C517" s="2">
        <v>46172</v>
      </c>
      <c r="D517">
        <v>348</v>
      </c>
      <c r="E517">
        <v>79.11</v>
      </c>
      <c r="F517" s="1" t="s">
        <v>1456</v>
      </c>
      <c r="G517" s="2">
        <v>46186</v>
      </c>
      <c r="I517" s="2"/>
      <c r="J517" s="1" t="s">
        <v>1188</v>
      </c>
      <c r="K517">
        <v>348</v>
      </c>
      <c r="L517">
        <v>79.11</v>
      </c>
      <c r="M517" s="2">
        <v>46189</v>
      </c>
      <c r="N517" t="str">
        <f>IF(po_master[[#This Row],[Approved By]]="", "Missing Approval", "OK")</f>
        <v>OK</v>
      </c>
      <c r="O517" t="str">
        <f>IF(ISBLANK(po_master[[#This Row],[GR Quantity]]), "No GR - Not received", "OK")</f>
        <v>No GR - Not received</v>
      </c>
      <c r="P517" s="1" t="str">
        <f>IF(po_master[[#This Row],[Promised Delivey Date]]&lt;po_master[[#This Row],[Order Date]], "Invalid", "OK")</f>
        <v>OK</v>
      </c>
      <c r="Q517" s="1" t="str">
        <f>IF(ISBLANK(po_master[[#This Row],[Invoice Number]]), "No Invoice", "OK")</f>
        <v>OK</v>
      </c>
      <c r="R517" s="1" t="str">
        <f>IF(AND(NOT(ISBLANK(po_master[[#This Row],[GR Quantity]])), po_master[[#This Row],[GR Quantity]]&lt;&gt;po_master[[#This Row],[PO Quantity]]), "Qty Variance", "OK")</f>
        <v>OK</v>
      </c>
      <c r="S517" s="1" t="str">
        <f>IF(po_master[[#This Row],[Invoice Unit Price]]&gt;po_master[[#This Row],[PO Unit Price]]*1.01, "Price Variance", "OK")</f>
        <v>OK</v>
      </c>
      <c r="T517" s="1" t="str">
        <f>IF(po_master[[#This Row],[Actual Delivery Date]]&gt;po_master[[#This Row],[Promised Delivey Date]], "Late Delivery", "OK")</f>
        <v>OK</v>
      </c>
      <c r="U517" s="1" t="str">
        <f>IF(COUNTIF(po_master[PO Number],po_master[[#This Row],[PO Number]])&gt;1, "Duplicate Invoice", "OK")</f>
        <v>OK</v>
      </c>
    </row>
    <row r="518" spans="1:21" x14ac:dyDescent="0.25">
      <c r="A518" s="1" t="s">
        <v>456</v>
      </c>
      <c r="B518" s="1" t="s">
        <v>1471</v>
      </c>
      <c r="C518" s="2">
        <v>46152</v>
      </c>
      <c r="D518">
        <v>482</v>
      </c>
      <c r="E518">
        <v>184.48</v>
      </c>
      <c r="F518" s="1" t="s">
        <v>1499</v>
      </c>
      <c r="G518" s="2">
        <v>46170</v>
      </c>
      <c r="H518">
        <v>482</v>
      </c>
      <c r="I518" s="2">
        <v>46171</v>
      </c>
      <c r="J518" s="1" t="s">
        <v>1213</v>
      </c>
      <c r="K518">
        <v>482</v>
      </c>
      <c r="L518">
        <v>184.48</v>
      </c>
      <c r="M518" s="2">
        <v>46176</v>
      </c>
      <c r="N518" t="str">
        <f>IF(po_master[[#This Row],[Approved By]]="", "Missing Approval", "OK")</f>
        <v>OK</v>
      </c>
      <c r="O518" t="str">
        <f>IF(ISBLANK(po_master[[#This Row],[GR Quantity]]), "No GR - Not received", "OK")</f>
        <v>OK</v>
      </c>
      <c r="P518" s="1" t="str">
        <f>IF(po_master[[#This Row],[Promised Delivey Date]]&lt;po_master[[#This Row],[Order Date]], "Invalid", "OK")</f>
        <v>OK</v>
      </c>
      <c r="Q518" s="1" t="str">
        <f>IF(ISBLANK(po_master[[#This Row],[Invoice Number]]), "No Invoice", "OK")</f>
        <v>OK</v>
      </c>
      <c r="R518" s="1" t="str">
        <f>IF(AND(NOT(ISBLANK(po_master[[#This Row],[GR Quantity]])), po_master[[#This Row],[GR Quantity]]&lt;&gt;po_master[[#This Row],[PO Quantity]]), "Qty Variance", "OK")</f>
        <v>OK</v>
      </c>
      <c r="S518" s="1" t="str">
        <f>IF(po_master[[#This Row],[Invoice Unit Price]]&gt;po_master[[#This Row],[PO Unit Price]]*1.01, "Price Variance", "OK")</f>
        <v>OK</v>
      </c>
      <c r="T518" s="1" t="str">
        <f>IF(po_master[[#This Row],[Actual Delivery Date]]&gt;po_master[[#This Row],[Promised Delivey Date]], "Late Delivery", "OK")</f>
        <v>Late Delivery</v>
      </c>
      <c r="U518" s="1" t="str">
        <f>IF(COUNTIF(po_master[PO Number],po_master[[#This Row],[PO Number]])&gt;1, "Duplicate Invoice", "OK")</f>
        <v>Duplicate Invoice</v>
      </c>
    </row>
    <row r="519" spans="1:21" x14ac:dyDescent="0.25">
      <c r="A519" s="1" t="s">
        <v>456</v>
      </c>
      <c r="B519" s="1" t="s">
        <v>1471</v>
      </c>
      <c r="C519" s="2">
        <v>46152</v>
      </c>
      <c r="D519">
        <v>482</v>
      </c>
      <c r="E519">
        <v>184.48</v>
      </c>
      <c r="F519" s="1" t="s">
        <v>1499</v>
      </c>
      <c r="G519" s="2">
        <v>46170</v>
      </c>
      <c r="H519">
        <v>482</v>
      </c>
      <c r="I519" s="2">
        <v>46171</v>
      </c>
      <c r="J519" s="1" t="s">
        <v>1214</v>
      </c>
      <c r="K519">
        <v>482</v>
      </c>
      <c r="L519">
        <v>184.48</v>
      </c>
      <c r="M519" s="2">
        <v>46179</v>
      </c>
      <c r="N519" t="str">
        <f>IF(po_master[[#This Row],[Approved By]]="", "Missing Approval", "OK")</f>
        <v>OK</v>
      </c>
      <c r="O519" t="str">
        <f>IF(ISBLANK(po_master[[#This Row],[GR Quantity]]), "No GR - Not received", "OK")</f>
        <v>OK</v>
      </c>
      <c r="P519" s="1" t="str">
        <f>IF(po_master[[#This Row],[Promised Delivey Date]]&lt;po_master[[#This Row],[Order Date]], "Invalid", "OK")</f>
        <v>OK</v>
      </c>
      <c r="Q519" s="1" t="str">
        <f>IF(ISBLANK(po_master[[#This Row],[Invoice Number]]), "No Invoice", "OK")</f>
        <v>OK</v>
      </c>
      <c r="R519" s="1" t="str">
        <f>IF(AND(NOT(ISBLANK(po_master[[#This Row],[GR Quantity]])), po_master[[#This Row],[GR Quantity]]&lt;&gt;po_master[[#This Row],[PO Quantity]]), "Qty Variance", "OK")</f>
        <v>OK</v>
      </c>
      <c r="S519" s="1" t="str">
        <f>IF(po_master[[#This Row],[Invoice Unit Price]]&gt;po_master[[#This Row],[PO Unit Price]]*1.01, "Price Variance", "OK")</f>
        <v>OK</v>
      </c>
      <c r="T519" s="1" t="str">
        <f>IF(po_master[[#This Row],[Actual Delivery Date]]&gt;po_master[[#This Row],[Promised Delivey Date]], "Late Delivery", "OK")</f>
        <v>Late Delivery</v>
      </c>
      <c r="U519" s="1" t="str">
        <f>IF(COUNTIF(po_master[PO Number],po_master[[#This Row],[PO Number]])&gt;1, "Duplicate Invoice", "OK")</f>
        <v>Duplicate Invoice</v>
      </c>
    </row>
    <row r="520" spans="1:21" x14ac:dyDescent="0.25">
      <c r="A520" s="1" t="s">
        <v>457</v>
      </c>
      <c r="B520" s="1" t="s">
        <v>1471</v>
      </c>
      <c r="C520" s="2">
        <v>46032</v>
      </c>
      <c r="D520">
        <v>414</v>
      </c>
      <c r="E520">
        <v>193.84</v>
      </c>
      <c r="F520" s="1" t="s">
        <v>1499</v>
      </c>
      <c r="G520" s="2">
        <v>46039</v>
      </c>
      <c r="H520">
        <v>414</v>
      </c>
      <c r="I520" s="2">
        <v>46039</v>
      </c>
      <c r="J520" s="1" t="s">
        <v>1215</v>
      </c>
      <c r="K520">
        <v>414</v>
      </c>
      <c r="L520">
        <v>193.84</v>
      </c>
      <c r="M520" s="2">
        <v>46045</v>
      </c>
      <c r="N520" t="str">
        <f>IF(po_master[[#This Row],[Approved By]]="", "Missing Approval", "OK")</f>
        <v>OK</v>
      </c>
      <c r="O520" t="str">
        <f>IF(ISBLANK(po_master[[#This Row],[GR Quantity]]), "No GR - Not received", "OK")</f>
        <v>OK</v>
      </c>
      <c r="P520" s="1" t="str">
        <f>IF(po_master[[#This Row],[Promised Delivey Date]]&lt;po_master[[#This Row],[Order Date]], "Invalid", "OK")</f>
        <v>OK</v>
      </c>
      <c r="Q520" s="1" t="str">
        <f>IF(ISBLANK(po_master[[#This Row],[Invoice Number]]), "No Invoice", "OK")</f>
        <v>OK</v>
      </c>
      <c r="R520" s="1" t="str">
        <f>IF(AND(NOT(ISBLANK(po_master[[#This Row],[GR Quantity]])), po_master[[#This Row],[GR Quantity]]&lt;&gt;po_master[[#This Row],[PO Quantity]]), "Qty Variance", "OK")</f>
        <v>OK</v>
      </c>
      <c r="S520" s="1" t="str">
        <f>IF(po_master[[#This Row],[Invoice Unit Price]]&gt;po_master[[#This Row],[PO Unit Price]]*1.01, "Price Variance", "OK")</f>
        <v>OK</v>
      </c>
      <c r="T520" s="1" t="str">
        <f>IF(po_master[[#This Row],[Actual Delivery Date]]&gt;po_master[[#This Row],[Promised Delivey Date]], "Late Delivery", "OK")</f>
        <v>OK</v>
      </c>
      <c r="U520" s="1" t="str">
        <f>IF(COUNTIF(po_master[PO Number],po_master[[#This Row],[PO Number]])&gt;1, "Duplicate Invoice", "OK")</f>
        <v>OK</v>
      </c>
    </row>
    <row r="521" spans="1:21" x14ac:dyDescent="0.25">
      <c r="A521" s="1" t="s">
        <v>458</v>
      </c>
      <c r="B521" s="1" t="s">
        <v>1493</v>
      </c>
      <c r="C521" s="2">
        <v>46125</v>
      </c>
      <c r="D521">
        <v>395</v>
      </c>
      <c r="E521">
        <v>69.66</v>
      </c>
      <c r="F521" s="1" t="s">
        <v>1507</v>
      </c>
      <c r="G521" s="2">
        <v>46133</v>
      </c>
      <c r="H521">
        <v>395</v>
      </c>
      <c r="I521" s="2">
        <v>46135</v>
      </c>
      <c r="J521" s="1" t="s">
        <v>1218</v>
      </c>
      <c r="K521">
        <v>395</v>
      </c>
      <c r="L521">
        <v>69.66</v>
      </c>
      <c r="M521" s="2">
        <v>46135</v>
      </c>
      <c r="N521" t="str">
        <f>IF(po_master[[#This Row],[Approved By]]="", "Missing Approval", "OK")</f>
        <v>OK</v>
      </c>
      <c r="O521" t="str">
        <f>IF(ISBLANK(po_master[[#This Row],[GR Quantity]]), "No GR - Not received", "OK")</f>
        <v>OK</v>
      </c>
      <c r="P521" s="1" t="str">
        <f>IF(po_master[[#This Row],[Promised Delivey Date]]&lt;po_master[[#This Row],[Order Date]], "Invalid", "OK")</f>
        <v>OK</v>
      </c>
      <c r="Q521" s="1" t="str">
        <f>IF(ISBLANK(po_master[[#This Row],[Invoice Number]]), "No Invoice", "OK")</f>
        <v>OK</v>
      </c>
      <c r="R521" s="1" t="str">
        <f>IF(AND(NOT(ISBLANK(po_master[[#This Row],[GR Quantity]])), po_master[[#This Row],[GR Quantity]]&lt;&gt;po_master[[#This Row],[PO Quantity]]), "Qty Variance", "OK")</f>
        <v>OK</v>
      </c>
      <c r="S521" s="1" t="str">
        <f>IF(po_master[[#This Row],[Invoice Unit Price]]&gt;po_master[[#This Row],[PO Unit Price]]*1.01, "Price Variance", "OK")</f>
        <v>OK</v>
      </c>
      <c r="T521" s="1" t="str">
        <f>IF(po_master[[#This Row],[Actual Delivery Date]]&gt;po_master[[#This Row],[Promised Delivey Date]], "Late Delivery", "OK")</f>
        <v>Late Delivery</v>
      </c>
      <c r="U521" s="1" t="str">
        <f>IF(COUNTIF(po_master[PO Number],po_master[[#This Row],[PO Number]])&gt;1, "Duplicate Invoice", "OK")</f>
        <v>OK</v>
      </c>
    </row>
    <row r="522" spans="1:21" x14ac:dyDescent="0.25">
      <c r="A522" s="1" t="s">
        <v>1191</v>
      </c>
      <c r="B522" s="1" t="s">
        <v>1512</v>
      </c>
      <c r="C522" s="2">
        <v>46136</v>
      </c>
      <c r="D522">
        <v>194</v>
      </c>
      <c r="E522">
        <v>153.46</v>
      </c>
      <c r="F522" s="1" t="s">
        <v>1483</v>
      </c>
      <c r="G522" s="2">
        <v>46145</v>
      </c>
      <c r="I522" s="2"/>
      <c r="J522" s="1" t="s">
        <v>1192</v>
      </c>
      <c r="K522">
        <v>194</v>
      </c>
      <c r="L522">
        <v>153.46</v>
      </c>
      <c r="M522" s="2">
        <v>46147</v>
      </c>
      <c r="N522" t="str">
        <f>IF(po_master[[#This Row],[Approved By]]="", "Missing Approval", "OK")</f>
        <v>OK</v>
      </c>
      <c r="O522" t="str">
        <f>IF(ISBLANK(po_master[[#This Row],[GR Quantity]]), "No GR - Not received", "OK")</f>
        <v>No GR - Not received</v>
      </c>
      <c r="P522" s="1" t="str">
        <f>IF(po_master[[#This Row],[Promised Delivey Date]]&lt;po_master[[#This Row],[Order Date]], "Invalid", "OK")</f>
        <v>OK</v>
      </c>
      <c r="Q522" s="1" t="str">
        <f>IF(ISBLANK(po_master[[#This Row],[Invoice Number]]), "No Invoice", "OK")</f>
        <v>OK</v>
      </c>
      <c r="R522" s="1" t="str">
        <f>IF(AND(NOT(ISBLANK(po_master[[#This Row],[GR Quantity]])), po_master[[#This Row],[GR Quantity]]&lt;&gt;po_master[[#This Row],[PO Quantity]]), "Qty Variance", "OK")</f>
        <v>OK</v>
      </c>
      <c r="S522" s="1" t="str">
        <f>IF(po_master[[#This Row],[Invoice Unit Price]]&gt;po_master[[#This Row],[PO Unit Price]]*1.01, "Price Variance", "OK")</f>
        <v>OK</v>
      </c>
      <c r="T522" s="1" t="str">
        <f>IF(po_master[[#This Row],[Actual Delivery Date]]&gt;po_master[[#This Row],[Promised Delivey Date]], "Late Delivery", "OK")</f>
        <v>OK</v>
      </c>
      <c r="U522" s="1" t="str">
        <f>IF(COUNTIF(po_master[PO Number],po_master[[#This Row],[PO Number]])&gt;1, "Duplicate Invoice", "OK")</f>
        <v>OK</v>
      </c>
    </row>
    <row r="523" spans="1:21" x14ac:dyDescent="0.25">
      <c r="A523" s="1" t="s">
        <v>459</v>
      </c>
      <c r="B523" s="1" t="s">
        <v>1481</v>
      </c>
      <c r="C523" s="2">
        <v>46048</v>
      </c>
      <c r="D523">
        <v>142</v>
      </c>
      <c r="E523">
        <v>48.29</v>
      </c>
      <c r="F523" s="1" t="s">
        <v>1490</v>
      </c>
      <c r="G523" s="2">
        <v>46069</v>
      </c>
      <c r="H523">
        <v>142</v>
      </c>
      <c r="I523" s="2">
        <v>46069</v>
      </c>
      <c r="J523" s="1" t="s">
        <v>1219</v>
      </c>
      <c r="K523">
        <v>142</v>
      </c>
      <c r="L523">
        <v>48.29</v>
      </c>
      <c r="M523" s="2">
        <v>46077</v>
      </c>
      <c r="N523" t="str">
        <f>IF(po_master[[#This Row],[Approved By]]="", "Missing Approval", "OK")</f>
        <v>OK</v>
      </c>
      <c r="O523" t="str">
        <f>IF(ISBLANK(po_master[[#This Row],[GR Quantity]]), "No GR - Not received", "OK")</f>
        <v>OK</v>
      </c>
      <c r="P523" s="1" t="str">
        <f>IF(po_master[[#This Row],[Promised Delivey Date]]&lt;po_master[[#This Row],[Order Date]], "Invalid", "OK")</f>
        <v>OK</v>
      </c>
      <c r="Q523" s="1" t="str">
        <f>IF(ISBLANK(po_master[[#This Row],[Invoice Number]]), "No Invoice", "OK")</f>
        <v>OK</v>
      </c>
      <c r="R523" s="1" t="str">
        <f>IF(AND(NOT(ISBLANK(po_master[[#This Row],[GR Quantity]])), po_master[[#This Row],[GR Quantity]]&lt;&gt;po_master[[#This Row],[PO Quantity]]), "Qty Variance", "OK")</f>
        <v>OK</v>
      </c>
      <c r="S523" s="1" t="str">
        <f>IF(po_master[[#This Row],[Invoice Unit Price]]&gt;po_master[[#This Row],[PO Unit Price]]*1.01, "Price Variance", "OK")</f>
        <v>OK</v>
      </c>
      <c r="T523" s="1" t="str">
        <f>IF(po_master[[#This Row],[Actual Delivery Date]]&gt;po_master[[#This Row],[Promised Delivey Date]], "Late Delivery", "OK")</f>
        <v>OK</v>
      </c>
      <c r="U523" s="1" t="str">
        <f>IF(COUNTIF(po_master[PO Number],po_master[[#This Row],[PO Number]])&gt;1, "Duplicate Invoice", "OK")</f>
        <v>OK</v>
      </c>
    </row>
    <row r="524" spans="1:21" x14ac:dyDescent="0.25">
      <c r="A524" s="1" t="s">
        <v>460</v>
      </c>
      <c r="B524" s="1" t="s">
        <v>1454</v>
      </c>
      <c r="C524" s="2">
        <v>46171</v>
      </c>
      <c r="D524">
        <v>362</v>
      </c>
      <c r="E524">
        <v>117.17</v>
      </c>
      <c r="F524" s="1" t="s">
        <v>1469</v>
      </c>
      <c r="G524" s="2">
        <v>46187</v>
      </c>
      <c r="H524">
        <v>362</v>
      </c>
      <c r="I524" s="2">
        <v>46189</v>
      </c>
      <c r="J524" s="1" t="s">
        <v>1220</v>
      </c>
      <c r="K524">
        <v>362</v>
      </c>
      <c r="L524">
        <v>117.17</v>
      </c>
      <c r="M524" s="2">
        <v>46189</v>
      </c>
      <c r="N524" t="str">
        <f>IF(po_master[[#This Row],[Approved By]]="", "Missing Approval", "OK")</f>
        <v>OK</v>
      </c>
      <c r="O524" t="str">
        <f>IF(ISBLANK(po_master[[#This Row],[GR Quantity]]), "No GR - Not received", "OK")</f>
        <v>OK</v>
      </c>
      <c r="P524" s="1" t="str">
        <f>IF(po_master[[#This Row],[Promised Delivey Date]]&lt;po_master[[#This Row],[Order Date]], "Invalid", "OK")</f>
        <v>OK</v>
      </c>
      <c r="Q524" s="1" t="str">
        <f>IF(ISBLANK(po_master[[#This Row],[Invoice Number]]), "No Invoice", "OK")</f>
        <v>OK</v>
      </c>
      <c r="R524" s="1" t="str">
        <f>IF(AND(NOT(ISBLANK(po_master[[#This Row],[GR Quantity]])), po_master[[#This Row],[GR Quantity]]&lt;&gt;po_master[[#This Row],[PO Quantity]]), "Qty Variance", "OK")</f>
        <v>OK</v>
      </c>
      <c r="S524" s="1" t="str">
        <f>IF(po_master[[#This Row],[Invoice Unit Price]]&gt;po_master[[#This Row],[PO Unit Price]]*1.01, "Price Variance", "OK")</f>
        <v>OK</v>
      </c>
      <c r="T524" s="1" t="str">
        <f>IF(po_master[[#This Row],[Actual Delivery Date]]&gt;po_master[[#This Row],[Promised Delivey Date]], "Late Delivery", "OK")</f>
        <v>Late Delivery</v>
      </c>
      <c r="U524" s="1" t="str">
        <f>IF(COUNTIF(po_master[PO Number],po_master[[#This Row],[PO Number]])&gt;1, "Duplicate Invoice", "OK")</f>
        <v>OK</v>
      </c>
    </row>
    <row r="525" spans="1:21" x14ac:dyDescent="0.25">
      <c r="A525" s="1" t="s">
        <v>461</v>
      </c>
      <c r="B525" s="1" t="s">
        <v>1488</v>
      </c>
      <c r="C525" s="2">
        <v>46141</v>
      </c>
      <c r="D525">
        <v>405</v>
      </c>
      <c r="E525">
        <v>137.51</v>
      </c>
      <c r="F525" s="1" t="s">
        <v>1499</v>
      </c>
      <c r="G525" s="2">
        <v>46162</v>
      </c>
      <c r="H525">
        <v>405</v>
      </c>
      <c r="I525" s="2">
        <v>46162</v>
      </c>
      <c r="J525" s="1" t="s">
        <v>1221</v>
      </c>
      <c r="K525">
        <v>405</v>
      </c>
      <c r="L525">
        <v>137.51</v>
      </c>
      <c r="M525" s="2">
        <v>46166</v>
      </c>
      <c r="N525" t="str">
        <f>IF(po_master[[#This Row],[Approved By]]="", "Missing Approval", "OK")</f>
        <v>OK</v>
      </c>
      <c r="O525" t="str">
        <f>IF(ISBLANK(po_master[[#This Row],[GR Quantity]]), "No GR - Not received", "OK")</f>
        <v>OK</v>
      </c>
      <c r="P525" s="1" t="str">
        <f>IF(po_master[[#This Row],[Promised Delivey Date]]&lt;po_master[[#This Row],[Order Date]], "Invalid", "OK")</f>
        <v>OK</v>
      </c>
      <c r="Q525" s="1" t="str">
        <f>IF(ISBLANK(po_master[[#This Row],[Invoice Number]]), "No Invoice", "OK")</f>
        <v>OK</v>
      </c>
      <c r="R525" s="1" t="str">
        <f>IF(AND(NOT(ISBLANK(po_master[[#This Row],[GR Quantity]])), po_master[[#This Row],[GR Quantity]]&lt;&gt;po_master[[#This Row],[PO Quantity]]), "Qty Variance", "OK")</f>
        <v>OK</v>
      </c>
      <c r="S525" s="1" t="str">
        <f>IF(po_master[[#This Row],[Invoice Unit Price]]&gt;po_master[[#This Row],[PO Unit Price]]*1.01, "Price Variance", "OK")</f>
        <v>OK</v>
      </c>
      <c r="T525" s="1" t="str">
        <f>IF(po_master[[#This Row],[Actual Delivery Date]]&gt;po_master[[#This Row],[Promised Delivey Date]], "Late Delivery", "OK")</f>
        <v>OK</v>
      </c>
      <c r="U525" s="1" t="str">
        <f>IF(COUNTIF(po_master[PO Number],po_master[[#This Row],[PO Number]])&gt;1, "Duplicate Invoice", "OK")</f>
        <v>OK</v>
      </c>
    </row>
    <row r="526" spans="1:21" x14ac:dyDescent="0.25">
      <c r="A526" s="1" t="s">
        <v>462</v>
      </c>
      <c r="B526" s="1" t="s">
        <v>1464</v>
      </c>
      <c r="C526" s="2">
        <v>46111</v>
      </c>
      <c r="D526">
        <v>22</v>
      </c>
      <c r="E526">
        <v>99.14</v>
      </c>
      <c r="F526" s="1" t="s">
        <v>1474</v>
      </c>
      <c r="G526" s="2">
        <v>46129</v>
      </c>
      <c r="H526">
        <v>22</v>
      </c>
      <c r="I526" s="2">
        <v>46129</v>
      </c>
      <c r="J526" s="1" t="s">
        <v>1222</v>
      </c>
      <c r="K526">
        <v>22</v>
      </c>
      <c r="L526">
        <v>99.14</v>
      </c>
      <c r="M526" s="2">
        <v>46139</v>
      </c>
      <c r="N526" t="str">
        <f>IF(po_master[[#This Row],[Approved By]]="", "Missing Approval", "OK")</f>
        <v>OK</v>
      </c>
      <c r="O526" t="str">
        <f>IF(ISBLANK(po_master[[#This Row],[GR Quantity]]), "No GR - Not received", "OK")</f>
        <v>OK</v>
      </c>
      <c r="P526" s="1" t="str">
        <f>IF(po_master[[#This Row],[Promised Delivey Date]]&lt;po_master[[#This Row],[Order Date]], "Invalid", "OK")</f>
        <v>OK</v>
      </c>
      <c r="Q526" s="1" t="str">
        <f>IF(ISBLANK(po_master[[#This Row],[Invoice Number]]), "No Invoice", "OK")</f>
        <v>OK</v>
      </c>
      <c r="R526" s="1" t="str">
        <f>IF(AND(NOT(ISBLANK(po_master[[#This Row],[GR Quantity]])), po_master[[#This Row],[GR Quantity]]&lt;&gt;po_master[[#This Row],[PO Quantity]]), "Qty Variance", "OK")</f>
        <v>OK</v>
      </c>
      <c r="S526" s="1" t="str">
        <f>IF(po_master[[#This Row],[Invoice Unit Price]]&gt;po_master[[#This Row],[PO Unit Price]]*1.01, "Price Variance", "OK")</f>
        <v>OK</v>
      </c>
      <c r="T526" s="1" t="str">
        <f>IF(po_master[[#This Row],[Actual Delivery Date]]&gt;po_master[[#This Row],[Promised Delivey Date]], "Late Delivery", "OK")</f>
        <v>OK</v>
      </c>
      <c r="U526" s="1" t="str">
        <f>IF(COUNTIF(po_master[PO Number],po_master[[#This Row],[PO Number]])&gt;1, "Duplicate Invoice", "OK")</f>
        <v>OK</v>
      </c>
    </row>
    <row r="527" spans="1:21" x14ac:dyDescent="0.25">
      <c r="A527" s="1" t="s">
        <v>463</v>
      </c>
      <c r="B527" s="1" t="s">
        <v>1512</v>
      </c>
      <c r="C527" s="2">
        <v>46110</v>
      </c>
      <c r="D527">
        <v>243</v>
      </c>
      <c r="E527">
        <v>157.93</v>
      </c>
      <c r="F527" s="1" t="s">
        <v>1504</v>
      </c>
      <c r="G527" s="2">
        <v>46130</v>
      </c>
      <c r="H527">
        <v>243</v>
      </c>
      <c r="I527" s="2">
        <v>46129</v>
      </c>
      <c r="J527" s="1" t="s">
        <v>1225</v>
      </c>
      <c r="K527">
        <v>243</v>
      </c>
      <c r="L527">
        <v>157.93</v>
      </c>
      <c r="M527" s="2">
        <v>46135</v>
      </c>
      <c r="N527" t="str">
        <f>IF(po_master[[#This Row],[Approved By]]="", "Missing Approval", "OK")</f>
        <v>OK</v>
      </c>
      <c r="O527" t="str">
        <f>IF(ISBLANK(po_master[[#This Row],[GR Quantity]]), "No GR - Not received", "OK")</f>
        <v>OK</v>
      </c>
      <c r="P527" s="1" t="str">
        <f>IF(po_master[[#This Row],[Promised Delivey Date]]&lt;po_master[[#This Row],[Order Date]], "Invalid", "OK")</f>
        <v>OK</v>
      </c>
      <c r="Q527" s="1" t="str">
        <f>IF(ISBLANK(po_master[[#This Row],[Invoice Number]]), "No Invoice", "OK")</f>
        <v>OK</v>
      </c>
      <c r="R527" s="1" t="str">
        <f>IF(AND(NOT(ISBLANK(po_master[[#This Row],[GR Quantity]])), po_master[[#This Row],[GR Quantity]]&lt;&gt;po_master[[#This Row],[PO Quantity]]), "Qty Variance", "OK")</f>
        <v>OK</v>
      </c>
      <c r="S527" s="1" t="str">
        <f>IF(po_master[[#This Row],[Invoice Unit Price]]&gt;po_master[[#This Row],[PO Unit Price]]*1.01, "Price Variance", "OK")</f>
        <v>OK</v>
      </c>
      <c r="T527" s="1" t="str">
        <f>IF(po_master[[#This Row],[Actual Delivery Date]]&gt;po_master[[#This Row],[Promised Delivey Date]], "Late Delivery", "OK")</f>
        <v>OK</v>
      </c>
      <c r="U527" s="1" t="str">
        <f>IF(COUNTIF(po_master[PO Number],po_master[[#This Row],[PO Number]])&gt;1, "Duplicate Invoice", "OK")</f>
        <v>OK</v>
      </c>
    </row>
    <row r="528" spans="1:21" x14ac:dyDescent="0.25">
      <c r="A528" s="1" t="s">
        <v>464</v>
      </c>
      <c r="B528" s="1" t="s">
        <v>1503</v>
      </c>
      <c r="C528" s="2">
        <v>46144</v>
      </c>
      <c r="D528">
        <v>59</v>
      </c>
      <c r="E528">
        <v>90.44</v>
      </c>
      <c r="F528" s="1" t="s">
        <v>1499</v>
      </c>
      <c r="G528" s="2">
        <v>46163</v>
      </c>
      <c r="H528">
        <v>59</v>
      </c>
      <c r="I528" s="2">
        <v>46162</v>
      </c>
      <c r="J528" s="1" t="s">
        <v>1226</v>
      </c>
      <c r="K528">
        <v>59</v>
      </c>
      <c r="L528">
        <v>90.44</v>
      </c>
      <c r="M528" s="2">
        <v>46171</v>
      </c>
      <c r="N528" t="str">
        <f>IF(po_master[[#This Row],[Approved By]]="", "Missing Approval", "OK")</f>
        <v>OK</v>
      </c>
      <c r="O528" t="str">
        <f>IF(ISBLANK(po_master[[#This Row],[GR Quantity]]), "No GR - Not received", "OK")</f>
        <v>OK</v>
      </c>
      <c r="P528" s="1" t="str">
        <f>IF(po_master[[#This Row],[Promised Delivey Date]]&lt;po_master[[#This Row],[Order Date]], "Invalid", "OK")</f>
        <v>OK</v>
      </c>
      <c r="Q528" s="1" t="str">
        <f>IF(ISBLANK(po_master[[#This Row],[Invoice Number]]), "No Invoice", "OK")</f>
        <v>OK</v>
      </c>
      <c r="R528" s="1" t="str">
        <f>IF(AND(NOT(ISBLANK(po_master[[#This Row],[GR Quantity]])), po_master[[#This Row],[GR Quantity]]&lt;&gt;po_master[[#This Row],[PO Quantity]]), "Qty Variance", "OK")</f>
        <v>OK</v>
      </c>
      <c r="S528" s="1" t="str">
        <f>IF(po_master[[#This Row],[Invoice Unit Price]]&gt;po_master[[#This Row],[PO Unit Price]]*1.01, "Price Variance", "OK")</f>
        <v>OK</v>
      </c>
      <c r="T528" s="1" t="str">
        <f>IF(po_master[[#This Row],[Actual Delivery Date]]&gt;po_master[[#This Row],[Promised Delivey Date]], "Late Delivery", "OK")</f>
        <v>OK</v>
      </c>
      <c r="U528" s="1" t="str">
        <f>IF(COUNTIF(po_master[PO Number],po_master[[#This Row],[PO Number]])&gt;1, "Duplicate Invoice", "OK")</f>
        <v>OK</v>
      </c>
    </row>
    <row r="529" spans="1:21" x14ac:dyDescent="0.25">
      <c r="A529" s="1" t="s">
        <v>465</v>
      </c>
      <c r="B529" s="1" t="s">
        <v>1509</v>
      </c>
      <c r="C529" s="2">
        <v>46040</v>
      </c>
      <c r="D529">
        <v>163</v>
      </c>
      <c r="E529">
        <v>13.71</v>
      </c>
      <c r="F529" s="1" t="s">
        <v>1499</v>
      </c>
      <c r="G529" s="2">
        <v>46048</v>
      </c>
      <c r="H529">
        <v>163</v>
      </c>
      <c r="I529" s="2">
        <v>46047</v>
      </c>
      <c r="J529" s="1" t="s">
        <v>1227</v>
      </c>
      <c r="K529">
        <v>163</v>
      </c>
      <c r="L529">
        <v>13.71</v>
      </c>
      <c r="M529" s="2">
        <v>46050</v>
      </c>
      <c r="N529" t="str">
        <f>IF(po_master[[#This Row],[Approved By]]="", "Missing Approval", "OK")</f>
        <v>OK</v>
      </c>
      <c r="O529" t="str">
        <f>IF(ISBLANK(po_master[[#This Row],[GR Quantity]]), "No GR - Not received", "OK")</f>
        <v>OK</v>
      </c>
      <c r="P529" s="1" t="str">
        <f>IF(po_master[[#This Row],[Promised Delivey Date]]&lt;po_master[[#This Row],[Order Date]], "Invalid", "OK")</f>
        <v>OK</v>
      </c>
      <c r="Q529" s="1" t="str">
        <f>IF(ISBLANK(po_master[[#This Row],[Invoice Number]]), "No Invoice", "OK")</f>
        <v>OK</v>
      </c>
      <c r="R529" s="1" t="str">
        <f>IF(AND(NOT(ISBLANK(po_master[[#This Row],[GR Quantity]])), po_master[[#This Row],[GR Quantity]]&lt;&gt;po_master[[#This Row],[PO Quantity]]), "Qty Variance", "OK")</f>
        <v>OK</v>
      </c>
      <c r="S529" s="1" t="str">
        <f>IF(po_master[[#This Row],[Invoice Unit Price]]&gt;po_master[[#This Row],[PO Unit Price]]*1.01, "Price Variance", "OK")</f>
        <v>OK</v>
      </c>
      <c r="T529" s="1" t="str">
        <f>IF(po_master[[#This Row],[Actual Delivery Date]]&gt;po_master[[#This Row],[Promised Delivey Date]], "Late Delivery", "OK")</f>
        <v>OK</v>
      </c>
      <c r="U529" s="1" t="str">
        <f>IF(COUNTIF(po_master[PO Number],po_master[[#This Row],[PO Number]])&gt;1, "Duplicate Invoice", "OK")</f>
        <v>OK</v>
      </c>
    </row>
    <row r="530" spans="1:21" x14ac:dyDescent="0.25">
      <c r="A530" s="1" t="s">
        <v>466</v>
      </c>
      <c r="B530" s="1" t="s">
        <v>1473</v>
      </c>
      <c r="C530" s="2">
        <v>46110</v>
      </c>
      <c r="D530">
        <v>341</v>
      </c>
      <c r="E530">
        <v>26.33</v>
      </c>
      <c r="F530" s="1" t="s">
        <v>1501</v>
      </c>
      <c r="G530" s="2">
        <v>46122</v>
      </c>
      <c r="H530">
        <v>341</v>
      </c>
      <c r="I530" s="2">
        <v>46135</v>
      </c>
      <c r="J530" s="1" t="s">
        <v>1228</v>
      </c>
      <c r="K530">
        <v>341</v>
      </c>
      <c r="L530">
        <v>26.33</v>
      </c>
      <c r="M530" s="2">
        <v>46126</v>
      </c>
      <c r="N530" t="str">
        <f>IF(po_master[[#This Row],[Approved By]]="", "Missing Approval", "OK")</f>
        <v>OK</v>
      </c>
      <c r="O530" t="str">
        <f>IF(ISBLANK(po_master[[#This Row],[GR Quantity]]), "No GR - Not received", "OK")</f>
        <v>OK</v>
      </c>
      <c r="P530" s="1" t="str">
        <f>IF(po_master[[#This Row],[Promised Delivey Date]]&lt;po_master[[#This Row],[Order Date]], "Invalid", "OK")</f>
        <v>OK</v>
      </c>
      <c r="Q530" s="1" t="str">
        <f>IF(ISBLANK(po_master[[#This Row],[Invoice Number]]), "No Invoice", "OK")</f>
        <v>OK</v>
      </c>
      <c r="R530" s="1" t="str">
        <f>IF(AND(NOT(ISBLANK(po_master[[#This Row],[GR Quantity]])), po_master[[#This Row],[GR Quantity]]&lt;&gt;po_master[[#This Row],[PO Quantity]]), "Qty Variance", "OK")</f>
        <v>OK</v>
      </c>
      <c r="S530" s="1" t="str">
        <f>IF(po_master[[#This Row],[Invoice Unit Price]]&gt;po_master[[#This Row],[PO Unit Price]]*1.01, "Price Variance", "OK")</f>
        <v>OK</v>
      </c>
      <c r="T530" s="1" t="str">
        <f>IF(po_master[[#This Row],[Actual Delivery Date]]&gt;po_master[[#This Row],[Promised Delivey Date]], "Late Delivery", "OK")</f>
        <v>Late Delivery</v>
      </c>
      <c r="U530" s="1" t="str">
        <f>IF(COUNTIF(po_master[PO Number],po_master[[#This Row],[PO Number]])&gt;1, "Duplicate Invoice", "OK")</f>
        <v>OK</v>
      </c>
    </row>
    <row r="531" spans="1:21" x14ac:dyDescent="0.25">
      <c r="A531" s="1" t="s">
        <v>467</v>
      </c>
      <c r="B531" s="1" t="s">
        <v>1491</v>
      </c>
      <c r="C531" s="2">
        <v>46067</v>
      </c>
      <c r="D531">
        <v>292</v>
      </c>
      <c r="E531">
        <v>36.229999999999997</v>
      </c>
      <c r="F531" s="1" t="s">
        <v>1442</v>
      </c>
      <c r="G531" s="2">
        <v>46085</v>
      </c>
      <c r="H531">
        <v>292</v>
      </c>
      <c r="I531" s="2">
        <v>46083</v>
      </c>
      <c r="J531" s="1" t="s">
        <v>1229</v>
      </c>
      <c r="K531">
        <v>292</v>
      </c>
      <c r="L531">
        <v>36.229999999999997</v>
      </c>
      <c r="M531" s="2">
        <v>46087</v>
      </c>
      <c r="N531" t="str">
        <f>IF(po_master[[#This Row],[Approved By]]="", "Missing Approval", "OK")</f>
        <v>OK</v>
      </c>
      <c r="O531" t="str">
        <f>IF(ISBLANK(po_master[[#This Row],[GR Quantity]]), "No GR - Not received", "OK")</f>
        <v>OK</v>
      </c>
      <c r="P531" s="1" t="str">
        <f>IF(po_master[[#This Row],[Promised Delivey Date]]&lt;po_master[[#This Row],[Order Date]], "Invalid", "OK")</f>
        <v>OK</v>
      </c>
      <c r="Q531" s="1" t="str">
        <f>IF(ISBLANK(po_master[[#This Row],[Invoice Number]]), "No Invoice", "OK")</f>
        <v>OK</v>
      </c>
      <c r="R531" s="1" t="str">
        <f>IF(AND(NOT(ISBLANK(po_master[[#This Row],[GR Quantity]])), po_master[[#This Row],[GR Quantity]]&lt;&gt;po_master[[#This Row],[PO Quantity]]), "Qty Variance", "OK")</f>
        <v>OK</v>
      </c>
      <c r="S531" s="1" t="str">
        <f>IF(po_master[[#This Row],[Invoice Unit Price]]&gt;po_master[[#This Row],[PO Unit Price]]*1.01, "Price Variance", "OK")</f>
        <v>OK</v>
      </c>
      <c r="T531" s="1" t="str">
        <f>IF(po_master[[#This Row],[Actual Delivery Date]]&gt;po_master[[#This Row],[Promised Delivey Date]], "Late Delivery", "OK")</f>
        <v>OK</v>
      </c>
      <c r="U531" s="1" t="str">
        <f>IF(COUNTIF(po_master[PO Number],po_master[[#This Row],[PO Number]])&gt;1, "Duplicate Invoice", "OK")</f>
        <v>OK</v>
      </c>
    </row>
    <row r="532" spans="1:21" x14ac:dyDescent="0.25">
      <c r="A532" s="1" t="s">
        <v>468</v>
      </c>
      <c r="B532" s="1" t="s">
        <v>1489</v>
      </c>
      <c r="C532" s="2">
        <v>46082</v>
      </c>
      <c r="D532">
        <v>418</v>
      </c>
      <c r="E532">
        <v>83.98</v>
      </c>
      <c r="F532" s="1" t="s">
        <v>1501</v>
      </c>
      <c r="G532" s="2">
        <v>46092</v>
      </c>
      <c r="H532">
        <v>418</v>
      </c>
      <c r="I532" s="2">
        <v>46093</v>
      </c>
      <c r="J532" s="1" t="s">
        <v>1230</v>
      </c>
      <c r="K532">
        <v>418</v>
      </c>
      <c r="L532">
        <v>83.98</v>
      </c>
      <c r="M532" s="2">
        <v>46093</v>
      </c>
      <c r="N532" t="str">
        <f>IF(po_master[[#This Row],[Approved By]]="", "Missing Approval", "OK")</f>
        <v>OK</v>
      </c>
      <c r="O532" t="str">
        <f>IF(ISBLANK(po_master[[#This Row],[GR Quantity]]), "No GR - Not received", "OK")</f>
        <v>OK</v>
      </c>
      <c r="P532" s="1" t="str">
        <f>IF(po_master[[#This Row],[Promised Delivey Date]]&lt;po_master[[#This Row],[Order Date]], "Invalid", "OK")</f>
        <v>OK</v>
      </c>
      <c r="Q532" s="1" t="str">
        <f>IF(ISBLANK(po_master[[#This Row],[Invoice Number]]), "No Invoice", "OK")</f>
        <v>OK</v>
      </c>
      <c r="R532" s="1" t="str">
        <f>IF(AND(NOT(ISBLANK(po_master[[#This Row],[GR Quantity]])), po_master[[#This Row],[GR Quantity]]&lt;&gt;po_master[[#This Row],[PO Quantity]]), "Qty Variance", "OK")</f>
        <v>OK</v>
      </c>
      <c r="S532" s="1" t="str">
        <f>IF(po_master[[#This Row],[Invoice Unit Price]]&gt;po_master[[#This Row],[PO Unit Price]]*1.01, "Price Variance", "OK")</f>
        <v>OK</v>
      </c>
      <c r="T532" s="1" t="str">
        <f>IF(po_master[[#This Row],[Actual Delivery Date]]&gt;po_master[[#This Row],[Promised Delivey Date]], "Late Delivery", "OK")</f>
        <v>Late Delivery</v>
      </c>
      <c r="U532" s="1" t="str">
        <f>IF(COUNTIF(po_master[PO Number],po_master[[#This Row],[PO Number]])&gt;1, "Duplicate Invoice", "OK")</f>
        <v>OK</v>
      </c>
    </row>
    <row r="533" spans="1:21" x14ac:dyDescent="0.25">
      <c r="A533" s="1" t="s">
        <v>469</v>
      </c>
      <c r="B533" s="1" t="s">
        <v>1439</v>
      </c>
      <c r="C533" s="2">
        <v>46133</v>
      </c>
      <c r="D533">
        <v>212</v>
      </c>
      <c r="E533">
        <v>10.69</v>
      </c>
      <c r="F533" s="1" t="s">
        <v>1494</v>
      </c>
      <c r="G533" s="2">
        <v>46144</v>
      </c>
      <c r="H533">
        <v>212</v>
      </c>
      <c r="I533" s="2">
        <v>46142</v>
      </c>
      <c r="J533" s="1" t="s">
        <v>1231</v>
      </c>
      <c r="K533">
        <v>212</v>
      </c>
      <c r="L533">
        <v>10.69</v>
      </c>
      <c r="M533" s="2">
        <v>46151</v>
      </c>
      <c r="N533" t="str">
        <f>IF(po_master[[#This Row],[Approved By]]="", "Missing Approval", "OK")</f>
        <v>OK</v>
      </c>
      <c r="O533" t="str">
        <f>IF(ISBLANK(po_master[[#This Row],[GR Quantity]]), "No GR - Not received", "OK")</f>
        <v>OK</v>
      </c>
      <c r="P533" s="1" t="str">
        <f>IF(po_master[[#This Row],[Promised Delivey Date]]&lt;po_master[[#This Row],[Order Date]], "Invalid", "OK")</f>
        <v>OK</v>
      </c>
      <c r="Q533" s="1" t="str">
        <f>IF(ISBLANK(po_master[[#This Row],[Invoice Number]]), "No Invoice", "OK")</f>
        <v>OK</v>
      </c>
      <c r="R533" s="1" t="str">
        <f>IF(AND(NOT(ISBLANK(po_master[[#This Row],[GR Quantity]])), po_master[[#This Row],[GR Quantity]]&lt;&gt;po_master[[#This Row],[PO Quantity]]), "Qty Variance", "OK")</f>
        <v>OK</v>
      </c>
      <c r="S533" s="1" t="str">
        <f>IF(po_master[[#This Row],[Invoice Unit Price]]&gt;po_master[[#This Row],[PO Unit Price]]*1.01, "Price Variance", "OK")</f>
        <v>OK</v>
      </c>
      <c r="T533" s="1" t="str">
        <f>IF(po_master[[#This Row],[Actual Delivery Date]]&gt;po_master[[#This Row],[Promised Delivey Date]], "Late Delivery", "OK")</f>
        <v>OK</v>
      </c>
      <c r="U533" s="1" t="str">
        <f>IF(COUNTIF(po_master[PO Number],po_master[[#This Row],[PO Number]])&gt;1, "Duplicate Invoice", "OK")</f>
        <v>OK</v>
      </c>
    </row>
    <row r="534" spans="1:21" x14ac:dyDescent="0.25">
      <c r="A534" s="1" t="s">
        <v>470</v>
      </c>
      <c r="B534" s="1" t="s">
        <v>1478</v>
      </c>
      <c r="C534" s="2">
        <v>46132</v>
      </c>
      <c r="D534">
        <v>209</v>
      </c>
      <c r="E534">
        <v>5.87</v>
      </c>
      <c r="F534" s="1" t="s">
        <v>1444</v>
      </c>
      <c r="G534" s="2">
        <v>46143</v>
      </c>
      <c r="H534">
        <v>209</v>
      </c>
      <c r="I534" s="2">
        <v>46144</v>
      </c>
      <c r="J534" s="1" t="s">
        <v>1232</v>
      </c>
      <c r="K534">
        <v>209</v>
      </c>
      <c r="L534">
        <v>5.87</v>
      </c>
      <c r="M534" s="2">
        <v>46148</v>
      </c>
      <c r="N534" t="str">
        <f>IF(po_master[[#This Row],[Approved By]]="", "Missing Approval", "OK")</f>
        <v>OK</v>
      </c>
      <c r="O534" t="str">
        <f>IF(ISBLANK(po_master[[#This Row],[GR Quantity]]), "No GR - Not received", "OK")</f>
        <v>OK</v>
      </c>
      <c r="P534" s="1" t="str">
        <f>IF(po_master[[#This Row],[Promised Delivey Date]]&lt;po_master[[#This Row],[Order Date]], "Invalid", "OK")</f>
        <v>OK</v>
      </c>
      <c r="Q534" s="1" t="str">
        <f>IF(ISBLANK(po_master[[#This Row],[Invoice Number]]), "No Invoice", "OK")</f>
        <v>OK</v>
      </c>
      <c r="R534" s="1" t="str">
        <f>IF(AND(NOT(ISBLANK(po_master[[#This Row],[GR Quantity]])), po_master[[#This Row],[GR Quantity]]&lt;&gt;po_master[[#This Row],[PO Quantity]]), "Qty Variance", "OK")</f>
        <v>OK</v>
      </c>
      <c r="S534" s="1" t="str">
        <f>IF(po_master[[#This Row],[Invoice Unit Price]]&gt;po_master[[#This Row],[PO Unit Price]]*1.01, "Price Variance", "OK")</f>
        <v>OK</v>
      </c>
      <c r="T534" s="1" t="str">
        <f>IF(po_master[[#This Row],[Actual Delivery Date]]&gt;po_master[[#This Row],[Promised Delivey Date]], "Late Delivery", "OK")</f>
        <v>Late Delivery</v>
      </c>
      <c r="U534" s="1" t="str">
        <f>IF(COUNTIF(po_master[PO Number],po_master[[#This Row],[PO Number]])&gt;1, "Duplicate Invoice", "OK")</f>
        <v>OK</v>
      </c>
    </row>
    <row r="535" spans="1:21" x14ac:dyDescent="0.25">
      <c r="A535" s="1" t="s">
        <v>471</v>
      </c>
      <c r="B535" s="1" t="s">
        <v>1511</v>
      </c>
      <c r="C535" s="2">
        <v>46039</v>
      </c>
      <c r="D535">
        <v>305</v>
      </c>
      <c r="E535">
        <v>24.84</v>
      </c>
      <c r="F535" s="1" t="s">
        <v>1459</v>
      </c>
      <c r="G535" s="2">
        <v>46049</v>
      </c>
      <c r="H535">
        <v>305</v>
      </c>
      <c r="I535" s="2">
        <v>46051</v>
      </c>
      <c r="J535" s="1" t="s">
        <v>1233</v>
      </c>
      <c r="K535">
        <v>305</v>
      </c>
      <c r="L535">
        <v>24.84</v>
      </c>
      <c r="M535" s="2">
        <v>46051</v>
      </c>
      <c r="N535" t="str">
        <f>IF(po_master[[#This Row],[Approved By]]="", "Missing Approval", "OK")</f>
        <v>Missing Approval</v>
      </c>
      <c r="O535" t="str">
        <f>IF(ISBLANK(po_master[[#This Row],[GR Quantity]]), "No GR - Not received", "OK")</f>
        <v>OK</v>
      </c>
      <c r="P535" s="1" t="str">
        <f>IF(po_master[[#This Row],[Promised Delivey Date]]&lt;po_master[[#This Row],[Order Date]], "Invalid", "OK")</f>
        <v>OK</v>
      </c>
      <c r="Q535" s="1" t="str">
        <f>IF(ISBLANK(po_master[[#This Row],[Invoice Number]]), "No Invoice", "OK")</f>
        <v>OK</v>
      </c>
      <c r="R535" s="1" t="str">
        <f>IF(AND(NOT(ISBLANK(po_master[[#This Row],[GR Quantity]])), po_master[[#This Row],[GR Quantity]]&lt;&gt;po_master[[#This Row],[PO Quantity]]), "Qty Variance", "OK")</f>
        <v>OK</v>
      </c>
      <c r="S535" s="1" t="str">
        <f>IF(po_master[[#This Row],[Invoice Unit Price]]&gt;po_master[[#This Row],[PO Unit Price]]*1.01, "Price Variance", "OK")</f>
        <v>OK</v>
      </c>
      <c r="T535" s="1" t="str">
        <f>IF(po_master[[#This Row],[Actual Delivery Date]]&gt;po_master[[#This Row],[Promised Delivey Date]], "Late Delivery", "OK")</f>
        <v>Late Delivery</v>
      </c>
      <c r="U535" s="1" t="str">
        <f>IF(COUNTIF(po_master[PO Number],po_master[[#This Row],[PO Number]])&gt;1, "Duplicate Invoice", "OK")</f>
        <v>OK</v>
      </c>
    </row>
    <row r="536" spans="1:21" x14ac:dyDescent="0.25">
      <c r="A536" s="1" t="s">
        <v>472</v>
      </c>
      <c r="B536" s="1" t="s">
        <v>1496</v>
      </c>
      <c r="C536" s="2">
        <v>46106</v>
      </c>
      <c r="D536">
        <v>110</v>
      </c>
      <c r="E536">
        <v>94.22</v>
      </c>
      <c r="F536" s="1" t="s">
        <v>1458</v>
      </c>
      <c r="G536" s="2">
        <v>46126</v>
      </c>
      <c r="H536">
        <v>110</v>
      </c>
      <c r="I536" s="2">
        <v>46127</v>
      </c>
      <c r="J536" s="1" t="s">
        <v>1234</v>
      </c>
      <c r="K536">
        <v>110</v>
      </c>
      <c r="L536">
        <v>94.22</v>
      </c>
      <c r="M536" s="2">
        <v>46134</v>
      </c>
      <c r="N536" t="str">
        <f>IF(po_master[[#This Row],[Approved By]]="", "Missing Approval", "OK")</f>
        <v>OK</v>
      </c>
      <c r="O536" t="str">
        <f>IF(ISBLANK(po_master[[#This Row],[GR Quantity]]), "No GR - Not received", "OK")</f>
        <v>OK</v>
      </c>
      <c r="P536" s="1" t="str">
        <f>IF(po_master[[#This Row],[Promised Delivey Date]]&lt;po_master[[#This Row],[Order Date]], "Invalid", "OK")</f>
        <v>OK</v>
      </c>
      <c r="Q536" s="1" t="str">
        <f>IF(ISBLANK(po_master[[#This Row],[Invoice Number]]), "No Invoice", "OK")</f>
        <v>OK</v>
      </c>
      <c r="R536" s="1" t="str">
        <f>IF(AND(NOT(ISBLANK(po_master[[#This Row],[GR Quantity]])), po_master[[#This Row],[GR Quantity]]&lt;&gt;po_master[[#This Row],[PO Quantity]]), "Qty Variance", "OK")</f>
        <v>OK</v>
      </c>
      <c r="S536" s="1" t="str">
        <f>IF(po_master[[#This Row],[Invoice Unit Price]]&gt;po_master[[#This Row],[PO Unit Price]]*1.01, "Price Variance", "OK")</f>
        <v>OK</v>
      </c>
      <c r="T536" s="1" t="str">
        <f>IF(po_master[[#This Row],[Actual Delivery Date]]&gt;po_master[[#This Row],[Promised Delivey Date]], "Late Delivery", "OK")</f>
        <v>Late Delivery</v>
      </c>
      <c r="U536" s="1" t="str">
        <f>IF(COUNTIF(po_master[PO Number],po_master[[#This Row],[PO Number]])&gt;1, "Duplicate Invoice", "OK")</f>
        <v>OK</v>
      </c>
    </row>
    <row r="537" spans="1:21" x14ac:dyDescent="0.25">
      <c r="A537" s="1" t="s">
        <v>473</v>
      </c>
      <c r="B537" s="1" t="s">
        <v>1491</v>
      </c>
      <c r="C537" s="2">
        <v>46103</v>
      </c>
      <c r="D537">
        <v>315</v>
      </c>
      <c r="E537">
        <v>80.78</v>
      </c>
      <c r="F537" s="1" t="s">
        <v>1459</v>
      </c>
      <c r="G537" s="2">
        <v>46111</v>
      </c>
      <c r="H537">
        <v>315</v>
      </c>
      <c r="I537" s="2">
        <v>46113</v>
      </c>
      <c r="J537" s="1" t="s">
        <v>1235</v>
      </c>
      <c r="K537">
        <v>315</v>
      </c>
      <c r="L537">
        <v>80.78</v>
      </c>
      <c r="M537" s="2">
        <v>46115</v>
      </c>
      <c r="N537" t="str">
        <f>IF(po_master[[#This Row],[Approved By]]="", "Missing Approval", "OK")</f>
        <v>Missing Approval</v>
      </c>
      <c r="O537" t="str">
        <f>IF(ISBLANK(po_master[[#This Row],[GR Quantity]]), "No GR - Not received", "OK")</f>
        <v>OK</v>
      </c>
      <c r="P537" s="1" t="str">
        <f>IF(po_master[[#This Row],[Promised Delivey Date]]&lt;po_master[[#This Row],[Order Date]], "Invalid", "OK")</f>
        <v>OK</v>
      </c>
      <c r="Q537" s="1" t="str">
        <f>IF(ISBLANK(po_master[[#This Row],[Invoice Number]]), "No Invoice", "OK")</f>
        <v>OK</v>
      </c>
      <c r="R537" s="1" t="str">
        <f>IF(AND(NOT(ISBLANK(po_master[[#This Row],[GR Quantity]])), po_master[[#This Row],[GR Quantity]]&lt;&gt;po_master[[#This Row],[PO Quantity]]), "Qty Variance", "OK")</f>
        <v>OK</v>
      </c>
      <c r="S537" s="1" t="str">
        <f>IF(po_master[[#This Row],[Invoice Unit Price]]&gt;po_master[[#This Row],[PO Unit Price]]*1.01, "Price Variance", "OK")</f>
        <v>OK</v>
      </c>
      <c r="T537" s="1" t="str">
        <f>IF(po_master[[#This Row],[Actual Delivery Date]]&gt;po_master[[#This Row],[Promised Delivey Date]], "Late Delivery", "OK")</f>
        <v>Late Delivery</v>
      </c>
      <c r="U537" s="1" t="str">
        <f>IF(COUNTIF(po_master[PO Number],po_master[[#This Row],[PO Number]])&gt;1, "Duplicate Invoice", "OK")</f>
        <v>OK</v>
      </c>
    </row>
    <row r="538" spans="1:21" x14ac:dyDescent="0.25">
      <c r="A538" s="1" t="s">
        <v>474</v>
      </c>
      <c r="B538" s="1" t="s">
        <v>1503</v>
      </c>
      <c r="C538" s="2">
        <v>46113</v>
      </c>
      <c r="D538">
        <v>442</v>
      </c>
      <c r="E538">
        <v>94.28</v>
      </c>
      <c r="F538" s="1" t="s">
        <v>1501</v>
      </c>
      <c r="G538" s="2">
        <v>46127</v>
      </c>
      <c r="H538">
        <v>442</v>
      </c>
      <c r="I538" s="2">
        <v>46128</v>
      </c>
      <c r="J538" s="1" t="s">
        <v>1236</v>
      </c>
      <c r="K538">
        <v>442</v>
      </c>
      <c r="L538">
        <v>94.28</v>
      </c>
      <c r="M538" s="2">
        <v>46137</v>
      </c>
      <c r="N538" t="str">
        <f>IF(po_master[[#This Row],[Approved By]]="", "Missing Approval", "OK")</f>
        <v>OK</v>
      </c>
      <c r="O538" t="str">
        <f>IF(ISBLANK(po_master[[#This Row],[GR Quantity]]), "No GR - Not received", "OK")</f>
        <v>OK</v>
      </c>
      <c r="P538" s="1" t="str">
        <f>IF(po_master[[#This Row],[Promised Delivey Date]]&lt;po_master[[#This Row],[Order Date]], "Invalid", "OK")</f>
        <v>OK</v>
      </c>
      <c r="Q538" s="1" t="str">
        <f>IF(ISBLANK(po_master[[#This Row],[Invoice Number]]), "No Invoice", "OK")</f>
        <v>OK</v>
      </c>
      <c r="R538" s="1" t="str">
        <f>IF(AND(NOT(ISBLANK(po_master[[#This Row],[GR Quantity]])), po_master[[#This Row],[GR Quantity]]&lt;&gt;po_master[[#This Row],[PO Quantity]]), "Qty Variance", "OK")</f>
        <v>OK</v>
      </c>
      <c r="S538" s="1" t="str">
        <f>IF(po_master[[#This Row],[Invoice Unit Price]]&gt;po_master[[#This Row],[PO Unit Price]]*1.01, "Price Variance", "OK")</f>
        <v>OK</v>
      </c>
      <c r="T538" s="1" t="str">
        <f>IF(po_master[[#This Row],[Actual Delivery Date]]&gt;po_master[[#This Row],[Promised Delivey Date]], "Late Delivery", "OK")</f>
        <v>Late Delivery</v>
      </c>
      <c r="U538" s="1" t="str">
        <f>IF(COUNTIF(po_master[PO Number],po_master[[#This Row],[PO Number]])&gt;1, "Duplicate Invoice", "OK")</f>
        <v>OK</v>
      </c>
    </row>
    <row r="539" spans="1:21" x14ac:dyDescent="0.25">
      <c r="A539" s="1" t="s">
        <v>475</v>
      </c>
      <c r="B539" s="1" t="s">
        <v>1497</v>
      </c>
      <c r="C539" s="2">
        <v>46044</v>
      </c>
      <c r="D539">
        <v>354</v>
      </c>
      <c r="E539">
        <v>31.12</v>
      </c>
      <c r="F539" s="1" t="s">
        <v>1483</v>
      </c>
      <c r="G539" s="2">
        <v>46056</v>
      </c>
      <c r="H539">
        <v>354</v>
      </c>
      <c r="I539" s="2">
        <v>46064</v>
      </c>
      <c r="J539" s="1" t="s">
        <v>1237</v>
      </c>
      <c r="K539">
        <v>354</v>
      </c>
      <c r="L539">
        <v>31.12</v>
      </c>
      <c r="M539" s="2">
        <v>46063</v>
      </c>
      <c r="N539" t="str">
        <f>IF(po_master[[#This Row],[Approved By]]="", "Missing Approval", "OK")</f>
        <v>OK</v>
      </c>
      <c r="O539" t="str">
        <f>IF(ISBLANK(po_master[[#This Row],[GR Quantity]]), "No GR - Not received", "OK")</f>
        <v>OK</v>
      </c>
      <c r="P539" s="1" t="str">
        <f>IF(po_master[[#This Row],[Promised Delivey Date]]&lt;po_master[[#This Row],[Order Date]], "Invalid", "OK")</f>
        <v>OK</v>
      </c>
      <c r="Q539" s="1" t="str">
        <f>IF(ISBLANK(po_master[[#This Row],[Invoice Number]]), "No Invoice", "OK")</f>
        <v>OK</v>
      </c>
      <c r="R539" s="1" t="str">
        <f>IF(AND(NOT(ISBLANK(po_master[[#This Row],[GR Quantity]])), po_master[[#This Row],[GR Quantity]]&lt;&gt;po_master[[#This Row],[PO Quantity]]), "Qty Variance", "OK")</f>
        <v>OK</v>
      </c>
      <c r="S539" s="1" t="str">
        <f>IF(po_master[[#This Row],[Invoice Unit Price]]&gt;po_master[[#This Row],[PO Unit Price]]*1.01, "Price Variance", "OK")</f>
        <v>OK</v>
      </c>
      <c r="T539" s="1" t="str">
        <f>IF(po_master[[#This Row],[Actual Delivery Date]]&gt;po_master[[#This Row],[Promised Delivey Date]], "Late Delivery", "OK")</f>
        <v>Late Delivery</v>
      </c>
      <c r="U539" s="1" t="str">
        <f>IF(COUNTIF(po_master[PO Number],po_master[[#This Row],[PO Number]])&gt;1, "Duplicate Invoice", "OK")</f>
        <v>OK</v>
      </c>
    </row>
    <row r="540" spans="1:21" x14ac:dyDescent="0.25">
      <c r="A540" s="1" t="s">
        <v>476</v>
      </c>
      <c r="B540" s="1" t="s">
        <v>1512</v>
      </c>
      <c r="C540" s="2">
        <v>46052</v>
      </c>
      <c r="D540">
        <v>103</v>
      </c>
      <c r="E540">
        <v>77.790000000000006</v>
      </c>
      <c r="F540" s="1" t="s">
        <v>1485</v>
      </c>
      <c r="G540" s="2">
        <v>46073</v>
      </c>
      <c r="H540">
        <v>103</v>
      </c>
      <c r="I540" s="2">
        <v>46072</v>
      </c>
      <c r="J540" s="1" t="s">
        <v>1238</v>
      </c>
      <c r="K540">
        <v>103</v>
      </c>
      <c r="L540">
        <v>77.790000000000006</v>
      </c>
      <c r="M540" s="2">
        <v>46080</v>
      </c>
      <c r="N540" t="str">
        <f>IF(po_master[[#This Row],[Approved By]]="", "Missing Approval", "OK")</f>
        <v>OK</v>
      </c>
      <c r="O540" t="str">
        <f>IF(ISBLANK(po_master[[#This Row],[GR Quantity]]), "No GR - Not received", "OK")</f>
        <v>OK</v>
      </c>
      <c r="P540" s="1" t="str">
        <f>IF(po_master[[#This Row],[Promised Delivey Date]]&lt;po_master[[#This Row],[Order Date]], "Invalid", "OK")</f>
        <v>OK</v>
      </c>
      <c r="Q540" s="1" t="str">
        <f>IF(ISBLANK(po_master[[#This Row],[Invoice Number]]), "No Invoice", "OK")</f>
        <v>OK</v>
      </c>
      <c r="R540" s="1" t="str">
        <f>IF(AND(NOT(ISBLANK(po_master[[#This Row],[GR Quantity]])), po_master[[#This Row],[GR Quantity]]&lt;&gt;po_master[[#This Row],[PO Quantity]]), "Qty Variance", "OK")</f>
        <v>OK</v>
      </c>
      <c r="S540" s="1" t="str">
        <f>IF(po_master[[#This Row],[Invoice Unit Price]]&gt;po_master[[#This Row],[PO Unit Price]]*1.01, "Price Variance", "OK")</f>
        <v>OK</v>
      </c>
      <c r="T540" s="1" t="str">
        <f>IF(po_master[[#This Row],[Actual Delivery Date]]&gt;po_master[[#This Row],[Promised Delivey Date]], "Late Delivery", "OK")</f>
        <v>OK</v>
      </c>
      <c r="U540" s="1" t="str">
        <f>IF(COUNTIF(po_master[PO Number],po_master[[#This Row],[PO Number]])&gt;1, "Duplicate Invoice", "OK")</f>
        <v>OK</v>
      </c>
    </row>
    <row r="541" spans="1:21" x14ac:dyDescent="0.25">
      <c r="A541" s="1" t="s">
        <v>477</v>
      </c>
      <c r="B541" s="1" t="s">
        <v>1502</v>
      </c>
      <c r="C541" s="2">
        <v>46130</v>
      </c>
      <c r="D541">
        <v>315</v>
      </c>
      <c r="E541">
        <v>31.88</v>
      </c>
      <c r="F541" s="1" t="s">
        <v>1453</v>
      </c>
      <c r="G541" s="2">
        <v>46148</v>
      </c>
      <c r="H541">
        <v>296</v>
      </c>
      <c r="I541" s="2">
        <v>46150</v>
      </c>
      <c r="J541" s="1" t="s">
        <v>1239</v>
      </c>
      <c r="K541">
        <v>315</v>
      </c>
      <c r="L541">
        <v>31.88</v>
      </c>
      <c r="M541" s="2">
        <v>46150</v>
      </c>
      <c r="N541" t="str">
        <f>IF(po_master[[#This Row],[Approved By]]="", "Missing Approval", "OK")</f>
        <v>OK</v>
      </c>
      <c r="O541" t="str">
        <f>IF(ISBLANK(po_master[[#This Row],[GR Quantity]]), "No GR - Not received", "OK")</f>
        <v>OK</v>
      </c>
      <c r="P541" s="1" t="str">
        <f>IF(po_master[[#This Row],[Promised Delivey Date]]&lt;po_master[[#This Row],[Order Date]], "Invalid", "OK")</f>
        <v>OK</v>
      </c>
      <c r="Q541" s="1" t="str">
        <f>IF(ISBLANK(po_master[[#This Row],[Invoice Number]]), "No Invoice", "OK")</f>
        <v>OK</v>
      </c>
      <c r="R541" s="1" t="str">
        <f>IF(AND(NOT(ISBLANK(po_master[[#This Row],[GR Quantity]])), po_master[[#This Row],[GR Quantity]]&lt;&gt;po_master[[#This Row],[PO Quantity]]), "Qty Variance", "OK")</f>
        <v>Qty Variance</v>
      </c>
      <c r="S541" s="1" t="str">
        <f>IF(po_master[[#This Row],[Invoice Unit Price]]&gt;po_master[[#This Row],[PO Unit Price]]*1.01, "Price Variance", "OK")</f>
        <v>OK</v>
      </c>
      <c r="T541" s="1" t="str">
        <f>IF(po_master[[#This Row],[Actual Delivery Date]]&gt;po_master[[#This Row],[Promised Delivey Date]], "Late Delivery", "OK")</f>
        <v>Late Delivery</v>
      </c>
      <c r="U541" s="1" t="str">
        <f>IF(COUNTIF(po_master[PO Number],po_master[[#This Row],[PO Number]])&gt;1, "Duplicate Invoice", "OK")</f>
        <v>OK</v>
      </c>
    </row>
    <row r="542" spans="1:21" x14ac:dyDescent="0.25">
      <c r="A542" s="1" t="s">
        <v>478</v>
      </c>
      <c r="B542" s="1" t="s">
        <v>1486</v>
      </c>
      <c r="C542" s="2">
        <v>46147</v>
      </c>
      <c r="D542">
        <v>335</v>
      </c>
      <c r="E542">
        <v>109.79</v>
      </c>
      <c r="F542" s="1" t="s">
        <v>1446</v>
      </c>
      <c r="G542" s="2">
        <v>46157</v>
      </c>
      <c r="H542">
        <v>335</v>
      </c>
      <c r="I542" s="2">
        <v>46176</v>
      </c>
      <c r="J542" s="1" t="s">
        <v>1240</v>
      </c>
      <c r="K542">
        <v>335</v>
      </c>
      <c r="L542">
        <v>109.79</v>
      </c>
      <c r="M542" s="2">
        <v>46163</v>
      </c>
      <c r="N542" t="str">
        <f>IF(po_master[[#This Row],[Approved By]]="", "Missing Approval", "OK")</f>
        <v>OK</v>
      </c>
      <c r="O542" t="str">
        <f>IF(ISBLANK(po_master[[#This Row],[GR Quantity]]), "No GR - Not received", "OK")</f>
        <v>OK</v>
      </c>
      <c r="P542" s="1" t="str">
        <f>IF(po_master[[#This Row],[Promised Delivey Date]]&lt;po_master[[#This Row],[Order Date]], "Invalid", "OK")</f>
        <v>OK</v>
      </c>
      <c r="Q542" s="1" t="str">
        <f>IF(ISBLANK(po_master[[#This Row],[Invoice Number]]), "No Invoice", "OK")</f>
        <v>OK</v>
      </c>
      <c r="R542" s="1" t="str">
        <f>IF(AND(NOT(ISBLANK(po_master[[#This Row],[GR Quantity]])), po_master[[#This Row],[GR Quantity]]&lt;&gt;po_master[[#This Row],[PO Quantity]]), "Qty Variance", "OK")</f>
        <v>OK</v>
      </c>
      <c r="S542" s="1" t="str">
        <f>IF(po_master[[#This Row],[Invoice Unit Price]]&gt;po_master[[#This Row],[PO Unit Price]]*1.01, "Price Variance", "OK")</f>
        <v>OK</v>
      </c>
      <c r="T542" s="1" t="str">
        <f>IF(po_master[[#This Row],[Actual Delivery Date]]&gt;po_master[[#This Row],[Promised Delivey Date]], "Late Delivery", "OK")</f>
        <v>Late Delivery</v>
      </c>
      <c r="U542" s="1" t="str">
        <f>IF(COUNTIF(po_master[PO Number],po_master[[#This Row],[PO Number]])&gt;1, "Duplicate Invoice", "OK")</f>
        <v>OK</v>
      </c>
    </row>
    <row r="543" spans="1:21" x14ac:dyDescent="0.25">
      <c r="A543" s="1" t="s">
        <v>479</v>
      </c>
      <c r="B543" s="1" t="s">
        <v>1454</v>
      </c>
      <c r="C543" s="2">
        <v>46065</v>
      </c>
      <c r="D543">
        <v>260</v>
      </c>
      <c r="E543">
        <v>61.32</v>
      </c>
      <c r="F543" s="1" t="s">
        <v>1501</v>
      </c>
      <c r="G543" s="2">
        <v>46080</v>
      </c>
      <c r="H543">
        <v>260</v>
      </c>
      <c r="I543" s="2">
        <v>46082</v>
      </c>
      <c r="J543" s="1" t="s">
        <v>1241</v>
      </c>
      <c r="K543">
        <v>260</v>
      </c>
      <c r="L543">
        <v>61.32</v>
      </c>
      <c r="M543" s="2">
        <v>46082</v>
      </c>
      <c r="N543" t="str">
        <f>IF(po_master[[#This Row],[Approved By]]="", "Missing Approval", "OK")</f>
        <v>OK</v>
      </c>
      <c r="O543" t="str">
        <f>IF(ISBLANK(po_master[[#This Row],[GR Quantity]]), "No GR - Not received", "OK")</f>
        <v>OK</v>
      </c>
      <c r="P543" s="1" t="str">
        <f>IF(po_master[[#This Row],[Promised Delivey Date]]&lt;po_master[[#This Row],[Order Date]], "Invalid", "OK")</f>
        <v>OK</v>
      </c>
      <c r="Q543" s="1" t="str">
        <f>IF(ISBLANK(po_master[[#This Row],[Invoice Number]]), "No Invoice", "OK")</f>
        <v>OK</v>
      </c>
      <c r="R543" s="1" t="str">
        <f>IF(AND(NOT(ISBLANK(po_master[[#This Row],[GR Quantity]])), po_master[[#This Row],[GR Quantity]]&lt;&gt;po_master[[#This Row],[PO Quantity]]), "Qty Variance", "OK")</f>
        <v>OK</v>
      </c>
      <c r="S543" s="1" t="str">
        <f>IF(po_master[[#This Row],[Invoice Unit Price]]&gt;po_master[[#This Row],[PO Unit Price]]*1.01, "Price Variance", "OK")</f>
        <v>OK</v>
      </c>
      <c r="T543" s="1" t="str">
        <f>IF(po_master[[#This Row],[Actual Delivery Date]]&gt;po_master[[#This Row],[Promised Delivey Date]], "Late Delivery", "OK")</f>
        <v>Late Delivery</v>
      </c>
      <c r="U543" s="1" t="str">
        <f>IF(COUNTIF(po_master[PO Number],po_master[[#This Row],[PO Number]])&gt;1, "Duplicate Invoice", "OK")</f>
        <v>OK</v>
      </c>
    </row>
    <row r="544" spans="1:21" x14ac:dyDescent="0.25">
      <c r="A544" s="1" t="s">
        <v>1216</v>
      </c>
      <c r="B544" s="1" t="s">
        <v>1450</v>
      </c>
      <c r="C544" s="2">
        <v>46086</v>
      </c>
      <c r="D544">
        <v>346</v>
      </c>
      <c r="E544">
        <v>134.62</v>
      </c>
      <c r="F544" s="1" t="s">
        <v>1501</v>
      </c>
      <c r="G544" s="2">
        <v>46092</v>
      </c>
      <c r="I544" s="2"/>
      <c r="J544" s="1" t="s">
        <v>1217</v>
      </c>
      <c r="K544">
        <v>346</v>
      </c>
      <c r="L544">
        <v>134.62</v>
      </c>
      <c r="M544" s="2">
        <v>46100</v>
      </c>
      <c r="N544" t="str">
        <f>IF(po_master[[#This Row],[Approved By]]="", "Missing Approval", "OK")</f>
        <v>OK</v>
      </c>
      <c r="O544" t="str">
        <f>IF(ISBLANK(po_master[[#This Row],[GR Quantity]]), "No GR - Not received", "OK")</f>
        <v>No GR - Not received</v>
      </c>
      <c r="P544" s="1" t="str">
        <f>IF(po_master[[#This Row],[Promised Delivey Date]]&lt;po_master[[#This Row],[Order Date]], "Invalid", "OK")</f>
        <v>OK</v>
      </c>
      <c r="Q544" s="1" t="str">
        <f>IF(ISBLANK(po_master[[#This Row],[Invoice Number]]), "No Invoice", "OK")</f>
        <v>OK</v>
      </c>
      <c r="R544" s="1" t="str">
        <f>IF(AND(NOT(ISBLANK(po_master[[#This Row],[GR Quantity]])), po_master[[#This Row],[GR Quantity]]&lt;&gt;po_master[[#This Row],[PO Quantity]]), "Qty Variance", "OK")</f>
        <v>OK</v>
      </c>
      <c r="S544" s="1" t="str">
        <f>IF(po_master[[#This Row],[Invoice Unit Price]]&gt;po_master[[#This Row],[PO Unit Price]]*1.01, "Price Variance", "OK")</f>
        <v>OK</v>
      </c>
      <c r="T544" s="1" t="str">
        <f>IF(po_master[[#This Row],[Actual Delivery Date]]&gt;po_master[[#This Row],[Promised Delivey Date]], "Late Delivery", "OK")</f>
        <v>OK</v>
      </c>
      <c r="U544" s="1" t="str">
        <f>IF(COUNTIF(po_master[PO Number],po_master[[#This Row],[PO Number]])&gt;1, "Duplicate Invoice", "OK")</f>
        <v>OK</v>
      </c>
    </row>
    <row r="545" spans="1:21" x14ac:dyDescent="0.25">
      <c r="A545" s="1" t="s">
        <v>480</v>
      </c>
      <c r="B545" s="1" t="s">
        <v>1478</v>
      </c>
      <c r="C545" s="2">
        <v>46036</v>
      </c>
      <c r="D545">
        <v>453</v>
      </c>
      <c r="E545">
        <v>75.010000000000005</v>
      </c>
      <c r="F545" s="1" t="s">
        <v>1448</v>
      </c>
      <c r="G545" s="2">
        <v>46056</v>
      </c>
      <c r="H545">
        <v>453</v>
      </c>
      <c r="I545" s="2">
        <v>46058</v>
      </c>
      <c r="J545" s="1" t="s">
        <v>1242</v>
      </c>
      <c r="K545">
        <v>453</v>
      </c>
      <c r="L545">
        <v>75.010000000000005</v>
      </c>
      <c r="M545" s="2">
        <v>46062</v>
      </c>
      <c r="N545" t="str">
        <f>IF(po_master[[#This Row],[Approved By]]="", "Missing Approval", "OK")</f>
        <v>OK</v>
      </c>
      <c r="O545" t="str">
        <f>IF(ISBLANK(po_master[[#This Row],[GR Quantity]]), "No GR - Not received", "OK")</f>
        <v>OK</v>
      </c>
      <c r="P545" s="1" t="str">
        <f>IF(po_master[[#This Row],[Promised Delivey Date]]&lt;po_master[[#This Row],[Order Date]], "Invalid", "OK")</f>
        <v>OK</v>
      </c>
      <c r="Q545" s="1" t="str">
        <f>IF(ISBLANK(po_master[[#This Row],[Invoice Number]]), "No Invoice", "OK")</f>
        <v>OK</v>
      </c>
      <c r="R545" s="1" t="str">
        <f>IF(AND(NOT(ISBLANK(po_master[[#This Row],[GR Quantity]])), po_master[[#This Row],[GR Quantity]]&lt;&gt;po_master[[#This Row],[PO Quantity]]), "Qty Variance", "OK")</f>
        <v>OK</v>
      </c>
      <c r="S545" s="1" t="str">
        <f>IF(po_master[[#This Row],[Invoice Unit Price]]&gt;po_master[[#This Row],[PO Unit Price]]*1.01, "Price Variance", "OK")</f>
        <v>OK</v>
      </c>
      <c r="T545" s="1" t="str">
        <f>IF(po_master[[#This Row],[Actual Delivery Date]]&gt;po_master[[#This Row],[Promised Delivey Date]], "Late Delivery", "OK")</f>
        <v>Late Delivery</v>
      </c>
      <c r="U545" s="1" t="str">
        <f>IF(COUNTIF(po_master[PO Number],po_master[[#This Row],[PO Number]])&gt;1, "Duplicate Invoice", "OK")</f>
        <v>OK</v>
      </c>
    </row>
    <row r="546" spans="1:21" x14ac:dyDescent="0.25">
      <c r="A546" s="1" t="s">
        <v>481</v>
      </c>
      <c r="B546" s="1" t="s">
        <v>1441</v>
      </c>
      <c r="C546" s="2">
        <v>46072</v>
      </c>
      <c r="D546">
        <v>427</v>
      </c>
      <c r="E546">
        <v>79.87</v>
      </c>
      <c r="F546" s="1" t="s">
        <v>1442</v>
      </c>
      <c r="G546" s="2">
        <v>46093</v>
      </c>
      <c r="H546">
        <v>427</v>
      </c>
      <c r="I546" s="2">
        <v>46092</v>
      </c>
      <c r="J546" s="1" t="s">
        <v>1243</v>
      </c>
      <c r="K546">
        <v>427</v>
      </c>
      <c r="L546">
        <v>79.87</v>
      </c>
      <c r="M546" s="2">
        <v>46094</v>
      </c>
      <c r="N546" t="str">
        <f>IF(po_master[[#This Row],[Approved By]]="", "Missing Approval", "OK")</f>
        <v>OK</v>
      </c>
      <c r="O546" t="str">
        <f>IF(ISBLANK(po_master[[#This Row],[GR Quantity]]), "No GR - Not received", "OK")</f>
        <v>OK</v>
      </c>
      <c r="P546" s="1" t="str">
        <f>IF(po_master[[#This Row],[Promised Delivey Date]]&lt;po_master[[#This Row],[Order Date]], "Invalid", "OK")</f>
        <v>OK</v>
      </c>
      <c r="Q546" s="1" t="str">
        <f>IF(ISBLANK(po_master[[#This Row],[Invoice Number]]), "No Invoice", "OK")</f>
        <v>OK</v>
      </c>
      <c r="R546" s="1" t="str">
        <f>IF(AND(NOT(ISBLANK(po_master[[#This Row],[GR Quantity]])), po_master[[#This Row],[GR Quantity]]&lt;&gt;po_master[[#This Row],[PO Quantity]]), "Qty Variance", "OK")</f>
        <v>OK</v>
      </c>
      <c r="S546" s="1" t="str">
        <f>IF(po_master[[#This Row],[Invoice Unit Price]]&gt;po_master[[#This Row],[PO Unit Price]]*1.01, "Price Variance", "OK")</f>
        <v>OK</v>
      </c>
      <c r="T546" s="1" t="str">
        <f>IF(po_master[[#This Row],[Actual Delivery Date]]&gt;po_master[[#This Row],[Promised Delivey Date]], "Late Delivery", "OK")</f>
        <v>OK</v>
      </c>
      <c r="U546" s="1" t="str">
        <f>IF(COUNTIF(po_master[PO Number],po_master[[#This Row],[PO Number]])&gt;1, "Duplicate Invoice", "OK")</f>
        <v>OK</v>
      </c>
    </row>
    <row r="547" spans="1:21" x14ac:dyDescent="0.25">
      <c r="A547" s="1" t="s">
        <v>482</v>
      </c>
      <c r="B547" s="1" t="s">
        <v>1508</v>
      </c>
      <c r="C547" s="2">
        <v>46149</v>
      </c>
      <c r="D547">
        <v>219</v>
      </c>
      <c r="E547">
        <v>138.52000000000001</v>
      </c>
      <c r="F547" s="1" t="s">
        <v>1507</v>
      </c>
      <c r="G547" s="2">
        <v>46168</v>
      </c>
      <c r="H547">
        <v>219</v>
      </c>
      <c r="I547" s="2">
        <v>46166</v>
      </c>
      <c r="J547" s="1" t="s">
        <v>1244</v>
      </c>
      <c r="K547">
        <v>219</v>
      </c>
      <c r="L547">
        <v>138.52000000000001</v>
      </c>
      <c r="M547" s="2">
        <v>46172</v>
      </c>
      <c r="N547" t="str">
        <f>IF(po_master[[#This Row],[Approved By]]="", "Missing Approval", "OK")</f>
        <v>OK</v>
      </c>
      <c r="O547" t="str">
        <f>IF(ISBLANK(po_master[[#This Row],[GR Quantity]]), "No GR - Not received", "OK")</f>
        <v>OK</v>
      </c>
      <c r="P547" s="1" t="str">
        <f>IF(po_master[[#This Row],[Promised Delivey Date]]&lt;po_master[[#This Row],[Order Date]], "Invalid", "OK")</f>
        <v>OK</v>
      </c>
      <c r="Q547" s="1" t="str">
        <f>IF(ISBLANK(po_master[[#This Row],[Invoice Number]]), "No Invoice", "OK")</f>
        <v>OK</v>
      </c>
      <c r="R547" s="1" t="str">
        <f>IF(AND(NOT(ISBLANK(po_master[[#This Row],[GR Quantity]])), po_master[[#This Row],[GR Quantity]]&lt;&gt;po_master[[#This Row],[PO Quantity]]), "Qty Variance", "OK")</f>
        <v>OK</v>
      </c>
      <c r="S547" s="1" t="str">
        <f>IF(po_master[[#This Row],[Invoice Unit Price]]&gt;po_master[[#This Row],[PO Unit Price]]*1.01, "Price Variance", "OK")</f>
        <v>OK</v>
      </c>
      <c r="T547" s="1" t="str">
        <f>IF(po_master[[#This Row],[Actual Delivery Date]]&gt;po_master[[#This Row],[Promised Delivey Date]], "Late Delivery", "OK")</f>
        <v>OK</v>
      </c>
      <c r="U547" s="1" t="str">
        <f>IF(COUNTIF(po_master[PO Number],po_master[[#This Row],[PO Number]])&gt;1, "Duplicate Invoice", "OK")</f>
        <v>OK</v>
      </c>
    </row>
    <row r="548" spans="1:21" x14ac:dyDescent="0.25">
      <c r="A548" s="1" t="s">
        <v>483</v>
      </c>
      <c r="B548" s="1" t="s">
        <v>1498</v>
      </c>
      <c r="C548" s="2">
        <v>46065</v>
      </c>
      <c r="D548">
        <v>52</v>
      </c>
      <c r="E548">
        <v>115.25</v>
      </c>
      <c r="F548" s="1" t="s">
        <v>1456</v>
      </c>
      <c r="G548" s="2">
        <v>46077</v>
      </c>
      <c r="H548">
        <v>52</v>
      </c>
      <c r="I548" s="2">
        <v>46096</v>
      </c>
      <c r="J548" s="1" t="s">
        <v>1245</v>
      </c>
      <c r="K548">
        <v>52</v>
      </c>
      <c r="L548">
        <v>115.25</v>
      </c>
      <c r="M548" s="2">
        <v>46083</v>
      </c>
      <c r="N548" t="str">
        <f>IF(po_master[[#This Row],[Approved By]]="", "Missing Approval", "OK")</f>
        <v>OK</v>
      </c>
      <c r="O548" t="str">
        <f>IF(ISBLANK(po_master[[#This Row],[GR Quantity]]), "No GR - Not received", "OK")</f>
        <v>OK</v>
      </c>
      <c r="P548" s="1" t="str">
        <f>IF(po_master[[#This Row],[Promised Delivey Date]]&lt;po_master[[#This Row],[Order Date]], "Invalid", "OK")</f>
        <v>OK</v>
      </c>
      <c r="Q548" s="1" t="str">
        <f>IF(ISBLANK(po_master[[#This Row],[Invoice Number]]), "No Invoice", "OK")</f>
        <v>OK</v>
      </c>
      <c r="R548" s="1" t="str">
        <f>IF(AND(NOT(ISBLANK(po_master[[#This Row],[GR Quantity]])), po_master[[#This Row],[GR Quantity]]&lt;&gt;po_master[[#This Row],[PO Quantity]]), "Qty Variance", "OK")</f>
        <v>OK</v>
      </c>
      <c r="S548" s="1" t="str">
        <f>IF(po_master[[#This Row],[Invoice Unit Price]]&gt;po_master[[#This Row],[PO Unit Price]]*1.01, "Price Variance", "OK")</f>
        <v>OK</v>
      </c>
      <c r="T548" s="1" t="str">
        <f>IF(po_master[[#This Row],[Actual Delivery Date]]&gt;po_master[[#This Row],[Promised Delivey Date]], "Late Delivery", "OK")</f>
        <v>Late Delivery</v>
      </c>
      <c r="U548" s="1" t="str">
        <f>IF(COUNTIF(po_master[PO Number],po_master[[#This Row],[PO Number]])&gt;1, "Duplicate Invoice", "OK")</f>
        <v>OK</v>
      </c>
    </row>
    <row r="549" spans="1:21" x14ac:dyDescent="0.25">
      <c r="A549" s="1" t="s">
        <v>484</v>
      </c>
      <c r="B549" s="1" t="s">
        <v>1506</v>
      </c>
      <c r="C549" s="2">
        <v>46031</v>
      </c>
      <c r="D549">
        <v>150</v>
      </c>
      <c r="E549">
        <v>48.84</v>
      </c>
      <c r="F549" s="1" t="s">
        <v>1474</v>
      </c>
      <c r="G549" s="2">
        <v>46041</v>
      </c>
      <c r="H549">
        <v>150</v>
      </c>
      <c r="I549" s="2">
        <v>46042</v>
      </c>
      <c r="J549" s="1" t="s">
        <v>1246</v>
      </c>
      <c r="K549">
        <v>150</v>
      </c>
      <c r="L549">
        <v>48.84</v>
      </c>
      <c r="M549" s="2">
        <v>46044</v>
      </c>
      <c r="N549" t="str">
        <f>IF(po_master[[#This Row],[Approved By]]="", "Missing Approval", "OK")</f>
        <v>OK</v>
      </c>
      <c r="O549" t="str">
        <f>IF(ISBLANK(po_master[[#This Row],[GR Quantity]]), "No GR - Not received", "OK")</f>
        <v>OK</v>
      </c>
      <c r="P549" s="1" t="str">
        <f>IF(po_master[[#This Row],[Promised Delivey Date]]&lt;po_master[[#This Row],[Order Date]], "Invalid", "OK")</f>
        <v>OK</v>
      </c>
      <c r="Q549" s="1" t="str">
        <f>IF(ISBLANK(po_master[[#This Row],[Invoice Number]]), "No Invoice", "OK")</f>
        <v>OK</v>
      </c>
      <c r="R549" s="1" t="str">
        <f>IF(AND(NOT(ISBLANK(po_master[[#This Row],[GR Quantity]])), po_master[[#This Row],[GR Quantity]]&lt;&gt;po_master[[#This Row],[PO Quantity]]), "Qty Variance", "OK")</f>
        <v>OK</v>
      </c>
      <c r="S549" s="1" t="str">
        <f>IF(po_master[[#This Row],[Invoice Unit Price]]&gt;po_master[[#This Row],[PO Unit Price]]*1.01, "Price Variance", "OK")</f>
        <v>OK</v>
      </c>
      <c r="T549" s="1" t="str">
        <f>IF(po_master[[#This Row],[Actual Delivery Date]]&gt;po_master[[#This Row],[Promised Delivey Date]], "Late Delivery", "OK")</f>
        <v>Late Delivery</v>
      </c>
      <c r="U549" s="1" t="str">
        <f>IF(COUNTIF(po_master[PO Number],po_master[[#This Row],[PO Number]])&gt;1, "Duplicate Invoice", "OK")</f>
        <v>OK</v>
      </c>
    </row>
    <row r="550" spans="1:21" x14ac:dyDescent="0.25">
      <c r="A550" s="1" t="s">
        <v>1223</v>
      </c>
      <c r="B550" s="1" t="s">
        <v>1457</v>
      </c>
      <c r="C550" s="2">
        <v>46052</v>
      </c>
      <c r="D550">
        <v>435</v>
      </c>
      <c r="E550">
        <v>188.43</v>
      </c>
      <c r="F550" s="1" t="s">
        <v>1485</v>
      </c>
      <c r="G550" s="2">
        <v>46068</v>
      </c>
      <c r="I550" s="2"/>
      <c r="J550" s="1" t="s">
        <v>1224</v>
      </c>
      <c r="K550">
        <v>435</v>
      </c>
      <c r="L550">
        <v>188.43</v>
      </c>
      <c r="M550" s="2">
        <v>46069</v>
      </c>
      <c r="N550" t="str">
        <f>IF(po_master[[#This Row],[Approved By]]="", "Missing Approval", "OK")</f>
        <v>OK</v>
      </c>
      <c r="O550" t="str">
        <f>IF(ISBLANK(po_master[[#This Row],[GR Quantity]]), "No GR - Not received", "OK")</f>
        <v>No GR - Not received</v>
      </c>
      <c r="P550" s="1" t="str">
        <f>IF(po_master[[#This Row],[Promised Delivey Date]]&lt;po_master[[#This Row],[Order Date]], "Invalid", "OK")</f>
        <v>OK</v>
      </c>
      <c r="Q550" s="1" t="str">
        <f>IF(ISBLANK(po_master[[#This Row],[Invoice Number]]), "No Invoice", "OK")</f>
        <v>OK</v>
      </c>
      <c r="R550" s="1" t="str">
        <f>IF(AND(NOT(ISBLANK(po_master[[#This Row],[GR Quantity]])), po_master[[#This Row],[GR Quantity]]&lt;&gt;po_master[[#This Row],[PO Quantity]]), "Qty Variance", "OK")</f>
        <v>OK</v>
      </c>
      <c r="S550" s="1" t="str">
        <f>IF(po_master[[#This Row],[Invoice Unit Price]]&gt;po_master[[#This Row],[PO Unit Price]]*1.01, "Price Variance", "OK")</f>
        <v>OK</v>
      </c>
      <c r="T550" s="1" t="str">
        <f>IF(po_master[[#This Row],[Actual Delivery Date]]&gt;po_master[[#This Row],[Promised Delivey Date]], "Late Delivery", "OK")</f>
        <v>OK</v>
      </c>
      <c r="U550" s="1" t="str">
        <f>IF(COUNTIF(po_master[PO Number],po_master[[#This Row],[PO Number]])&gt;1, "Duplicate Invoice", "OK")</f>
        <v>OK</v>
      </c>
    </row>
    <row r="551" spans="1:21" x14ac:dyDescent="0.25">
      <c r="A551" s="1" t="s">
        <v>485</v>
      </c>
      <c r="B551" s="1" t="s">
        <v>1489</v>
      </c>
      <c r="C551" s="2">
        <v>46167</v>
      </c>
      <c r="D551">
        <v>390</v>
      </c>
      <c r="E551">
        <v>155.65</v>
      </c>
      <c r="F551" s="1" t="s">
        <v>1487</v>
      </c>
      <c r="G551" s="2">
        <v>46188</v>
      </c>
      <c r="H551">
        <v>390</v>
      </c>
      <c r="I551" s="2">
        <v>46189</v>
      </c>
      <c r="J551" s="1" t="s">
        <v>1247</v>
      </c>
      <c r="K551">
        <v>390</v>
      </c>
      <c r="L551">
        <v>155.65</v>
      </c>
      <c r="M551" s="2">
        <v>46192</v>
      </c>
      <c r="N551" t="str">
        <f>IF(po_master[[#This Row],[Approved By]]="", "Missing Approval", "OK")</f>
        <v>OK</v>
      </c>
      <c r="O551" t="str">
        <f>IF(ISBLANK(po_master[[#This Row],[GR Quantity]]), "No GR - Not received", "OK")</f>
        <v>OK</v>
      </c>
      <c r="P551" s="1" t="str">
        <f>IF(po_master[[#This Row],[Promised Delivey Date]]&lt;po_master[[#This Row],[Order Date]], "Invalid", "OK")</f>
        <v>OK</v>
      </c>
      <c r="Q551" s="1" t="str">
        <f>IF(ISBLANK(po_master[[#This Row],[Invoice Number]]), "No Invoice", "OK")</f>
        <v>OK</v>
      </c>
      <c r="R551" s="1" t="str">
        <f>IF(AND(NOT(ISBLANK(po_master[[#This Row],[GR Quantity]])), po_master[[#This Row],[GR Quantity]]&lt;&gt;po_master[[#This Row],[PO Quantity]]), "Qty Variance", "OK")</f>
        <v>OK</v>
      </c>
      <c r="S551" s="1" t="str">
        <f>IF(po_master[[#This Row],[Invoice Unit Price]]&gt;po_master[[#This Row],[PO Unit Price]]*1.01, "Price Variance", "OK")</f>
        <v>OK</v>
      </c>
      <c r="T551" s="1" t="str">
        <f>IF(po_master[[#This Row],[Actual Delivery Date]]&gt;po_master[[#This Row],[Promised Delivey Date]], "Late Delivery", "OK")</f>
        <v>Late Delivery</v>
      </c>
      <c r="U551" s="1" t="str">
        <f>IF(COUNTIF(po_master[PO Number],po_master[[#This Row],[PO Number]])&gt;1, "Duplicate Invoice", "OK")</f>
        <v>OK</v>
      </c>
    </row>
    <row r="552" spans="1:21" x14ac:dyDescent="0.25">
      <c r="A552" s="1" t="s">
        <v>486</v>
      </c>
      <c r="B552" s="1" t="s">
        <v>1466</v>
      </c>
      <c r="C552" s="2">
        <v>46169</v>
      </c>
      <c r="D552">
        <v>68</v>
      </c>
      <c r="E552">
        <v>57.24</v>
      </c>
      <c r="F552" s="1" t="s">
        <v>1459</v>
      </c>
      <c r="G552" s="2">
        <v>46185</v>
      </c>
      <c r="H552">
        <v>68</v>
      </c>
      <c r="I552" s="2">
        <v>46196</v>
      </c>
      <c r="J552" s="1" t="s">
        <v>1248</v>
      </c>
      <c r="K552">
        <v>68</v>
      </c>
      <c r="L552">
        <v>67.42</v>
      </c>
      <c r="M552" s="2">
        <v>46191</v>
      </c>
      <c r="N552" t="str">
        <f>IF(po_master[[#This Row],[Approved By]]="", "Missing Approval", "OK")</f>
        <v>Missing Approval</v>
      </c>
      <c r="O552" t="str">
        <f>IF(ISBLANK(po_master[[#This Row],[GR Quantity]]), "No GR - Not received", "OK")</f>
        <v>OK</v>
      </c>
      <c r="P552" s="1" t="str">
        <f>IF(po_master[[#This Row],[Promised Delivey Date]]&lt;po_master[[#This Row],[Order Date]], "Invalid", "OK")</f>
        <v>OK</v>
      </c>
      <c r="Q552" s="1" t="str">
        <f>IF(ISBLANK(po_master[[#This Row],[Invoice Number]]), "No Invoice", "OK")</f>
        <v>OK</v>
      </c>
      <c r="R552" s="1" t="str">
        <f>IF(AND(NOT(ISBLANK(po_master[[#This Row],[GR Quantity]])), po_master[[#This Row],[GR Quantity]]&lt;&gt;po_master[[#This Row],[PO Quantity]]), "Qty Variance", "OK")</f>
        <v>OK</v>
      </c>
      <c r="S552" s="1" t="str">
        <f>IF(po_master[[#This Row],[Invoice Unit Price]]&gt;po_master[[#This Row],[PO Unit Price]]*1.01, "Price Variance", "OK")</f>
        <v>Price Variance</v>
      </c>
      <c r="T552" s="1" t="str">
        <f>IF(po_master[[#This Row],[Actual Delivery Date]]&gt;po_master[[#This Row],[Promised Delivey Date]], "Late Delivery", "OK")</f>
        <v>Late Delivery</v>
      </c>
      <c r="U552" s="1" t="str">
        <f>IF(COUNTIF(po_master[PO Number],po_master[[#This Row],[PO Number]])&gt;1, "Duplicate Invoice", "OK")</f>
        <v>OK</v>
      </c>
    </row>
    <row r="553" spans="1:21" x14ac:dyDescent="0.25">
      <c r="A553" s="1" t="s">
        <v>487</v>
      </c>
      <c r="B553" s="1" t="s">
        <v>1471</v>
      </c>
      <c r="C553" s="2">
        <v>46033</v>
      </c>
      <c r="D553">
        <v>399</v>
      </c>
      <c r="E553">
        <v>145.19999999999999</v>
      </c>
      <c r="F553" s="1" t="s">
        <v>1442</v>
      </c>
      <c r="G553" s="2">
        <v>46044</v>
      </c>
      <c r="H553">
        <v>399</v>
      </c>
      <c r="I553" s="2">
        <v>46046</v>
      </c>
      <c r="J553" s="1" t="s">
        <v>1249</v>
      </c>
      <c r="K553">
        <v>399</v>
      </c>
      <c r="L553">
        <v>145.19999999999999</v>
      </c>
      <c r="M553" s="2">
        <v>46048</v>
      </c>
      <c r="N553" t="str">
        <f>IF(po_master[[#This Row],[Approved By]]="", "Missing Approval", "OK")</f>
        <v>OK</v>
      </c>
      <c r="O553" t="str">
        <f>IF(ISBLANK(po_master[[#This Row],[GR Quantity]]), "No GR - Not received", "OK")</f>
        <v>OK</v>
      </c>
      <c r="P553" s="1" t="str">
        <f>IF(po_master[[#This Row],[Promised Delivey Date]]&lt;po_master[[#This Row],[Order Date]], "Invalid", "OK")</f>
        <v>OK</v>
      </c>
      <c r="Q553" s="1" t="str">
        <f>IF(ISBLANK(po_master[[#This Row],[Invoice Number]]), "No Invoice", "OK")</f>
        <v>OK</v>
      </c>
      <c r="R553" s="1" t="str">
        <f>IF(AND(NOT(ISBLANK(po_master[[#This Row],[GR Quantity]])), po_master[[#This Row],[GR Quantity]]&lt;&gt;po_master[[#This Row],[PO Quantity]]), "Qty Variance", "OK")</f>
        <v>OK</v>
      </c>
      <c r="S553" s="1" t="str">
        <f>IF(po_master[[#This Row],[Invoice Unit Price]]&gt;po_master[[#This Row],[PO Unit Price]]*1.01, "Price Variance", "OK")</f>
        <v>OK</v>
      </c>
      <c r="T553" s="1" t="str">
        <f>IF(po_master[[#This Row],[Actual Delivery Date]]&gt;po_master[[#This Row],[Promised Delivey Date]], "Late Delivery", "OK")</f>
        <v>Late Delivery</v>
      </c>
      <c r="U553" s="1" t="str">
        <f>IF(COUNTIF(po_master[PO Number],po_master[[#This Row],[PO Number]])&gt;1, "Duplicate Invoice", "OK")</f>
        <v>OK</v>
      </c>
    </row>
    <row r="554" spans="1:21" x14ac:dyDescent="0.25">
      <c r="A554" s="1" t="s">
        <v>488</v>
      </c>
      <c r="B554" s="1" t="s">
        <v>1512</v>
      </c>
      <c r="C554" s="2">
        <v>46031</v>
      </c>
      <c r="D554">
        <v>240</v>
      </c>
      <c r="E554">
        <v>56.25</v>
      </c>
      <c r="F554" s="1" t="s">
        <v>1476</v>
      </c>
      <c r="G554" s="2">
        <v>46050</v>
      </c>
      <c r="H554">
        <v>240</v>
      </c>
      <c r="I554" s="2">
        <v>46063</v>
      </c>
      <c r="J554" s="1" t="s">
        <v>1252</v>
      </c>
      <c r="K554">
        <v>240</v>
      </c>
      <c r="L554">
        <v>56.25</v>
      </c>
      <c r="M554" s="2">
        <v>46051</v>
      </c>
      <c r="N554" t="str">
        <f>IF(po_master[[#This Row],[Approved By]]="", "Missing Approval", "OK")</f>
        <v>OK</v>
      </c>
      <c r="O554" t="str">
        <f>IF(ISBLANK(po_master[[#This Row],[GR Quantity]]), "No GR - Not received", "OK")</f>
        <v>OK</v>
      </c>
      <c r="P554" s="1" t="str">
        <f>IF(po_master[[#This Row],[Promised Delivey Date]]&lt;po_master[[#This Row],[Order Date]], "Invalid", "OK")</f>
        <v>OK</v>
      </c>
      <c r="Q554" s="1" t="str">
        <f>IF(ISBLANK(po_master[[#This Row],[Invoice Number]]), "No Invoice", "OK")</f>
        <v>OK</v>
      </c>
      <c r="R554" s="1" t="str">
        <f>IF(AND(NOT(ISBLANK(po_master[[#This Row],[GR Quantity]])), po_master[[#This Row],[GR Quantity]]&lt;&gt;po_master[[#This Row],[PO Quantity]]), "Qty Variance", "OK")</f>
        <v>OK</v>
      </c>
      <c r="S554" s="1" t="str">
        <f>IF(po_master[[#This Row],[Invoice Unit Price]]&gt;po_master[[#This Row],[PO Unit Price]]*1.01, "Price Variance", "OK")</f>
        <v>OK</v>
      </c>
      <c r="T554" s="1" t="str">
        <f>IF(po_master[[#This Row],[Actual Delivery Date]]&gt;po_master[[#This Row],[Promised Delivey Date]], "Late Delivery", "OK")</f>
        <v>Late Delivery</v>
      </c>
      <c r="U554" s="1" t="str">
        <f>IF(COUNTIF(po_master[PO Number],po_master[[#This Row],[PO Number]])&gt;1, "Duplicate Invoice", "OK")</f>
        <v>OK</v>
      </c>
    </row>
    <row r="555" spans="1:21" x14ac:dyDescent="0.25">
      <c r="A555" s="1" t="s">
        <v>489</v>
      </c>
      <c r="B555" s="1" t="s">
        <v>1466</v>
      </c>
      <c r="C555" s="2">
        <v>46083</v>
      </c>
      <c r="D555">
        <v>117</v>
      </c>
      <c r="E555">
        <v>163.09</v>
      </c>
      <c r="F555" s="1" t="s">
        <v>1459</v>
      </c>
      <c r="G555" s="2">
        <v>46099</v>
      </c>
      <c r="H555">
        <v>117</v>
      </c>
      <c r="I555" s="2">
        <v>46101</v>
      </c>
      <c r="J555" s="1" t="s">
        <v>1253</v>
      </c>
      <c r="K555">
        <v>117</v>
      </c>
      <c r="L555">
        <v>163.09</v>
      </c>
      <c r="M555" s="2">
        <v>46101</v>
      </c>
      <c r="N555" t="str">
        <f>IF(po_master[[#This Row],[Approved By]]="", "Missing Approval", "OK")</f>
        <v>Missing Approval</v>
      </c>
      <c r="O555" t="str">
        <f>IF(ISBLANK(po_master[[#This Row],[GR Quantity]]), "No GR - Not received", "OK")</f>
        <v>OK</v>
      </c>
      <c r="P555" s="1" t="str">
        <f>IF(po_master[[#This Row],[Promised Delivey Date]]&lt;po_master[[#This Row],[Order Date]], "Invalid", "OK")</f>
        <v>OK</v>
      </c>
      <c r="Q555" s="1" t="str">
        <f>IF(ISBLANK(po_master[[#This Row],[Invoice Number]]), "No Invoice", "OK")</f>
        <v>OK</v>
      </c>
      <c r="R555" s="1" t="str">
        <f>IF(AND(NOT(ISBLANK(po_master[[#This Row],[GR Quantity]])), po_master[[#This Row],[GR Quantity]]&lt;&gt;po_master[[#This Row],[PO Quantity]]), "Qty Variance", "OK")</f>
        <v>OK</v>
      </c>
      <c r="S555" s="1" t="str">
        <f>IF(po_master[[#This Row],[Invoice Unit Price]]&gt;po_master[[#This Row],[PO Unit Price]]*1.01, "Price Variance", "OK")</f>
        <v>OK</v>
      </c>
      <c r="T555" s="1" t="str">
        <f>IF(po_master[[#This Row],[Actual Delivery Date]]&gt;po_master[[#This Row],[Promised Delivey Date]], "Late Delivery", "OK")</f>
        <v>Late Delivery</v>
      </c>
      <c r="U555" s="1" t="str">
        <f>IF(COUNTIF(po_master[PO Number],po_master[[#This Row],[PO Number]])&gt;1, "Duplicate Invoice", "OK")</f>
        <v>OK</v>
      </c>
    </row>
    <row r="556" spans="1:21" x14ac:dyDescent="0.25">
      <c r="A556" s="1" t="s">
        <v>490</v>
      </c>
      <c r="B556" s="1" t="s">
        <v>1455</v>
      </c>
      <c r="C556" s="2">
        <v>46132</v>
      </c>
      <c r="D556">
        <v>94</v>
      </c>
      <c r="E556">
        <v>125.15</v>
      </c>
      <c r="F556" s="1" t="s">
        <v>1444</v>
      </c>
      <c r="G556" s="2">
        <v>46143</v>
      </c>
      <c r="H556">
        <v>94</v>
      </c>
      <c r="I556" s="2">
        <v>46144</v>
      </c>
      <c r="J556" s="1" t="s">
        <v>1254</v>
      </c>
      <c r="K556">
        <v>94</v>
      </c>
      <c r="L556">
        <v>125.15</v>
      </c>
      <c r="M556" s="2">
        <v>46153</v>
      </c>
      <c r="N556" t="str">
        <f>IF(po_master[[#This Row],[Approved By]]="", "Missing Approval", "OK")</f>
        <v>OK</v>
      </c>
      <c r="O556" t="str">
        <f>IF(ISBLANK(po_master[[#This Row],[GR Quantity]]), "No GR - Not received", "OK")</f>
        <v>OK</v>
      </c>
      <c r="P556" s="1" t="str">
        <f>IF(po_master[[#This Row],[Promised Delivey Date]]&lt;po_master[[#This Row],[Order Date]], "Invalid", "OK")</f>
        <v>OK</v>
      </c>
      <c r="Q556" s="1" t="str">
        <f>IF(ISBLANK(po_master[[#This Row],[Invoice Number]]), "No Invoice", "OK")</f>
        <v>OK</v>
      </c>
      <c r="R556" s="1" t="str">
        <f>IF(AND(NOT(ISBLANK(po_master[[#This Row],[GR Quantity]])), po_master[[#This Row],[GR Quantity]]&lt;&gt;po_master[[#This Row],[PO Quantity]]), "Qty Variance", "OK")</f>
        <v>OK</v>
      </c>
      <c r="S556" s="1" t="str">
        <f>IF(po_master[[#This Row],[Invoice Unit Price]]&gt;po_master[[#This Row],[PO Unit Price]]*1.01, "Price Variance", "OK")</f>
        <v>OK</v>
      </c>
      <c r="T556" s="1" t="str">
        <f>IF(po_master[[#This Row],[Actual Delivery Date]]&gt;po_master[[#This Row],[Promised Delivey Date]], "Late Delivery", "OK")</f>
        <v>Late Delivery</v>
      </c>
      <c r="U556" s="1" t="str">
        <f>IF(COUNTIF(po_master[PO Number],po_master[[#This Row],[PO Number]])&gt;1, "Duplicate Invoice", "OK")</f>
        <v>OK</v>
      </c>
    </row>
    <row r="557" spans="1:21" x14ac:dyDescent="0.25">
      <c r="A557" s="1" t="s">
        <v>491</v>
      </c>
      <c r="B557" s="1" t="s">
        <v>1475</v>
      </c>
      <c r="C557" s="2">
        <v>46168</v>
      </c>
      <c r="D557">
        <v>189</v>
      </c>
      <c r="E557">
        <v>108.79</v>
      </c>
      <c r="F557" s="1" t="s">
        <v>1494</v>
      </c>
      <c r="G557" s="2">
        <v>46178</v>
      </c>
      <c r="H557">
        <v>189</v>
      </c>
      <c r="I557" s="2">
        <v>46178</v>
      </c>
      <c r="J557" s="1" t="s">
        <v>1255</v>
      </c>
      <c r="K557">
        <v>189</v>
      </c>
      <c r="L557">
        <v>108.79</v>
      </c>
      <c r="M557" s="2">
        <v>46186</v>
      </c>
      <c r="N557" t="str">
        <f>IF(po_master[[#This Row],[Approved By]]="", "Missing Approval", "OK")</f>
        <v>OK</v>
      </c>
      <c r="O557" t="str">
        <f>IF(ISBLANK(po_master[[#This Row],[GR Quantity]]), "No GR - Not received", "OK")</f>
        <v>OK</v>
      </c>
      <c r="P557" s="1" t="str">
        <f>IF(po_master[[#This Row],[Promised Delivey Date]]&lt;po_master[[#This Row],[Order Date]], "Invalid", "OK")</f>
        <v>OK</v>
      </c>
      <c r="Q557" s="1" t="str">
        <f>IF(ISBLANK(po_master[[#This Row],[Invoice Number]]), "No Invoice", "OK")</f>
        <v>OK</v>
      </c>
      <c r="R557" s="1" t="str">
        <f>IF(AND(NOT(ISBLANK(po_master[[#This Row],[GR Quantity]])), po_master[[#This Row],[GR Quantity]]&lt;&gt;po_master[[#This Row],[PO Quantity]]), "Qty Variance", "OK")</f>
        <v>OK</v>
      </c>
      <c r="S557" s="1" t="str">
        <f>IF(po_master[[#This Row],[Invoice Unit Price]]&gt;po_master[[#This Row],[PO Unit Price]]*1.01, "Price Variance", "OK")</f>
        <v>OK</v>
      </c>
      <c r="T557" s="1" t="str">
        <f>IF(po_master[[#This Row],[Actual Delivery Date]]&gt;po_master[[#This Row],[Promised Delivey Date]], "Late Delivery", "OK")</f>
        <v>OK</v>
      </c>
      <c r="U557" s="1" t="str">
        <f>IF(COUNTIF(po_master[PO Number],po_master[[#This Row],[PO Number]])&gt;1, "Duplicate Invoice", "OK")</f>
        <v>OK</v>
      </c>
    </row>
    <row r="558" spans="1:21" x14ac:dyDescent="0.25">
      <c r="A558" s="1" t="s">
        <v>492</v>
      </c>
      <c r="B558" s="1" t="s">
        <v>1509</v>
      </c>
      <c r="C558" s="2">
        <v>46097</v>
      </c>
      <c r="D558">
        <v>158</v>
      </c>
      <c r="E558">
        <v>116.68</v>
      </c>
      <c r="F558" s="1" t="s">
        <v>1504</v>
      </c>
      <c r="G558" s="2">
        <v>46105</v>
      </c>
      <c r="H558">
        <v>158</v>
      </c>
      <c r="I558" s="2">
        <v>46106</v>
      </c>
      <c r="J558" s="1" t="s">
        <v>1256</v>
      </c>
      <c r="K558">
        <v>158</v>
      </c>
      <c r="L558">
        <v>116.68</v>
      </c>
      <c r="M558" s="2">
        <v>46106</v>
      </c>
      <c r="N558" t="str">
        <f>IF(po_master[[#This Row],[Approved By]]="", "Missing Approval", "OK")</f>
        <v>OK</v>
      </c>
      <c r="O558" t="str">
        <f>IF(ISBLANK(po_master[[#This Row],[GR Quantity]]), "No GR - Not received", "OK")</f>
        <v>OK</v>
      </c>
      <c r="P558" s="1" t="str">
        <f>IF(po_master[[#This Row],[Promised Delivey Date]]&lt;po_master[[#This Row],[Order Date]], "Invalid", "OK")</f>
        <v>OK</v>
      </c>
      <c r="Q558" s="1" t="str">
        <f>IF(ISBLANK(po_master[[#This Row],[Invoice Number]]), "No Invoice", "OK")</f>
        <v>OK</v>
      </c>
      <c r="R558" s="1" t="str">
        <f>IF(AND(NOT(ISBLANK(po_master[[#This Row],[GR Quantity]])), po_master[[#This Row],[GR Quantity]]&lt;&gt;po_master[[#This Row],[PO Quantity]]), "Qty Variance", "OK")</f>
        <v>OK</v>
      </c>
      <c r="S558" s="1" t="str">
        <f>IF(po_master[[#This Row],[Invoice Unit Price]]&gt;po_master[[#This Row],[PO Unit Price]]*1.01, "Price Variance", "OK")</f>
        <v>OK</v>
      </c>
      <c r="T558" s="1" t="str">
        <f>IF(po_master[[#This Row],[Actual Delivery Date]]&gt;po_master[[#This Row],[Promised Delivey Date]], "Late Delivery", "OK")</f>
        <v>Late Delivery</v>
      </c>
      <c r="U558" s="1" t="str">
        <f>IF(COUNTIF(po_master[PO Number],po_master[[#This Row],[PO Number]])&gt;1, "Duplicate Invoice", "OK")</f>
        <v>OK</v>
      </c>
    </row>
    <row r="559" spans="1:21" x14ac:dyDescent="0.25">
      <c r="A559" s="1" t="s">
        <v>493</v>
      </c>
      <c r="B559" s="1" t="s">
        <v>1441</v>
      </c>
      <c r="C559" s="2">
        <v>46128</v>
      </c>
      <c r="D559">
        <v>480</v>
      </c>
      <c r="E559">
        <v>16.559999999999999</v>
      </c>
      <c r="F559" s="1" t="s">
        <v>1458</v>
      </c>
      <c r="G559" s="2">
        <v>46137</v>
      </c>
      <c r="H559">
        <v>480</v>
      </c>
      <c r="I559" s="2">
        <v>46137</v>
      </c>
      <c r="J559" s="1" t="s">
        <v>1257</v>
      </c>
      <c r="K559">
        <v>480</v>
      </c>
      <c r="L559">
        <v>16.559999999999999</v>
      </c>
      <c r="M559" s="2">
        <v>46141</v>
      </c>
      <c r="N559" t="str">
        <f>IF(po_master[[#This Row],[Approved By]]="", "Missing Approval", "OK")</f>
        <v>OK</v>
      </c>
      <c r="O559" t="str">
        <f>IF(ISBLANK(po_master[[#This Row],[GR Quantity]]), "No GR - Not received", "OK")</f>
        <v>OK</v>
      </c>
      <c r="P559" s="1" t="str">
        <f>IF(po_master[[#This Row],[Promised Delivey Date]]&lt;po_master[[#This Row],[Order Date]], "Invalid", "OK")</f>
        <v>OK</v>
      </c>
      <c r="Q559" s="1" t="str">
        <f>IF(ISBLANK(po_master[[#This Row],[Invoice Number]]), "No Invoice", "OK")</f>
        <v>OK</v>
      </c>
      <c r="R559" s="1" t="str">
        <f>IF(AND(NOT(ISBLANK(po_master[[#This Row],[GR Quantity]])), po_master[[#This Row],[GR Quantity]]&lt;&gt;po_master[[#This Row],[PO Quantity]]), "Qty Variance", "OK")</f>
        <v>OK</v>
      </c>
      <c r="S559" s="1" t="str">
        <f>IF(po_master[[#This Row],[Invoice Unit Price]]&gt;po_master[[#This Row],[PO Unit Price]]*1.01, "Price Variance", "OK")</f>
        <v>OK</v>
      </c>
      <c r="T559" s="1" t="str">
        <f>IF(po_master[[#This Row],[Actual Delivery Date]]&gt;po_master[[#This Row],[Promised Delivey Date]], "Late Delivery", "OK")</f>
        <v>OK</v>
      </c>
      <c r="U559" s="1" t="str">
        <f>IF(COUNTIF(po_master[PO Number],po_master[[#This Row],[PO Number]])&gt;1, "Duplicate Invoice", "OK")</f>
        <v>OK</v>
      </c>
    </row>
    <row r="560" spans="1:21" x14ac:dyDescent="0.25">
      <c r="A560" s="1" t="s">
        <v>494</v>
      </c>
      <c r="B560" s="1" t="s">
        <v>1449</v>
      </c>
      <c r="C560" s="2">
        <v>46056</v>
      </c>
      <c r="D560">
        <v>137</v>
      </c>
      <c r="E560">
        <v>33.520000000000003</v>
      </c>
      <c r="F560" s="1" t="s">
        <v>1472</v>
      </c>
      <c r="G560" s="2">
        <v>46068</v>
      </c>
      <c r="H560">
        <v>137</v>
      </c>
      <c r="I560" s="2">
        <v>46068</v>
      </c>
      <c r="J560" s="1" t="s">
        <v>1258</v>
      </c>
      <c r="K560">
        <v>137</v>
      </c>
      <c r="L560">
        <v>33.520000000000003</v>
      </c>
      <c r="M560" s="2">
        <v>46072</v>
      </c>
      <c r="N560" t="str">
        <f>IF(po_master[[#This Row],[Approved By]]="", "Missing Approval", "OK")</f>
        <v>OK</v>
      </c>
      <c r="O560" t="str">
        <f>IF(ISBLANK(po_master[[#This Row],[GR Quantity]]), "No GR - Not received", "OK")</f>
        <v>OK</v>
      </c>
      <c r="P560" s="1" t="str">
        <f>IF(po_master[[#This Row],[Promised Delivey Date]]&lt;po_master[[#This Row],[Order Date]], "Invalid", "OK")</f>
        <v>OK</v>
      </c>
      <c r="Q560" s="1" t="str">
        <f>IF(ISBLANK(po_master[[#This Row],[Invoice Number]]), "No Invoice", "OK")</f>
        <v>OK</v>
      </c>
      <c r="R560" s="1" t="str">
        <f>IF(AND(NOT(ISBLANK(po_master[[#This Row],[GR Quantity]])), po_master[[#This Row],[GR Quantity]]&lt;&gt;po_master[[#This Row],[PO Quantity]]), "Qty Variance", "OK")</f>
        <v>OK</v>
      </c>
      <c r="S560" s="1" t="str">
        <f>IF(po_master[[#This Row],[Invoice Unit Price]]&gt;po_master[[#This Row],[PO Unit Price]]*1.01, "Price Variance", "OK")</f>
        <v>OK</v>
      </c>
      <c r="T560" s="1" t="str">
        <f>IF(po_master[[#This Row],[Actual Delivery Date]]&gt;po_master[[#This Row],[Promised Delivey Date]], "Late Delivery", "OK")</f>
        <v>OK</v>
      </c>
      <c r="U560" s="1" t="str">
        <f>IF(COUNTIF(po_master[PO Number],po_master[[#This Row],[PO Number]])&gt;1, "Duplicate Invoice", "OK")</f>
        <v>OK</v>
      </c>
    </row>
    <row r="561" spans="1:21" x14ac:dyDescent="0.25">
      <c r="A561" s="1" t="s">
        <v>495</v>
      </c>
      <c r="B561" s="1" t="s">
        <v>1461</v>
      </c>
      <c r="C561" s="2">
        <v>46123</v>
      </c>
      <c r="D561">
        <v>260</v>
      </c>
      <c r="E561">
        <v>32.72</v>
      </c>
      <c r="F561" s="1" t="s">
        <v>1446</v>
      </c>
      <c r="G561" s="2">
        <v>46136</v>
      </c>
      <c r="H561">
        <v>260</v>
      </c>
      <c r="I561" s="2">
        <v>46149</v>
      </c>
      <c r="J561" s="1" t="s">
        <v>1259</v>
      </c>
      <c r="K561">
        <v>260</v>
      </c>
      <c r="L561">
        <v>38.6</v>
      </c>
      <c r="M561" s="2">
        <v>46139</v>
      </c>
      <c r="N561" t="str">
        <f>IF(po_master[[#This Row],[Approved By]]="", "Missing Approval", "OK")</f>
        <v>OK</v>
      </c>
      <c r="O561" t="str">
        <f>IF(ISBLANK(po_master[[#This Row],[GR Quantity]]), "No GR - Not received", "OK")</f>
        <v>OK</v>
      </c>
      <c r="P561" s="1" t="str">
        <f>IF(po_master[[#This Row],[Promised Delivey Date]]&lt;po_master[[#This Row],[Order Date]], "Invalid", "OK")</f>
        <v>OK</v>
      </c>
      <c r="Q561" s="1" t="str">
        <f>IF(ISBLANK(po_master[[#This Row],[Invoice Number]]), "No Invoice", "OK")</f>
        <v>OK</v>
      </c>
      <c r="R561" s="1" t="str">
        <f>IF(AND(NOT(ISBLANK(po_master[[#This Row],[GR Quantity]])), po_master[[#This Row],[GR Quantity]]&lt;&gt;po_master[[#This Row],[PO Quantity]]), "Qty Variance", "OK")</f>
        <v>OK</v>
      </c>
      <c r="S561" s="1" t="str">
        <f>IF(po_master[[#This Row],[Invoice Unit Price]]&gt;po_master[[#This Row],[PO Unit Price]]*1.01, "Price Variance", "OK")</f>
        <v>Price Variance</v>
      </c>
      <c r="T561" s="1" t="str">
        <f>IF(po_master[[#This Row],[Actual Delivery Date]]&gt;po_master[[#This Row],[Promised Delivey Date]], "Late Delivery", "OK")</f>
        <v>Late Delivery</v>
      </c>
      <c r="U561" s="1" t="str">
        <f>IF(COUNTIF(po_master[PO Number],po_master[[#This Row],[PO Number]])&gt;1, "Duplicate Invoice", "OK")</f>
        <v>OK</v>
      </c>
    </row>
    <row r="562" spans="1:21" x14ac:dyDescent="0.25">
      <c r="A562" s="1" t="s">
        <v>496</v>
      </c>
      <c r="B562" s="1" t="s">
        <v>1439</v>
      </c>
      <c r="C562" s="2">
        <v>46129</v>
      </c>
      <c r="D562">
        <v>202</v>
      </c>
      <c r="E562">
        <v>93.14</v>
      </c>
      <c r="F562" s="1" t="s">
        <v>1446</v>
      </c>
      <c r="G562" s="2">
        <v>46136</v>
      </c>
      <c r="H562">
        <v>202</v>
      </c>
      <c r="I562" s="2">
        <v>46138</v>
      </c>
      <c r="J562" s="1" t="s">
        <v>1260</v>
      </c>
      <c r="K562">
        <v>202</v>
      </c>
      <c r="L562">
        <v>93.14</v>
      </c>
      <c r="M562" s="2">
        <v>46141</v>
      </c>
      <c r="N562" t="str">
        <f>IF(po_master[[#This Row],[Approved By]]="", "Missing Approval", "OK")</f>
        <v>OK</v>
      </c>
      <c r="O562" t="str">
        <f>IF(ISBLANK(po_master[[#This Row],[GR Quantity]]), "No GR - Not received", "OK")</f>
        <v>OK</v>
      </c>
      <c r="P562" s="1" t="str">
        <f>IF(po_master[[#This Row],[Promised Delivey Date]]&lt;po_master[[#This Row],[Order Date]], "Invalid", "OK")</f>
        <v>OK</v>
      </c>
      <c r="Q562" s="1" t="str">
        <f>IF(ISBLANK(po_master[[#This Row],[Invoice Number]]), "No Invoice", "OK")</f>
        <v>OK</v>
      </c>
      <c r="R562" s="1" t="str">
        <f>IF(AND(NOT(ISBLANK(po_master[[#This Row],[GR Quantity]])), po_master[[#This Row],[GR Quantity]]&lt;&gt;po_master[[#This Row],[PO Quantity]]), "Qty Variance", "OK")</f>
        <v>OK</v>
      </c>
      <c r="S562" s="1" t="str">
        <f>IF(po_master[[#This Row],[Invoice Unit Price]]&gt;po_master[[#This Row],[PO Unit Price]]*1.01, "Price Variance", "OK")</f>
        <v>OK</v>
      </c>
      <c r="T562" s="1" t="str">
        <f>IF(po_master[[#This Row],[Actual Delivery Date]]&gt;po_master[[#This Row],[Promised Delivey Date]], "Late Delivery", "OK")</f>
        <v>Late Delivery</v>
      </c>
      <c r="U562" s="1" t="str">
        <f>IF(COUNTIF(po_master[PO Number],po_master[[#This Row],[PO Number]])&gt;1, "Duplicate Invoice", "OK")</f>
        <v>OK</v>
      </c>
    </row>
    <row r="563" spans="1:21" x14ac:dyDescent="0.25">
      <c r="A563" s="1" t="s">
        <v>497</v>
      </c>
      <c r="B563" s="1" t="s">
        <v>1488</v>
      </c>
      <c r="C563" s="2">
        <v>46154</v>
      </c>
      <c r="D563">
        <v>393</v>
      </c>
      <c r="E563">
        <v>59.25</v>
      </c>
      <c r="F563" s="1" t="s">
        <v>1451</v>
      </c>
      <c r="G563" s="2">
        <v>46173</v>
      </c>
      <c r="H563">
        <v>393</v>
      </c>
      <c r="I563" s="2">
        <v>46173</v>
      </c>
      <c r="J563" s="1" t="s">
        <v>1261</v>
      </c>
      <c r="K563">
        <v>393</v>
      </c>
      <c r="L563">
        <v>59.25</v>
      </c>
      <c r="M563" s="2">
        <v>46176</v>
      </c>
      <c r="N563" t="str">
        <f>IF(po_master[[#This Row],[Approved By]]="", "Missing Approval", "OK")</f>
        <v>OK</v>
      </c>
      <c r="O563" t="str">
        <f>IF(ISBLANK(po_master[[#This Row],[GR Quantity]]), "No GR - Not received", "OK")</f>
        <v>OK</v>
      </c>
      <c r="P563" s="1" t="str">
        <f>IF(po_master[[#This Row],[Promised Delivey Date]]&lt;po_master[[#This Row],[Order Date]], "Invalid", "OK")</f>
        <v>OK</v>
      </c>
      <c r="Q563" s="1" t="str">
        <f>IF(ISBLANK(po_master[[#This Row],[Invoice Number]]), "No Invoice", "OK")</f>
        <v>OK</v>
      </c>
      <c r="R563" s="1" t="str">
        <f>IF(AND(NOT(ISBLANK(po_master[[#This Row],[GR Quantity]])), po_master[[#This Row],[GR Quantity]]&lt;&gt;po_master[[#This Row],[PO Quantity]]), "Qty Variance", "OK")</f>
        <v>OK</v>
      </c>
      <c r="S563" s="1" t="str">
        <f>IF(po_master[[#This Row],[Invoice Unit Price]]&gt;po_master[[#This Row],[PO Unit Price]]*1.01, "Price Variance", "OK")</f>
        <v>OK</v>
      </c>
      <c r="T563" s="1" t="str">
        <f>IF(po_master[[#This Row],[Actual Delivery Date]]&gt;po_master[[#This Row],[Promised Delivey Date]], "Late Delivery", "OK")</f>
        <v>OK</v>
      </c>
      <c r="U563" s="1" t="str">
        <f>IF(COUNTIF(po_master[PO Number],po_master[[#This Row],[PO Number]])&gt;1, "Duplicate Invoice", "OK")</f>
        <v>OK</v>
      </c>
    </row>
    <row r="564" spans="1:21" x14ac:dyDescent="0.25">
      <c r="A564" s="1" t="s">
        <v>498</v>
      </c>
      <c r="B564" s="1" t="s">
        <v>1498</v>
      </c>
      <c r="C564" s="2">
        <v>46106</v>
      </c>
      <c r="D564">
        <v>307</v>
      </c>
      <c r="E564">
        <v>5.48</v>
      </c>
      <c r="F564" s="1" t="s">
        <v>1456</v>
      </c>
      <c r="G564" s="2">
        <v>46113</v>
      </c>
      <c r="H564">
        <v>307</v>
      </c>
      <c r="I564" s="2">
        <v>46111</v>
      </c>
      <c r="J564" s="1" t="s">
        <v>1262</v>
      </c>
      <c r="K564">
        <v>307</v>
      </c>
      <c r="L564">
        <v>5.48</v>
      </c>
      <c r="M564" s="2">
        <v>46119</v>
      </c>
      <c r="N564" t="str">
        <f>IF(po_master[[#This Row],[Approved By]]="", "Missing Approval", "OK")</f>
        <v>OK</v>
      </c>
      <c r="O564" t="str">
        <f>IF(ISBLANK(po_master[[#This Row],[GR Quantity]]), "No GR - Not received", "OK")</f>
        <v>OK</v>
      </c>
      <c r="P564" s="1" t="str">
        <f>IF(po_master[[#This Row],[Promised Delivey Date]]&lt;po_master[[#This Row],[Order Date]], "Invalid", "OK")</f>
        <v>OK</v>
      </c>
      <c r="Q564" s="1" t="str">
        <f>IF(ISBLANK(po_master[[#This Row],[Invoice Number]]), "No Invoice", "OK")</f>
        <v>OK</v>
      </c>
      <c r="R564" s="1" t="str">
        <f>IF(AND(NOT(ISBLANK(po_master[[#This Row],[GR Quantity]])), po_master[[#This Row],[GR Quantity]]&lt;&gt;po_master[[#This Row],[PO Quantity]]), "Qty Variance", "OK")</f>
        <v>OK</v>
      </c>
      <c r="S564" s="1" t="str">
        <f>IF(po_master[[#This Row],[Invoice Unit Price]]&gt;po_master[[#This Row],[PO Unit Price]]*1.01, "Price Variance", "OK")</f>
        <v>OK</v>
      </c>
      <c r="T564" s="1" t="str">
        <f>IF(po_master[[#This Row],[Actual Delivery Date]]&gt;po_master[[#This Row],[Promised Delivey Date]], "Late Delivery", "OK")</f>
        <v>OK</v>
      </c>
      <c r="U564" s="1" t="str">
        <f>IF(COUNTIF(po_master[PO Number],po_master[[#This Row],[PO Number]])&gt;1, "Duplicate Invoice", "OK")</f>
        <v>OK</v>
      </c>
    </row>
    <row r="565" spans="1:21" x14ac:dyDescent="0.25">
      <c r="A565" s="1" t="s">
        <v>499</v>
      </c>
      <c r="B565" s="1" t="s">
        <v>1477</v>
      </c>
      <c r="C565" s="2">
        <v>46140</v>
      </c>
      <c r="D565">
        <v>335</v>
      </c>
      <c r="E565">
        <v>134.51</v>
      </c>
      <c r="F565" s="1" t="s">
        <v>1451</v>
      </c>
      <c r="G565" s="2">
        <v>46147</v>
      </c>
      <c r="H565">
        <v>341</v>
      </c>
      <c r="I565" s="2">
        <v>46162</v>
      </c>
      <c r="J565" s="1" t="s">
        <v>1263</v>
      </c>
      <c r="K565">
        <v>335</v>
      </c>
      <c r="L565">
        <v>134.51</v>
      </c>
      <c r="M565" s="2">
        <v>46153</v>
      </c>
      <c r="N565" t="str">
        <f>IF(po_master[[#This Row],[Approved By]]="", "Missing Approval", "OK")</f>
        <v>OK</v>
      </c>
      <c r="O565" t="str">
        <f>IF(ISBLANK(po_master[[#This Row],[GR Quantity]]), "No GR - Not received", "OK")</f>
        <v>OK</v>
      </c>
      <c r="P565" s="1" t="str">
        <f>IF(po_master[[#This Row],[Promised Delivey Date]]&lt;po_master[[#This Row],[Order Date]], "Invalid", "OK")</f>
        <v>OK</v>
      </c>
      <c r="Q565" s="1" t="str">
        <f>IF(ISBLANK(po_master[[#This Row],[Invoice Number]]), "No Invoice", "OK")</f>
        <v>OK</v>
      </c>
      <c r="R565" s="1" t="str">
        <f>IF(AND(NOT(ISBLANK(po_master[[#This Row],[GR Quantity]])), po_master[[#This Row],[GR Quantity]]&lt;&gt;po_master[[#This Row],[PO Quantity]]), "Qty Variance", "OK")</f>
        <v>Qty Variance</v>
      </c>
      <c r="S565" s="1" t="str">
        <f>IF(po_master[[#This Row],[Invoice Unit Price]]&gt;po_master[[#This Row],[PO Unit Price]]*1.01, "Price Variance", "OK")</f>
        <v>OK</v>
      </c>
      <c r="T565" s="1" t="str">
        <f>IF(po_master[[#This Row],[Actual Delivery Date]]&gt;po_master[[#This Row],[Promised Delivey Date]], "Late Delivery", "OK")</f>
        <v>Late Delivery</v>
      </c>
      <c r="U565" s="1" t="str">
        <f>IF(COUNTIF(po_master[PO Number],po_master[[#This Row],[PO Number]])&gt;1, "Duplicate Invoice", "OK")</f>
        <v>OK</v>
      </c>
    </row>
    <row r="566" spans="1:21" x14ac:dyDescent="0.25">
      <c r="A566" s="1" t="s">
        <v>500</v>
      </c>
      <c r="B566" s="1" t="s">
        <v>1471</v>
      </c>
      <c r="C566" s="2">
        <v>46124</v>
      </c>
      <c r="D566">
        <v>121</v>
      </c>
      <c r="E566">
        <v>193.79</v>
      </c>
      <c r="F566" s="1" t="s">
        <v>1459</v>
      </c>
      <c r="G566" s="2">
        <v>46144</v>
      </c>
      <c r="H566">
        <v>121</v>
      </c>
      <c r="I566" s="2">
        <v>46144</v>
      </c>
      <c r="J566" s="1" t="s">
        <v>1264</v>
      </c>
      <c r="K566">
        <v>121</v>
      </c>
      <c r="L566">
        <v>193.79</v>
      </c>
      <c r="M566" s="2">
        <v>46153</v>
      </c>
      <c r="N566" t="str">
        <f>IF(po_master[[#This Row],[Approved By]]="", "Missing Approval", "OK")</f>
        <v>Missing Approval</v>
      </c>
      <c r="O566" t="str">
        <f>IF(ISBLANK(po_master[[#This Row],[GR Quantity]]), "No GR - Not received", "OK")</f>
        <v>OK</v>
      </c>
      <c r="P566" s="1" t="str">
        <f>IF(po_master[[#This Row],[Promised Delivey Date]]&lt;po_master[[#This Row],[Order Date]], "Invalid", "OK")</f>
        <v>OK</v>
      </c>
      <c r="Q566" s="1" t="str">
        <f>IF(ISBLANK(po_master[[#This Row],[Invoice Number]]), "No Invoice", "OK")</f>
        <v>OK</v>
      </c>
      <c r="R566" s="1" t="str">
        <f>IF(AND(NOT(ISBLANK(po_master[[#This Row],[GR Quantity]])), po_master[[#This Row],[GR Quantity]]&lt;&gt;po_master[[#This Row],[PO Quantity]]), "Qty Variance", "OK")</f>
        <v>OK</v>
      </c>
      <c r="S566" s="1" t="str">
        <f>IF(po_master[[#This Row],[Invoice Unit Price]]&gt;po_master[[#This Row],[PO Unit Price]]*1.01, "Price Variance", "OK")</f>
        <v>OK</v>
      </c>
      <c r="T566" s="1" t="str">
        <f>IF(po_master[[#This Row],[Actual Delivery Date]]&gt;po_master[[#This Row],[Promised Delivey Date]], "Late Delivery", "OK")</f>
        <v>OK</v>
      </c>
      <c r="U566" s="1" t="str">
        <f>IF(COUNTIF(po_master[PO Number],po_master[[#This Row],[PO Number]])&gt;1, "Duplicate Invoice", "OK")</f>
        <v>OK</v>
      </c>
    </row>
    <row r="567" spans="1:21" x14ac:dyDescent="0.25">
      <c r="A567" s="1" t="s">
        <v>501</v>
      </c>
      <c r="B567" s="1" t="s">
        <v>1511</v>
      </c>
      <c r="C567" s="2">
        <v>46105</v>
      </c>
      <c r="D567">
        <v>434</v>
      </c>
      <c r="E567">
        <v>60.3</v>
      </c>
      <c r="F567" s="1" t="s">
        <v>1442</v>
      </c>
      <c r="G567" s="2">
        <v>46114</v>
      </c>
      <c r="H567">
        <v>434</v>
      </c>
      <c r="I567" s="2">
        <v>46128</v>
      </c>
      <c r="J567" s="1" t="s">
        <v>1265</v>
      </c>
      <c r="K567">
        <v>434</v>
      </c>
      <c r="L567">
        <v>60.3</v>
      </c>
      <c r="M567" s="2">
        <v>46118</v>
      </c>
      <c r="N567" t="str">
        <f>IF(po_master[[#This Row],[Approved By]]="", "Missing Approval", "OK")</f>
        <v>OK</v>
      </c>
      <c r="O567" t="str">
        <f>IF(ISBLANK(po_master[[#This Row],[GR Quantity]]), "No GR - Not received", "OK")</f>
        <v>OK</v>
      </c>
      <c r="P567" s="1" t="str">
        <f>IF(po_master[[#This Row],[Promised Delivey Date]]&lt;po_master[[#This Row],[Order Date]], "Invalid", "OK")</f>
        <v>OK</v>
      </c>
      <c r="Q567" s="1" t="str">
        <f>IF(ISBLANK(po_master[[#This Row],[Invoice Number]]), "No Invoice", "OK")</f>
        <v>OK</v>
      </c>
      <c r="R567" s="1" t="str">
        <f>IF(AND(NOT(ISBLANK(po_master[[#This Row],[GR Quantity]])), po_master[[#This Row],[GR Quantity]]&lt;&gt;po_master[[#This Row],[PO Quantity]]), "Qty Variance", "OK")</f>
        <v>OK</v>
      </c>
      <c r="S567" s="1" t="str">
        <f>IF(po_master[[#This Row],[Invoice Unit Price]]&gt;po_master[[#This Row],[PO Unit Price]]*1.01, "Price Variance", "OK")</f>
        <v>OK</v>
      </c>
      <c r="T567" s="1" t="str">
        <f>IF(po_master[[#This Row],[Actual Delivery Date]]&gt;po_master[[#This Row],[Promised Delivey Date]], "Late Delivery", "OK")</f>
        <v>Late Delivery</v>
      </c>
      <c r="U567" s="1" t="str">
        <f>IF(COUNTIF(po_master[PO Number],po_master[[#This Row],[PO Number]])&gt;1, "Duplicate Invoice", "OK")</f>
        <v>OK</v>
      </c>
    </row>
    <row r="568" spans="1:21" x14ac:dyDescent="0.25">
      <c r="A568" s="1" t="s">
        <v>502</v>
      </c>
      <c r="B568" s="1" t="s">
        <v>1493</v>
      </c>
      <c r="C568" s="2">
        <v>46147</v>
      </c>
      <c r="D568">
        <v>413</v>
      </c>
      <c r="E568">
        <v>72.03</v>
      </c>
      <c r="F568" s="1" t="s">
        <v>1467</v>
      </c>
      <c r="G568" s="2">
        <v>46153</v>
      </c>
      <c r="H568">
        <v>413</v>
      </c>
      <c r="I568" s="2">
        <v>46155</v>
      </c>
      <c r="J568" s="1" t="s">
        <v>1266</v>
      </c>
      <c r="K568">
        <v>413</v>
      </c>
      <c r="L568">
        <v>72.03</v>
      </c>
      <c r="M568" s="2">
        <v>46155</v>
      </c>
      <c r="N568" t="str">
        <f>IF(po_master[[#This Row],[Approved By]]="", "Missing Approval", "OK")</f>
        <v>OK</v>
      </c>
      <c r="O568" t="str">
        <f>IF(ISBLANK(po_master[[#This Row],[GR Quantity]]), "No GR - Not received", "OK")</f>
        <v>OK</v>
      </c>
      <c r="P568" s="1" t="str">
        <f>IF(po_master[[#This Row],[Promised Delivey Date]]&lt;po_master[[#This Row],[Order Date]], "Invalid", "OK")</f>
        <v>OK</v>
      </c>
      <c r="Q568" s="1" t="str">
        <f>IF(ISBLANK(po_master[[#This Row],[Invoice Number]]), "No Invoice", "OK")</f>
        <v>OK</v>
      </c>
      <c r="R568" s="1" t="str">
        <f>IF(AND(NOT(ISBLANK(po_master[[#This Row],[GR Quantity]])), po_master[[#This Row],[GR Quantity]]&lt;&gt;po_master[[#This Row],[PO Quantity]]), "Qty Variance", "OK")</f>
        <v>OK</v>
      </c>
      <c r="S568" s="1" t="str">
        <f>IF(po_master[[#This Row],[Invoice Unit Price]]&gt;po_master[[#This Row],[PO Unit Price]]*1.01, "Price Variance", "OK")</f>
        <v>OK</v>
      </c>
      <c r="T568" s="1" t="str">
        <f>IF(po_master[[#This Row],[Actual Delivery Date]]&gt;po_master[[#This Row],[Promised Delivey Date]], "Late Delivery", "OK")</f>
        <v>Late Delivery</v>
      </c>
      <c r="U568" s="1" t="str">
        <f>IF(COUNTIF(po_master[PO Number],po_master[[#This Row],[PO Number]])&gt;1, "Duplicate Invoice", "OK")</f>
        <v>OK</v>
      </c>
    </row>
    <row r="569" spans="1:21" x14ac:dyDescent="0.25">
      <c r="A569" s="1" t="s">
        <v>503</v>
      </c>
      <c r="B569" s="1" t="s">
        <v>1452</v>
      </c>
      <c r="C569" s="2">
        <v>46048</v>
      </c>
      <c r="D569">
        <v>330</v>
      </c>
      <c r="E569">
        <v>157.86000000000001</v>
      </c>
      <c r="F569" s="1" t="s">
        <v>1469</v>
      </c>
      <c r="G569" s="2">
        <v>46053</v>
      </c>
      <c r="H569">
        <v>330</v>
      </c>
      <c r="I569" s="2">
        <v>46055</v>
      </c>
      <c r="J569" s="1" t="s">
        <v>1267</v>
      </c>
      <c r="K569">
        <v>330</v>
      </c>
      <c r="L569">
        <v>157.86000000000001</v>
      </c>
      <c r="M569" s="2">
        <v>46063</v>
      </c>
      <c r="N569" t="str">
        <f>IF(po_master[[#This Row],[Approved By]]="", "Missing Approval", "OK")</f>
        <v>OK</v>
      </c>
      <c r="O569" t="str">
        <f>IF(ISBLANK(po_master[[#This Row],[GR Quantity]]), "No GR - Not received", "OK")</f>
        <v>OK</v>
      </c>
      <c r="P569" s="1" t="str">
        <f>IF(po_master[[#This Row],[Promised Delivey Date]]&lt;po_master[[#This Row],[Order Date]], "Invalid", "OK")</f>
        <v>OK</v>
      </c>
      <c r="Q569" s="1" t="str">
        <f>IF(ISBLANK(po_master[[#This Row],[Invoice Number]]), "No Invoice", "OK")</f>
        <v>OK</v>
      </c>
      <c r="R569" s="1" t="str">
        <f>IF(AND(NOT(ISBLANK(po_master[[#This Row],[GR Quantity]])), po_master[[#This Row],[GR Quantity]]&lt;&gt;po_master[[#This Row],[PO Quantity]]), "Qty Variance", "OK")</f>
        <v>OK</v>
      </c>
      <c r="S569" s="1" t="str">
        <f>IF(po_master[[#This Row],[Invoice Unit Price]]&gt;po_master[[#This Row],[PO Unit Price]]*1.01, "Price Variance", "OK")</f>
        <v>OK</v>
      </c>
      <c r="T569" s="1" t="str">
        <f>IF(po_master[[#This Row],[Actual Delivery Date]]&gt;po_master[[#This Row],[Promised Delivey Date]], "Late Delivery", "OK")</f>
        <v>Late Delivery</v>
      </c>
      <c r="U569" s="1" t="str">
        <f>IF(COUNTIF(po_master[PO Number],po_master[[#This Row],[PO Number]])&gt;1, "Duplicate Invoice", "OK")</f>
        <v>OK</v>
      </c>
    </row>
    <row r="570" spans="1:21" x14ac:dyDescent="0.25">
      <c r="A570" s="1" t="s">
        <v>504</v>
      </c>
      <c r="B570" s="1" t="s">
        <v>1466</v>
      </c>
      <c r="C570" s="2">
        <v>46063</v>
      </c>
      <c r="D570">
        <v>235</v>
      </c>
      <c r="E570">
        <v>94.02</v>
      </c>
      <c r="F570" s="1" t="s">
        <v>1507</v>
      </c>
      <c r="G570" s="2">
        <v>46074</v>
      </c>
      <c r="H570">
        <v>235</v>
      </c>
      <c r="I570" s="2">
        <v>46074</v>
      </c>
      <c r="J570" s="1" t="s">
        <v>1268</v>
      </c>
      <c r="K570">
        <v>235</v>
      </c>
      <c r="L570">
        <v>111.9</v>
      </c>
      <c r="M570" s="2">
        <v>46079</v>
      </c>
      <c r="N570" t="str">
        <f>IF(po_master[[#This Row],[Approved By]]="", "Missing Approval", "OK")</f>
        <v>OK</v>
      </c>
      <c r="O570" t="str">
        <f>IF(ISBLANK(po_master[[#This Row],[GR Quantity]]), "No GR - Not received", "OK")</f>
        <v>OK</v>
      </c>
      <c r="P570" s="1" t="str">
        <f>IF(po_master[[#This Row],[Promised Delivey Date]]&lt;po_master[[#This Row],[Order Date]], "Invalid", "OK")</f>
        <v>OK</v>
      </c>
      <c r="Q570" s="1" t="str">
        <f>IF(ISBLANK(po_master[[#This Row],[Invoice Number]]), "No Invoice", "OK")</f>
        <v>OK</v>
      </c>
      <c r="R570" s="1" t="str">
        <f>IF(AND(NOT(ISBLANK(po_master[[#This Row],[GR Quantity]])), po_master[[#This Row],[GR Quantity]]&lt;&gt;po_master[[#This Row],[PO Quantity]]), "Qty Variance", "OK")</f>
        <v>OK</v>
      </c>
      <c r="S570" s="1" t="str">
        <f>IF(po_master[[#This Row],[Invoice Unit Price]]&gt;po_master[[#This Row],[PO Unit Price]]*1.01, "Price Variance", "OK")</f>
        <v>Price Variance</v>
      </c>
      <c r="T570" s="1" t="str">
        <f>IF(po_master[[#This Row],[Actual Delivery Date]]&gt;po_master[[#This Row],[Promised Delivey Date]], "Late Delivery", "OK")</f>
        <v>OK</v>
      </c>
      <c r="U570" s="1" t="str">
        <f>IF(COUNTIF(po_master[PO Number],po_master[[#This Row],[PO Number]])&gt;1, "Duplicate Invoice", "OK")</f>
        <v>OK</v>
      </c>
    </row>
    <row r="571" spans="1:21" x14ac:dyDescent="0.25">
      <c r="A571" s="1" t="s">
        <v>505</v>
      </c>
      <c r="B571" s="1" t="s">
        <v>1449</v>
      </c>
      <c r="C571" s="2">
        <v>46056</v>
      </c>
      <c r="D571">
        <v>461</v>
      </c>
      <c r="E571">
        <v>131.75</v>
      </c>
      <c r="F571" s="1" t="s">
        <v>1501</v>
      </c>
      <c r="G571" s="2">
        <v>46069</v>
      </c>
      <c r="H571">
        <v>461</v>
      </c>
      <c r="I571" s="2">
        <v>46071</v>
      </c>
      <c r="J571" s="1" t="s">
        <v>1269</v>
      </c>
      <c r="K571">
        <v>461</v>
      </c>
      <c r="L571">
        <v>131.75</v>
      </c>
      <c r="M571" s="2">
        <v>46072</v>
      </c>
      <c r="N571" t="str">
        <f>IF(po_master[[#This Row],[Approved By]]="", "Missing Approval", "OK")</f>
        <v>OK</v>
      </c>
      <c r="O571" t="str">
        <f>IF(ISBLANK(po_master[[#This Row],[GR Quantity]]), "No GR - Not received", "OK")</f>
        <v>OK</v>
      </c>
      <c r="P571" s="1" t="str">
        <f>IF(po_master[[#This Row],[Promised Delivey Date]]&lt;po_master[[#This Row],[Order Date]], "Invalid", "OK")</f>
        <v>OK</v>
      </c>
      <c r="Q571" s="1" t="str">
        <f>IF(ISBLANK(po_master[[#This Row],[Invoice Number]]), "No Invoice", "OK")</f>
        <v>OK</v>
      </c>
      <c r="R571" s="1" t="str">
        <f>IF(AND(NOT(ISBLANK(po_master[[#This Row],[GR Quantity]])), po_master[[#This Row],[GR Quantity]]&lt;&gt;po_master[[#This Row],[PO Quantity]]), "Qty Variance", "OK")</f>
        <v>OK</v>
      </c>
      <c r="S571" s="1" t="str">
        <f>IF(po_master[[#This Row],[Invoice Unit Price]]&gt;po_master[[#This Row],[PO Unit Price]]*1.01, "Price Variance", "OK")</f>
        <v>OK</v>
      </c>
      <c r="T571" s="1" t="str">
        <f>IF(po_master[[#This Row],[Actual Delivery Date]]&gt;po_master[[#This Row],[Promised Delivey Date]], "Late Delivery", "OK")</f>
        <v>Late Delivery</v>
      </c>
      <c r="U571" s="1" t="str">
        <f>IF(COUNTIF(po_master[PO Number],po_master[[#This Row],[PO Number]])&gt;1, "Duplicate Invoice", "OK")</f>
        <v>OK</v>
      </c>
    </row>
    <row r="572" spans="1:21" x14ac:dyDescent="0.25">
      <c r="A572" s="1" t="s">
        <v>506</v>
      </c>
      <c r="B572" s="1" t="s">
        <v>1457</v>
      </c>
      <c r="C572" s="2">
        <v>46115</v>
      </c>
      <c r="D572">
        <v>138</v>
      </c>
      <c r="E572">
        <v>21.07</v>
      </c>
      <c r="F572" s="1" t="s">
        <v>1467</v>
      </c>
      <c r="G572" s="2">
        <v>46125</v>
      </c>
      <c r="H572">
        <v>150</v>
      </c>
      <c r="I572" s="2">
        <v>46126</v>
      </c>
      <c r="J572" s="1" t="s">
        <v>1270</v>
      </c>
      <c r="K572">
        <v>138</v>
      </c>
      <c r="L572">
        <v>21.07</v>
      </c>
      <c r="M572" s="2">
        <v>46128</v>
      </c>
      <c r="N572" t="str">
        <f>IF(po_master[[#This Row],[Approved By]]="", "Missing Approval", "OK")</f>
        <v>OK</v>
      </c>
      <c r="O572" t="str">
        <f>IF(ISBLANK(po_master[[#This Row],[GR Quantity]]), "No GR - Not received", "OK")</f>
        <v>OK</v>
      </c>
      <c r="P572" s="1" t="str">
        <f>IF(po_master[[#This Row],[Promised Delivey Date]]&lt;po_master[[#This Row],[Order Date]], "Invalid", "OK")</f>
        <v>OK</v>
      </c>
      <c r="Q572" s="1" t="str">
        <f>IF(ISBLANK(po_master[[#This Row],[Invoice Number]]), "No Invoice", "OK")</f>
        <v>OK</v>
      </c>
      <c r="R572" s="1" t="str">
        <f>IF(AND(NOT(ISBLANK(po_master[[#This Row],[GR Quantity]])), po_master[[#This Row],[GR Quantity]]&lt;&gt;po_master[[#This Row],[PO Quantity]]), "Qty Variance", "OK")</f>
        <v>Qty Variance</v>
      </c>
      <c r="S572" s="1" t="str">
        <f>IF(po_master[[#This Row],[Invoice Unit Price]]&gt;po_master[[#This Row],[PO Unit Price]]*1.01, "Price Variance", "OK")</f>
        <v>OK</v>
      </c>
      <c r="T572" s="1" t="str">
        <f>IF(po_master[[#This Row],[Actual Delivery Date]]&gt;po_master[[#This Row],[Promised Delivey Date]], "Late Delivery", "OK")</f>
        <v>Late Delivery</v>
      </c>
      <c r="U572" s="1" t="str">
        <f>IF(COUNTIF(po_master[PO Number],po_master[[#This Row],[PO Number]])&gt;1, "Duplicate Invoice", "OK")</f>
        <v>OK</v>
      </c>
    </row>
    <row r="573" spans="1:21" x14ac:dyDescent="0.25">
      <c r="A573" s="1" t="s">
        <v>507</v>
      </c>
      <c r="B573" s="1" t="s">
        <v>1475</v>
      </c>
      <c r="C573" s="2">
        <v>46124</v>
      </c>
      <c r="D573">
        <v>330</v>
      </c>
      <c r="E573">
        <v>64.569999999999993</v>
      </c>
      <c r="F573" s="1" t="s">
        <v>1499</v>
      </c>
      <c r="G573" s="2">
        <v>46136</v>
      </c>
      <c r="H573">
        <v>330</v>
      </c>
      <c r="I573" s="2">
        <v>46135</v>
      </c>
      <c r="J573" s="1" t="s">
        <v>1271</v>
      </c>
      <c r="K573">
        <v>330</v>
      </c>
      <c r="L573">
        <v>64.569999999999993</v>
      </c>
      <c r="M573" s="2">
        <v>46140</v>
      </c>
      <c r="N573" t="str">
        <f>IF(po_master[[#This Row],[Approved By]]="", "Missing Approval", "OK")</f>
        <v>OK</v>
      </c>
      <c r="O573" t="str">
        <f>IF(ISBLANK(po_master[[#This Row],[GR Quantity]]), "No GR - Not received", "OK")</f>
        <v>OK</v>
      </c>
      <c r="P573" s="1" t="str">
        <f>IF(po_master[[#This Row],[Promised Delivey Date]]&lt;po_master[[#This Row],[Order Date]], "Invalid", "OK")</f>
        <v>OK</v>
      </c>
      <c r="Q573" s="1" t="str">
        <f>IF(ISBLANK(po_master[[#This Row],[Invoice Number]]), "No Invoice", "OK")</f>
        <v>OK</v>
      </c>
      <c r="R573" s="1" t="str">
        <f>IF(AND(NOT(ISBLANK(po_master[[#This Row],[GR Quantity]])), po_master[[#This Row],[GR Quantity]]&lt;&gt;po_master[[#This Row],[PO Quantity]]), "Qty Variance", "OK")</f>
        <v>OK</v>
      </c>
      <c r="S573" s="1" t="str">
        <f>IF(po_master[[#This Row],[Invoice Unit Price]]&gt;po_master[[#This Row],[PO Unit Price]]*1.01, "Price Variance", "OK")</f>
        <v>OK</v>
      </c>
      <c r="T573" s="1" t="str">
        <f>IF(po_master[[#This Row],[Actual Delivery Date]]&gt;po_master[[#This Row],[Promised Delivey Date]], "Late Delivery", "OK")</f>
        <v>OK</v>
      </c>
      <c r="U573" s="1" t="str">
        <f>IF(COUNTIF(po_master[PO Number],po_master[[#This Row],[PO Number]])&gt;1, "Duplicate Invoice", "OK")</f>
        <v>OK</v>
      </c>
    </row>
    <row r="574" spans="1:21" x14ac:dyDescent="0.25">
      <c r="A574" s="1" t="s">
        <v>508</v>
      </c>
      <c r="B574" s="1" t="s">
        <v>1500</v>
      </c>
      <c r="C574" s="2">
        <v>46046</v>
      </c>
      <c r="D574">
        <v>370</v>
      </c>
      <c r="E574">
        <v>23.56</v>
      </c>
      <c r="F574" s="1" t="s">
        <v>1444</v>
      </c>
      <c r="G574" s="2">
        <v>46066</v>
      </c>
      <c r="H574">
        <v>370</v>
      </c>
      <c r="I574" s="2">
        <v>46068</v>
      </c>
      <c r="J574" s="1" t="s">
        <v>1272</v>
      </c>
      <c r="K574">
        <v>370</v>
      </c>
      <c r="L574">
        <v>27.3</v>
      </c>
      <c r="M574" s="2">
        <v>46076</v>
      </c>
      <c r="N574" t="str">
        <f>IF(po_master[[#This Row],[Approved By]]="", "Missing Approval", "OK")</f>
        <v>OK</v>
      </c>
      <c r="O574" t="str">
        <f>IF(ISBLANK(po_master[[#This Row],[GR Quantity]]), "No GR - Not received", "OK")</f>
        <v>OK</v>
      </c>
      <c r="P574" s="1" t="str">
        <f>IF(po_master[[#This Row],[Promised Delivey Date]]&lt;po_master[[#This Row],[Order Date]], "Invalid", "OK")</f>
        <v>OK</v>
      </c>
      <c r="Q574" s="1" t="str">
        <f>IF(ISBLANK(po_master[[#This Row],[Invoice Number]]), "No Invoice", "OK")</f>
        <v>OK</v>
      </c>
      <c r="R574" s="1" t="str">
        <f>IF(AND(NOT(ISBLANK(po_master[[#This Row],[GR Quantity]])), po_master[[#This Row],[GR Quantity]]&lt;&gt;po_master[[#This Row],[PO Quantity]]), "Qty Variance", "OK")</f>
        <v>OK</v>
      </c>
      <c r="S574" s="1" t="str">
        <f>IF(po_master[[#This Row],[Invoice Unit Price]]&gt;po_master[[#This Row],[PO Unit Price]]*1.01, "Price Variance", "OK")</f>
        <v>Price Variance</v>
      </c>
      <c r="T574" s="1" t="str">
        <f>IF(po_master[[#This Row],[Actual Delivery Date]]&gt;po_master[[#This Row],[Promised Delivey Date]], "Late Delivery", "OK")</f>
        <v>Late Delivery</v>
      </c>
      <c r="U574" s="1" t="str">
        <f>IF(COUNTIF(po_master[PO Number],po_master[[#This Row],[PO Number]])&gt;1, "Duplicate Invoice", "OK")</f>
        <v>OK</v>
      </c>
    </row>
    <row r="575" spans="1:21" x14ac:dyDescent="0.25">
      <c r="A575" s="1" t="s">
        <v>1250</v>
      </c>
      <c r="B575" s="1" t="s">
        <v>1500</v>
      </c>
      <c r="C575" s="2">
        <v>46049</v>
      </c>
      <c r="D575">
        <v>386</v>
      </c>
      <c r="E575">
        <v>166.86</v>
      </c>
      <c r="F575" s="1" t="s">
        <v>1456</v>
      </c>
      <c r="G575" s="2">
        <v>46061</v>
      </c>
      <c r="I575" s="2"/>
      <c r="J575" s="1" t="s">
        <v>1251</v>
      </c>
      <c r="K575">
        <v>386</v>
      </c>
      <c r="L575">
        <v>166.86</v>
      </c>
      <c r="M575" s="2">
        <v>46071</v>
      </c>
      <c r="N575" t="str">
        <f>IF(po_master[[#This Row],[Approved By]]="", "Missing Approval", "OK")</f>
        <v>OK</v>
      </c>
      <c r="O575" t="str">
        <f>IF(ISBLANK(po_master[[#This Row],[GR Quantity]]), "No GR - Not received", "OK")</f>
        <v>No GR - Not received</v>
      </c>
      <c r="P575" s="1" t="str">
        <f>IF(po_master[[#This Row],[Promised Delivey Date]]&lt;po_master[[#This Row],[Order Date]], "Invalid", "OK")</f>
        <v>OK</v>
      </c>
      <c r="Q575" s="1" t="str">
        <f>IF(ISBLANK(po_master[[#This Row],[Invoice Number]]), "No Invoice", "OK")</f>
        <v>OK</v>
      </c>
      <c r="R575" s="1" t="str">
        <f>IF(AND(NOT(ISBLANK(po_master[[#This Row],[GR Quantity]])), po_master[[#This Row],[GR Quantity]]&lt;&gt;po_master[[#This Row],[PO Quantity]]), "Qty Variance", "OK")</f>
        <v>OK</v>
      </c>
      <c r="S575" s="1" t="str">
        <f>IF(po_master[[#This Row],[Invoice Unit Price]]&gt;po_master[[#This Row],[PO Unit Price]]*1.01, "Price Variance", "OK")</f>
        <v>OK</v>
      </c>
      <c r="T575" s="1" t="str">
        <f>IF(po_master[[#This Row],[Actual Delivery Date]]&gt;po_master[[#This Row],[Promised Delivey Date]], "Late Delivery", "OK")</f>
        <v>OK</v>
      </c>
      <c r="U575" s="1" t="str">
        <f>IF(COUNTIF(po_master[PO Number],po_master[[#This Row],[PO Number]])&gt;1, "Duplicate Invoice", "OK")</f>
        <v>OK</v>
      </c>
    </row>
    <row r="576" spans="1:21" x14ac:dyDescent="0.25">
      <c r="A576" s="1" t="s">
        <v>509</v>
      </c>
      <c r="B576" s="1" t="s">
        <v>1492</v>
      </c>
      <c r="C576" s="2">
        <v>46056</v>
      </c>
      <c r="D576">
        <v>313</v>
      </c>
      <c r="E576">
        <v>49.11</v>
      </c>
      <c r="F576" s="1" t="s">
        <v>1467</v>
      </c>
      <c r="G576" s="2">
        <v>46075</v>
      </c>
      <c r="H576">
        <v>313</v>
      </c>
      <c r="I576" s="2">
        <v>46077</v>
      </c>
      <c r="J576" s="1" t="s">
        <v>1273</v>
      </c>
      <c r="K576">
        <v>313</v>
      </c>
      <c r="L576">
        <v>49.11</v>
      </c>
      <c r="M576" s="2">
        <v>46078</v>
      </c>
      <c r="N576" t="str">
        <f>IF(po_master[[#This Row],[Approved By]]="", "Missing Approval", "OK")</f>
        <v>OK</v>
      </c>
      <c r="O576" t="str">
        <f>IF(ISBLANK(po_master[[#This Row],[GR Quantity]]), "No GR - Not received", "OK")</f>
        <v>OK</v>
      </c>
      <c r="P576" s="1" t="str">
        <f>IF(po_master[[#This Row],[Promised Delivey Date]]&lt;po_master[[#This Row],[Order Date]], "Invalid", "OK")</f>
        <v>OK</v>
      </c>
      <c r="Q576" s="1" t="str">
        <f>IF(ISBLANK(po_master[[#This Row],[Invoice Number]]), "No Invoice", "OK")</f>
        <v>OK</v>
      </c>
      <c r="R576" s="1" t="str">
        <f>IF(AND(NOT(ISBLANK(po_master[[#This Row],[GR Quantity]])), po_master[[#This Row],[GR Quantity]]&lt;&gt;po_master[[#This Row],[PO Quantity]]), "Qty Variance", "OK")</f>
        <v>OK</v>
      </c>
      <c r="S576" s="1" t="str">
        <f>IF(po_master[[#This Row],[Invoice Unit Price]]&gt;po_master[[#This Row],[PO Unit Price]]*1.01, "Price Variance", "OK")</f>
        <v>OK</v>
      </c>
      <c r="T576" s="1" t="str">
        <f>IF(po_master[[#This Row],[Actual Delivery Date]]&gt;po_master[[#This Row],[Promised Delivey Date]], "Late Delivery", "OK")</f>
        <v>Late Delivery</v>
      </c>
      <c r="U576" s="1" t="str">
        <f>IF(COUNTIF(po_master[PO Number],po_master[[#This Row],[PO Number]])&gt;1, "Duplicate Invoice", "OK")</f>
        <v>OK</v>
      </c>
    </row>
    <row r="577" spans="1:21" x14ac:dyDescent="0.25">
      <c r="A577" s="1" t="s">
        <v>510</v>
      </c>
      <c r="B577" s="1" t="s">
        <v>1481</v>
      </c>
      <c r="C577" s="2">
        <v>46025</v>
      </c>
      <c r="D577">
        <v>366</v>
      </c>
      <c r="E577">
        <v>72</v>
      </c>
      <c r="F577" s="1" t="s">
        <v>1483</v>
      </c>
      <c r="G577" s="2">
        <v>46043</v>
      </c>
      <c r="H577">
        <v>366</v>
      </c>
      <c r="I577" s="2">
        <v>46044</v>
      </c>
      <c r="J577" s="1" t="s">
        <v>1274</v>
      </c>
      <c r="K577">
        <v>366</v>
      </c>
      <c r="L577">
        <v>72</v>
      </c>
      <c r="M577" s="2">
        <v>46046</v>
      </c>
      <c r="N577" t="str">
        <f>IF(po_master[[#This Row],[Approved By]]="", "Missing Approval", "OK")</f>
        <v>OK</v>
      </c>
      <c r="O577" t="str">
        <f>IF(ISBLANK(po_master[[#This Row],[GR Quantity]]), "No GR - Not received", "OK")</f>
        <v>OK</v>
      </c>
      <c r="P577" s="1" t="str">
        <f>IF(po_master[[#This Row],[Promised Delivey Date]]&lt;po_master[[#This Row],[Order Date]], "Invalid", "OK")</f>
        <v>OK</v>
      </c>
      <c r="Q577" s="1" t="str">
        <f>IF(ISBLANK(po_master[[#This Row],[Invoice Number]]), "No Invoice", "OK")</f>
        <v>OK</v>
      </c>
      <c r="R577" s="1" t="str">
        <f>IF(AND(NOT(ISBLANK(po_master[[#This Row],[GR Quantity]])), po_master[[#This Row],[GR Quantity]]&lt;&gt;po_master[[#This Row],[PO Quantity]]), "Qty Variance", "OK")</f>
        <v>OK</v>
      </c>
      <c r="S577" s="1" t="str">
        <f>IF(po_master[[#This Row],[Invoice Unit Price]]&gt;po_master[[#This Row],[PO Unit Price]]*1.01, "Price Variance", "OK")</f>
        <v>OK</v>
      </c>
      <c r="T577" s="1" t="str">
        <f>IF(po_master[[#This Row],[Actual Delivery Date]]&gt;po_master[[#This Row],[Promised Delivey Date]], "Late Delivery", "OK")</f>
        <v>Late Delivery</v>
      </c>
      <c r="U577" s="1" t="str">
        <f>IF(COUNTIF(po_master[PO Number],po_master[[#This Row],[PO Number]])&gt;1, "Duplicate Invoice", "OK")</f>
        <v>OK</v>
      </c>
    </row>
    <row r="578" spans="1:21" x14ac:dyDescent="0.25">
      <c r="A578" s="1" t="s">
        <v>511</v>
      </c>
      <c r="B578" s="1" t="s">
        <v>1477</v>
      </c>
      <c r="C578" s="2">
        <v>46049</v>
      </c>
      <c r="D578">
        <v>62</v>
      </c>
      <c r="E578">
        <v>66.099999999999994</v>
      </c>
      <c r="F578" s="1" t="s">
        <v>1474</v>
      </c>
      <c r="G578" s="2">
        <v>46058</v>
      </c>
      <c r="H578">
        <v>62</v>
      </c>
      <c r="I578" s="2">
        <v>46059</v>
      </c>
      <c r="J578" s="1" t="s">
        <v>1277</v>
      </c>
      <c r="K578">
        <v>62</v>
      </c>
      <c r="L578">
        <v>66.099999999999994</v>
      </c>
      <c r="M578" s="2">
        <v>46067</v>
      </c>
      <c r="N578" t="str">
        <f>IF(po_master[[#This Row],[Approved By]]="", "Missing Approval", "OK")</f>
        <v>OK</v>
      </c>
      <c r="O578" t="str">
        <f>IF(ISBLANK(po_master[[#This Row],[GR Quantity]]), "No GR - Not received", "OK")</f>
        <v>OK</v>
      </c>
      <c r="P578" s="1" t="str">
        <f>IF(po_master[[#This Row],[Promised Delivey Date]]&lt;po_master[[#This Row],[Order Date]], "Invalid", "OK")</f>
        <v>OK</v>
      </c>
      <c r="Q578" s="1" t="str">
        <f>IF(ISBLANK(po_master[[#This Row],[Invoice Number]]), "No Invoice", "OK")</f>
        <v>OK</v>
      </c>
      <c r="R578" s="1" t="str">
        <f>IF(AND(NOT(ISBLANK(po_master[[#This Row],[GR Quantity]])), po_master[[#This Row],[GR Quantity]]&lt;&gt;po_master[[#This Row],[PO Quantity]]), "Qty Variance", "OK")</f>
        <v>OK</v>
      </c>
      <c r="S578" s="1" t="str">
        <f>IF(po_master[[#This Row],[Invoice Unit Price]]&gt;po_master[[#This Row],[PO Unit Price]]*1.01, "Price Variance", "OK")</f>
        <v>OK</v>
      </c>
      <c r="T578" s="1" t="str">
        <f>IF(po_master[[#This Row],[Actual Delivery Date]]&gt;po_master[[#This Row],[Promised Delivey Date]], "Late Delivery", "OK")</f>
        <v>Late Delivery</v>
      </c>
      <c r="U578" s="1" t="str">
        <f>IF(COUNTIF(po_master[PO Number],po_master[[#This Row],[PO Number]])&gt;1, "Duplicate Invoice", "OK")</f>
        <v>OK</v>
      </c>
    </row>
    <row r="579" spans="1:21" x14ac:dyDescent="0.25">
      <c r="A579" s="1" t="s">
        <v>512</v>
      </c>
      <c r="B579" s="1" t="s">
        <v>1502</v>
      </c>
      <c r="C579" s="2">
        <v>46057</v>
      </c>
      <c r="D579">
        <v>338</v>
      </c>
      <c r="E579">
        <v>198.62</v>
      </c>
      <c r="F579" s="1" t="s">
        <v>1485</v>
      </c>
      <c r="G579" s="2">
        <v>46064</v>
      </c>
      <c r="H579">
        <v>338</v>
      </c>
      <c r="I579" s="2">
        <v>46065</v>
      </c>
      <c r="J579" s="1" t="s">
        <v>1278</v>
      </c>
      <c r="K579">
        <v>338</v>
      </c>
      <c r="L579">
        <v>198.62</v>
      </c>
      <c r="M579" s="2">
        <v>46067</v>
      </c>
      <c r="N579" t="str">
        <f>IF(po_master[[#This Row],[Approved By]]="", "Missing Approval", "OK")</f>
        <v>OK</v>
      </c>
      <c r="O579" t="str">
        <f>IF(ISBLANK(po_master[[#This Row],[GR Quantity]]), "No GR - Not received", "OK")</f>
        <v>OK</v>
      </c>
      <c r="P579" s="1" t="str">
        <f>IF(po_master[[#This Row],[Promised Delivey Date]]&lt;po_master[[#This Row],[Order Date]], "Invalid", "OK")</f>
        <v>OK</v>
      </c>
      <c r="Q579" s="1" t="str">
        <f>IF(ISBLANK(po_master[[#This Row],[Invoice Number]]), "No Invoice", "OK")</f>
        <v>OK</v>
      </c>
      <c r="R579" s="1" t="str">
        <f>IF(AND(NOT(ISBLANK(po_master[[#This Row],[GR Quantity]])), po_master[[#This Row],[GR Quantity]]&lt;&gt;po_master[[#This Row],[PO Quantity]]), "Qty Variance", "OK")</f>
        <v>OK</v>
      </c>
      <c r="S579" s="1" t="str">
        <f>IF(po_master[[#This Row],[Invoice Unit Price]]&gt;po_master[[#This Row],[PO Unit Price]]*1.01, "Price Variance", "OK")</f>
        <v>OK</v>
      </c>
      <c r="T579" s="1" t="str">
        <f>IF(po_master[[#This Row],[Actual Delivery Date]]&gt;po_master[[#This Row],[Promised Delivey Date]], "Late Delivery", "OK")</f>
        <v>Late Delivery</v>
      </c>
      <c r="U579" s="1" t="str">
        <f>IF(COUNTIF(po_master[PO Number],po_master[[#This Row],[PO Number]])&gt;1, "Duplicate Invoice", "OK")</f>
        <v>OK</v>
      </c>
    </row>
    <row r="580" spans="1:21" x14ac:dyDescent="0.25">
      <c r="A580" s="1" t="s">
        <v>513</v>
      </c>
      <c r="B580" s="1" t="s">
        <v>1491</v>
      </c>
      <c r="C580" s="2">
        <v>46167</v>
      </c>
      <c r="D580">
        <v>14</v>
      </c>
      <c r="E580">
        <v>124.01</v>
      </c>
      <c r="F580" s="1" t="s">
        <v>1459</v>
      </c>
      <c r="G580" s="2">
        <v>46186</v>
      </c>
      <c r="H580">
        <v>14</v>
      </c>
      <c r="I580" s="2">
        <v>46186</v>
      </c>
      <c r="J580" s="1" t="s">
        <v>1279</v>
      </c>
      <c r="K580">
        <v>14</v>
      </c>
      <c r="L580">
        <v>124.01</v>
      </c>
      <c r="M580" s="2">
        <v>46187</v>
      </c>
      <c r="N580" t="str">
        <f>IF(po_master[[#This Row],[Approved By]]="", "Missing Approval", "OK")</f>
        <v>Missing Approval</v>
      </c>
      <c r="O580" t="str">
        <f>IF(ISBLANK(po_master[[#This Row],[GR Quantity]]), "No GR - Not received", "OK")</f>
        <v>OK</v>
      </c>
      <c r="P580" s="1" t="str">
        <f>IF(po_master[[#This Row],[Promised Delivey Date]]&lt;po_master[[#This Row],[Order Date]], "Invalid", "OK")</f>
        <v>OK</v>
      </c>
      <c r="Q580" s="1" t="str">
        <f>IF(ISBLANK(po_master[[#This Row],[Invoice Number]]), "No Invoice", "OK")</f>
        <v>OK</v>
      </c>
      <c r="R580" s="1" t="str">
        <f>IF(AND(NOT(ISBLANK(po_master[[#This Row],[GR Quantity]])), po_master[[#This Row],[GR Quantity]]&lt;&gt;po_master[[#This Row],[PO Quantity]]), "Qty Variance", "OK")</f>
        <v>OK</v>
      </c>
      <c r="S580" s="1" t="str">
        <f>IF(po_master[[#This Row],[Invoice Unit Price]]&gt;po_master[[#This Row],[PO Unit Price]]*1.01, "Price Variance", "OK")</f>
        <v>OK</v>
      </c>
      <c r="T580" s="1" t="str">
        <f>IF(po_master[[#This Row],[Actual Delivery Date]]&gt;po_master[[#This Row],[Promised Delivey Date]], "Late Delivery", "OK")</f>
        <v>OK</v>
      </c>
      <c r="U580" s="1" t="str">
        <f>IF(COUNTIF(po_master[PO Number],po_master[[#This Row],[PO Number]])&gt;1, "Duplicate Invoice", "OK")</f>
        <v>OK</v>
      </c>
    </row>
    <row r="581" spans="1:21" x14ac:dyDescent="0.25">
      <c r="A581" s="1" t="s">
        <v>514</v>
      </c>
      <c r="B581" s="1" t="s">
        <v>1503</v>
      </c>
      <c r="C581" s="2">
        <v>46077</v>
      </c>
      <c r="D581">
        <v>331</v>
      </c>
      <c r="E581">
        <v>150.91</v>
      </c>
      <c r="F581" s="1" t="s">
        <v>1507</v>
      </c>
      <c r="G581" s="2">
        <v>46096</v>
      </c>
      <c r="H581">
        <v>331</v>
      </c>
      <c r="I581" s="2">
        <v>46094</v>
      </c>
      <c r="J581" s="1" t="s">
        <v>1280</v>
      </c>
      <c r="K581">
        <v>331</v>
      </c>
      <c r="L581">
        <v>150.91</v>
      </c>
      <c r="M581" s="2">
        <v>46101</v>
      </c>
      <c r="N581" t="str">
        <f>IF(po_master[[#This Row],[Approved By]]="", "Missing Approval", "OK")</f>
        <v>OK</v>
      </c>
      <c r="O581" t="str">
        <f>IF(ISBLANK(po_master[[#This Row],[GR Quantity]]), "No GR - Not received", "OK")</f>
        <v>OK</v>
      </c>
      <c r="P581" s="1" t="str">
        <f>IF(po_master[[#This Row],[Promised Delivey Date]]&lt;po_master[[#This Row],[Order Date]], "Invalid", "OK")</f>
        <v>OK</v>
      </c>
      <c r="Q581" s="1" t="str">
        <f>IF(ISBLANK(po_master[[#This Row],[Invoice Number]]), "No Invoice", "OK")</f>
        <v>OK</v>
      </c>
      <c r="R581" s="1" t="str">
        <f>IF(AND(NOT(ISBLANK(po_master[[#This Row],[GR Quantity]])), po_master[[#This Row],[GR Quantity]]&lt;&gt;po_master[[#This Row],[PO Quantity]]), "Qty Variance", "OK")</f>
        <v>OK</v>
      </c>
      <c r="S581" s="1" t="str">
        <f>IF(po_master[[#This Row],[Invoice Unit Price]]&gt;po_master[[#This Row],[PO Unit Price]]*1.01, "Price Variance", "OK")</f>
        <v>OK</v>
      </c>
      <c r="T581" s="1" t="str">
        <f>IF(po_master[[#This Row],[Actual Delivery Date]]&gt;po_master[[#This Row],[Promised Delivey Date]], "Late Delivery", "OK")</f>
        <v>OK</v>
      </c>
      <c r="U581" s="1" t="str">
        <f>IF(COUNTIF(po_master[PO Number],po_master[[#This Row],[PO Number]])&gt;1, "Duplicate Invoice", "OK")</f>
        <v>OK</v>
      </c>
    </row>
    <row r="582" spans="1:21" x14ac:dyDescent="0.25">
      <c r="A582" s="1" t="s">
        <v>515</v>
      </c>
      <c r="B582" s="1" t="s">
        <v>1463</v>
      </c>
      <c r="C582" s="2">
        <v>46045</v>
      </c>
      <c r="D582">
        <v>469</v>
      </c>
      <c r="E582">
        <v>24.59</v>
      </c>
      <c r="F582" s="1" t="s">
        <v>1456</v>
      </c>
      <c r="G582" s="2">
        <v>46053</v>
      </c>
      <c r="H582">
        <v>469</v>
      </c>
      <c r="I582" s="2">
        <v>46052</v>
      </c>
      <c r="J582" s="1" t="s">
        <v>1281</v>
      </c>
      <c r="K582">
        <v>469</v>
      </c>
      <c r="L582">
        <v>24.59</v>
      </c>
      <c r="M582" s="2">
        <v>46060</v>
      </c>
      <c r="N582" t="str">
        <f>IF(po_master[[#This Row],[Approved By]]="", "Missing Approval", "OK")</f>
        <v>OK</v>
      </c>
      <c r="O582" t="str">
        <f>IF(ISBLANK(po_master[[#This Row],[GR Quantity]]), "No GR - Not received", "OK")</f>
        <v>OK</v>
      </c>
      <c r="P582" s="1" t="str">
        <f>IF(po_master[[#This Row],[Promised Delivey Date]]&lt;po_master[[#This Row],[Order Date]], "Invalid", "OK")</f>
        <v>OK</v>
      </c>
      <c r="Q582" s="1" t="str">
        <f>IF(ISBLANK(po_master[[#This Row],[Invoice Number]]), "No Invoice", "OK")</f>
        <v>OK</v>
      </c>
      <c r="R582" s="1" t="str">
        <f>IF(AND(NOT(ISBLANK(po_master[[#This Row],[GR Quantity]])), po_master[[#This Row],[GR Quantity]]&lt;&gt;po_master[[#This Row],[PO Quantity]]), "Qty Variance", "OK")</f>
        <v>OK</v>
      </c>
      <c r="S582" s="1" t="str">
        <f>IF(po_master[[#This Row],[Invoice Unit Price]]&gt;po_master[[#This Row],[PO Unit Price]]*1.01, "Price Variance", "OK")</f>
        <v>OK</v>
      </c>
      <c r="T582" s="1" t="str">
        <f>IF(po_master[[#This Row],[Actual Delivery Date]]&gt;po_master[[#This Row],[Promised Delivey Date]], "Late Delivery", "OK")</f>
        <v>OK</v>
      </c>
      <c r="U582" s="1" t="str">
        <f>IF(COUNTIF(po_master[PO Number],po_master[[#This Row],[PO Number]])&gt;1, "Duplicate Invoice", "OK")</f>
        <v>OK</v>
      </c>
    </row>
    <row r="583" spans="1:21" x14ac:dyDescent="0.25">
      <c r="A583" s="1" t="s">
        <v>516</v>
      </c>
      <c r="B583" s="1" t="s">
        <v>1443</v>
      </c>
      <c r="C583" s="2">
        <v>46121</v>
      </c>
      <c r="D583">
        <v>189</v>
      </c>
      <c r="E583">
        <v>192.83</v>
      </c>
      <c r="F583" s="1" t="s">
        <v>1459</v>
      </c>
      <c r="G583" s="2">
        <v>46130</v>
      </c>
      <c r="H583">
        <v>189</v>
      </c>
      <c r="I583" s="2">
        <v>46131</v>
      </c>
      <c r="J583" s="1" t="s">
        <v>1282</v>
      </c>
      <c r="K583">
        <v>189</v>
      </c>
      <c r="L583">
        <v>192.83</v>
      </c>
      <c r="M583" s="2">
        <v>46132</v>
      </c>
      <c r="N583" t="str">
        <f>IF(po_master[[#This Row],[Approved By]]="", "Missing Approval", "OK")</f>
        <v>Missing Approval</v>
      </c>
      <c r="O583" t="str">
        <f>IF(ISBLANK(po_master[[#This Row],[GR Quantity]]), "No GR - Not received", "OK")</f>
        <v>OK</v>
      </c>
      <c r="P583" s="1" t="str">
        <f>IF(po_master[[#This Row],[Promised Delivey Date]]&lt;po_master[[#This Row],[Order Date]], "Invalid", "OK")</f>
        <v>OK</v>
      </c>
      <c r="Q583" s="1" t="str">
        <f>IF(ISBLANK(po_master[[#This Row],[Invoice Number]]), "No Invoice", "OK")</f>
        <v>OK</v>
      </c>
      <c r="R583" s="1" t="str">
        <f>IF(AND(NOT(ISBLANK(po_master[[#This Row],[GR Quantity]])), po_master[[#This Row],[GR Quantity]]&lt;&gt;po_master[[#This Row],[PO Quantity]]), "Qty Variance", "OK")</f>
        <v>OK</v>
      </c>
      <c r="S583" s="1" t="str">
        <f>IF(po_master[[#This Row],[Invoice Unit Price]]&gt;po_master[[#This Row],[PO Unit Price]]*1.01, "Price Variance", "OK")</f>
        <v>OK</v>
      </c>
      <c r="T583" s="1" t="str">
        <f>IF(po_master[[#This Row],[Actual Delivery Date]]&gt;po_master[[#This Row],[Promised Delivey Date]], "Late Delivery", "OK")</f>
        <v>Late Delivery</v>
      </c>
      <c r="U583" s="1" t="str">
        <f>IF(COUNTIF(po_master[PO Number],po_master[[#This Row],[PO Number]])&gt;1, "Duplicate Invoice", "OK")</f>
        <v>OK</v>
      </c>
    </row>
    <row r="584" spans="1:21" x14ac:dyDescent="0.25">
      <c r="A584" s="1" t="s">
        <v>517</v>
      </c>
      <c r="B584" s="1" t="s">
        <v>1482</v>
      </c>
      <c r="C584" s="2">
        <v>46093</v>
      </c>
      <c r="D584">
        <v>340</v>
      </c>
      <c r="E584">
        <v>21.43</v>
      </c>
      <c r="F584" s="1" t="s">
        <v>1442</v>
      </c>
      <c r="G584" s="2">
        <v>46107</v>
      </c>
      <c r="H584">
        <v>354</v>
      </c>
      <c r="I584" s="2">
        <v>46105</v>
      </c>
      <c r="J584" s="1" t="s">
        <v>1283</v>
      </c>
      <c r="K584">
        <v>340</v>
      </c>
      <c r="L584">
        <v>21.43</v>
      </c>
      <c r="M584" s="2">
        <v>46114</v>
      </c>
      <c r="N584" t="str">
        <f>IF(po_master[[#This Row],[Approved By]]="", "Missing Approval", "OK")</f>
        <v>OK</v>
      </c>
      <c r="O584" t="str">
        <f>IF(ISBLANK(po_master[[#This Row],[GR Quantity]]), "No GR - Not received", "OK")</f>
        <v>OK</v>
      </c>
      <c r="P584" s="1" t="str">
        <f>IF(po_master[[#This Row],[Promised Delivey Date]]&lt;po_master[[#This Row],[Order Date]], "Invalid", "OK")</f>
        <v>OK</v>
      </c>
      <c r="Q584" s="1" t="str">
        <f>IF(ISBLANK(po_master[[#This Row],[Invoice Number]]), "No Invoice", "OK")</f>
        <v>OK</v>
      </c>
      <c r="R584" s="1" t="str">
        <f>IF(AND(NOT(ISBLANK(po_master[[#This Row],[GR Quantity]])), po_master[[#This Row],[GR Quantity]]&lt;&gt;po_master[[#This Row],[PO Quantity]]), "Qty Variance", "OK")</f>
        <v>Qty Variance</v>
      </c>
      <c r="S584" s="1" t="str">
        <f>IF(po_master[[#This Row],[Invoice Unit Price]]&gt;po_master[[#This Row],[PO Unit Price]]*1.01, "Price Variance", "OK")</f>
        <v>OK</v>
      </c>
      <c r="T584" s="1" t="str">
        <f>IF(po_master[[#This Row],[Actual Delivery Date]]&gt;po_master[[#This Row],[Promised Delivey Date]], "Late Delivery", "OK")</f>
        <v>OK</v>
      </c>
      <c r="U584" s="1" t="str">
        <f>IF(COUNTIF(po_master[PO Number],po_master[[#This Row],[PO Number]])&gt;1, "Duplicate Invoice", "OK")</f>
        <v>OK</v>
      </c>
    </row>
    <row r="585" spans="1:21" x14ac:dyDescent="0.25">
      <c r="A585" s="1" t="s">
        <v>518</v>
      </c>
      <c r="B585" s="1" t="s">
        <v>1491</v>
      </c>
      <c r="C585" s="2">
        <v>46153</v>
      </c>
      <c r="D585">
        <v>106</v>
      </c>
      <c r="E585">
        <v>150.83000000000001</v>
      </c>
      <c r="F585" s="1" t="s">
        <v>1474</v>
      </c>
      <c r="G585" s="2">
        <v>46159</v>
      </c>
      <c r="H585">
        <v>106</v>
      </c>
      <c r="I585" s="2">
        <v>46172</v>
      </c>
      <c r="J585" s="1" t="s">
        <v>1287</v>
      </c>
      <c r="K585">
        <v>106</v>
      </c>
      <c r="L585">
        <v>169.44</v>
      </c>
      <c r="M585" s="2">
        <v>46168</v>
      </c>
      <c r="N585" t="str">
        <f>IF(po_master[[#This Row],[Approved By]]="", "Missing Approval", "OK")</f>
        <v>OK</v>
      </c>
      <c r="O585" t="str">
        <f>IF(ISBLANK(po_master[[#This Row],[GR Quantity]]), "No GR - Not received", "OK")</f>
        <v>OK</v>
      </c>
      <c r="P585" s="1" t="str">
        <f>IF(po_master[[#This Row],[Promised Delivey Date]]&lt;po_master[[#This Row],[Order Date]], "Invalid", "OK")</f>
        <v>OK</v>
      </c>
      <c r="Q585" s="1" t="str">
        <f>IF(ISBLANK(po_master[[#This Row],[Invoice Number]]), "No Invoice", "OK")</f>
        <v>OK</v>
      </c>
      <c r="R585" s="1" t="str">
        <f>IF(AND(NOT(ISBLANK(po_master[[#This Row],[GR Quantity]])), po_master[[#This Row],[GR Quantity]]&lt;&gt;po_master[[#This Row],[PO Quantity]]), "Qty Variance", "OK")</f>
        <v>OK</v>
      </c>
      <c r="S585" s="1" t="str">
        <f>IF(po_master[[#This Row],[Invoice Unit Price]]&gt;po_master[[#This Row],[PO Unit Price]]*1.01, "Price Variance", "OK")</f>
        <v>Price Variance</v>
      </c>
      <c r="T585" s="1" t="str">
        <f>IF(po_master[[#This Row],[Actual Delivery Date]]&gt;po_master[[#This Row],[Promised Delivey Date]], "Late Delivery", "OK")</f>
        <v>Late Delivery</v>
      </c>
      <c r="U585" s="1" t="str">
        <f>IF(COUNTIF(po_master[PO Number],po_master[[#This Row],[PO Number]])&gt;1, "Duplicate Invoice", "OK")</f>
        <v>OK</v>
      </c>
    </row>
    <row r="586" spans="1:21" x14ac:dyDescent="0.25">
      <c r="A586" s="1" t="s">
        <v>519</v>
      </c>
      <c r="B586" s="1" t="s">
        <v>1491</v>
      </c>
      <c r="C586" s="2">
        <v>46026</v>
      </c>
      <c r="D586">
        <v>194</v>
      </c>
      <c r="E586">
        <v>187.12</v>
      </c>
      <c r="F586" s="1" t="s">
        <v>1485</v>
      </c>
      <c r="G586" s="2">
        <v>46043</v>
      </c>
      <c r="H586">
        <v>190</v>
      </c>
      <c r="I586" s="2">
        <v>46045</v>
      </c>
      <c r="J586" s="1" t="s">
        <v>1290</v>
      </c>
      <c r="K586">
        <v>194</v>
      </c>
      <c r="L586">
        <v>187.12</v>
      </c>
      <c r="M586" s="2">
        <v>46045</v>
      </c>
      <c r="N586" t="str">
        <f>IF(po_master[[#This Row],[Approved By]]="", "Missing Approval", "OK")</f>
        <v>OK</v>
      </c>
      <c r="O586" t="str">
        <f>IF(ISBLANK(po_master[[#This Row],[GR Quantity]]), "No GR - Not received", "OK")</f>
        <v>OK</v>
      </c>
      <c r="P586" s="1" t="str">
        <f>IF(po_master[[#This Row],[Promised Delivey Date]]&lt;po_master[[#This Row],[Order Date]], "Invalid", "OK")</f>
        <v>OK</v>
      </c>
      <c r="Q586" s="1" t="str">
        <f>IF(ISBLANK(po_master[[#This Row],[Invoice Number]]), "No Invoice", "OK")</f>
        <v>OK</v>
      </c>
      <c r="R586" s="1" t="str">
        <f>IF(AND(NOT(ISBLANK(po_master[[#This Row],[GR Quantity]])), po_master[[#This Row],[GR Quantity]]&lt;&gt;po_master[[#This Row],[PO Quantity]]), "Qty Variance", "OK")</f>
        <v>Qty Variance</v>
      </c>
      <c r="S586" s="1" t="str">
        <f>IF(po_master[[#This Row],[Invoice Unit Price]]&gt;po_master[[#This Row],[PO Unit Price]]*1.01, "Price Variance", "OK")</f>
        <v>OK</v>
      </c>
      <c r="T586" s="1" t="str">
        <f>IF(po_master[[#This Row],[Actual Delivery Date]]&gt;po_master[[#This Row],[Promised Delivey Date]], "Late Delivery", "OK")</f>
        <v>Late Delivery</v>
      </c>
      <c r="U586" s="1" t="str">
        <f>IF(COUNTIF(po_master[PO Number],po_master[[#This Row],[PO Number]])&gt;1, "Duplicate Invoice", "OK")</f>
        <v>OK</v>
      </c>
    </row>
    <row r="587" spans="1:21" x14ac:dyDescent="0.25">
      <c r="A587" s="1" t="s">
        <v>520</v>
      </c>
      <c r="B587" s="1" t="s">
        <v>1493</v>
      </c>
      <c r="C587" s="2">
        <v>46130</v>
      </c>
      <c r="D587">
        <v>197</v>
      </c>
      <c r="E587">
        <v>111.54</v>
      </c>
      <c r="F587" s="1" t="s">
        <v>1501</v>
      </c>
      <c r="G587" s="2">
        <v>46150</v>
      </c>
      <c r="H587">
        <v>197</v>
      </c>
      <c r="I587" s="2">
        <v>46159</v>
      </c>
      <c r="J587" s="1" t="s">
        <v>1291</v>
      </c>
      <c r="K587">
        <v>197</v>
      </c>
      <c r="L587">
        <v>111.54</v>
      </c>
      <c r="M587" s="2">
        <v>46158</v>
      </c>
      <c r="N587" t="str">
        <f>IF(po_master[[#This Row],[Approved By]]="", "Missing Approval", "OK")</f>
        <v>OK</v>
      </c>
      <c r="O587" t="str">
        <f>IF(ISBLANK(po_master[[#This Row],[GR Quantity]]), "No GR - Not received", "OK")</f>
        <v>OK</v>
      </c>
      <c r="P587" s="1" t="str">
        <f>IF(po_master[[#This Row],[Promised Delivey Date]]&lt;po_master[[#This Row],[Order Date]], "Invalid", "OK")</f>
        <v>OK</v>
      </c>
      <c r="Q587" s="1" t="str">
        <f>IF(ISBLANK(po_master[[#This Row],[Invoice Number]]), "No Invoice", "OK")</f>
        <v>OK</v>
      </c>
      <c r="R587" s="1" t="str">
        <f>IF(AND(NOT(ISBLANK(po_master[[#This Row],[GR Quantity]])), po_master[[#This Row],[GR Quantity]]&lt;&gt;po_master[[#This Row],[PO Quantity]]), "Qty Variance", "OK")</f>
        <v>OK</v>
      </c>
      <c r="S587" s="1" t="str">
        <f>IF(po_master[[#This Row],[Invoice Unit Price]]&gt;po_master[[#This Row],[PO Unit Price]]*1.01, "Price Variance", "OK")</f>
        <v>OK</v>
      </c>
      <c r="T587" s="1" t="str">
        <f>IF(po_master[[#This Row],[Actual Delivery Date]]&gt;po_master[[#This Row],[Promised Delivey Date]], "Late Delivery", "OK")</f>
        <v>Late Delivery</v>
      </c>
      <c r="U587" s="1" t="str">
        <f>IF(COUNTIF(po_master[PO Number],po_master[[#This Row],[PO Number]])&gt;1, "Duplicate Invoice", "OK")</f>
        <v>OK</v>
      </c>
    </row>
    <row r="588" spans="1:21" x14ac:dyDescent="0.25">
      <c r="A588" s="1" t="s">
        <v>521</v>
      </c>
      <c r="B588" s="1" t="s">
        <v>1492</v>
      </c>
      <c r="C588" s="2">
        <v>46027</v>
      </c>
      <c r="D588">
        <v>310</v>
      </c>
      <c r="E588">
        <v>18.170000000000002</v>
      </c>
      <c r="F588" s="1" t="s">
        <v>1458</v>
      </c>
      <c r="G588" s="2">
        <v>46038</v>
      </c>
      <c r="H588">
        <v>310</v>
      </c>
      <c r="I588" s="2">
        <v>46040</v>
      </c>
      <c r="J588" s="1" t="s">
        <v>1292</v>
      </c>
      <c r="K588">
        <v>310</v>
      </c>
      <c r="L588">
        <v>18.170000000000002</v>
      </c>
      <c r="M588" s="2">
        <v>46043</v>
      </c>
      <c r="N588" t="str">
        <f>IF(po_master[[#This Row],[Approved By]]="", "Missing Approval", "OK")</f>
        <v>OK</v>
      </c>
      <c r="O588" t="str">
        <f>IF(ISBLANK(po_master[[#This Row],[GR Quantity]]), "No GR - Not received", "OK")</f>
        <v>OK</v>
      </c>
      <c r="P588" s="1" t="str">
        <f>IF(po_master[[#This Row],[Promised Delivey Date]]&lt;po_master[[#This Row],[Order Date]], "Invalid", "OK")</f>
        <v>OK</v>
      </c>
      <c r="Q588" s="1" t="str">
        <f>IF(ISBLANK(po_master[[#This Row],[Invoice Number]]), "No Invoice", "OK")</f>
        <v>OK</v>
      </c>
      <c r="R588" s="1" t="str">
        <f>IF(AND(NOT(ISBLANK(po_master[[#This Row],[GR Quantity]])), po_master[[#This Row],[GR Quantity]]&lt;&gt;po_master[[#This Row],[PO Quantity]]), "Qty Variance", "OK")</f>
        <v>OK</v>
      </c>
      <c r="S588" s="1" t="str">
        <f>IF(po_master[[#This Row],[Invoice Unit Price]]&gt;po_master[[#This Row],[PO Unit Price]]*1.01, "Price Variance", "OK")</f>
        <v>OK</v>
      </c>
      <c r="T588" s="1" t="str">
        <f>IF(po_master[[#This Row],[Actual Delivery Date]]&gt;po_master[[#This Row],[Promised Delivey Date]], "Late Delivery", "OK")</f>
        <v>Late Delivery</v>
      </c>
      <c r="U588" s="1" t="str">
        <f>IF(COUNTIF(po_master[PO Number],po_master[[#This Row],[PO Number]])&gt;1, "Duplicate Invoice", "OK")</f>
        <v>OK</v>
      </c>
    </row>
    <row r="589" spans="1:21" x14ac:dyDescent="0.25">
      <c r="A589" s="1" t="s">
        <v>522</v>
      </c>
      <c r="B589" s="1" t="s">
        <v>1452</v>
      </c>
      <c r="C589" s="2">
        <v>46038</v>
      </c>
      <c r="D589">
        <v>495</v>
      </c>
      <c r="E589">
        <v>158.91</v>
      </c>
      <c r="F589" s="1" t="s">
        <v>1504</v>
      </c>
      <c r="G589" s="2">
        <v>46052</v>
      </c>
      <c r="H589">
        <v>495</v>
      </c>
      <c r="I589" s="2">
        <v>46054</v>
      </c>
      <c r="J589" s="1" t="s">
        <v>1293</v>
      </c>
      <c r="K589">
        <v>495</v>
      </c>
      <c r="L589">
        <v>168.37</v>
      </c>
      <c r="M589" s="2">
        <v>46061</v>
      </c>
      <c r="N589" t="str">
        <f>IF(po_master[[#This Row],[Approved By]]="", "Missing Approval", "OK")</f>
        <v>OK</v>
      </c>
      <c r="O589" t="str">
        <f>IF(ISBLANK(po_master[[#This Row],[GR Quantity]]), "No GR - Not received", "OK")</f>
        <v>OK</v>
      </c>
      <c r="P589" s="1" t="str">
        <f>IF(po_master[[#This Row],[Promised Delivey Date]]&lt;po_master[[#This Row],[Order Date]], "Invalid", "OK")</f>
        <v>OK</v>
      </c>
      <c r="Q589" s="1" t="str">
        <f>IF(ISBLANK(po_master[[#This Row],[Invoice Number]]), "No Invoice", "OK")</f>
        <v>OK</v>
      </c>
      <c r="R589" s="1" t="str">
        <f>IF(AND(NOT(ISBLANK(po_master[[#This Row],[GR Quantity]])), po_master[[#This Row],[GR Quantity]]&lt;&gt;po_master[[#This Row],[PO Quantity]]), "Qty Variance", "OK")</f>
        <v>OK</v>
      </c>
      <c r="S589" s="1" t="str">
        <f>IF(po_master[[#This Row],[Invoice Unit Price]]&gt;po_master[[#This Row],[PO Unit Price]]*1.01, "Price Variance", "OK")</f>
        <v>Price Variance</v>
      </c>
      <c r="T589" s="1" t="str">
        <f>IF(po_master[[#This Row],[Actual Delivery Date]]&gt;po_master[[#This Row],[Promised Delivey Date]], "Late Delivery", "OK")</f>
        <v>Late Delivery</v>
      </c>
      <c r="U589" s="1" t="str">
        <f>IF(COUNTIF(po_master[PO Number],po_master[[#This Row],[PO Number]])&gt;1, "Duplicate Invoice", "OK")</f>
        <v>OK</v>
      </c>
    </row>
    <row r="590" spans="1:21" x14ac:dyDescent="0.25">
      <c r="A590" s="1" t="s">
        <v>523</v>
      </c>
      <c r="B590" s="1" t="s">
        <v>1439</v>
      </c>
      <c r="C590" s="2">
        <v>46151</v>
      </c>
      <c r="D590">
        <v>402</v>
      </c>
      <c r="E590">
        <v>86.01</v>
      </c>
      <c r="F590" s="1" t="s">
        <v>1499</v>
      </c>
      <c r="G590" s="2">
        <v>46168</v>
      </c>
      <c r="H590">
        <v>402</v>
      </c>
      <c r="I590" s="2">
        <v>46170</v>
      </c>
      <c r="J590" s="1" t="s">
        <v>1294</v>
      </c>
      <c r="K590">
        <v>402</v>
      </c>
      <c r="L590">
        <v>86.01</v>
      </c>
      <c r="M590" s="2">
        <v>46169</v>
      </c>
      <c r="N590" t="str">
        <f>IF(po_master[[#This Row],[Approved By]]="", "Missing Approval", "OK")</f>
        <v>OK</v>
      </c>
      <c r="O590" t="str">
        <f>IF(ISBLANK(po_master[[#This Row],[GR Quantity]]), "No GR - Not received", "OK")</f>
        <v>OK</v>
      </c>
      <c r="P590" s="1" t="str">
        <f>IF(po_master[[#This Row],[Promised Delivey Date]]&lt;po_master[[#This Row],[Order Date]], "Invalid", "OK")</f>
        <v>OK</v>
      </c>
      <c r="Q590" s="1" t="str">
        <f>IF(ISBLANK(po_master[[#This Row],[Invoice Number]]), "No Invoice", "OK")</f>
        <v>OK</v>
      </c>
      <c r="R590" s="1" t="str">
        <f>IF(AND(NOT(ISBLANK(po_master[[#This Row],[GR Quantity]])), po_master[[#This Row],[GR Quantity]]&lt;&gt;po_master[[#This Row],[PO Quantity]]), "Qty Variance", "OK")</f>
        <v>OK</v>
      </c>
      <c r="S590" s="1" t="str">
        <f>IF(po_master[[#This Row],[Invoice Unit Price]]&gt;po_master[[#This Row],[PO Unit Price]]*1.01, "Price Variance", "OK")</f>
        <v>OK</v>
      </c>
      <c r="T590" s="1" t="str">
        <f>IF(po_master[[#This Row],[Actual Delivery Date]]&gt;po_master[[#This Row],[Promised Delivey Date]], "Late Delivery", "OK")</f>
        <v>Late Delivery</v>
      </c>
      <c r="U590" s="1" t="str">
        <f>IF(COUNTIF(po_master[PO Number],po_master[[#This Row],[PO Number]])&gt;1, "Duplicate Invoice", "OK")</f>
        <v>OK</v>
      </c>
    </row>
    <row r="591" spans="1:21" x14ac:dyDescent="0.25">
      <c r="A591" s="1" t="s">
        <v>524</v>
      </c>
      <c r="B591" s="1" t="s">
        <v>1457</v>
      </c>
      <c r="C591" s="2">
        <v>46160</v>
      </c>
      <c r="D591">
        <v>285</v>
      </c>
      <c r="E591">
        <v>125.13</v>
      </c>
      <c r="F591" s="1" t="s">
        <v>1458</v>
      </c>
      <c r="G591" s="2">
        <v>46167</v>
      </c>
      <c r="H591">
        <v>285</v>
      </c>
      <c r="I591" s="2">
        <v>46167</v>
      </c>
      <c r="J591" s="1" t="s">
        <v>1295</v>
      </c>
      <c r="K591">
        <v>285</v>
      </c>
      <c r="L591">
        <v>125.13</v>
      </c>
      <c r="M591" s="2">
        <v>46176</v>
      </c>
      <c r="N591" t="str">
        <f>IF(po_master[[#This Row],[Approved By]]="", "Missing Approval", "OK")</f>
        <v>OK</v>
      </c>
      <c r="O591" t="str">
        <f>IF(ISBLANK(po_master[[#This Row],[GR Quantity]]), "No GR - Not received", "OK")</f>
        <v>OK</v>
      </c>
      <c r="P591" s="1" t="str">
        <f>IF(po_master[[#This Row],[Promised Delivey Date]]&lt;po_master[[#This Row],[Order Date]], "Invalid", "OK")</f>
        <v>OK</v>
      </c>
      <c r="Q591" s="1" t="str">
        <f>IF(ISBLANK(po_master[[#This Row],[Invoice Number]]), "No Invoice", "OK")</f>
        <v>OK</v>
      </c>
      <c r="R591" s="1" t="str">
        <f>IF(AND(NOT(ISBLANK(po_master[[#This Row],[GR Quantity]])), po_master[[#This Row],[GR Quantity]]&lt;&gt;po_master[[#This Row],[PO Quantity]]), "Qty Variance", "OK")</f>
        <v>OK</v>
      </c>
      <c r="S591" s="1" t="str">
        <f>IF(po_master[[#This Row],[Invoice Unit Price]]&gt;po_master[[#This Row],[PO Unit Price]]*1.01, "Price Variance", "OK")</f>
        <v>OK</v>
      </c>
      <c r="T591" s="1" t="str">
        <f>IF(po_master[[#This Row],[Actual Delivery Date]]&gt;po_master[[#This Row],[Promised Delivey Date]], "Late Delivery", "OK")</f>
        <v>OK</v>
      </c>
      <c r="U591" s="1" t="str">
        <f>IF(COUNTIF(po_master[PO Number],po_master[[#This Row],[PO Number]])&gt;1, "Duplicate Invoice", "OK")</f>
        <v>OK</v>
      </c>
    </row>
    <row r="592" spans="1:21" x14ac:dyDescent="0.25">
      <c r="A592" s="1" t="s">
        <v>525</v>
      </c>
      <c r="B592" s="1" t="s">
        <v>1512</v>
      </c>
      <c r="C592" s="2">
        <v>46043</v>
      </c>
      <c r="D592">
        <v>271</v>
      </c>
      <c r="E592">
        <v>184.58</v>
      </c>
      <c r="F592" s="1" t="s">
        <v>1485</v>
      </c>
      <c r="G592" s="2">
        <v>46058</v>
      </c>
      <c r="H592">
        <v>264</v>
      </c>
      <c r="I592" s="2">
        <v>46060</v>
      </c>
      <c r="J592" s="1" t="s">
        <v>1296</v>
      </c>
      <c r="K592">
        <v>271</v>
      </c>
      <c r="L592">
        <v>184.58</v>
      </c>
      <c r="M592" s="2">
        <v>46068</v>
      </c>
      <c r="N592" t="str">
        <f>IF(po_master[[#This Row],[Approved By]]="", "Missing Approval", "OK")</f>
        <v>OK</v>
      </c>
      <c r="O592" t="str">
        <f>IF(ISBLANK(po_master[[#This Row],[GR Quantity]]), "No GR - Not received", "OK")</f>
        <v>OK</v>
      </c>
      <c r="P592" s="1" t="str">
        <f>IF(po_master[[#This Row],[Promised Delivey Date]]&lt;po_master[[#This Row],[Order Date]], "Invalid", "OK")</f>
        <v>OK</v>
      </c>
      <c r="Q592" s="1" t="str">
        <f>IF(ISBLANK(po_master[[#This Row],[Invoice Number]]), "No Invoice", "OK")</f>
        <v>OK</v>
      </c>
      <c r="R592" s="1" t="str">
        <f>IF(AND(NOT(ISBLANK(po_master[[#This Row],[GR Quantity]])), po_master[[#This Row],[GR Quantity]]&lt;&gt;po_master[[#This Row],[PO Quantity]]), "Qty Variance", "OK")</f>
        <v>Qty Variance</v>
      </c>
      <c r="S592" s="1" t="str">
        <f>IF(po_master[[#This Row],[Invoice Unit Price]]&gt;po_master[[#This Row],[PO Unit Price]]*1.01, "Price Variance", "OK")</f>
        <v>OK</v>
      </c>
      <c r="T592" s="1" t="str">
        <f>IF(po_master[[#This Row],[Actual Delivery Date]]&gt;po_master[[#This Row],[Promised Delivey Date]], "Late Delivery", "OK")</f>
        <v>Late Delivery</v>
      </c>
      <c r="U592" s="1" t="str">
        <f>IF(COUNTIF(po_master[PO Number],po_master[[#This Row],[PO Number]])&gt;1, "Duplicate Invoice", "OK")</f>
        <v>OK</v>
      </c>
    </row>
    <row r="593" spans="1:21" x14ac:dyDescent="0.25">
      <c r="A593" s="1" t="s">
        <v>526</v>
      </c>
      <c r="B593" s="1" t="s">
        <v>1488</v>
      </c>
      <c r="C593" s="2">
        <v>46173</v>
      </c>
      <c r="D593">
        <v>334</v>
      </c>
      <c r="E593">
        <v>153.83000000000001</v>
      </c>
      <c r="F593" s="1" t="s">
        <v>1446</v>
      </c>
      <c r="G593" s="2">
        <v>46180</v>
      </c>
      <c r="H593">
        <v>334</v>
      </c>
      <c r="I593" s="2">
        <v>46179</v>
      </c>
      <c r="J593" s="1" t="s">
        <v>1297</v>
      </c>
      <c r="K593">
        <v>334</v>
      </c>
      <c r="L593">
        <v>153.83000000000001</v>
      </c>
      <c r="M593" s="2">
        <v>46182</v>
      </c>
      <c r="N593" t="str">
        <f>IF(po_master[[#This Row],[Approved By]]="", "Missing Approval", "OK")</f>
        <v>OK</v>
      </c>
      <c r="O593" t="str">
        <f>IF(ISBLANK(po_master[[#This Row],[GR Quantity]]), "No GR - Not received", "OK")</f>
        <v>OK</v>
      </c>
      <c r="P593" s="1" t="str">
        <f>IF(po_master[[#This Row],[Promised Delivey Date]]&lt;po_master[[#This Row],[Order Date]], "Invalid", "OK")</f>
        <v>OK</v>
      </c>
      <c r="Q593" s="1" t="str">
        <f>IF(ISBLANK(po_master[[#This Row],[Invoice Number]]), "No Invoice", "OK")</f>
        <v>OK</v>
      </c>
      <c r="R593" s="1" t="str">
        <f>IF(AND(NOT(ISBLANK(po_master[[#This Row],[GR Quantity]])), po_master[[#This Row],[GR Quantity]]&lt;&gt;po_master[[#This Row],[PO Quantity]]), "Qty Variance", "OK")</f>
        <v>OK</v>
      </c>
      <c r="S593" s="1" t="str">
        <f>IF(po_master[[#This Row],[Invoice Unit Price]]&gt;po_master[[#This Row],[PO Unit Price]]*1.01, "Price Variance", "OK")</f>
        <v>OK</v>
      </c>
      <c r="T593" s="1" t="str">
        <f>IF(po_master[[#This Row],[Actual Delivery Date]]&gt;po_master[[#This Row],[Promised Delivey Date]], "Late Delivery", "OK")</f>
        <v>OK</v>
      </c>
      <c r="U593" s="1" t="str">
        <f>IF(COUNTIF(po_master[PO Number],po_master[[#This Row],[PO Number]])&gt;1, "Duplicate Invoice", "OK")</f>
        <v>OK</v>
      </c>
    </row>
    <row r="594" spans="1:21" x14ac:dyDescent="0.25">
      <c r="A594" s="1" t="s">
        <v>527</v>
      </c>
      <c r="B594" s="1" t="s">
        <v>1512</v>
      </c>
      <c r="C594" s="2">
        <v>46134</v>
      </c>
      <c r="D594">
        <v>383</v>
      </c>
      <c r="E594">
        <v>190.92</v>
      </c>
      <c r="F594" s="1" t="s">
        <v>1440</v>
      </c>
      <c r="G594" s="2">
        <v>46140</v>
      </c>
      <c r="H594">
        <v>383</v>
      </c>
      <c r="I594" s="2">
        <v>46140</v>
      </c>
      <c r="J594" s="1" t="s">
        <v>1298</v>
      </c>
      <c r="K594">
        <v>383</v>
      </c>
      <c r="L594">
        <v>190.92</v>
      </c>
      <c r="M594" s="2">
        <v>46142</v>
      </c>
      <c r="N594" t="str">
        <f>IF(po_master[[#This Row],[Approved By]]="", "Missing Approval", "OK")</f>
        <v>OK</v>
      </c>
      <c r="O594" t="str">
        <f>IF(ISBLANK(po_master[[#This Row],[GR Quantity]]), "No GR - Not received", "OK")</f>
        <v>OK</v>
      </c>
      <c r="P594" s="1" t="str">
        <f>IF(po_master[[#This Row],[Promised Delivey Date]]&lt;po_master[[#This Row],[Order Date]], "Invalid", "OK")</f>
        <v>OK</v>
      </c>
      <c r="Q594" s="1" t="str">
        <f>IF(ISBLANK(po_master[[#This Row],[Invoice Number]]), "No Invoice", "OK")</f>
        <v>OK</v>
      </c>
      <c r="R594" s="1" t="str">
        <f>IF(AND(NOT(ISBLANK(po_master[[#This Row],[GR Quantity]])), po_master[[#This Row],[GR Quantity]]&lt;&gt;po_master[[#This Row],[PO Quantity]]), "Qty Variance", "OK")</f>
        <v>OK</v>
      </c>
      <c r="S594" s="1" t="str">
        <f>IF(po_master[[#This Row],[Invoice Unit Price]]&gt;po_master[[#This Row],[PO Unit Price]]*1.01, "Price Variance", "OK")</f>
        <v>OK</v>
      </c>
      <c r="T594" s="1" t="str">
        <f>IF(po_master[[#This Row],[Actual Delivery Date]]&gt;po_master[[#This Row],[Promised Delivey Date]], "Late Delivery", "OK")</f>
        <v>OK</v>
      </c>
      <c r="U594" s="1" t="str">
        <f>IF(COUNTIF(po_master[PO Number],po_master[[#This Row],[PO Number]])&gt;1, "Duplicate Invoice", "OK")</f>
        <v>OK</v>
      </c>
    </row>
    <row r="595" spans="1:21" x14ac:dyDescent="0.25">
      <c r="A595" s="1" t="s">
        <v>528</v>
      </c>
      <c r="B595" s="1" t="s">
        <v>1482</v>
      </c>
      <c r="C595" s="2">
        <v>46045</v>
      </c>
      <c r="D595">
        <v>483</v>
      </c>
      <c r="E595">
        <v>89.72</v>
      </c>
      <c r="F595" s="1" t="s">
        <v>1469</v>
      </c>
      <c r="G595" s="2">
        <v>46051</v>
      </c>
      <c r="H595">
        <v>483</v>
      </c>
      <c r="I595" s="2">
        <v>46066</v>
      </c>
      <c r="J595" s="1" t="s">
        <v>1299</v>
      </c>
      <c r="K595">
        <v>483</v>
      </c>
      <c r="L595">
        <v>89.72</v>
      </c>
      <c r="M595" s="2">
        <v>46054</v>
      </c>
      <c r="N595" t="str">
        <f>IF(po_master[[#This Row],[Approved By]]="", "Missing Approval", "OK")</f>
        <v>OK</v>
      </c>
      <c r="O595" t="str">
        <f>IF(ISBLANK(po_master[[#This Row],[GR Quantity]]), "No GR - Not received", "OK")</f>
        <v>OK</v>
      </c>
      <c r="P595" s="1" t="str">
        <f>IF(po_master[[#This Row],[Promised Delivey Date]]&lt;po_master[[#This Row],[Order Date]], "Invalid", "OK")</f>
        <v>OK</v>
      </c>
      <c r="Q595" s="1" t="str">
        <f>IF(ISBLANK(po_master[[#This Row],[Invoice Number]]), "No Invoice", "OK")</f>
        <v>OK</v>
      </c>
      <c r="R595" s="1" t="str">
        <f>IF(AND(NOT(ISBLANK(po_master[[#This Row],[GR Quantity]])), po_master[[#This Row],[GR Quantity]]&lt;&gt;po_master[[#This Row],[PO Quantity]]), "Qty Variance", "OK")</f>
        <v>OK</v>
      </c>
      <c r="S595" s="1" t="str">
        <f>IF(po_master[[#This Row],[Invoice Unit Price]]&gt;po_master[[#This Row],[PO Unit Price]]*1.01, "Price Variance", "OK")</f>
        <v>OK</v>
      </c>
      <c r="T595" s="1" t="str">
        <f>IF(po_master[[#This Row],[Actual Delivery Date]]&gt;po_master[[#This Row],[Promised Delivey Date]], "Late Delivery", "OK")</f>
        <v>Late Delivery</v>
      </c>
      <c r="U595" s="1" t="str">
        <f>IF(COUNTIF(po_master[PO Number],po_master[[#This Row],[PO Number]])&gt;1, "Duplicate Invoice", "OK")</f>
        <v>Duplicate Invoice</v>
      </c>
    </row>
    <row r="596" spans="1:21" x14ac:dyDescent="0.25">
      <c r="A596" s="1" t="s">
        <v>528</v>
      </c>
      <c r="B596" s="1" t="s">
        <v>1482</v>
      </c>
      <c r="C596" s="2">
        <v>46045</v>
      </c>
      <c r="D596">
        <v>483</v>
      </c>
      <c r="E596">
        <v>89.72</v>
      </c>
      <c r="F596" s="1" t="s">
        <v>1469</v>
      </c>
      <c r="G596" s="2">
        <v>46051</v>
      </c>
      <c r="H596">
        <v>483</v>
      </c>
      <c r="I596" s="2">
        <v>46066</v>
      </c>
      <c r="J596" s="1" t="s">
        <v>1300</v>
      </c>
      <c r="K596">
        <v>483</v>
      </c>
      <c r="L596">
        <v>89.72</v>
      </c>
      <c r="M596" s="2">
        <v>46058</v>
      </c>
      <c r="N596" t="str">
        <f>IF(po_master[[#This Row],[Approved By]]="", "Missing Approval", "OK")</f>
        <v>OK</v>
      </c>
      <c r="O596" t="str">
        <f>IF(ISBLANK(po_master[[#This Row],[GR Quantity]]), "No GR - Not received", "OK")</f>
        <v>OK</v>
      </c>
      <c r="P596" s="1" t="str">
        <f>IF(po_master[[#This Row],[Promised Delivey Date]]&lt;po_master[[#This Row],[Order Date]], "Invalid", "OK")</f>
        <v>OK</v>
      </c>
      <c r="Q596" s="1" t="str">
        <f>IF(ISBLANK(po_master[[#This Row],[Invoice Number]]), "No Invoice", "OK")</f>
        <v>OK</v>
      </c>
      <c r="R596" s="1" t="str">
        <f>IF(AND(NOT(ISBLANK(po_master[[#This Row],[GR Quantity]])), po_master[[#This Row],[GR Quantity]]&lt;&gt;po_master[[#This Row],[PO Quantity]]), "Qty Variance", "OK")</f>
        <v>OK</v>
      </c>
      <c r="S596" s="1" t="str">
        <f>IF(po_master[[#This Row],[Invoice Unit Price]]&gt;po_master[[#This Row],[PO Unit Price]]*1.01, "Price Variance", "OK")</f>
        <v>OK</v>
      </c>
      <c r="T596" s="1" t="str">
        <f>IF(po_master[[#This Row],[Actual Delivery Date]]&gt;po_master[[#This Row],[Promised Delivey Date]], "Late Delivery", "OK")</f>
        <v>Late Delivery</v>
      </c>
      <c r="U596" s="1" t="str">
        <f>IF(COUNTIF(po_master[PO Number],po_master[[#This Row],[PO Number]])&gt;1, "Duplicate Invoice", "OK")</f>
        <v>Duplicate Invoice</v>
      </c>
    </row>
    <row r="597" spans="1:21" x14ac:dyDescent="0.25">
      <c r="A597" s="1" t="s">
        <v>529</v>
      </c>
      <c r="B597" s="1" t="s">
        <v>1512</v>
      </c>
      <c r="C597" s="2">
        <v>46067</v>
      </c>
      <c r="D597">
        <v>71</v>
      </c>
      <c r="E597">
        <v>7.47</v>
      </c>
      <c r="F597" s="1" t="s">
        <v>1485</v>
      </c>
      <c r="G597" s="2">
        <v>46072</v>
      </c>
      <c r="H597">
        <v>71</v>
      </c>
      <c r="I597" s="2">
        <v>46071</v>
      </c>
      <c r="J597" s="1" t="s">
        <v>1301</v>
      </c>
      <c r="K597">
        <v>71</v>
      </c>
      <c r="L597">
        <v>7.47</v>
      </c>
      <c r="M597" s="2">
        <v>46074</v>
      </c>
      <c r="N597" t="str">
        <f>IF(po_master[[#This Row],[Approved By]]="", "Missing Approval", "OK")</f>
        <v>OK</v>
      </c>
      <c r="O597" t="str">
        <f>IF(ISBLANK(po_master[[#This Row],[GR Quantity]]), "No GR - Not received", "OK")</f>
        <v>OK</v>
      </c>
      <c r="P597" s="1" t="str">
        <f>IF(po_master[[#This Row],[Promised Delivey Date]]&lt;po_master[[#This Row],[Order Date]], "Invalid", "OK")</f>
        <v>OK</v>
      </c>
      <c r="Q597" s="1" t="str">
        <f>IF(ISBLANK(po_master[[#This Row],[Invoice Number]]), "No Invoice", "OK")</f>
        <v>OK</v>
      </c>
      <c r="R597" s="1" t="str">
        <f>IF(AND(NOT(ISBLANK(po_master[[#This Row],[GR Quantity]])), po_master[[#This Row],[GR Quantity]]&lt;&gt;po_master[[#This Row],[PO Quantity]]), "Qty Variance", "OK")</f>
        <v>OK</v>
      </c>
      <c r="S597" s="1" t="str">
        <f>IF(po_master[[#This Row],[Invoice Unit Price]]&gt;po_master[[#This Row],[PO Unit Price]]*1.01, "Price Variance", "OK")</f>
        <v>OK</v>
      </c>
      <c r="T597" s="1" t="str">
        <f>IF(po_master[[#This Row],[Actual Delivery Date]]&gt;po_master[[#This Row],[Promised Delivey Date]], "Late Delivery", "OK")</f>
        <v>OK</v>
      </c>
      <c r="U597" s="1" t="str">
        <f>IF(COUNTIF(po_master[PO Number],po_master[[#This Row],[PO Number]])&gt;1, "Duplicate Invoice", "OK")</f>
        <v>Duplicate Invoice</v>
      </c>
    </row>
    <row r="598" spans="1:21" x14ac:dyDescent="0.25">
      <c r="A598" s="1" t="s">
        <v>529</v>
      </c>
      <c r="B598" s="1" t="s">
        <v>1512</v>
      </c>
      <c r="C598" s="2">
        <v>46067</v>
      </c>
      <c r="D598">
        <v>71</v>
      </c>
      <c r="E598">
        <v>7.47</v>
      </c>
      <c r="F598" s="1" t="s">
        <v>1485</v>
      </c>
      <c r="G598" s="2">
        <v>46072</v>
      </c>
      <c r="H598">
        <v>71</v>
      </c>
      <c r="I598" s="2">
        <v>46071</v>
      </c>
      <c r="J598" s="1" t="s">
        <v>1302</v>
      </c>
      <c r="K598">
        <v>71</v>
      </c>
      <c r="L598">
        <v>7.47</v>
      </c>
      <c r="M598" s="2">
        <v>46079</v>
      </c>
      <c r="N598" t="str">
        <f>IF(po_master[[#This Row],[Approved By]]="", "Missing Approval", "OK")</f>
        <v>OK</v>
      </c>
      <c r="O598" t="str">
        <f>IF(ISBLANK(po_master[[#This Row],[GR Quantity]]), "No GR - Not received", "OK")</f>
        <v>OK</v>
      </c>
      <c r="P598" s="1" t="str">
        <f>IF(po_master[[#This Row],[Promised Delivey Date]]&lt;po_master[[#This Row],[Order Date]], "Invalid", "OK")</f>
        <v>OK</v>
      </c>
      <c r="Q598" s="1" t="str">
        <f>IF(ISBLANK(po_master[[#This Row],[Invoice Number]]), "No Invoice", "OK")</f>
        <v>OK</v>
      </c>
      <c r="R598" s="1" t="str">
        <f>IF(AND(NOT(ISBLANK(po_master[[#This Row],[GR Quantity]])), po_master[[#This Row],[GR Quantity]]&lt;&gt;po_master[[#This Row],[PO Quantity]]), "Qty Variance", "OK")</f>
        <v>OK</v>
      </c>
      <c r="S598" s="1" t="str">
        <f>IF(po_master[[#This Row],[Invoice Unit Price]]&gt;po_master[[#This Row],[PO Unit Price]]*1.01, "Price Variance", "OK")</f>
        <v>OK</v>
      </c>
      <c r="T598" s="1" t="str">
        <f>IF(po_master[[#This Row],[Actual Delivery Date]]&gt;po_master[[#This Row],[Promised Delivey Date]], "Late Delivery", "OK")</f>
        <v>OK</v>
      </c>
      <c r="U598" s="1" t="str">
        <f>IF(COUNTIF(po_master[PO Number],po_master[[#This Row],[PO Number]])&gt;1, "Duplicate Invoice", "OK")</f>
        <v>Duplicate Invoice</v>
      </c>
    </row>
    <row r="599" spans="1:21" x14ac:dyDescent="0.25">
      <c r="A599" s="1" t="s">
        <v>530</v>
      </c>
      <c r="B599" s="1" t="s">
        <v>1460</v>
      </c>
      <c r="C599" s="2">
        <v>46150</v>
      </c>
      <c r="D599">
        <v>497</v>
      </c>
      <c r="E599">
        <v>72.61</v>
      </c>
      <c r="F599" s="1" t="s">
        <v>1504</v>
      </c>
      <c r="G599" s="2">
        <v>46163</v>
      </c>
      <c r="H599">
        <v>497</v>
      </c>
      <c r="I599" s="2">
        <v>46183</v>
      </c>
      <c r="J599" s="1" t="s">
        <v>1303</v>
      </c>
      <c r="K599">
        <v>497</v>
      </c>
      <c r="L599">
        <v>72.61</v>
      </c>
      <c r="M599" s="2">
        <v>46166</v>
      </c>
      <c r="N599" t="str">
        <f>IF(po_master[[#This Row],[Approved By]]="", "Missing Approval", "OK")</f>
        <v>OK</v>
      </c>
      <c r="O599" t="str">
        <f>IF(ISBLANK(po_master[[#This Row],[GR Quantity]]), "No GR - Not received", "OK")</f>
        <v>OK</v>
      </c>
      <c r="P599" s="1" t="str">
        <f>IF(po_master[[#This Row],[Promised Delivey Date]]&lt;po_master[[#This Row],[Order Date]], "Invalid", "OK")</f>
        <v>OK</v>
      </c>
      <c r="Q599" s="1" t="str">
        <f>IF(ISBLANK(po_master[[#This Row],[Invoice Number]]), "No Invoice", "OK")</f>
        <v>OK</v>
      </c>
      <c r="R599" s="1" t="str">
        <f>IF(AND(NOT(ISBLANK(po_master[[#This Row],[GR Quantity]])), po_master[[#This Row],[GR Quantity]]&lt;&gt;po_master[[#This Row],[PO Quantity]]), "Qty Variance", "OK")</f>
        <v>OK</v>
      </c>
      <c r="S599" s="1" t="str">
        <f>IF(po_master[[#This Row],[Invoice Unit Price]]&gt;po_master[[#This Row],[PO Unit Price]]*1.01, "Price Variance", "OK")</f>
        <v>OK</v>
      </c>
      <c r="T599" s="1" t="str">
        <f>IF(po_master[[#This Row],[Actual Delivery Date]]&gt;po_master[[#This Row],[Promised Delivey Date]], "Late Delivery", "OK")</f>
        <v>Late Delivery</v>
      </c>
      <c r="U599" s="1" t="str">
        <f>IF(COUNTIF(po_master[PO Number],po_master[[#This Row],[PO Number]])&gt;1, "Duplicate Invoice", "OK")</f>
        <v>OK</v>
      </c>
    </row>
    <row r="600" spans="1:21" x14ac:dyDescent="0.25">
      <c r="A600" s="1" t="s">
        <v>531</v>
      </c>
      <c r="B600" s="1" t="s">
        <v>1460</v>
      </c>
      <c r="C600" s="2">
        <v>46118</v>
      </c>
      <c r="D600">
        <v>74</v>
      </c>
      <c r="E600">
        <v>151.21</v>
      </c>
      <c r="F600" s="1" t="s">
        <v>1458</v>
      </c>
      <c r="G600" s="2">
        <v>46126</v>
      </c>
      <c r="H600">
        <v>74</v>
      </c>
      <c r="I600" s="2">
        <v>46128</v>
      </c>
      <c r="J600" s="1" t="s">
        <v>1304</v>
      </c>
      <c r="K600">
        <v>74</v>
      </c>
      <c r="L600">
        <v>151.21</v>
      </c>
      <c r="M600" s="2">
        <v>46127</v>
      </c>
      <c r="N600" t="str">
        <f>IF(po_master[[#This Row],[Approved By]]="", "Missing Approval", "OK")</f>
        <v>OK</v>
      </c>
      <c r="O600" t="str">
        <f>IF(ISBLANK(po_master[[#This Row],[GR Quantity]]), "No GR - Not received", "OK")</f>
        <v>OK</v>
      </c>
      <c r="P600" s="1" t="str">
        <f>IF(po_master[[#This Row],[Promised Delivey Date]]&lt;po_master[[#This Row],[Order Date]], "Invalid", "OK")</f>
        <v>OK</v>
      </c>
      <c r="Q600" s="1" t="str">
        <f>IF(ISBLANK(po_master[[#This Row],[Invoice Number]]), "No Invoice", "OK")</f>
        <v>OK</v>
      </c>
      <c r="R600" s="1" t="str">
        <f>IF(AND(NOT(ISBLANK(po_master[[#This Row],[GR Quantity]])), po_master[[#This Row],[GR Quantity]]&lt;&gt;po_master[[#This Row],[PO Quantity]]), "Qty Variance", "OK")</f>
        <v>OK</v>
      </c>
      <c r="S600" s="1" t="str">
        <f>IF(po_master[[#This Row],[Invoice Unit Price]]&gt;po_master[[#This Row],[PO Unit Price]]*1.01, "Price Variance", "OK")</f>
        <v>OK</v>
      </c>
      <c r="T600" s="1" t="str">
        <f>IF(po_master[[#This Row],[Actual Delivery Date]]&gt;po_master[[#This Row],[Promised Delivey Date]], "Late Delivery", "OK")</f>
        <v>Late Delivery</v>
      </c>
      <c r="U600" s="1" t="str">
        <f>IF(COUNTIF(po_master[PO Number],po_master[[#This Row],[PO Number]])&gt;1, "Duplicate Invoice", "OK")</f>
        <v>OK</v>
      </c>
    </row>
    <row r="601" spans="1:21" x14ac:dyDescent="0.25">
      <c r="A601" s="1" t="s">
        <v>532</v>
      </c>
      <c r="B601" s="1" t="s">
        <v>1473</v>
      </c>
      <c r="C601" s="2">
        <v>46108</v>
      </c>
      <c r="D601">
        <v>423</v>
      </c>
      <c r="E601">
        <v>88.72</v>
      </c>
      <c r="F601" s="1" t="s">
        <v>1504</v>
      </c>
      <c r="G601" s="2">
        <v>46115</v>
      </c>
      <c r="H601">
        <v>423</v>
      </c>
      <c r="I601" s="2">
        <v>46114</v>
      </c>
      <c r="J601" s="1" t="s">
        <v>1305</v>
      </c>
      <c r="K601">
        <v>423</v>
      </c>
      <c r="L601">
        <v>88.72</v>
      </c>
      <c r="M601" s="2">
        <v>46120</v>
      </c>
      <c r="N601" t="str">
        <f>IF(po_master[[#This Row],[Approved By]]="", "Missing Approval", "OK")</f>
        <v>OK</v>
      </c>
      <c r="O601" t="str">
        <f>IF(ISBLANK(po_master[[#This Row],[GR Quantity]]), "No GR - Not received", "OK")</f>
        <v>OK</v>
      </c>
      <c r="P601" s="1" t="str">
        <f>IF(po_master[[#This Row],[Promised Delivey Date]]&lt;po_master[[#This Row],[Order Date]], "Invalid", "OK")</f>
        <v>OK</v>
      </c>
      <c r="Q601" s="1" t="str">
        <f>IF(ISBLANK(po_master[[#This Row],[Invoice Number]]), "No Invoice", "OK")</f>
        <v>OK</v>
      </c>
      <c r="R601" s="1" t="str">
        <f>IF(AND(NOT(ISBLANK(po_master[[#This Row],[GR Quantity]])), po_master[[#This Row],[GR Quantity]]&lt;&gt;po_master[[#This Row],[PO Quantity]]), "Qty Variance", "OK")</f>
        <v>OK</v>
      </c>
      <c r="S601" s="1" t="str">
        <f>IF(po_master[[#This Row],[Invoice Unit Price]]&gt;po_master[[#This Row],[PO Unit Price]]*1.01, "Price Variance", "OK")</f>
        <v>OK</v>
      </c>
      <c r="T601" s="1" t="str">
        <f>IF(po_master[[#This Row],[Actual Delivery Date]]&gt;po_master[[#This Row],[Promised Delivey Date]], "Late Delivery", "OK")</f>
        <v>OK</v>
      </c>
      <c r="U601" s="1" t="str">
        <f>IF(COUNTIF(po_master[PO Number],po_master[[#This Row],[PO Number]])&gt;1, "Duplicate Invoice", "OK")</f>
        <v>OK</v>
      </c>
    </row>
    <row r="602" spans="1:21" x14ac:dyDescent="0.25">
      <c r="A602" s="1" t="s">
        <v>1275</v>
      </c>
      <c r="B602" s="1" t="s">
        <v>1449</v>
      </c>
      <c r="C602" s="2">
        <v>46056</v>
      </c>
      <c r="D602">
        <v>254</v>
      </c>
      <c r="E602">
        <v>18.809999999999999</v>
      </c>
      <c r="F602" s="1" t="s">
        <v>1453</v>
      </c>
      <c r="G602" s="2">
        <v>46063</v>
      </c>
      <c r="I602" s="2"/>
      <c r="J602" s="1" t="s">
        <v>1276</v>
      </c>
      <c r="K602">
        <v>254</v>
      </c>
      <c r="L602">
        <v>22.5</v>
      </c>
      <c r="M602" s="2">
        <v>46066</v>
      </c>
      <c r="N602" t="str">
        <f>IF(po_master[[#This Row],[Approved By]]="", "Missing Approval", "OK")</f>
        <v>OK</v>
      </c>
      <c r="O602" t="str">
        <f>IF(ISBLANK(po_master[[#This Row],[GR Quantity]]), "No GR - Not received", "OK")</f>
        <v>No GR - Not received</v>
      </c>
      <c r="P602" s="1" t="str">
        <f>IF(po_master[[#This Row],[Promised Delivey Date]]&lt;po_master[[#This Row],[Order Date]], "Invalid", "OK")</f>
        <v>OK</v>
      </c>
      <c r="Q602" s="1" t="str">
        <f>IF(ISBLANK(po_master[[#This Row],[Invoice Number]]), "No Invoice", "OK")</f>
        <v>OK</v>
      </c>
      <c r="R602" s="1" t="str">
        <f>IF(AND(NOT(ISBLANK(po_master[[#This Row],[GR Quantity]])), po_master[[#This Row],[GR Quantity]]&lt;&gt;po_master[[#This Row],[PO Quantity]]), "Qty Variance", "OK")</f>
        <v>OK</v>
      </c>
      <c r="S602" s="1" t="str">
        <f>IF(po_master[[#This Row],[Invoice Unit Price]]&gt;po_master[[#This Row],[PO Unit Price]]*1.01, "Price Variance", "OK")</f>
        <v>Price Variance</v>
      </c>
      <c r="T602" s="1" t="str">
        <f>IF(po_master[[#This Row],[Actual Delivery Date]]&gt;po_master[[#This Row],[Promised Delivey Date]], "Late Delivery", "OK")</f>
        <v>OK</v>
      </c>
      <c r="U602" s="1" t="str">
        <f>IF(COUNTIF(po_master[PO Number],po_master[[#This Row],[PO Number]])&gt;1, "Duplicate Invoice", "OK")</f>
        <v>OK</v>
      </c>
    </row>
    <row r="603" spans="1:21" x14ac:dyDescent="0.25">
      <c r="A603" s="1" t="s">
        <v>533</v>
      </c>
      <c r="B603" s="1" t="s">
        <v>1470</v>
      </c>
      <c r="C603" s="2">
        <v>46170</v>
      </c>
      <c r="D603">
        <v>331</v>
      </c>
      <c r="E603">
        <v>20.03</v>
      </c>
      <c r="F603" s="1" t="s">
        <v>1469</v>
      </c>
      <c r="G603" s="2">
        <v>46191</v>
      </c>
      <c r="H603">
        <v>331</v>
      </c>
      <c r="I603" s="2">
        <v>46190</v>
      </c>
      <c r="J603" s="1" t="s">
        <v>1306</v>
      </c>
      <c r="K603">
        <v>331</v>
      </c>
      <c r="L603">
        <v>20.03</v>
      </c>
      <c r="M603" s="2">
        <v>46198</v>
      </c>
      <c r="N603" t="str">
        <f>IF(po_master[[#This Row],[Approved By]]="", "Missing Approval", "OK")</f>
        <v>OK</v>
      </c>
      <c r="O603" t="str">
        <f>IF(ISBLANK(po_master[[#This Row],[GR Quantity]]), "No GR - Not received", "OK")</f>
        <v>OK</v>
      </c>
      <c r="P603" s="1" t="str">
        <f>IF(po_master[[#This Row],[Promised Delivey Date]]&lt;po_master[[#This Row],[Order Date]], "Invalid", "OK")</f>
        <v>OK</v>
      </c>
      <c r="Q603" s="1" t="str">
        <f>IF(ISBLANK(po_master[[#This Row],[Invoice Number]]), "No Invoice", "OK")</f>
        <v>OK</v>
      </c>
      <c r="R603" s="1" t="str">
        <f>IF(AND(NOT(ISBLANK(po_master[[#This Row],[GR Quantity]])), po_master[[#This Row],[GR Quantity]]&lt;&gt;po_master[[#This Row],[PO Quantity]]), "Qty Variance", "OK")</f>
        <v>OK</v>
      </c>
      <c r="S603" s="1" t="str">
        <f>IF(po_master[[#This Row],[Invoice Unit Price]]&gt;po_master[[#This Row],[PO Unit Price]]*1.01, "Price Variance", "OK")</f>
        <v>OK</v>
      </c>
      <c r="T603" s="1" t="str">
        <f>IF(po_master[[#This Row],[Actual Delivery Date]]&gt;po_master[[#This Row],[Promised Delivey Date]], "Late Delivery", "OK")</f>
        <v>OK</v>
      </c>
      <c r="U603" s="1" t="str">
        <f>IF(COUNTIF(po_master[PO Number],po_master[[#This Row],[PO Number]])&gt;1, "Duplicate Invoice", "OK")</f>
        <v>OK</v>
      </c>
    </row>
    <row r="604" spans="1:21" x14ac:dyDescent="0.25">
      <c r="A604" s="1" t="s">
        <v>534</v>
      </c>
      <c r="B604" s="1" t="s">
        <v>1496</v>
      </c>
      <c r="C604" s="2">
        <v>46037</v>
      </c>
      <c r="D604">
        <v>265</v>
      </c>
      <c r="E604">
        <v>172.58</v>
      </c>
      <c r="F604" s="1" t="s">
        <v>1501</v>
      </c>
      <c r="G604" s="2">
        <v>46053</v>
      </c>
      <c r="H604">
        <v>265</v>
      </c>
      <c r="I604" s="2">
        <v>46053</v>
      </c>
      <c r="J604" s="1" t="s">
        <v>1307</v>
      </c>
      <c r="K604">
        <v>265</v>
      </c>
      <c r="L604">
        <v>172.58</v>
      </c>
      <c r="M604" s="2">
        <v>46057</v>
      </c>
      <c r="N604" t="str">
        <f>IF(po_master[[#This Row],[Approved By]]="", "Missing Approval", "OK")</f>
        <v>OK</v>
      </c>
      <c r="O604" t="str">
        <f>IF(ISBLANK(po_master[[#This Row],[GR Quantity]]), "No GR - Not received", "OK")</f>
        <v>OK</v>
      </c>
      <c r="P604" s="1" t="str">
        <f>IF(po_master[[#This Row],[Promised Delivey Date]]&lt;po_master[[#This Row],[Order Date]], "Invalid", "OK")</f>
        <v>OK</v>
      </c>
      <c r="Q604" s="1" t="str">
        <f>IF(ISBLANK(po_master[[#This Row],[Invoice Number]]), "No Invoice", "OK")</f>
        <v>OK</v>
      </c>
      <c r="R604" s="1" t="str">
        <f>IF(AND(NOT(ISBLANK(po_master[[#This Row],[GR Quantity]])), po_master[[#This Row],[GR Quantity]]&lt;&gt;po_master[[#This Row],[PO Quantity]]), "Qty Variance", "OK")</f>
        <v>OK</v>
      </c>
      <c r="S604" s="1" t="str">
        <f>IF(po_master[[#This Row],[Invoice Unit Price]]&gt;po_master[[#This Row],[PO Unit Price]]*1.01, "Price Variance", "OK")</f>
        <v>OK</v>
      </c>
      <c r="T604" s="1" t="str">
        <f>IF(po_master[[#This Row],[Actual Delivery Date]]&gt;po_master[[#This Row],[Promised Delivey Date]], "Late Delivery", "OK")</f>
        <v>OK</v>
      </c>
      <c r="U604" s="1" t="str">
        <f>IF(COUNTIF(po_master[PO Number],po_master[[#This Row],[PO Number]])&gt;1, "Duplicate Invoice", "OK")</f>
        <v>OK</v>
      </c>
    </row>
    <row r="605" spans="1:21" x14ac:dyDescent="0.25">
      <c r="A605" s="1" t="s">
        <v>535</v>
      </c>
      <c r="B605" s="1" t="s">
        <v>1460</v>
      </c>
      <c r="C605" s="2">
        <v>46088</v>
      </c>
      <c r="D605">
        <v>405</v>
      </c>
      <c r="E605">
        <v>25.07</v>
      </c>
      <c r="F605" s="1" t="s">
        <v>1480</v>
      </c>
      <c r="G605" s="2">
        <v>46096</v>
      </c>
      <c r="H605">
        <v>405</v>
      </c>
      <c r="I605" s="2">
        <v>46094</v>
      </c>
      <c r="J605" s="1" t="s">
        <v>1308</v>
      </c>
      <c r="K605">
        <v>405</v>
      </c>
      <c r="L605">
        <v>25.07</v>
      </c>
      <c r="M605" s="2">
        <v>46105</v>
      </c>
      <c r="N605" t="str">
        <f>IF(po_master[[#This Row],[Approved By]]="", "Missing Approval", "OK")</f>
        <v>OK</v>
      </c>
      <c r="O605" t="str">
        <f>IF(ISBLANK(po_master[[#This Row],[GR Quantity]]), "No GR - Not received", "OK")</f>
        <v>OK</v>
      </c>
      <c r="P605" s="1" t="str">
        <f>IF(po_master[[#This Row],[Promised Delivey Date]]&lt;po_master[[#This Row],[Order Date]], "Invalid", "OK")</f>
        <v>OK</v>
      </c>
      <c r="Q605" s="1" t="str">
        <f>IF(ISBLANK(po_master[[#This Row],[Invoice Number]]), "No Invoice", "OK")</f>
        <v>OK</v>
      </c>
      <c r="R605" s="1" t="str">
        <f>IF(AND(NOT(ISBLANK(po_master[[#This Row],[GR Quantity]])), po_master[[#This Row],[GR Quantity]]&lt;&gt;po_master[[#This Row],[PO Quantity]]), "Qty Variance", "OK")</f>
        <v>OK</v>
      </c>
      <c r="S605" s="1" t="str">
        <f>IF(po_master[[#This Row],[Invoice Unit Price]]&gt;po_master[[#This Row],[PO Unit Price]]*1.01, "Price Variance", "OK")</f>
        <v>OK</v>
      </c>
      <c r="T605" s="1" t="str">
        <f>IF(po_master[[#This Row],[Actual Delivery Date]]&gt;po_master[[#This Row],[Promised Delivey Date]], "Late Delivery", "OK")</f>
        <v>OK</v>
      </c>
      <c r="U605" s="1" t="str">
        <f>IF(COUNTIF(po_master[PO Number],po_master[[#This Row],[PO Number]])&gt;1, "Duplicate Invoice", "OK")</f>
        <v>OK</v>
      </c>
    </row>
    <row r="606" spans="1:21" x14ac:dyDescent="0.25">
      <c r="A606" s="1" t="s">
        <v>536</v>
      </c>
      <c r="B606" s="1" t="s">
        <v>1447</v>
      </c>
      <c r="C606" s="2">
        <v>46153</v>
      </c>
      <c r="D606">
        <v>11</v>
      </c>
      <c r="E606">
        <v>13.59</v>
      </c>
      <c r="F606" s="1" t="s">
        <v>1448</v>
      </c>
      <c r="G606" s="2">
        <v>46165</v>
      </c>
      <c r="H606">
        <v>11</v>
      </c>
      <c r="I606" s="2">
        <v>46182</v>
      </c>
      <c r="J606" s="1" t="s">
        <v>1309</v>
      </c>
      <c r="K606">
        <v>11</v>
      </c>
      <c r="L606">
        <v>13.59</v>
      </c>
      <c r="M606" s="2">
        <v>46174</v>
      </c>
      <c r="N606" t="str">
        <f>IF(po_master[[#This Row],[Approved By]]="", "Missing Approval", "OK")</f>
        <v>OK</v>
      </c>
      <c r="O606" t="str">
        <f>IF(ISBLANK(po_master[[#This Row],[GR Quantity]]), "No GR - Not received", "OK")</f>
        <v>OK</v>
      </c>
      <c r="P606" s="1" t="str">
        <f>IF(po_master[[#This Row],[Promised Delivey Date]]&lt;po_master[[#This Row],[Order Date]], "Invalid", "OK")</f>
        <v>OK</v>
      </c>
      <c r="Q606" s="1" t="str">
        <f>IF(ISBLANK(po_master[[#This Row],[Invoice Number]]), "No Invoice", "OK")</f>
        <v>OK</v>
      </c>
      <c r="R606" s="1" t="str">
        <f>IF(AND(NOT(ISBLANK(po_master[[#This Row],[GR Quantity]])), po_master[[#This Row],[GR Quantity]]&lt;&gt;po_master[[#This Row],[PO Quantity]]), "Qty Variance", "OK")</f>
        <v>OK</v>
      </c>
      <c r="S606" s="1" t="str">
        <f>IF(po_master[[#This Row],[Invoice Unit Price]]&gt;po_master[[#This Row],[PO Unit Price]]*1.01, "Price Variance", "OK")</f>
        <v>OK</v>
      </c>
      <c r="T606" s="1" t="str">
        <f>IF(po_master[[#This Row],[Actual Delivery Date]]&gt;po_master[[#This Row],[Promised Delivey Date]], "Late Delivery", "OK")</f>
        <v>Late Delivery</v>
      </c>
      <c r="U606" s="1" t="str">
        <f>IF(COUNTIF(po_master[PO Number],po_master[[#This Row],[PO Number]])&gt;1, "Duplicate Invoice", "OK")</f>
        <v>OK</v>
      </c>
    </row>
    <row r="607" spans="1:21" x14ac:dyDescent="0.25">
      <c r="A607" s="1" t="s">
        <v>537</v>
      </c>
      <c r="B607" s="1" t="s">
        <v>1452</v>
      </c>
      <c r="C607" s="2">
        <v>46143</v>
      </c>
      <c r="D607">
        <v>196</v>
      </c>
      <c r="E607">
        <v>79.680000000000007</v>
      </c>
      <c r="F607" s="1" t="s">
        <v>1485</v>
      </c>
      <c r="G607" s="2">
        <v>46153</v>
      </c>
      <c r="H607">
        <v>196</v>
      </c>
      <c r="I607" s="2">
        <v>46164</v>
      </c>
      <c r="J607" s="1" t="s">
        <v>1310</v>
      </c>
      <c r="K607">
        <v>196</v>
      </c>
      <c r="L607">
        <v>79.680000000000007</v>
      </c>
      <c r="M607" s="2">
        <v>46159</v>
      </c>
      <c r="N607" t="str">
        <f>IF(po_master[[#This Row],[Approved By]]="", "Missing Approval", "OK")</f>
        <v>OK</v>
      </c>
      <c r="O607" t="str">
        <f>IF(ISBLANK(po_master[[#This Row],[GR Quantity]]), "No GR - Not received", "OK")</f>
        <v>OK</v>
      </c>
      <c r="P607" s="1" t="str">
        <f>IF(po_master[[#This Row],[Promised Delivey Date]]&lt;po_master[[#This Row],[Order Date]], "Invalid", "OK")</f>
        <v>OK</v>
      </c>
      <c r="Q607" s="1" t="str">
        <f>IF(ISBLANK(po_master[[#This Row],[Invoice Number]]), "No Invoice", "OK")</f>
        <v>OK</v>
      </c>
      <c r="R607" s="1" t="str">
        <f>IF(AND(NOT(ISBLANK(po_master[[#This Row],[GR Quantity]])), po_master[[#This Row],[GR Quantity]]&lt;&gt;po_master[[#This Row],[PO Quantity]]), "Qty Variance", "OK")</f>
        <v>OK</v>
      </c>
      <c r="S607" s="1" t="str">
        <f>IF(po_master[[#This Row],[Invoice Unit Price]]&gt;po_master[[#This Row],[PO Unit Price]]*1.01, "Price Variance", "OK")</f>
        <v>OK</v>
      </c>
      <c r="T607" s="1" t="str">
        <f>IF(po_master[[#This Row],[Actual Delivery Date]]&gt;po_master[[#This Row],[Promised Delivey Date]], "Late Delivery", "OK")</f>
        <v>Late Delivery</v>
      </c>
      <c r="U607" s="1" t="str">
        <f>IF(COUNTIF(po_master[PO Number],po_master[[#This Row],[PO Number]])&gt;1, "Duplicate Invoice", "OK")</f>
        <v>OK</v>
      </c>
    </row>
    <row r="608" spans="1:21" x14ac:dyDescent="0.25">
      <c r="A608" s="1" t="s">
        <v>538</v>
      </c>
      <c r="B608" s="1" t="s">
        <v>1452</v>
      </c>
      <c r="C608" s="2">
        <v>46164</v>
      </c>
      <c r="D608">
        <v>421</v>
      </c>
      <c r="E608">
        <v>183.22</v>
      </c>
      <c r="F608" s="1" t="s">
        <v>1490</v>
      </c>
      <c r="G608" s="2">
        <v>46182</v>
      </c>
      <c r="H608">
        <v>421</v>
      </c>
      <c r="I608" s="2">
        <v>46200</v>
      </c>
      <c r="J608" s="1" t="s">
        <v>1311</v>
      </c>
      <c r="K608">
        <v>421</v>
      </c>
      <c r="L608">
        <v>183.22</v>
      </c>
      <c r="M608" s="2">
        <v>46188</v>
      </c>
      <c r="N608" t="str">
        <f>IF(po_master[[#This Row],[Approved By]]="", "Missing Approval", "OK")</f>
        <v>OK</v>
      </c>
      <c r="O608" t="str">
        <f>IF(ISBLANK(po_master[[#This Row],[GR Quantity]]), "No GR - Not received", "OK")</f>
        <v>OK</v>
      </c>
      <c r="P608" s="1" t="str">
        <f>IF(po_master[[#This Row],[Promised Delivey Date]]&lt;po_master[[#This Row],[Order Date]], "Invalid", "OK")</f>
        <v>OK</v>
      </c>
      <c r="Q608" s="1" t="str">
        <f>IF(ISBLANK(po_master[[#This Row],[Invoice Number]]), "No Invoice", "OK")</f>
        <v>OK</v>
      </c>
      <c r="R608" s="1" t="str">
        <f>IF(AND(NOT(ISBLANK(po_master[[#This Row],[GR Quantity]])), po_master[[#This Row],[GR Quantity]]&lt;&gt;po_master[[#This Row],[PO Quantity]]), "Qty Variance", "OK")</f>
        <v>OK</v>
      </c>
      <c r="S608" s="1" t="str">
        <f>IF(po_master[[#This Row],[Invoice Unit Price]]&gt;po_master[[#This Row],[PO Unit Price]]*1.01, "Price Variance", "OK")</f>
        <v>OK</v>
      </c>
      <c r="T608" s="1" t="str">
        <f>IF(po_master[[#This Row],[Actual Delivery Date]]&gt;po_master[[#This Row],[Promised Delivey Date]], "Late Delivery", "OK")</f>
        <v>Late Delivery</v>
      </c>
      <c r="U608" s="1" t="str">
        <f>IF(COUNTIF(po_master[PO Number],po_master[[#This Row],[PO Number]])&gt;1, "Duplicate Invoice", "OK")</f>
        <v>OK</v>
      </c>
    </row>
    <row r="609" spans="1:21" x14ac:dyDescent="0.25">
      <c r="A609" s="1" t="s">
        <v>539</v>
      </c>
      <c r="B609" s="1" t="s">
        <v>1447</v>
      </c>
      <c r="C609" s="2">
        <v>46105</v>
      </c>
      <c r="D609">
        <v>137</v>
      </c>
      <c r="E609">
        <v>86.17</v>
      </c>
      <c r="F609" s="1" t="s">
        <v>1490</v>
      </c>
      <c r="G609" s="2">
        <v>46120</v>
      </c>
      <c r="H609">
        <v>137</v>
      </c>
      <c r="I609" s="2">
        <v>46122</v>
      </c>
      <c r="J609" s="1" t="s">
        <v>1312</v>
      </c>
      <c r="K609">
        <v>137</v>
      </c>
      <c r="L609">
        <v>86.17</v>
      </c>
      <c r="M609" s="2">
        <v>46122</v>
      </c>
      <c r="N609" t="str">
        <f>IF(po_master[[#This Row],[Approved By]]="", "Missing Approval", "OK")</f>
        <v>OK</v>
      </c>
      <c r="O609" t="str">
        <f>IF(ISBLANK(po_master[[#This Row],[GR Quantity]]), "No GR - Not received", "OK")</f>
        <v>OK</v>
      </c>
      <c r="P609" s="1" t="str">
        <f>IF(po_master[[#This Row],[Promised Delivey Date]]&lt;po_master[[#This Row],[Order Date]], "Invalid", "OK")</f>
        <v>OK</v>
      </c>
      <c r="Q609" s="1" t="str">
        <f>IF(ISBLANK(po_master[[#This Row],[Invoice Number]]), "No Invoice", "OK")</f>
        <v>OK</v>
      </c>
      <c r="R609" s="1" t="str">
        <f>IF(AND(NOT(ISBLANK(po_master[[#This Row],[GR Quantity]])), po_master[[#This Row],[GR Quantity]]&lt;&gt;po_master[[#This Row],[PO Quantity]]), "Qty Variance", "OK")</f>
        <v>OK</v>
      </c>
      <c r="S609" s="1" t="str">
        <f>IF(po_master[[#This Row],[Invoice Unit Price]]&gt;po_master[[#This Row],[PO Unit Price]]*1.01, "Price Variance", "OK")</f>
        <v>OK</v>
      </c>
      <c r="T609" s="1" t="str">
        <f>IF(po_master[[#This Row],[Actual Delivery Date]]&gt;po_master[[#This Row],[Promised Delivey Date]], "Late Delivery", "OK")</f>
        <v>Late Delivery</v>
      </c>
      <c r="U609" s="1" t="str">
        <f>IF(COUNTIF(po_master[PO Number],po_master[[#This Row],[PO Number]])&gt;1, "Duplicate Invoice", "OK")</f>
        <v>OK</v>
      </c>
    </row>
    <row r="610" spans="1:21" x14ac:dyDescent="0.25">
      <c r="A610" s="1" t="s">
        <v>1284</v>
      </c>
      <c r="B610" s="1" t="s">
        <v>1449</v>
      </c>
      <c r="C610" s="2">
        <v>46029</v>
      </c>
      <c r="D610">
        <v>444</v>
      </c>
      <c r="E610">
        <v>170.18</v>
      </c>
      <c r="F610" s="1" t="s">
        <v>1474</v>
      </c>
      <c r="G610" s="2">
        <v>46040</v>
      </c>
      <c r="I610" s="2"/>
      <c r="J610" s="1" t="s">
        <v>1285</v>
      </c>
      <c r="K610">
        <v>444</v>
      </c>
      <c r="L610">
        <v>170.18</v>
      </c>
      <c r="M610" s="2">
        <v>46046</v>
      </c>
      <c r="N610" t="str">
        <f>IF(po_master[[#This Row],[Approved By]]="", "Missing Approval", "OK")</f>
        <v>OK</v>
      </c>
      <c r="O610" t="str">
        <f>IF(ISBLANK(po_master[[#This Row],[GR Quantity]]), "No GR - Not received", "OK")</f>
        <v>No GR - Not received</v>
      </c>
      <c r="P610" s="1" t="str">
        <f>IF(po_master[[#This Row],[Promised Delivey Date]]&lt;po_master[[#This Row],[Order Date]], "Invalid", "OK")</f>
        <v>OK</v>
      </c>
      <c r="Q610" s="1" t="str">
        <f>IF(ISBLANK(po_master[[#This Row],[Invoice Number]]), "No Invoice", "OK")</f>
        <v>OK</v>
      </c>
      <c r="R610" s="1" t="str">
        <f>IF(AND(NOT(ISBLANK(po_master[[#This Row],[GR Quantity]])), po_master[[#This Row],[GR Quantity]]&lt;&gt;po_master[[#This Row],[PO Quantity]]), "Qty Variance", "OK")</f>
        <v>OK</v>
      </c>
      <c r="S610" s="1" t="str">
        <f>IF(po_master[[#This Row],[Invoice Unit Price]]&gt;po_master[[#This Row],[PO Unit Price]]*1.01, "Price Variance", "OK")</f>
        <v>OK</v>
      </c>
      <c r="T610" s="1" t="str">
        <f>IF(po_master[[#This Row],[Actual Delivery Date]]&gt;po_master[[#This Row],[Promised Delivey Date]], "Late Delivery", "OK")</f>
        <v>OK</v>
      </c>
      <c r="U610" s="1" t="str">
        <f>IF(COUNTIF(po_master[PO Number],po_master[[#This Row],[PO Number]])&gt;1, "Duplicate Invoice", "OK")</f>
        <v>Duplicate Invoice</v>
      </c>
    </row>
    <row r="611" spans="1:21" x14ac:dyDescent="0.25">
      <c r="A611" s="1" t="s">
        <v>1284</v>
      </c>
      <c r="B611" s="1" t="s">
        <v>1449</v>
      </c>
      <c r="C611" s="2">
        <v>46029</v>
      </c>
      <c r="D611">
        <v>444</v>
      </c>
      <c r="E611">
        <v>170.18</v>
      </c>
      <c r="F611" s="1" t="s">
        <v>1474</v>
      </c>
      <c r="G611" s="2">
        <v>46040</v>
      </c>
      <c r="I611" s="2"/>
      <c r="J611" s="1" t="s">
        <v>1286</v>
      </c>
      <c r="K611">
        <v>444</v>
      </c>
      <c r="L611">
        <v>170.18</v>
      </c>
      <c r="M611" s="2">
        <v>46047</v>
      </c>
      <c r="N611" t="str">
        <f>IF(po_master[[#This Row],[Approved By]]="", "Missing Approval", "OK")</f>
        <v>OK</v>
      </c>
      <c r="O611" t="str">
        <f>IF(ISBLANK(po_master[[#This Row],[GR Quantity]]), "No GR - Not received", "OK")</f>
        <v>No GR - Not received</v>
      </c>
      <c r="P611" s="1" t="str">
        <f>IF(po_master[[#This Row],[Promised Delivey Date]]&lt;po_master[[#This Row],[Order Date]], "Invalid", "OK")</f>
        <v>OK</v>
      </c>
      <c r="Q611" s="1" t="str">
        <f>IF(ISBLANK(po_master[[#This Row],[Invoice Number]]), "No Invoice", "OK")</f>
        <v>OK</v>
      </c>
      <c r="R611" s="1" t="str">
        <f>IF(AND(NOT(ISBLANK(po_master[[#This Row],[GR Quantity]])), po_master[[#This Row],[GR Quantity]]&lt;&gt;po_master[[#This Row],[PO Quantity]]), "Qty Variance", "OK")</f>
        <v>OK</v>
      </c>
      <c r="S611" s="1" t="str">
        <f>IF(po_master[[#This Row],[Invoice Unit Price]]&gt;po_master[[#This Row],[PO Unit Price]]*1.01, "Price Variance", "OK")</f>
        <v>OK</v>
      </c>
      <c r="T611" s="1" t="str">
        <f>IF(po_master[[#This Row],[Actual Delivery Date]]&gt;po_master[[#This Row],[Promised Delivey Date]], "Late Delivery", "OK")</f>
        <v>OK</v>
      </c>
      <c r="U611" s="1" t="str">
        <f>IF(COUNTIF(po_master[PO Number],po_master[[#This Row],[PO Number]])&gt;1, "Duplicate Invoice", "OK")</f>
        <v>Duplicate Invoice</v>
      </c>
    </row>
    <row r="612" spans="1:21" x14ac:dyDescent="0.25">
      <c r="A612" s="1" t="s">
        <v>540</v>
      </c>
      <c r="B612" s="1" t="s">
        <v>1511</v>
      </c>
      <c r="C612" s="2">
        <v>46042</v>
      </c>
      <c r="D612">
        <v>302</v>
      </c>
      <c r="E612">
        <v>77.7</v>
      </c>
      <c r="F612" s="1" t="s">
        <v>1504</v>
      </c>
      <c r="G612" s="2">
        <v>46048</v>
      </c>
      <c r="H612">
        <v>302</v>
      </c>
      <c r="I612" s="2">
        <v>46049</v>
      </c>
      <c r="J612" s="1" t="s">
        <v>1313</v>
      </c>
      <c r="K612">
        <v>302</v>
      </c>
      <c r="L612">
        <v>82.01</v>
      </c>
      <c r="M612" s="2">
        <v>46051</v>
      </c>
      <c r="N612" t="str">
        <f>IF(po_master[[#This Row],[Approved By]]="", "Missing Approval", "OK")</f>
        <v>OK</v>
      </c>
      <c r="O612" t="str">
        <f>IF(ISBLANK(po_master[[#This Row],[GR Quantity]]), "No GR - Not received", "OK")</f>
        <v>OK</v>
      </c>
      <c r="P612" s="1" t="str">
        <f>IF(po_master[[#This Row],[Promised Delivey Date]]&lt;po_master[[#This Row],[Order Date]], "Invalid", "OK")</f>
        <v>OK</v>
      </c>
      <c r="Q612" s="1" t="str">
        <f>IF(ISBLANK(po_master[[#This Row],[Invoice Number]]), "No Invoice", "OK")</f>
        <v>OK</v>
      </c>
      <c r="R612" s="1" t="str">
        <f>IF(AND(NOT(ISBLANK(po_master[[#This Row],[GR Quantity]])), po_master[[#This Row],[GR Quantity]]&lt;&gt;po_master[[#This Row],[PO Quantity]]), "Qty Variance", "OK")</f>
        <v>OK</v>
      </c>
      <c r="S612" s="1" t="str">
        <f>IF(po_master[[#This Row],[Invoice Unit Price]]&gt;po_master[[#This Row],[PO Unit Price]]*1.01, "Price Variance", "OK")</f>
        <v>Price Variance</v>
      </c>
      <c r="T612" s="1" t="str">
        <f>IF(po_master[[#This Row],[Actual Delivery Date]]&gt;po_master[[#This Row],[Promised Delivey Date]], "Late Delivery", "OK")</f>
        <v>Late Delivery</v>
      </c>
      <c r="U612" s="1" t="str">
        <f>IF(COUNTIF(po_master[PO Number],po_master[[#This Row],[PO Number]])&gt;1, "Duplicate Invoice", "OK")</f>
        <v>OK</v>
      </c>
    </row>
    <row r="613" spans="1:21" x14ac:dyDescent="0.25">
      <c r="A613" s="1" t="s">
        <v>541</v>
      </c>
      <c r="B613" s="1" t="s">
        <v>1486</v>
      </c>
      <c r="C613" s="2">
        <v>46080</v>
      </c>
      <c r="D613">
        <v>421</v>
      </c>
      <c r="E613">
        <v>105.58</v>
      </c>
      <c r="F613" s="1" t="s">
        <v>1462</v>
      </c>
      <c r="G613" s="2">
        <v>46097</v>
      </c>
      <c r="H613">
        <v>421</v>
      </c>
      <c r="I613" s="2">
        <v>46098</v>
      </c>
      <c r="J613" s="1" t="s">
        <v>1314</v>
      </c>
      <c r="K613">
        <v>421</v>
      </c>
      <c r="L613">
        <v>105.58</v>
      </c>
      <c r="M613" s="2">
        <v>46100</v>
      </c>
      <c r="N613" t="str">
        <f>IF(po_master[[#This Row],[Approved By]]="", "Missing Approval", "OK")</f>
        <v>OK</v>
      </c>
      <c r="O613" t="str">
        <f>IF(ISBLANK(po_master[[#This Row],[GR Quantity]]), "No GR - Not received", "OK")</f>
        <v>OK</v>
      </c>
      <c r="P613" s="1" t="str">
        <f>IF(po_master[[#This Row],[Promised Delivey Date]]&lt;po_master[[#This Row],[Order Date]], "Invalid", "OK")</f>
        <v>OK</v>
      </c>
      <c r="Q613" s="1" t="str">
        <f>IF(ISBLANK(po_master[[#This Row],[Invoice Number]]), "No Invoice", "OK")</f>
        <v>OK</v>
      </c>
      <c r="R613" s="1" t="str">
        <f>IF(AND(NOT(ISBLANK(po_master[[#This Row],[GR Quantity]])), po_master[[#This Row],[GR Quantity]]&lt;&gt;po_master[[#This Row],[PO Quantity]]), "Qty Variance", "OK")</f>
        <v>OK</v>
      </c>
      <c r="S613" s="1" t="str">
        <f>IF(po_master[[#This Row],[Invoice Unit Price]]&gt;po_master[[#This Row],[PO Unit Price]]*1.01, "Price Variance", "OK")</f>
        <v>OK</v>
      </c>
      <c r="T613" s="1" t="str">
        <f>IF(po_master[[#This Row],[Actual Delivery Date]]&gt;po_master[[#This Row],[Promised Delivey Date]], "Late Delivery", "OK")</f>
        <v>Late Delivery</v>
      </c>
      <c r="U613" s="1" t="str">
        <f>IF(COUNTIF(po_master[PO Number],po_master[[#This Row],[PO Number]])&gt;1, "Duplicate Invoice", "OK")</f>
        <v>OK</v>
      </c>
    </row>
    <row r="614" spans="1:21" x14ac:dyDescent="0.25">
      <c r="A614" s="1" t="s">
        <v>542</v>
      </c>
      <c r="B614" s="1" t="s">
        <v>1492</v>
      </c>
      <c r="C614" s="2">
        <v>46142</v>
      </c>
      <c r="D614">
        <v>453</v>
      </c>
      <c r="E614">
        <v>60.05</v>
      </c>
      <c r="F614" s="1" t="s">
        <v>1474</v>
      </c>
      <c r="G614" s="2">
        <v>46157</v>
      </c>
      <c r="H614">
        <v>453</v>
      </c>
      <c r="I614" s="2">
        <v>46155</v>
      </c>
      <c r="J614" s="1" t="s">
        <v>1315</v>
      </c>
      <c r="K614">
        <v>453</v>
      </c>
      <c r="L614">
        <v>60.05</v>
      </c>
      <c r="M614" s="2">
        <v>46163</v>
      </c>
      <c r="N614" t="str">
        <f>IF(po_master[[#This Row],[Approved By]]="", "Missing Approval", "OK")</f>
        <v>OK</v>
      </c>
      <c r="O614" t="str">
        <f>IF(ISBLANK(po_master[[#This Row],[GR Quantity]]), "No GR - Not received", "OK")</f>
        <v>OK</v>
      </c>
      <c r="P614" s="1" t="str">
        <f>IF(po_master[[#This Row],[Promised Delivey Date]]&lt;po_master[[#This Row],[Order Date]], "Invalid", "OK")</f>
        <v>OK</v>
      </c>
      <c r="Q614" s="1" t="str">
        <f>IF(ISBLANK(po_master[[#This Row],[Invoice Number]]), "No Invoice", "OK")</f>
        <v>OK</v>
      </c>
      <c r="R614" s="1" t="str">
        <f>IF(AND(NOT(ISBLANK(po_master[[#This Row],[GR Quantity]])), po_master[[#This Row],[GR Quantity]]&lt;&gt;po_master[[#This Row],[PO Quantity]]), "Qty Variance", "OK")</f>
        <v>OK</v>
      </c>
      <c r="S614" s="1" t="str">
        <f>IF(po_master[[#This Row],[Invoice Unit Price]]&gt;po_master[[#This Row],[PO Unit Price]]*1.01, "Price Variance", "OK")</f>
        <v>OK</v>
      </c>
      <c r="T614" s="1" t="str">
        <f>IF(po_master[[#This Row],[Actual Delivery Date]]&gt;po_master[[#This Row],[Promised Delivey Date]], "Late Delivery", "OK")</f>
        <v>OK</v>
      </c>
      <c r="U614" s="1" t="str">
        <f>IF(COUNTIF(po_master[PO Number],po_master[[#This Row],[PO Number]])&gt;1, "Duplicate Invoice", "OK")</f>
        <v>OK</v>
      </c>
    </row>
    <row r="615" spans="1:21" x14ac:dyDescent="0.25">
      <c r="A615" s="1" t="s">
        <v>1288</v>
      </c>
      <c r="B615" s="1" t="s">
        <v>1482</v>
      </c>
      <c r="C615" s="2">
        <v>46149</v>
      </c>
      <c r="D615">
        <v>207</v>
      </c>
      <c r="E615">
        <v>26.99</v>
      </c>
      <c r="F615" s="1" t="s">
        <v>1487</v>
      </c>
      <c r="G615" s="2">
        <v>46156</v>
      </c>
      <c r="I615" s="2"/>
      <c r="J615" s="1" t="s">
        <v>1289</v>
      </c>
      <c r="K615">
        <v>207</v>
      </c>
      <c r="L615">
        <v>26.99</v>
      </c>
      <c r="M615" s="2">
        <v>46166</v>
      </c>
      <c r="N615" t="str">
        <f>IF(po_master[[#This Row],[Approved By]]="", "Missing Approval", "OK")</f>
        <v>OK</v>
      </c>
      <c r="O615" t="str">
        <f>IF(ISBLANK(po_master[[#This Row],[GR Quantity]]), "No GR - Not received", "OK")</f>
        <v>No GR - Not received</v>
      </c>
      <c r="P615" s="1" t="str">
        <f>IF(po_master[[#This Row],[Promised Delivey Date]]&lt;po_master[[#This Row],[Order Date]], "Invalid", "OK")</f>
        <v>OK</v>
      </c>
      <c r="Q615" s="1" t="str">
        <f>IF(ISBLANK(po_master[[#This Row],[Invoice Number]]), "No Invoice", "OK")</f>
        <v>OK</v>
      </c>
      <c r="R615" s="1" t="str">
        <f>IF(AND(NOT(ISBLANK(po_master[[#This Row],[GR Quantity]])), po_master[[#This Row],[GR Quantity]]&lt;&gt;po_master[[#This Row],[PO Quantity]]), "Qty Variance", "OK")</f>
        <v>OK</v>
      </c>
      <c r="S615" s="1" t="str">
        <f>IF(po_master[[#This Row],[Invoice Unit Price]]&gt;po_master[[#This Row],[PO Unit Price]]*1.01, "Price Variance", "OK")</f>
        <v>OK</v>
      </c>
      <c r="T615" s="1" t="str">
        <f>IF(po_master[[#This Row],[Actual Delivery Date]]&gt;po_master[[#This Row],[Promised Delivey Date]], "Late Delivery", "OK")</f>
        <v>OK</v>
      </c>
      <c r="U615" s="1" t="str">
        <f>IF(COUNTIF(po_master[PO Number],po_master[[#This Row],[PO Number]])&gt;1, "Duplicate Invoice", "OK")</f>
        <v>OK</v>
      </c>
    </row>
    <row r="616" spans="1:21" x14ac:dyDescent="0.25">
      <c r="A616" s="1" t="s">
        <v>543</v>
      </c>
      <c r="B616" s="1" t="s">
        <v>1457</v>
      </c>
      <c r="C616" s="2">
        <v>46164</v>
      </c>
      <c r="D616">
        <v>243</v>
      </c>
      <c r="E616">
        <v>6.55</v>
      </c>
      <c r="F616" s="1" t="s">
        <v>1444</v>
      </c>
      <c r="G616" s="2">
        <v>46178</v>
      </c>
      <c r="H616">
        <v>243</v>
      </c>
      <c r="I616" s="2">
        <v>46184</v>
      </c>
      <c r="J616" s="1" t="s">
        <v>1316</v>
      </c>
      <c r="K616">
        <v>243</v>
      </c>
      <c r="L616">
        <v>6.55</v>
      </c>
      <c r="M616" s="2">
        <v>46185</v>
      </c>
      <c r="N616" t="str">
        <f>IF(po_master[[#This Row],[Approved By]]="", "Missing Approval", "OK")</f>
        <v>OK</v>
      </c>
      <c r="O616" t="str">
        <f>IF(ISBLANK(po_master[[#This Row],[GR Quantity]]), "No GR - Not received", "OK")</f>
        <v>OK</v>
      </c>
      <c r="P616" s="1" t="str">
        <f>IF(po_master[[#This Row],[Promised Delivey Date]]&lt;po_master[[#This Row],[Order Date]], "Invalid", "OK")</f>
        <v>OK</v>
      </c>
      <c r="Q616" s="1" t="str">
        <f>IF(ISBLANK(po_master[[#This Row],[Invoice Number]]), "No Invoice", "OK")</f>
        <v>OK</v>
      </c>
      <c r="R616" s="1" t="str">
        <f>IF(AND(NOT(ISBLANK(po_master[[#This Row],[GR Quantity]])), po_master[[#This Row],[GR Quantity]]&lt;&gt;po_master[[#This Row],[PO Quantity]]), "Qty Variance", "OK")</f>
        <v>OK</v>
      </c>
      <c r="S616" s="1" t="str">
        <f>IF(po_master[[#This Row],[Invoice Unit Price]]&gt;po_master[[#This Row],[PO Unit Price]]*1.01, "Price Variance", "OK")</f>
        <v>OK</v>
      </c>
      <c r="T616" s="1" t="str">
        <f>IF(po_master[[#This Row],[Actual Delivery Date]]&gt;po_master[[#This Row],[Promised Delivey Date]], "Late Delivery", "OK")</f>
        <v>Late Delivery</v>
      </c>
      <c r="U616" s="1" t="str">
        <f>IF(COUNTIF(po_master[PO Number],po_master[[#This Row],[PO Number]])&gt;1, "Duplicate Invoice", "OK")</f>
        <v>OK</v>
      </c>
    </row>
    <row r="617" spans="1:21" x14ac:dyDescent="0.25">
      <c r="A617" s="1" t="s">
        <v>544</v>
      </c>
      <c r="B617" s="1" t="s">
        <v>1493</v>
      </c>
      <c r="C617" s="2">
        <v>46100</v>
      </c>
      <c r="D617">
        <v>388</v>
      </c>
      <c r="E617">
        <v>126.43</v>
      </c>
      <c r="F617" s="1" t="s">
        <v>1469</v>
      </c>
      <c r="G617" s="2">
        <v>46116</v>
      </c>
      <c r="H617">
        <v>388</v>
      </c>
      <c r="I617" s="2">
        <v>46114</v>
      </c>
      <c r="J617" s="1" t="s">
        <v>1317</v>
      </c>
      <c r="K617">
        <v>388</v>
      </c>
      <c r="L617">
        <v>126.43</v>
      </c>
      <c r="M617" s="2">
        <v>46123</v>
      </c>
      <c r="N617" t="str">
        <f>IF(po_master[[#This Row],[Approved By]]="", "Missing Approval", "OK")</f>
        <v>OK</v>
      </c>
      <c r="O617" t="str">
        <f>IF(ISBLANK(po_master[[#This Row],[GR Quantity]]), "No GR - Not received", "OK")</f>
        <v>OK</v>
      </c>
      <c r="P617" s="1" t="str">
        <f>IF(po_master[[#This Row],[Promised Delivey Date]]&lt;po_master[[#This Row],[Order Date]], "Invalid", "OK")</f>
        <v>OK</v>
      </c>
      <c r="Q617" s="1" t="str">
        <f>IF(ISBLANK(po_master[[#This Row],[Invoice Number]]), "No Invoice", "OK")</f>
        <v>OK</v>
      </c>
      <c r="R617" s="1" t="str">
        <f>IF(AND(NOT(ISBLANK(po_master[[#This Row],[GR Quantity]])), po_master[[#This Row],[GR Quantity]]&lt;&gt;po_master[[#This Row],[PO Quantity]]), "Qty Variance", "OK")</f>
        <v>OK</v>
      </c>
      <c r="S617" s="1" t="str">
        <f>IF(po_master[[#This Row],[Invoice Unit Price]]&gt;po_master[[#This Row],[PO Unit Price]]*1.01, "Price Variance", "OK")</f>
        <v>OK</v>
      </c>
      <c r="T617" s="1" t="str">
        <f>IF(po_master[[#This Row],[Actual Delivery Date]]&gt;po_master[[#This Row],[Promised Delivey Date]], "Late Delivery", "OK")</f>
        <v>OK</v>
      </c>
      <c r="U617" s="1" t="str">
        <f>IF(COUNTIF(po_master[PO Number],po_master[[#This Row],[PO Number]])&gt;1, "Duplicate Invoice", "OK")</f>
        <v>OK</v>
      </c>
    </row>
    <row r="618" spans="1:21" x14ac:dyDescent="0.25">
      <c r="A618" s="1" t="s">
        <v>545</v>
      </c>
      <c r="B618" s="1" t="s">
        <v>1443</v>
      </c>
      <c r="C618" s="2">
        <v>46149</v>
      </c>
      <c r="D618">
        <v>405</v>
      </c>
      <c r="E618">
        <v>156.30000000000001</v>
      </c>
      <c r="F618" s="1" t="s">
        <v>1490</v>
      </c>
      <c r="G618" s="2">
        <v>46161</v>
      </c>
      <c r="H618">
        <v>405</v>
      </c>
      <c r="I618" s="2">
        <v>46160</v>
      </c>
      <c r="J618" s="1" t="s">
        <v>1318</v>
      </c>
      <c r="K618">
        <v>405</v>
      </c>
      <c r="L618">
        <v>156.30000000000001</v>
      </c>
      <c r="M618" s="2">
        <v>46169</v>
      </c>
      <c r="N618" t="str">
        <f>IF(po_master[[#This Row],[Approved By]]="", "Missing Approval", "OK")</f>
        <v>OK</v>
      </c>
      <c r="O618" t="str">
        <f>IF(ISBLANK(po_master[[#This Row],[GR Quantity]]), "No GR - Not received", "OK")</f>
        <v>OK</v>
      </c>
      <c r="P618" s="1" t="str">
        <f>IF(po_master[[#This Row],[Promised Delivey Date]]&lt;po_master[[#This Row],[Order Date]], "Invalid", "OK")</f>
        <v>OK</v>
      </c>
      <c r="Q618" s="1" t="str">
        <f>IF(ISBLANK(po_master[[#This Row],[Invoice Number]]), "No Invoice", "OK")</f>
        <v>OK</v>
      </c>
      <c r="R618" s="1" t="str">
        <f>IF(AND(NOT(ISBLANK(po_master[[#This Row],[GR Quantity]])), po_master[[#This Row],[GR Quantity]]&lt;&gt;po_master[[#This Row],[PO Quantity]]), "Qty Variance", "OK")</f>
        <v>OK</v>
      </c>
      <c r="S618" s="1" t="str">
        <f>IF(po_master[[#This Row],[Invoice Unit Price]]&gt;po_master[[#This Row],[PO Unit Price]]*1.01, "Price Variance", "OK")</f>
        <v>OK</v>
      </c>
      <c r="T618" s="1" t="str">
        <f>IF(po_master[[#This Row],[Actual Delivery Date]]&gt;po_master[[#This Row],[Promised Delivey Date]], "Late Delivery", "OK")</f>
        <v>OK</v>
      </c>
      <c r="U618" s="1" t="str">
        <f>IF(COUNTIF(po_master[PO Number],po_master[[#This Row],[PO Number]])&gt;1, "Duplicate Invoice", "OK")</f>
        <v>OK</v>
      </c>
    </row>
    <row r="619" spans="1:21" x14ac:dyDescent="0.25">
      <c r="A619" s="1" t="s">
        <v>546</v>
      </c>
      <c r="B619" s="1" t="s">
        <v>1464</v>
      </c>
      <c r="C619" s="2">
        <v>46024</v>
      </c>
      <c r="D619">
        <v>487</v>
      </c>
      <c r="E619">
        <v>84.96</v>
      </c>
      <c r="F619" s="1" t="s">
        <v>1440</v>
      </c>
      <c r="G619" s="2">
        <v>46040</v>
      </c>
      <c r="H619">
        <v>487</v>
      </c>
      <c r="I619" s="2">
        <v>46042</v>
      </c>
      <c r="J619" s="1" t="s">
        <v>1319</v>
      </c>
      <c r="K619">
        <v>487</v>
      </c>
      <c r="L619">
        <v>84.96</v>
      </c>
      <c r="M619" s="2">
        <v>46047</v>
      </c>
      <c r="N619" t="str">
        <f>IF(po_master[[#This Row],[Approved By]]="", "Missing Approval", "OK")</f>
        <v>OK</v>
      </c>
      <c r="O619" t="str">
        <f>IF(ISBLANK(po_master[[#This Row],[GR Quantity]]), "No GR - Not received", "OK")</f>
        <v>OK</v>
      </c>
      <c r="P619" s="1" t="str">
        <f>IF(po_master[[#This Row],[Promised Delivey Date]]&lt;po_master[[#This Row],[Order Date]], "Invalid", "OK")</f>
        <v>OK</v>
      </c>
      <c r="Q619" s="1" t="str">
        <f>IF(ISBLANK(po_master[[#This Row],[Invoice Number]]), "No Invoice", "OK")</f>
        <v>OK</v>
      </c>
      <c r="R619" s="1" t="str">
        <f>IF(AND(NOT(ISBLANK(po_master[[#This Row],[GR Quantity]])), po_master[[#This Row],[GR Quantity]]&lt;&gt;po_master[[#This Row],[PO Quantity]]), "Qty Variance", "OK")</f>
        <v>OK</v>
      </c>
      <c r="S619" s="1" t="str">
        <f>IF(po_master[[#This Row],[Invoice Unit Price]]&gt;po_master[[#This Row],[PO Unit Price]]*1.01, "Price Variance", "OK")</f>
        <v>OK</v>
      </c>
      <c r="T619" s="1" t="str">
        <f>IF(po_master[[#This Row],[Actual Delivery Date]]&gt;po_master[[#This Row],[Promised Delivey Date]], "Late Delivery", "OK")</f>
        <v>Late Delivery</v>
      </c>
      <c r="U619" s="1" t="str">
        <f>IF(COUNTIF(po_master[PO Number],po_master[[#This Row],[PO Number]])&gt;1, "Duplicate Invoice", "OK")</f>
        <v>OK</v>
      </c>
    </row>
    <row r="620" spans="1:21" x14ac:dyDescent="0.25">
      <c r="A620" s="1" t="s">
        <v>547</v>
      </c>
      <c r="B620" s="1" t="s">
        <v>1439</v>
      </c>
      <c r="C620" s="2">
        <v>46025</v>
      </c>
      <c r="D620">
        <v>496</v>
      </c>
      <c r="E620">
        <v>70.33</v>
      </c>
      <c r="F620" s="1" t="s">
        <v>1456</v>
      </c>
      <c r="G620" s="2">
        <v>46042</v>
      </c>
      <c r="H620">
        <v>496</v>
      </c>
      <c r="I620" s="2">
        <v>46043</v>
      </c>
      <c r="J620" s="1" t="s">
        <v>1320</v>
      </c>
      <c r="K620">
        <v>496</v>
      </c>
      <c r="L620">
        <v>70.33</v>
      </c>
      <c r="M620" s="2">
        <v>46046</v>
      </c>
      <c r="N620" t="str">
        <f>IF(po_master[[#This Row],[Approved By]]="", "Missing Approval", "OK")</f>
        <v>OK</v>
      </c>
      <c r="O620" t="str">
        <f>IF(ISBLANK(po_master[[#This Row],[GR Quantity]]), "No GR - Not received", "OK")</f>
        <v>OK</v>
      </c>
      <c r="P620" s="1" t="str">
        <f>IF(po_master[[#This Row],[Promised Delivey Date]]&lt;po_master[[#This Row],[Order Date]], "Invalid", "OK")</f>
        <v>OK</v>
      </c>
      <c r="Q620" s="1" t="str">
        <f>IF(ISBLANK(po_master[[#This Row],[Invoice Number]]), "No Invoice", "OK")</f>
        <v>OK</v>
      </c>
      <c r="R620" s="1" t="str">
        <f>IF(AND(NOT(ISBLANK(po_master[[#This Row],[GR Quantity]])), po_master[[#This Row],[GR Quantity]]&lt;&gt;po_master[[#This Row],[PO Quantity]]), "Qty Variance", "OK")</f>
        <v>OK</v>
      </c>
      <c r="S620" s="1" t="str">
        <f>IF(po_master[[#This Row],[Invoice Unit Price]]&gt;po_master[[#This Row],[PO Unit Price]]*1.01, "Price Variance", "OK")</f>
        <v>OK</v>
      </c>
      <c r="T620" s="1" t="str">
        <f>IF(po_master[[#This Row],[Actual Delivery Date]]&gt;po_master[[#This Row],[Promised Delivey Date]], "Late Delivery", "OK")</f>
        <v>Late Delivery</v>
      </c>
      <c r="U620" s="1" t="str">
        <f>IF(COUNTIF(po_master[PO Number],po_master[[#This Row],[PO Number]])&gt;1, "Duplicate Invoice", "OK")</f>
        <v>OK</v>
      </c>
    </row>
    <row r="621" spans="1:21" x14ac:dyDescent="0.25">
      <c r="A621" s="1" t="s">
        <v>548</v>
      </c>
      <c r="B621" s="1" t="s">
        <v>1465</v>
      </c>
      <c r="C621" s="2">
        <v>46101</v>
      </c>
      <c r="D621">
        <v>63</v>
      </c>
      <c r="E621">
        <v>45.01</v>
      </c>
      <c r="F621" s="1" t="s">
        <v>1440</v>
      </c>
      <c r="G621" s="2">
        <v>46119</v>
      </c>
      <c r="H621">
        <v>63</v>
      </c>
      <c r="I621" s="2">
        <v>46121</v>
      </c>
      <c r="J621" s="1" t="s">
        <v>1321</v>
      </c>
      <c r="K621">
        <v>63</v>
      </c>
      <c r="L621">
        <v>45.01</v>
      </c>
      <c r="M621" s="2">
        <v>46123</v>
      </c>
      <c r="N621" t="str">
        <f>IF(po_master[[#This Row],[Approved By]]="", "Missing Approval", "OK")</f>
        <v>OK</v>
      </c>
      <c r="O621" t="str">
        <f>IF(ISBLANK(po_master[[#This Row],[GR Quantity]]), "No GR - Not received", "OK")</f>
        <v>OK</v>
      </c>
      <c r="P621" s="1" t="str">
        <f>IF(po_master[[#This Row],[Promised Delivey Date]]&lt;po_master[[#This Row],[Order Date]], "Invalid", "OK")</f>
        <v>OK</v>
      </c>
      <c r="Q621" s="1" t="str">
        <f>IF(ISBLANK(po_master[[#This Row],[Invoice Number]]), "No Invoice", "OK")</f>
        <v>OK</v>
      </c>
      <c r="R621" s="1" t="str">
        <f>IF(AND(NOT(ISBLANK(po_master[[#This Row],[GR Quantity]])), po_master[[#This Row],[GR Quantity]]&lt;&gt;po_master[[#This Row],[PO Quantity]]), "Qty Variance", "OK")</f>
        <v>OK</v>
      </c>
      <c r="S621" s="1" t="str">
        <f>IF(po_master[[#This Row],[Invoice Unit Price]]&gt;po_master[[#This Row],[PO Unit Price]]*1.01, "Price Variance", "OK")</f>
        <v>OK</v>
      </c>
      <c r="T621" s="1" t="str">
        <f>IF(po_master[[#This Row],[Actual Delivery Date]]&gt;po_master[[#This Row],[Promised Delivey Date]], "Late Delivery", "OK")</f>
        <v>Late Delivery</v>
      </c>
      <c r="U621" s="1" t="str">
        <f>IF(COUNTIF(po_master[PO Number],po_master[[#This Row],[PO Number]])&gt;1, "Duplicate Invoice", "OK")</f>
        <v>OK</v>
      </c>
    </row>
    <row r="622" spans="1:21" x14ac:dyDescent="0.25">
      <c r="A622" s="1" t="s">
        <v>549</v>
      </c>
      <c r="B622" s="1" t="s">
        <v>1498</v>
      </c>
      <c r="C622" s="2">
        <v>46038</v>
      </c>
      <c r="D622">
        <v>82</v>
      </c>
      <c r="E622">
        <v>143.77000000000001</v>
      </c>
      <c r="F622" s="1" t="s">
        <v>1476</v>
      </c>
      <c r="G622" s="2">
        <v>46044</v>
      </c>
      <c r="H622">
        <v>86</v>
      </c>
      <c r="I622" s="2">
        <v>46045</v>
      </c>
      <c r="J622" s="1" t="s">
        <v>1322</v>
      </c>
      <c r="K622">
        <v>82</v>
      </c>
      <c r="L622">
        <v>143.77000000000001</v>
      </c>
      <c r="M622" s="2">
        <v>46053</v>
      </c>
      <c r="N622" t="str">
        <f>IF(po_master[[#This Row],[Approved By]]="", "Missing Approval", "OK")</f>
        <v>OK</v>
      </c>
      <c r="O622" t="str">
        <f>IF(ISBLANK(po_master[[#This Row],[GR Quantity]]), "No GR - Not received", "OK")</f>
        <v>OK</v>
      </c>
      <c r="P622" s="1" t="str">
        <f>IF(po_master[[#This Row],[Promised Delivey Date]]&lt;po_master[[#This Row],[Order Date]], "Invalid", "OK")</f>
        <v>OK</v>
      </c>
      <c r="Q622" s="1" t="str">
        <f>IF(ISBLANK(po_master[[#This Row],[Invoice Number]]), "No Invoice", "OK")</f>
        <v>OK</v>
      </c>
      <c r="R622" s="1" t="str">
        <f>IF(AND(NOT(ISBLANK(po_master[[#This Row],[GR Quantity]])), po_master[[#This Row],[GR Quantity]]&lt;&gt;po_master[[#This Row],[PO Quantity]]), "Qty Variance", "OK")</f>
        <v>Qty Variance</v>
      </c>
      <c r="S622" s="1" t="str">
        <f>IF(po_master[[#This Row],[Invoice Unit Price]]&gt;po_master[[#This Row],[PO Unit Price]]*1.01, "Price Variance", "OK")</f>
        <v>OK</v>
      </c>
      <c r="T622" s="1" t="str">
        <f>IF(po_master[[#This Row],[Actual Delivery Date]]&gt;po_master[[#This Row],[Promised Delivey Date]], "Late Delivery", "OK")</f>
        <v>Late Delivery</v>
      </c>
      <c r="U622" s="1" t="str">
        <f>IF(COUNTIF(po_master[PO Number],po_master[[#This Row],[PO Number]])&gt;1, "Duplicate Invoice", "OK")</f>
        <v>OK</v>
      </c>
    </row>
    <row r="623" spans="1:21" x14ac:dyDescent="0.25">
      <c r="A623" s="1" t="s">
        <v>550</v>
      </c>
      <c r="B623" s="1" t="s">
        <v>1447</v>
      </c>
      <c r="C623" s="2">
        <v>46156</v>
      </c>
      <c r="D623">
        <v>221</v>
      </c>
      <c r="E623">
        <v>141.66999999999999</v>
      </c>
      <c r="F623" s="1" t="s">
        <v>1451</v>
      </c>
      <c r="G623" s="2">
        <v>46175</v>
      </c>
      <c r="H623">
        <v>221</v>
      </c>
      <c r="I623" s="2">
        <v>46189</v>
      </c>
      <c r="J623" s="1" t="s">
        <v>1323</v>
      </c>
      <c r="K623">
        <v>221</v>
      </c>
      <c r="L623">
        <v>141.66999999999999</v>
      </c>
      <c r="M623" s="2">
        <v>46178</v>
      </c>
      <c r="N623" t="str">
        <f>IF(po_master[[#This Row],[Approved By]]="", "Missing Approval", "OK")</f>
        <v>OK</v>
      </c>
      <c r="O623" t="str">
        <f>IF(ISBLANK(po_master[[#This Row],[GR Quantity]]), "No GR - Not received", "OK")</f>
        <v>OK</v>
      </c>
      <c r="P623" s="1" t="str">
        <f>IF(po_master[[#This Row],[Promised Delivey Date]]&lt;po_master[[#This Row],[Order Date]], "Invalid", "OK")</f>
        <v>OK</v>
      </c>
      <c r="Q623" s="1" t="str">
        <f>IF(ISBLANK(po_master[[#This Row],[Invoice Number]]), "No Invoice", "OK")</f>
        <v>OK</v>
      </c>
      <c r="R623" s="1" t="str">
        <f>IF(AND(NOT(ISBLANK(po_master[[#This Row],[GR Quantity]])), po_master[[#This Row],[GR Quantity]]&lt;&gt;po_master[[#This Row],[PO Quantity]]), "Qty Variance", "OK")</f>
        <v>OK</v>
      </c>
      <c r="S623" s="1" t="str">
        <f>IF(po_master[[#This Row],[Invoice Unit Price]]&gt;po_master[[#This Row],[PO Unit Price]]*1.01, "Price Variance", "OK")</f>
        <v>OK</v>
      </c>
      <c r="T623" s="1" t="str">
        <f>IF(po_master[[#This Row],[Actual Delivery Date]]&gt;po_master[[#This Row],[Promised Delivey Date]], "Late Delivery", "OK")</f>
        <v>Late Delivery</v>
      </c>
      <c r="U623" s="1" t="str">
        <f>IF(COUNTIF(po_master[PO Number],po_master[[#This Row],[PO Number]])&gt;1, "Duplicate Invoice", "OK")</f>
        <v>OK</v>
      </c>
    </row>
    <row r="624" spans="1:21" x14ac:dyDescent="0.25">
      <c r="A624" s="1" t="s">
        <v>551</v>
      </c>
      <c r="B624" s="1" t="s">
        <v>1465</v>
      </c>
      <c r="C624" s="2">
        <v>46044</v>
      </c>
      <c r="D624">
        <v>307</v>
      </c>
      <c r="E624">
        <v>23.64</v>
      </c>
      <c r="F624" s="1" t="s">
        <v>1485</v>
      </c>
      <c r="G624" s="2">
        <v>46061</v>
      </c>
      <c r="H624">
        <v>307</v>
      </c>
      <c r="I624" s="2">
        <v>46078</v>
      </c>
      <c r="J624" s="1" t="s">
        <v>1324</v>
      </c>
      <c r="K624">
        <v>307</v>
      </c>
      <c r="L624">
        <v>23.64</v>
      </c>
      <c r="M624" s="2">
        <v>46068</v>
      </c>
      <c r="N624" t="str">
        <f>IF(po_master[[#This Row],[Approved By]]="", "Missing Approval", "OK")</f>
        <v>OK</v>
      </c>
      <c r="O624" t="str">
        <f>IF(ISBLANK(po_master[[#This Row],[GR Quantity]]), "No GR - Not received", "OK")</f>
        <v>OK</v>
      </c>
      <c r="P624" s="1" t="str">
        <f>IF(po_master[[#This Row],[Promised Delivey Date]]&lt;po_master[[#This Row],[Order Date]], "Invalid", "OK")</f>
        <v>OK</v>
      </c>
      <c r="Q624" s="1" t="str">
        <f>IF(ISBLANK(po_master[[#This Row],[Invoice Number]]), "No Invoice", "OK")</f>
        <v>OK</v>
      </c>
      <c r="R624" s="1" t="str">
        <f>IF(AND(NOT(ISBLANK(po_master[[#This Row],[GR Quantity]])), po_master[[#This Row],[GR Quantity]]&lt;&gt;po_master[[#This Row],[PO Quantity]]), "Qty Variance", "OK")</f>
        <v>OK</v>
      </c>
      <c r="S624" s="1" t="str">
        <f>IF(po_master[[#This Row],[Invoice Unit Price]]&gt;po_master[[#This Row],[PO Unit Price]]*1.01, "Price Variance", "OK")</f>
        <v>OK</v>
      </c>
      <c r="T624" s="1" t="str">
        <f>IF(po_master[[#This Row],[Actual Delivery Date]]&gt;po_master[[#This Row],[Promised Delivey Date]], "Late Delivery", "OK")</f>
        <v>Late Delivery</v>
      </c>
      <c r="U624" s="1" t="str">
        <f>IF(COUNTIF(po_master[PO Number],po_master[[#This Row],[PO Number]])&gt;1, "Duplicate Invoice", "OK")</f>
        <v>Duplicate Invoice</v>
      </c>
    </row>
    <row r="625" spans="1:21" x14ac:dyDescent="0.25">
      <c r="A625" s="1" t="s">
        <v>551</v>
      </c>
      <c r="B625" s="1" t="s">
        <v>1465</v>
      </c>
      <c r="C625" s="2">
        <v>46044</v>
      </c>
      <c r="D625">
        <v>307</v>
      </c>
      <c r="E625">
        <v>23.64</v>
      </c>
      <c r="F625" s="1" t="s">
        <v>1485</v>
      </c>
      <c r="G625" s="2">
        <v>46061</v>
      </c>
      <c r="H625">
        <v>307</v>
      </c>
      <c r="I625" s="2">
        <v>46078</v>
      </c>
      <c r="J625" s="1" t="s">
        <v>1325</v>
      </c>
      <c r="K625">
        <v>307</v>
      </c>
      <c r="L625">
        <v>23.64</v>
      </c>
      <c r="M625" s="2">
        <v>46073</v>
      </c>
      <c r="N625" t="str">
        <f>IF(po_master[[#This Row],[Approved By]]="", "Missing Approval", "OK")</f>
        <v>OK</v>
      </c>
      <c r="O625" t="str">
        <f>IF(ISBLANK(po_master[[#This Row],[GR Quantity]]), "No GR - Not received", "OK")</f>
        <v>OK</v>
      </c>
      <c r="P625" s="1" t="str">
        <f>IF(po_master[[#This Row],[Promised Delivey Date]]&lt;po_master[[#This Row],[Order Date]], "Invalid", "OK")</f>
        <v>OK</v>
      </c>
      <c r="Q625" s="1" t="str">
        <f>IF(ISBLANK(po_master[[#This Row],[Invoice Number]]), "No Invoice", "OK")</f>
        <v>OK</v>
      </c>
      <c r="R625" s="1" t="str">
        <f>IF(AND(NOT(ISBLANK(po_master[[#This Row],[GR Quantity]])), po_master[[#This Row],[GR Quantity]]&lt;&gt;po_master[[#This Row],[PO Quantity]]), "Qty Variance", "OK")</f>
        <v>OK</v>
      </c>
      <c r="S625" s="1" t="str">
        <f>IF(po_master[[#This Row],[Invoice Unit Price]]&gt;po_master[[#This Row],[PO Unit Price]]*1.01, "Price Variance", "OK")</f>
        <v>OK</v>
      </c>
      <c r="T625" s="1" t="str">
        <f>IF(po_master[[#This Row],[Actual Delivery Date]]&gt;po_master[[#This Row],[Promised Delivey Date]], "Late Delivery", "OK")</f>
        <v>Late Delivery</v>
      </c>
      <c r="U625" s="1" t="str">
        <f>IF(COUNTIF(po_master[PO Number],po_master[[#This Row],[PO Number]])&gt;1, "Duplicate Invoice", "OK")</f>
        <v>Duplicate Invoice</v>
      </c>
    </row>
    <row r="626" spans="1:21" x14ac:dyDescent="0.25">
      <c r="A626" s="1" t="s">
        <v>552</v>
      </c>
      <c r="B626" s="1" t="s">
        <v>1492</v>
      </c>
      <c r="C626" s="2">
        <v>46168</v>
      </c>
      <c r="D626">
        <v>41</v>
      </c>
      <c r="E626">
        <v>89.82</v>
      </c>
      <c r="F626" s="1" t="s">
        <v>1485</v>
      </c>
      <c r="G626" s="2">
        <v>46180</v>
      </c>
      <c r="H626">
        <v>41</v>
      </c>
      <c r="I626" s="2">
        <v>46181</v>
      </c>
      <c r="J626" s="1" t="s">
        <v>1326</v>
      </c>
      <c r="K626">
        <v>41</v>
      </c>
      <c r="L626">
        <v>89.82</v>
      </c>
      <c r="M626" s="2">
        <v>46185</v>
      </c>
      <c r="N626" t="str">
        <f>IF(po_master[[#This Row],[Approved By]]="", "Missing Approval", "OK")</f>
        <v>OK</v>
      </c>
      <c r="O626" t="str">
        <f>IF(ISBLANK(po_master[[#This Row],[GR Quantity]]), "No GR - Not received", "OK")</f>
        <v>OK</v>
      </c>
      <c r="P626" s="1" t="str">
        <f>IF(po_master[[#This Row],[Promised Delivey Date]]&lt;po_master[[#This Row],[Order Date]], "Invalid", "OK")</f>
        <v>OK</v>
      </c>
      <c r="Q626" s="1" t="str">
        <f>IF(ISBLANK(po_master[[#This Row],[Invoice Number]]), "No Invoice", "OK")</f>
        <v>OK</v>
      </c>
      <c r="R626" s="1" t="str">
        <f>IF(AND(NOT(ISBLANK(po_master[[#This Row],[GR Quantity]])), po_master[[#This Row],[GR Quantity]]&lt;&gt;po_master[[#This Row],[PO Quantity]]), "Qty Variance", "OK")</f>
        <v>OK</v>
      </c>
      <c r="S626" s="1" t="str">
        <f>IF(po_master[[#This Row],[Invoice Unit Price]]&gt;po_master[[#This Row],[PO Unit Price]]*1.01, "Price Variance", "OK")</f>
        <v>OK</v>
      </c>
      <c r="T626" s="1" t="str">
        <f>IF(po_master[[#This Row],[Actual Delivery Date]]&gt;po_master[[#This Row],[Promised Delivey Date]], "Late Delivery", "OK")</f>
        <v>Late Delivery</v>
      </c>
      <c r="U626" s="1" t="str">
        <f>IF(COUNTIF(po_master[PO Number],po_master[[#This Row],[PO Number]])&gt;1, "Duplicate Invoice", "OK")</f>
        <v>OK</v>
      </c>
    </row>
    <row r="627" spans="1:21" x14ac:dyDescent="0.25">
      <c r="A627" s="1" t="s">
        <v>553</v>
      </c>
      <c r="B627" s="1" t="s">
        <v>1506</v>
      </c>
      <c r="C627" s="2">
        <v>46089</v>
      </c>
      <c r="D627">
        <v>445</v>
      </c>
      <c r="E627">
        <v>66.430000000000007</v>
      </c>
      <c r="F627" s="1" t="s">
        <v>1453</v>
      </c>
      <c r="G627" s="2">
        <v>46104</v>
      </c>
      <c r="H627">
        <v>445</v>
      </c>
      <c r="I627" s="2">
        <v>46105</v>
      </c>
      <c r="J627" s="1" t="s">
        <v>1327</v>
      </c>
      <c r="K627">
        <v>445</v>
      </c>
      <c r="L627">
        <v>66.430000000000007</v>
      </c>
      <c r="M627" s="2">
        <v>46113</v>
      </c>
      <c r="N627" t="str">
        <f>IF(po_master[[#This Row],[Approved By]]="", "Missing Approval", "OK")</f>
        <v>OK</v>
      </c>
      <c r="O627" t="str">
        <f>IF(ISBLANK(po_master[[#This Row],[GR Quantity]]), "No GR - Not received", "OK")</f>
        <v>OK</v>
      </c>
      <c r="P627" s="1" t="str">
        <f>IF(po_master[[#This Row],[Promised Delivey Date]]&lt;po_master[[#This Row],[Order Date]], "Invalid", "OK")</f>
        <v>OK</v>
      </c>
      <c r="Q627" s="1" t="str">
        <f>IF(ISBLANK(po_master[[#This Row],[Invoice Number]]), "No Invoice", "OK")</f>
        <v>OK</v>
      </c>
      <c r="R627" s="1" t="str">
        <f>IF(AND(NOT(ISBLANK(po_master[[#This Row],[GR Quantity]])), po_master[[#This Row],[GR Quantity]]&lt;&gt;po_master[[#This Row],[PO Quantity]]), "Qty Variance", "OK")</f>
        <v>OK</v>
      </c>
      <c r="S627" s="1" t="str">
        <f>IF(po_master[[#This Row],[Invoice Unit Price]]&gt;po_master[[#This Row],[PO Unit Price]]*1.01, "Price Variance", "OK")</f>
        <v>OK</v>
      </c>
      <c r="T627" s="1" t="str">
        <f>IF(po_master[[#This Row],[Actual Delivery Date]]&gt;po_master[[#This Row],[Promised Delivey Date]], "Late Delivery", "OK")</f>
        <v>Late Delivery</v>
      </c>
      <c r="U627" s="1" t="str">
        <f>IF(COUNTIF(po_master[PO Number],po_master[[#This Row],[PO Number]])&gt;1, "Duplicate Invoice", "OK")</f>
        <v>OK</v>
      </c>
    </row>
    <row r="628" spans="1:21" x14ac:dyDescent="0.25">
      <c r="A628" s="1" t="s">
        <v>554</v>
      </c>
      <c r="B628" s="1" t="s">
        <v>1509</v>
      </c>
      <c r="C628" s="2">
        <v>46138</v>
      </c>
      <c r="D628">
        <v>149</v>
      </c>
      <c r="E628">
        <v>50.55</v>
      </c>
      <c r="F628" s="1" t="s">
        <v>1444</v>
      </c>
      <c r="G628" s="2">
        <v>46147</v>
      </c>
      <c r="H628">
        <v>165</v>
      </c>
      <c r="I628" s="2">
        <v>46149</v>
      </c>
      <c r="J628" s="1" t="s">
        <v>1328</v>
      </c>
      <c r="K628">
        <v>149</v>
      </c>
      <c r="L628">
        <v>50.55</v>
      </c>
      <c r="M628" s="2">
        <v>46149</v>
      </c>
      <c r="N628" t="str">
        <f>IF(po_master[[#This Row],[Approved By]]="", "Missing Approval", "OK")</f>
        <v>OK</v>
      </c>
      <c r="O628" t="str">
        <f>IF(ISBLANK(po_master[[#This Row],[GR Quantity]]), "No GR - Not received", "OK")</f>
        <v>OK</v>
      </c>
      <c r="P628" s="1" t="str">
        <f>IF(po_master[[#This Row],[Promised Delivey Date]]&lt;po_master[[#This Row],[Order Date]], "Invalid", "OK")</f>
        <v>OK</v>
      </c>
      <c r="Q628" s="1" t="str">
        <f>IF(ISBLANK(po_master[[#This Row],[Invoice Number]]), "No Invoice", "OK")</f>
        <v>OK</v>
      </c>
      <c r="R628" s="1" t="str">
        <f>IF(AND(NOT(ISBLANK(po_master[[#This Row],[GR Quantity]])), po_master[[#This Row],[GR Quantity]]&lt;&gt;po_master[[#This Row],[PO Quantity]]), "Qty Variance", "OK")</f>
        <v>Qty Variance</v>
      </c>
      <c r="S628" s="1" t="str">
        <f>IF(po_master[[#This Row],[Invoice Unit Price]]&gt;po_master[[#This Row],[PO Unit Price]]*1.01, "Price Variance", "OK")</f>
        <v>OK</v>
      </c>
      <c r="T628" s="1" t="str">
        <f>IF(po_master[[#This Row],[Actual Delivery Date]]&gt;po_master[[#This Row],[Promised Delivey Date]], "Late Delivery", "OK")</f>
        <v>Late Delivery</v>
      </c>
      <c r="U628" s="1" t="str">
        <f>IF(COUNTIF(po_master[PO Number],po_master[[#This Row],[PO Number]])&gt;1, "Duplicate Invoice", "OK")</f>
        <v>OK</v>
      </c>
    </row>
    <row r="629" spans="1:21" x14ac:dyDescent="0.25">
      <c r="A629" s="1" t="s">
        <v>555</v>
      </c>
      <c r="B629" s="1" t="s">
        <v>1443</v>
      </c>
      <c r="C629" s="2">
        <v>46050</v>
      </c>
      <c r="D629">
        <v>89</v>
      </c>
      <c r="E629">
        <v>25.6</v>
      </c>
      <c r="F629" s="1" t="s">
        <v>1469</v>
      </c>
      <c r="G629" s="2">
        <v>46069</v>
      </c>
      <c r="H629">
        <v>89</v>
      </c>
      <c r="I629" s="2">
        <v>46069</v>
      </c>
      <c r="J629" s="1" t="s">
        <v>1329</v>
      </c>
      <c r="K629">
        <v>89</v>
      </c>
      <c r="L629">
        <v>25.6</v>
      </c>
      <c r="M629" s="2">
        <v>46074</v>
      </c>
      <c r="N629" t="str">
        <f>IF(po_master[[#This Row],[Approved By]]="", "Missing Approval", "OK")</f>
        <v>OK</v>
      </c>
      <c r="O629" t="str">
        <f>IF(ISBLANK(po_master[[#This Row],[GR Quantity]]), "No GR - Not received", "OK")</f>
        <v>OK</v>
      </c>
      <c r="P629" s="1" t="str">
        <f>IF(po_master[[#This Row],[Promised Delivey Date]]&lt;po_master[[#This Row],[Order Date]], "Invalid", "OK")</f>
        <v>OK</v>
      </c>
      <c r="Q629" s="1" t="str">
        <f>IF(ISBLANK(po_master[[#This Row],[Invoice Number]]), "No Invoice", "OK")</f>
        <v>OK</v>
      </c>
      <c r="R629" s="1" t="str">
        <f>IF(AND(NOT(ISBLANK(po_master[[#This Row],[GR Quantity]])), po_master[[#This Row],[GR Quantity]]&lt;&gt;po_master[[#This Row],[PO Quantity]]), "Qty Variance", "OK")</f>
        <v>OK</v>
      </c>
      <c r="S629" s="1" t="str">
        <f>IF(po_master[[#This Row],[Invoice Unit Price]]&gt;po_master[[#This Row],[PO Unit Price]]*1.01, "Price Variance", "OK")</f>
        <v>OK</v>
      </c>
      <c r="T629" s="1" t="str">
        <f>IF(po_master[[#This Row],[Actual Delivery Date]]&gt;po_master[[#This Row],[Promised Delivey Date]], "Late Delivery", "OK")</f>
        <v>OK</v>
      </c>
      <c r="U629" s="1" t="str">
        <f>IF(COUNTIF(po_master[PO Number],po_master[[#This Row],[PO Number]])&gt;1, "Duplicate Invoice", "OK")</f>
        <v>OK</v>
      </c>
    </row>
    <row r="630" spans="1:21" x14ac:dyDescent="0.25">
      <c r="A630" s="1" t="s">
        <v>556</v>
      </c>
      <c r="B630" s="1" t="s">
        <v>1460</v>
      </c>
      <c r="C630" s="2">
        <v>46100</v>
      </c>
      <c r="D630">
        <v>433</v>
      </c>
      <c r="E630">
        <v>142.41999999999999</v>
      </c>
      <c r="F630" s="1" t="s">
        <v>1494</v>
      </c>
      <c r="G630" s="2">
        <v>46106</v>
      </c>
      <c r="H630">
        <v>433</v>
      </c>
      <c r="I630" s="2">
        <v>46121</v>
      </c>
      <c r="J630" s="1" t="s">
        <v>1335</v>
      </c>
      <c r="K630">
        <v>433</v>
      </c>
      <c r="L630">
        <v>142.41999999999999</v>
      </c>
      <c r="M630" s="2">
        <v>46108</v>
      </c>
      <c r="N630" t="str">
        <f>IF(po_master[[#This Row],[Approved By]]="", "Missing Approval", "OK")</f>
        <v>OK</v>
      </c>
      <c r="O630" t="str">
        <f>IF(ISBLANK(po_master[[#This Row],[GR Quantity]]), "No GR - Not received", "OK")</f>
        <v>OK</v>
      </c>
      <c r="P630" s="1" t="str">
        <f>IF(po_master[[#This Row],[Promised Delivey Date]]&lt;po_master[[#This Row],[Order Date]], "Invalid", "OK")</f>
        <v>OK</v>
      </c>
      <c r="Q630" s="1" t="str">
        <f>IF(ISBLANK(po_master[[#This Row],[Invoice Number]]), "No Invoice", "OK")</f>
        <v>OK</v>
      </c>
      <c r="R630" s="1" t="str">
        <f>IF(AND(NOT(ISBLANK(po_master[[#This Row],[GR Quantity]])), po_master[[#This Row],[GR Quantity]]&lt;&gt;po_master[[#This Row],[PO Quantity]]), "Qty Variance", "OK")</f>
        <v>OK</v>
      </c>
      <c r="S630" s="1" t="str">
        <f>IF(po_master[[#This Row],[Invoice Unit Price]]&gt;po_master[[#This Row],[PO Unit Price]]*1.01, "Price Variance", "OK")</f>
        <v>OK</v>
      </c>
      <c r="T630" s="1" t="str">
        <f>IF(po_master[[#This Row],[Actual Delivery Date]]&gt;po_master[[#This Row],[Promised Delivey Date]], "Late Delivery", "OK")</f>
        <v>Late Delivery</v>
      </c>
      <c r="U630" s="1" t="str">
        <f>IF(COUNTIF(po_master[PO Number],po_master[[#This Row],[PO Number]])&gt;1, "Duplicate Invoice", "OK")</f>
        <v>OK</v>
      </c>
    </row>
    <row r="631" spans="1:21" x14ac:dyDescent="0.25">
      <c r="A631" s="1" t="s">
        <v>557</v>
      </c>
      <c r="B631" s="1" t="s">
        <v>1463</v>
      </c>
      <c r="C631" s="2">
        <v>46106</v>
      </c>
      <c r="D631">
        <v>85</v>
      </c>
      <c r="E631">
        <v>22.79</v>
      </c>
      <c r="F631" s="1" t="s">
        <v>1440</v>
      </c>
      <c r="G631" s="2">
        <v>46122</v>
      </c>
      <c r="H631">
        <v>85</v>
      </c>
      <c r="I631" s="2">
        <v>46122</v>
      </c>
      <c r="J631" s="1" t="s">
        <v>1336</v>
      </c>
      <c r="K631">
        <v>85</v>
      </c>
      <c r="L631">
        <v>22.79</v>
      </c>
      <c r="M631" s="2">
        <v>46127</v>
      </c>
      <c r="N631" t="str">
        <f>IF(po_master[[#This Row],[Approved By]]="", "Missing Approval", "OK")</f>
        <v>OK</v>
      </c>
      <c r="O631" t="str">
        <f>IF(ISBLANK(po_master[[#This Row],[GR Quantity]]), "No GR - Not received", "OK")</f>
        <v>OK</v>
      </c>
      <c r="P631" s="1" t="str">
        <f>IF(po_master[[#This Row],[Promised Delivey Date]]&lt;po_master[[#This Row],[Order Date]], "Invalid", "OK")</f>
        <v>OK</v>
      </c>
      <c r="Q631" s="1" t="str">
        <f>IF(ISBLANK(po_master[[#This Row],[Invoice Number]]), "No Invoice", "OK")</f>
        <v>OK</v>
      </c>
      <c r="R631" s="1" t="str">
        <f>IF(AND(NOT(ISBLANK(po_master[[#This Row],[GR Quantity]])), po_master[[#This Row],[GR Quantity]]&lt;&gt;po_master[[#This Row],[PO Quantity]]), "Qty Variance", "OK")</f>
        <v>OK</v>
      </c>
      <c r="S631" s="1" t="str">
        <f>IF(po_master[[#This Row],[Invoice Unit Price]]&gt;po_master[[#This Row],[PO Unit Price]]*1.01, "Price Variance", "OK")</f>
        <v>OK</v>
      </c>
      <c r="T631" s="1" t="str">
        <f>IF(po_master[[#This Row],[Actual Delivery Date]]&gt;po_master[[#This Row],[Promised Delivey Date]], "Late Delivery", "OK")</f>
        <v>OK</v>
      </c>
      <c r="U631" s="1" t="str">
        <f>IF(COUNTIF(po_master[PO Number],po_master[[#This Row],[PO Number]])&gt;1, "Duplicate Invoice", "OK")</f>
        <v>OK</v>
      </c>
    </row>
    <row r="632" spans="1:21" x14ac:dyDescent="0.25">
      <c r="A632" s="1" t="s">
        <v>558</v>
      </c>
      <c r="B632" s="1" t="s">
        <v>1473</v>
      </c>
      <c r="C632" s="2">
        <v>46126</v>
      </c>
      <c r="D632">
        <v>447</v>
      </c>
      <c r="E632">
        <v>93.18</v>
      </c>
      <c r="F632" s="1" t="s">
        <v>1490</v>
      </c>
      <c r="G632" s="2">
        <v>46138</v>
      </c>
      <c r="H632">
        <v>447</v>
      </c>
      <c r="I632" s="2">
        <v>46138</v>
      </c>
      <c r="J632" s="1" t="s">
        <v>1339</v>
      </c>
      <c r="K632">
        <v>447</v>
      </c>
      <c r="L632">
        <v>93.18</v>
      </c>
      <c r="M632" s="2">
        <v>46143</v>
      </c>
      <c r="N632" t="str">
        <f>IF(po_master[[#This Row],[Approved By]]="", "Missing Approval", "OK")</f>
        <v>OK</v>
      </c>
      <c r="O632" t="str">
        <f>IF(ISBLANK(po_master[[#This Row],[GR Quantity]]), "No GR - Not received", "OK")</f>
        <v>OK</v>
      </c>
      <c r="P632" s="1" t="str">
        <f>IF(po_master[[#This Row],[Promised Delivey Date]]&lt;po_master[[#This Row],[Order Date]], "Invalid", "OK")</f>
        <v>OK</v>
      </c>
      <c r="Q632" s="1" t="str">
        <f>IF(ISBLANK(po_master[[#This Row],[Invoice Number]]), "No Invoice", "OK")</f>
        <v>OK</v>
      </c>
      <c r="R632" s="1" t="str">
        <f>IF(AND(NOT(ISBLANK(po_master[[#This Row],[GR Quantity]])), po_master[[#This Row],[GR Quantity]]&lt;&gt;po_master[[#This Row],[PO Quantity]]), "Qty Variance", "OK")</f>
        <v>OK</v>
      </c>
      <c r="S632" s="1" t="str">
        <f>IF(po_master[[#This Row],[Invoice Unit Price]]&gt;po_master[[#This Row],[PO Unit Price]]*1.01, "Price Variance", "OK")</f>
        <v>OK</v>
      </c>
      <c r="T632" s="1" t="str">
        <f>IF(po_master[[#This Row],[Actual Delivery Date]]&gt;po_master[[#This Row],[Promised Delivey Date]], "Late Delivery", "OK")</f>
        <v>OK</v>
      </c>
      <c r="U632" s="1" t="str">
        <f>IF(COUNTIF(po_master[PO Number],po_master[[#This Row],[PO Number]])&gt;1, "Duplicate Invoice", "OK")</f>
        <v>OK</v>
      </c>
    </row>
    <row r="633" spans="1:21" x14ac:dyDescent="0.25">
      <c r="A633" s="1" t="s">
        <v>559</v>
      </c>
      <c r="B633" s="1" t="s">
        <v>1450</v>
      </c>
      <c r="C633" s="2">
        <v>46141</v>
      </c>
      <c r="D633">
        <v>62</v>
      </c>
      <c r="E633">
        <v>161.76</v>
      </c>
      <c r="F633" s="1" t="s">
        <v>1485</v>
      </c>
      <c r="G633" s="2">
        <v>46149</v>
      </c>
      <c r="H633">
        <v>66</v>
      </c>
      <c r="I633" s="2">
        <v>46149</v>
      </c>
      <c r="J633" s="1" t="s">
        <v>1340</v>
      </c>
      <c r="K633">
        <v>62</v>
      </c>
      <c r="L633">
        <v>161.76</v>
      </c>
      <c r="M633" s="2">
        <v>46150</v>
      </c>
      <c r="N633" t="str">
        <f>IF(po_master[[#This Row],[Approved By]]="", "Missing Approval", "OK")</f>
        <v>OK</v>
      </c>
      <c r="O633" t="str">
        <f>IF(ISBLANK(po_master[[#This Row],[GR Quantity]]), "No GR - Not received", "OK")</f>
        <v>OK</v>
      </c>
      <c r="P633" s="1" t="str">
        <f>IF(po_master[[#This Row],[Promised Delivey Date]]&lt;po_master[[#This Row],[Order Date]], "Invalid", "OK")</f>
        <v>OK</v>
      </c>
      <c r="Q633" s="1" t="str">
        <f>IF(ISBLANK(po_master[[#This Row],[Invoice Number]]), "No Invoice", "OK")</f>
        <v>OK</v>
      </c>
      <c r="R633" s="1" t="str">
        <f>IF(AND(NOT(ISBLANK(po_master[[#This Row],[GR Quantity]])), po_master[[#This Row],[GR Quantity]]&lt;&gt;po_master[[#This Row],[PO Quantity]]), "Qty Variance", "OK")</f>
        <v>Qty Variance</v>
      </c>
      <c r="S633" s="1" t="str">
        <f>IF(po_master[[#This Row],[Invoice Unit Price]]&gt;po_master[[#This Row],[PO Unit Price]]*1.01, "Price Variance", "OK")</f>
        <v>OK</v>
      </c>
      <c r="T633" s="1" t="str">
        <f>IF(po_master[[#This Row],[Actual Delivery Date]]&gt;po_master[[#This Row],[Promised Delivey Date]], "Late Delivery", "OK")</f>
        <v>OK</v>
      </c>
      <c r="U633" s="1" t="str">
        <f>IF(COUNTIF(po_master[PO Number],po_master[[#This Row],[PO Number]])&gt;1, "Duplicate Invoice", "OK")</f>
        <v>OK</v>
      </c>
    </row>
    <row r="634" spans="1:21" x14ac:dyDescent="0.25">
      <c r="A634" s="1" t="s">
        <v>560</v>
      </c>
      <c r="B634" s="1" t="s">
        <v>1481</v>
      </c>
      <c r="C634" s="2">
        <v>46038</v>
      </c>
      <c r="D634">
        <v>435</v>
      </c>
      <c r="E634">
        <v>157.29</v>
      </c>
      <c r="F634" s="1" t="s">
        <v>1440</v>
      </c>
      <c r="G634" s="2">
        <v>46047</v>
      </c>
      <c r="H634">
        <v>454</v>
      </c>
      <c r="I634" s="2">
        <v>46049</v>
      </c>
      <c r="J634" s="1" t="s">
        <v>1341</v>
      </c>
      <c r="K634">
        <v>435</v>
      </c>
      <c r="L634">
        <v>157.29</v>
      </c>
      <c r="M634" s="2">
        <v>46054</v>
      </c>
      <c r="N634" t="str">
        <f>IF(po_master[[#This Row],[Approved By]]="", "Missing Approval", "OK")</f>
        <v>OK</v>
      </c>
      <c r="O634" t="str">
        <f>IF(ISBLANK(po_master[[#This Row],[GR Quantity]]), "No GR - Not received", "OK")</f>
        <v>OK</v>
      </c>
      <c r="P634" s="1" t="str">
        <f>IF(po_master[[#This Row],[Promised Delivey Date]]&lt;po_master[[#This Row],[Order Date]], "Invalid", "OK")</f>
        <v>OK</v>
      </c>
      <c r="Q634" s="1" t="str">
        <f>IF(ISBLANK(po_master[[#This Row],[Invoice Number]]), "No Invoice", "OK")</f>
        <v>OK</v>
      </c>
      <c r="R634" s="1" t="str">
        <f>IF(AND(NOT(ISBLANK(po_master[[#This Row],[GR Quantity]])), po_master[[#This Row],[GR Quantity]]&lt;&gt;po_master[[#This Row],[PO Quantity]]), "Qty Variance", "OK")</f>
        <v>Qty Variance</v>
      </c>
      <c r="S634" s="1" t="str">
        <f>IF(po_master[[#This Row],[Invoice Unit Price]]&gt;po_master[[#This Row],[PO Unit Price]]*1.01, "Price Variance", "OK")</f>
        <v>OK</v>
      </c>
      <c r="T634" s="1" t="str">
        <f>IF(po_master[[#This Row],[Actual Delivery Date]]&gt;po_master[[#This Row],[Promised Delivey Date]], "Late Delivery", "OK")</f>
        <v>Late Delivery</v>
      </c>
      <c r="U634" s="1" t="str">
        <f>IF(COUNTIF(po_master[PO Number],po_master[[#This Row],[PO Number]])&gt;1, "Duplicate Invoice", "OK")</f>
        <v>OK</v>
      </c>
    </row>
    <row r="635" spans="1:21" x14ac:dyDescent="0.25">
      <c r="A635" s="1" t="s">
        <v>561</v>
      </c>
      <c r="B635" s="1" t="s">
        <v>1505</v>
      </c>
      <c r="C635" s="2">
        <v>46125</v>
      </c>
      <c r="D635">
        <v>200</v>
      </c>
      <c r="E635">
        <v>138.83000000000001</v>
      </c>
      <c r="F635" s="1" t="s">
        <v>1446</v>
      </c>
      <c r="G635" s="2">
        <v>46132</v>
      </c>
      <c r="H635">
        <v>200</v>
      </c>
      <c r="I635" s="2">
        <v>46147</v>
      </c>
      <c r="J635" s="1" t="s">
        <v>1342</v>
      </c>
      <c r="K635">
        <v>200</v>
      </c>
      <c r="L635">
        <v>138.83000000000001</v>
      </c>
      <c r="M635" s="2">
        <v>46141</v>
      </c>
      <c r="N635" t="str">
        <f>IF(po_master[[#This Row],[Approved By]]="", "Missing Approval", "OK")</f>
        <v>OK</v>
      </c>
      <c r="O635" t="str">
        <f>IF(ISBLANK(po_master[[#This Row],[GR Quantity]]), "No GR - Not received", "OK")</f>
        <v>OK</v>
      </c>
      <c r="P635" s="1" t="str">
        <f>IF(po_master[[#This Row],[Promised Delivey Date]]&lt;po_master[[#This Row],[Order Date]], "Invalid", "OK")</f>
        <v>OK</v>
      </c>
      <c r="Q635" s="1" t="str">
        <f>IF(ISBLANK(po_master[[#This Row],[Invoice Number]]), "No Invoice", "OK")</f>
        <v>OK</v>
      </c>
      <c r="R635" s="1" t="str">
        <f>IF(AND(NOT(ISBLANK(po_master[[#This Row],[GR Quantity]])), po_master[[#This Row],[GR Quantity]]&lt;&gt;po_master[[#This Row],[PO Quantity]]), "Qty Variance", "OK")</f>
        <v>OK</v>
      </c>
      <c r="S635" s="1" t="str">
        <f>IF(po_master[[#This Row],[Invoice Unit Price]]&gt;po_master[[#This Row],[PO Unit Price]]*1.01, "Price Variance", "OK")</f>
        <v>OK</v>
      </c>
      <c r="T635" s="1" t="str">
        <f>IF(po_master[[#This Row],[Actual Delivery Date]]&gt;po_master[[#This Row],[Promised Delivey Date]], "Late Delivery", "OK")</f>
        <v>Late Delivery</v>
      </c>
      <c r="U635" s="1" t="str">
        <f>IF(COUNTIF(po_master[PO Number],po_master[[#This Row],[PO Number]])&gt;1, "Duplicate Invoice", "OK")</f>
        <v>OK</v>
      </c>
    </row>
    <row r="636" spans="1:21" x14ac:dyDescent="0.25">
      <c r="A636" s="1" t="s">
        <v>562</v>
      </c>
      <c r="B636" s="1" t="s">
        <v>1443</v>
      </c>
      <c r="C636" s="2">
        <v>46173</v>
      </c>
      <c r="D636">
        <v>142</v>
      </c>
      <c r="E636">
        <v>183.9</v>
      </c>
      <c r="F636" s="1" t="s">
        <v>1476</v>
      </c>
      <c r="G636" s="2">
        <v>46178</v>
      </c>
      <c r="H636">
        <v>142</v>
      </c>
      <c r="I636" s="2">
        <v>46198</v>
      </c>
      <c r="J636" s="1" t="s">
        <v>1343</v>
      </c>
      <c r="K636">
        <v>142</v>
      </c>
      <c r="L636">
        <v>183.9</v>
      </c>
      <c r="M636" s="2">
        <v>46185</v>
      </c>
      <c r="N636" t="str">
        <f>IF(po_master[[#This Row],[Approved By]]="", "Missing Approval", "OK")</f>
        <v>OK</v>
      </c>
      <c r="O636" t="str">
        <f>IF(ISBLANK(po_master[[#This Row],[GR Quantity]]), "No GR - Not received", "OK")</f>
        <v>OK</v>
      </c>
      <c r="P636" s="1" t="str">
        <f>IF(po_master[[#This Row],[Promised Delivey Date]]&lt;po_master[[#This Row],[Order Date]], "Invalid", "OK")</f>
        <v>OK</v>
      </c>
      <c r="Q636" s="1" t="str">
        <f>IF(ISBLANK(po_master[[#This Row],[Invoice Number]]), "No Invoice", "OK")</f>
        <v>OK</v>
      </c>
      <c r="R636" s="1" t="str">
        <f>IF(AND(NOT(ISBLANK(po_master[[#This Row],[GR Quantity]])), po_master[[#This Row],[GR Quantity]]&lt;&gt;po_master[[#This Row],[PO Quantity]]), "Qty Variance", "OK")</f>
        <v>OK</v>
      </c>
      <c r="S636" s="1" t="str">
        <f>IF(po_master[[#This Row],[Invoice Unit Price]]&gt;po_master[[#This Row],[PO Unit Price]]*1.01, "Price Variance", "OK")</f>
        <v>OK</v>
      </c>
      <c r="T636" s="1" t="str">
        <f>IF(po_master[[#This Row],[Actual Delivery Date]]&gt;po_master[[#This Row],[Promised Delivey Date]], "Late Delivery", "OK")</f>
        <v>Late Delivery</v>
      </c>
      <c r="U636" s="1" t="str">
        <f>IF(COUNTIF(po_master[PO Number],po_master[[#This Row],[PO Number]])&gt;1, "Duplicate Invoice", "OK")</f>
        <v>OK</v>
      </c>
    </row>
    <row r="637" spans="1:21" x14ac:dyDescent="0.25">
      <c r="A637" s="1" t="s">
        <v>563</v>
      </c>
      <c r="B637" s="1" t="s">
        <v>1492</v>
      </c>
      <c r="C637" s="2">
        <v>46073</v>
      </c>
      <c r="D637">
        <v>472</v>
      </c>
      <c r="E637">
        <v>130.97</v>
      </c>
      <c r="F637" s="1" t="s">
        <v>1485</v>
      </c>
      <c r="G637" s="2">
        <v>46080</v>
      </c>
      <c r="H637">
        <v>472</v>
      </c>
      <c r="I637" s="2">
        <v>46080</v>
      </c>
      <c r="J637" s="1" t="s">
        <v>1344</v>
      </c>
      <c r="K637">
        <v>472</v>
      </c>
      <c r="L637">
        <v>130.97</v>
      </c>
      <c r="M637" s="2">
        <v>46081</v>
      </c>
      <c r="N637" t="str">
        <f>IF(po_master[[#This Row],[Approved By]]="", "Missing Approval", "OK")</f>
        <v>OK</v>
      </c>
      <c r="O637" t="str">
        <f>IF(ISBLANK(po_master[[#This Row],[GR Quantity]]), "No GR - Not received", "OK")</f>
        <v>OK</v>
      </c>
      <c r="P637" s="1" t="str">
        <f>IF(po_master[[#This Row],[Promised Delivey Date]]&lt;po_master[[#This Row],[Order Date]], "Invalid", "OK")</f>
        <v>OK</v>
      </c>
      <c r="Q637" s="1" t="str">
        <f>IF(ISBLANK(po_master[[#This Row],[Invoice Number]]), "No Invoice", "OK")</f>
        <v>OK</v>
      </c>
      <c r="R637" s="1" t="str">
        <f>IF(AND(NOT(ISBLANK(po_master[[#This Row],[GR Quantity]])), po_master[[#This Row],[GR Quantity]]&lt;&gt;po_master[[#This Row],[PO Quantity]]), "Qty Variance", "OK")</f>
        <v>OK</v>
      </c>
      <c r="S637" s="1" t="str">
        <f>IF(po_master[[#This Row],[Invoice Unit Price]]&gt;po_master[[#This Row],[PO Unit Price]]*1.01, "Price Variance", "OK")</f>
        <v>OK</v>
      </c>
      <c r="T637" s="1" t="str">
        <f>IF(po_master[[#This Row],[Actual Delivery Date]]&gt;po_master[[#This Row],[Promised Delivey Date]], "Late Delivery", "OK")</f>
        <v>OK</v>
      </c>
      <c r="U637" s="1" t="str">
        <f>IF(COUNTIF(po_master[PO Number],po_master[[#This Row],[PO Number]])&gt;1, "Duplicate Invoice", "OK")</f>
        <v>OK</v>
      </c>
    </row>
    <row r="638" spans="1:21" x14ac:dyDescent="0.25">
      <c r="A638" s="1" t="s">
        <v>564</v>
      </c>
      <c r="B638" s="1" t="s">
        <v>1479</v>
      </c>
      <c r="C638" s="2">
        <v>46054</v>
      </c>
      <c r="D638">
        <v>31</v>
      </c>
      <c r="E638">
        <v>188.74</v>
      </c>
      <c r="F638" s="1" t="s">
        <v>1462</v>
      </c>
      <c r="G638" s="2">
        <v>46064</v>
      </c>
      <c r="H638">
        <v>31</v>
      </c>
      <c r="I638" s="2">
        <v>46063</v>
      </c>
      <c r="J638" s="1" t="s">
        <v>1345</v>
      </c>
      <c r="K638">
        <v>31</v>
      </c>
      <c r="L638">
        <v>188.74</v>
      </c>
      <c r="M638" s="2">
        <v>46067</v>
      </c>
      <c r="N638" t="str">
        <f>IF(po_master[[#This Row],[Approved By]]="", "Missing Approval", "OK")</f>
        <v>OK</v>
      </c>
      <c r="O638" t="str">
        <f>IF(ISBLANK(po_master[[#This Row],[GR Quantity]]), "No GR - Not received", "OK")</f>
        <v>OK</v>
      </c>
      <c r="P638" s="1" t="str">
        <f>IF(po_master[[#This Row],[Promised Delivey Date]]&lt;po_master[[#This Row],[Order Date]], "Invalid", "OK")</f>
        <v>OK</v>
      </c>
      <c r="Q638" s="1" t="str">
        <f>IF(ISBLANK(po_master[[#This Row],[Invoice Number]]), "No Invoice", "OK")</f>
        <v>OK</v>
      </c>
      <c r="R638" s="1" t="str">
        <f>IF(AND(NOT(ISBLANK(po_master[[#This Row],[GR Quantity]])), po_master[[#This Row],[GR Quantity]]&lt;&gt;po_master[[#This Row],[PO Quantity]]), "Qty Variance", "OK")</f>
        <v>OK</v>
      </c>
      <c r="S638" s="1" t="str">
        <f>IF(po_master[[#This Row],[Invoice Unit Price]]&gt;po_master[[#This Row],[PO Unit Price]]*1.01, "Price Variance", "OK")</f>
        <v>OK</v>
      </c>
      <c r="T638" s="1" t="str">
        <f>IF(po_master[[#This Row],[Actual Delivery Date]]&gt;po_master[[#This Row],[Promised Delivey Date]], "Late Delivery", "OK")</f>
        <v>OK</v>
      </c>
      <c r="U638" s="1" t="str">
        <f>IF(COUNTIF(po_master[PO Number],po_master[[#This Row],[PO Number]])&gt;1, "Duplicate Invoice", "OK")</f>
        <v>OK</v>
      </c>
    </row>
    <row r="639" spans="1:21" x14ac:dyDescent="0.25">
      <c r="A639" s="1" t="s">
        <v>565</v>
      </c>
      <c r="B639" s="1" t="s">
        <v>1493</v>
      </c>
      <c r="C639" s="2">
        <v>46133</v>
      </c>
      <c r="D639">
        <v>430</v>
      </c>
      <c r="E639">
        <v>146.26</v>
      </c>
      <c r="F639" s="1" t="s">
        <v>1487</v>
      </c>
      <c r="G639" s="2">
        <v>46138</v>
      </c>
      <c r="H639">
        <v>430</v>
      </c>
      <c r="I639" s="2">
        <v>46139</v>
      </c>
      <c r="J639" s="1" t="s">
        <v>1346</v>
      </c>
      <c r="K639">
        <v>430</v>
      </c>
      <c r="L639">
        <v>146.26</v>
      </c>
      <c r="M639" s="2">
        <v>46143</v>
      </c>
      <c r="N639" t="str">
        <f>IF(po_master[[#This Row],[Approved By]]="", "Missing Approval", "OK")</f>
        <v>OK</v>
      </c>
      <c r="O639" t="str">
        <f>IF(ISBLANK(po_master[[#This Row],[GR Quantity]]), "No GR - Not received", "OK")</f>
        <v>OK</v>
      </c>
      <c r="P639" s="1" t="str">
        <f>IF(po_master[[#This Row],[Promised Delivey Date]]&lt;po_master[[#This Row],[Order Date]], "Invalid", "OK")</f>
        <v>OK</v>
      </c>
      <c r="Q639" s="1" t="str">
        <f>IF(ISBLANK(po_master[[#This Row],[Invoice Number]]), "No Invoice", "OK")</f>
        <v>OK</v>
      </c>
      <c r="R639" s="1" t="str">
        <f>IF(AND(NOT(ISBLANK(po_master[[#This Row],[GR Quantity]])), po_master[[#This Row],[GR Quantity]]&lt;&gt;po_master[[#This Row],[PO Quantity]]), "Qty Variance", "OK")</f>
        <v>OK</v>
      </c>
      <c r="S639" s="1" t="str">
        <f>IF(po_master[[#This Row],[Invoice Unit Price]]&gt;po_master[[#This Row],[PO Unit Price]]*1.01, "Price Variance", "OK")</f>
        <v>OK</v>
      </c>
      <c r="T639" s="1" t="str">
        <f>IF(po_master[[#This Row],[Actual Delivery Date]]&gt;po_master[[#This Row],[Promised Delivey Date]], "Late Delivery", "OK")</f>
        <v>Late Delivery</v>
      </c>
      <c r="U639" s="1" t="str">
        <f>IF(COUNTIF(po_master[PO Number],po_master[[#This Row],[PO Number]])&gt;1, "Duplicate Invoice", "OK")</f>
        <v>OK</v>
      </c>
    </row>
    <row r="640" spans="1:21" x14ac:dyDescent="0.25">
      <c r="A640" s="1" t="s">
        <v>566</v>
      </c>
      <c r="B640" s="1" t="s">
        <v>1502</v>
      </c>
      <c r="C640" s="2">
        <v>46132</v>
      </c>
      <c r="D640">
        <v>98</v>
      </c>
      <c r="E640">
        <v>74.02</v>
      </c>
      <c r="F640" s="1" t="s">
        <v>1501</v>
      </c>
      <c r="G640" s="2">
        <v>46145</v>
      </c>
      <c r="H640">
        <v>88</v>
      </c>
      <c r="I640" s="2">
        <v>46162</v>
      </c>
      <c r="J640" s="1" t="s">
        <v>1347</v>
      </c>
      <c r="K640">
        <v>98</v>
      </c>
      <c r="L640">
        <v>74.02</v>
      </c>
      <c r="M640" s="2">
        <v>46151</v>
      </c>
      <c r="N640" t="str">
        <f>IF(po_master[[#This Row],[Approved By]]="", "Missing Approval", "OK")</f>
        <v>OK</v>
      </c>
      <c r="O640" t="str">
        <f>IF(ISBLANK(po_master[[#This Row],[GR Quantity]]), "No GR - Not received", "OK")</f>
        <v>OK</v>
      </c>
      <c r="P640" s="1" t="str">
        <f>IF(po_master[[#This Row],[Promised Delivey Date]]&lt;po_master[[#This Row],[Order Date]], "Invalid", "OK")</f>
        <v>OK</v>
      </c>
      <c r="Q640" s="1" t="str">
        <f>IF(ISBLANK(po_master[[#This Row],[Invoice Number]]), "No Invoice", "OK")</f>
        <v>OK</v>
      </c>
      <c r="R640" s="1" t="str">
        <f>IF(AND(NOT(ISBLANK(po_master[[#This Row],[GR Quantity]])), po_master[[#This Row],[GR Quantity]]&lt;&gt;po_master[[#This Row],[PO Quantity]]), "Qty Variance", "OK")</f>
        <v>Qty Variance</v>
      </c>
      <c r="S640" s="1" t="str">
        <f>IF(po_master[[#This Row],[Invoice Unit Price]]&gt;po_master[[#This Row],[PO Unit Price]]*1.01, "Price Variance", "OK")</f>
        <v>OK</v>
      </c>
      <c r="T640" s="1" t="str">
        <f>IF(po_master[[#This Row],[Actual Delivery Date]]&gt;po_master[[#This Row],[Promised Delivey Date]], "Late Delivery", "OK")</f>
        <v>Late Delivery</v>
      </c>
      <c r="U640" s="1" t="str">
        <f>IF(COUNTIF(po_master[PO Number],po_master[[#This Row],[PO Number]])&gt;1, "Duplicate Invoice", "OK")</f>
        <v>OK</v>
      </c>
    </row>
    <row r="641" spans="1:21" x14ac:dyDescent="0.25">
      <c r="A641" s="1" t="s">
        <v>567</v>
      </c>
      <c r="B641" s="1" t="s">
        <v>1511</v>
      </c>
      <c r="C641" s="2">
        <v>46137</v>
      </c>
      <c r="D641">
        <v>462</v>
      </c>
      <c r="E641">
        <v>33.979999999999997</v>
      </c>
      <c r="F641" s="1" t="s">
        <v>1494</v>
      </c>
      <c r="G641" s="2">
        <v>46149</v>
      </c>
      <c r="H641">
        <v>462</v>
      </c>
      <c r="I641" s="2">
        <v>46147</v>
      </c>
      <c r="J641" s="1" t="s">
        <v>1348</v>
      </c>
      <c r="K641">
        <v>462</v>
      </c>
      <c r="L641">
        <v>33.979999999999997</v>
      </c>
      <c r="M641" s="2">
        <v>46159</v>
      </c>
      <c r="N641" t="str">
        <f>IF(po_master[[#This Row],[Approved By]]="", "Missing Approval", "OK")</f>
        <v>OK</v>
      </c>
      <c r="O641" t="str">
        <f>IF(ISBLANK(po_master[[#This Row],[GR Quantity]]), "No GR - Not received", "OK")</f>
        <v>OK</v>
      </c>
      <c r="P641" s="1" t="str">
        <f>IF(po_master[[#This Row],[Promised Delivey Date]]&lt;po_master[[#This Row],[Order Date]], "Invalid", "OK")</f>
        <v>OK</v>
      </c>
      <c r="Q641" s="1" t="str">
        <f>IF(ISBLANK(po_master[[#This Row],[Invoice Number]]), "No Invoice", "OK")</f>
        <v>OK</v>
      </c>
      <c r="R641" s="1" t="str">
        <f>IF(AND(NOT(ISBLANK(po_master[[#This Row],[GR Quantity]])), po_master[[#This Row],[GR Quantity]]&lt;&gt;po_master[[#This Row],[PO Quantity]]), "Qty Variance", "OK")</f>
        <v>OK</v>
      </c>
      <c r="S641" s="1" t="str">
        <f>IF(po_master[[#This Row],[Invoice Unit Price]]&gt;po_master[[#This Row],[PO Unit Price]]*1.01, "Price Variance", "OK")</f>
        <v>OK</v>
      </c>
      <c r="T641" s="1" t="str">
        <f>IF(po_master[[#This Row],[Actual Delivery Date]]&gt;po_master[[#This Row],[Promised Delivey Date]], "Late Delivery", "OK")</f>
        <v>OK</v>
      </c>
      <c r="U641" s="1" t="str">
        <f>IF(COUNTIF(po_master[PO Number],po_master[[#This Row],[PO Number]])&gt;1, "Duplicate Invoice", "OK")</f>
        <v>OK</v>
      </c>
    </row>
    <row r="642" spans="1:21" x14ac:dyDescent="0.25">
      <c r="A642" s="1" t="s">
        <v>568</v>
      </c>
      <c r="B642" s="1" t="s">
        <v>1508</v>
      </c>
      <c r="C642" s="2">
        <v>46098</v>
      </c>
      <c r="D642">
        <v>265</v>
      </c>
      <c r="E642">
        <v>85.34</v>
      </c>
      <c r="F642" s="1" t="s">
        <v>1442</v>
      </c>
      <c r="G642" s="2">
        <v>46118</v>
      </c>
      <c r="H642">
        <v>265</v>
      </c>
      <c r="I642" s="2">
        <v>46138</v>
      </c>
      <c r="J642" s="1" t="s">
        <v>1349</v>
      </c>
      <c r="K642">
        <v>265</v>
      </c>
      <c r="L642">
        <v>85.34</v>
      </c>
      <c r="M642" s="2">
        <v>46126</v>
      </c>
      <c r="N642" t="str">
        <f>IF(po_master[[#This Row],[Approved By]]="", "Missing Approval", "OK")</f>
        <v>OK</v>
      </c>
      <c r="O642" t="str">
        <f>IF(ISBLANK(po_master[[#This Row],[GR Quantity]]), "No GR - Not received", "OK")</f>
        <v>OK</v>
      </c>
      <c r="P642" s="1" t="str">
        <f>IF(po_master[[#This Row],[Promised Delivey Date]]&lt;po_master[[#This Row],[Order Date]], "Invalid", "OK")</f>
        <v>OK</v>
      </c>
      <c r="Q642" s="1" t="str">
        <f>IF(ISBLANK(po_master[[#This Row],[Invoice Number]]), "No Invoice", "OK")</f>
        <v>OK</v>
      </c>
      <c r="R642" s="1" t="str">
        <f>IF(AND(NOT(ISBLANK(po_master[[#This Row],[GR Quantity]])), po_master[[#This Row],[GR Quantity]]&lt;&gt;po_master[[#This Row],[PO Quantity]]), "Qty Variance", "OK")</f>
        <v>OK</v>
      </c>
      <c r="S642" s="1" t="str">
        <f>IF(po_master[[#This Row],[Invoice Unit Price]]&gt;po_master[[#This Row],[PO Unit Price]]*1.01, "Price Variance", "OK")</f>
        <v>OK</v>
      </c>
      <c r="T642" s="1" t="str">
        <f>IF(po_master[[#This Row],[Actual Delivery Date]]&gt;po_master[[#This Row],[Promised Delivey Date]], "Late Delivery", "OK")</f>
        <v>Late Delivery</v>
      </c>
      <c r="U642" s="1" t="str">
        <f>IF(COUNTIF(po_master[PO Number],po_master[[#This Row],[PO Number]])&gt;1, "Duplicate Invoice", "OK")</f>
        <v>OK</v>
      </c>
    </row>
    <row r="643" spans="1:21" x14ac:dyDescent="0.25">
      <c r="A643" s="1" t="s">
        <v>569</v>
      </c>
      <c r="B643" s="1" t="s">
        <v>1475</v>
      </c>
      <c r="C643" s="2">
        <v>46045</v>
      </c>
      <c r="D643">
        <v>153</v>
      </c>
      <c r="E643">
        <v>79.69</v>
      </c>
      <c r="F643" s="1" t="s">
        <v>1507</v>
      </c>
      <c r="G643" s="2">
        <v>46056</v>
      </c>
      <c r="H643">
        <v>153</v>
      </c>
      <c r="I643" s="2">
        <v>46054</v>
      </c>
      <c r="J643" s="1" t="s">
        <v>1350</v>
      </c>
      <c r="K643">
        <v>153</v>
      </c>
      <c r="L643">
        <v>79.69</v>
      </c>
      <c r="M643" s="2">
        <v>46065</v>
      </c>
      <c r="N643" t="str">
        <f>IF(po_master[[#This Row],[Approved By]]="", "Missing Approval", "OK")</f>
        <v>OK</v>
      </c>
      <c r="O643" t="str">
        <f>IF(ISBLANK(po_master[[#This Row],[GR Quantity]]), "No GR - Not received", "OK")</f>
        <v>OK</v>
      </c>
      <c r="P643" s="1" t="str">
        <f>IF(po_master[[#This Row],[Promised Delivey Date]]&lt;po_master[[#This Row],[Order Date]], "Invalid", "OK")</f>
        <v>OK</v>
      </c>
      <c r="Q643" s="1" t="str">
        <f>IF(ISBLANK(po_master[[#This Row],[Invoice Number]]), "No Invoice", "OK")</f>
        <v>OK</v>
      </c>
      <c r="R643" s="1" t="str">
        <f>IF(AND(NOT(ISBLANK(po_master[[#This Row],[GR Quantity]])), po_master[[#This Row],[GR Quantity]]&lt;&gt;po_master[[#This Row],[PO Quantity]]), "Qty Variance", "OK")</f>
        <v>OK</v>
      </c>
      <c r="S643" s="1" t="str">
        <f>IF(po_master[[#This Row],[Invoice Unit Price]]&gt;po_master[[#This Row],[PO Unit Price]]*1.01, "Price Variance", "OK")</f>
        <v>OK</v>
      </c>
      <c r="T643" s="1" t="str">
        <f>IF(po_master[[#This Row],[Actual Delivery Date]]&gt;po_master[[#This Row],[Promised Delivey Date]], "Late Delivery", "OK")</f>
        <v>OK</v>
      </c>
      <c r="U643" s="1" t="str">
        <f>IF(COUNTIF(po_master[PO Number],po_master[[#This Row],[PO Number]])&gt;1, "Duplicate Invoice", "OK")</f>
        <v>OK</v>
      </c>
    </row>
    <row r="644" spans="1:21" x14ac:dyDescent="0.25">
      <c r="A644" s="1" t="s">
        <v>570</v>
      </c>
      <c r="B644" s="1" t="s">
        <v>1508</v>
      </c>
      <c r="C644" s="2">
        <v>46157</v>
      </c>
      <c r="D644">
        <v>137</v>
      </c>
      <c r="E644">
        <v>128</v>
      </c>
      <c r="F644" s="1" t="s">
        <v>1442</v>
      </c>
      <c r="G644" s="2">
        <v>46162</v>
      </c>
      <c r="H644">
        <v>137</v>
      </c>
      <c r="I644" s="2">
        <v>46163</v>
      </c>
      <c r="J644" s="1" t="s">
        <v>1351</v>
      </c>
      <c r="K644">
        <v>137</v>
      </c>
      <c r="L644">
        <v>128</v>
      </c>
      <c r="M644" s="2">
        <v>46171</v>
      </c>
      <c r="N644" t="str">
        <f>IF(po_master[[#This Row],[Approved By]]="", "Missing Approval", "OK")</f>
        <v>OK</v>
      </c>
      <c r="O644" t="str">
        <f>IF(ISBLANK(po_master[[#This Row],[GR Quantity]]), "No GR - Not received", "OK")</f>
        <v>OK</v>
      </c>
      <c r="P644" s="1" t="str">
        <f>IF(po_master[[#This Row],[Promised Delivey Date]]&lt;po_master[[#This Row],[Order Date]], "Invalid", "OK")</f>
        <v>OK</v>
      </c>
      <c r="Q644" s="1" t="str">
        <f>IF(ISBLANK(po_master[[#This Row],[Invoice Number]]), "No Invoice", "OK")</f>
        <v>OK</v>
      </c>
      <c r="R644" s="1" t="str">
        <f>IF(AND(NOT(ISBLANK(po_master[[#This Row],[GR Quantity]])), po_master[[#This Row],[GR Quantity]]&lt;&gt;po_master[[#This Row],[PO Quantity]]), "Qty Variance", "OK")</f>
        <v>OK</v>
      </c>
      <c r="S644" s="1" t="str">
        <f>IF(po_master[[#This Row],[Invoice Unit Price]]&gt;po_master[[#This Row],[PO Unit Price]]*1.01, "Price Variance", "OK")</f>
        <v>OK</v>
      </c>
      <c r="T644" s="1" t="str">
        <f>IF(po_master[[#This Row],[Actual Delivery Date]]&gt;po_master[[#This Row],[Promised Delivey Date]], "Late Delivery", "OK")</f>
        <v>Late Delivery</v>
      </c>
      <c r="U644" s="1" t="str">
        <f>IF(COUNTIF(po_master[PO Number],po_master[[#This Row],[PO Number]])&gt;1, "Duplicate Invoice", "OK")</f>
        <v>OK</v>
      </c>
    </row>
    <row r="645" spans="1:21" x14ac:dyDescent="0.25">
      <c r="A645" s="1" t="s">
        <v>571</v>
      </c>
      <c r="B645" s="1" t="s">
        <v>1502</v>
      </c>
      <c r="C645" s="2">
        <v>46114</v>
      </c>
      <c r="D645">
        <v>255</v>
      </c>
      <c r="E645">
        <v>111.18</v>
      </c>
      <c r="F645" s="1" t="s">
        <v>1487</v>
      </c>
      <c r="G645" s="2">
        <v>46130</v>
      </c>
      <c r="H645">
        <v>255</v>
      </c>
      <c r="I645" s="2">
        <v>46130</v>
      </c>
      <c r="J645" s="1" t="s">
        <v>1352</v>
      </c>
      <c r="K645">
        <v>255</v>
      </c>
      <c r="L645">
        <v>111.18</v>
      </c>
      <c r="M645" s="2">
        <v>46134</v>
      </c>
      <c r="N645" t="str">
        <f>IF(po_master[[#This Row],[Approved By]]="", "Missing Approval", "OK")</f>
        <v>OK</v>
      </c>
      <c r="O645" t="str">
        <f>IF(ISBLANK(po_master[[#This Row],[GR Quantity]]), "No GR - Not received", "OK")</f>
        <v>OK</v>
      </c>
      <c r="P645" s="1" t="str">
        <f>IF(po_master[[#This Row],[Promised Delivey Date]]&lt;po_master[[#This Row],[Order Date]], "Invalid", "OK")</f>
        <v>OK</v>
      </c>
      <c r="Q645" s="1" t="str">
        <f>IF(ISBLANK(po_master[[#This Row],[Invoice Number]]), "No Invoice", "OK")</f>
        <v>OK</v>
      </c>
      <c r="R645" s="1" t="str">
        <f>IF(AND(NOT(ISBLANK(po_master[[#This Row],[GR Quantity]])), po_master[[#This Row],[GR Quantity]]&lt;&gt;po_master[[#This Row],[PO Quantity]]), "Qty Variance", "OK")</f>
        <v>OK</v>
      </c>
      <c r="S645" s="1" t="str">
        <f>IF(po_master[[#This Row],[Invoice Unit Price]]&gt;po_master[[#This Row],[PO Unit Price]]*1.01, "Price Variance", "OK")</f>
        <v>OK</v>
      </c>
      <c r="T645" s="1" t="str">
        <f>IF(po_master[[#This Row],[Actual Delivery Date]]&gt;po_master[[#This Row],[Promised Delivey Date]], "Late Delivery", "OK")</f>
        <v>OK</v>
      </c>
      <c r="U645" s="1" t="str">
        <f>IF(COUNTIF(po_master[PO Number],po_master[[#This Row],[PO Number]])&gt;1, "Duplicate Invoice", "OK")</f>
        <v>OK</v>
      </c>
    </row>
    <row r="646" spans="1:21" x14ac:dyDescent="0.25">
      <c r="A646" s="1" t="s">
        <v>572</v>
      </c>
      <c r="B646" s="1" t="s">
        <v>1493</v>
      </c>
      <c r="C646" s="2">
        <v>46151</v>
      </c>
      <c r="D646">
        <v>174</v>
      </c>
      <c r="E646">
        <v>80.73</v>
      </c>
      <c r="F646" s="1" t="s">
        <v>1501</v>
      </c>
      <c r="G646" s="2">
        <v>46156</v>
      </c>
      <c r="H646">
        <v>174</v>
      </c>
      <c r="I646" s="2">
        <v>46155</v>
      </c>
      <c r="J646" s="1" t="s">
        <v>1353</v>
      </c>
      <c r="K646">
        <v>174</v>
      </c>
      <c r="L646">
        <v>80.73</v>
      </c>
      <c r="M646" s="2">
        <v>46161</v>
      </c>
      <c r="N646" t="str">
        <f>IF(po_master[[#This Row],[Approved By]]="", "Missing Approval", "OK")</f>
        <v>OK</v>
      </c>
      <c r="O646" t="str">
        <f>IF(ISBLANK(po_master[[#This Row],[GR Quantity]]), "No GR - Not received", "OK")</f>
        <v>OK</v>
      </c>
      <c r="P646" s="1" t="str">
        <f>IF(po_master[[#This Row],[Promised Delivey Date]]&lt;po_master[[#This Row],[Order Date]], "Invalid", "OK")</f>
        <v>OK</v>
      </c>
      <c r="Q646" s="1" t="str">
        <f>IF(ISBLANK(po_master[[#This Row],[Invoice Number]]), "No Invoice", "OK")</f>
        <v>OK</v>
      </c>
      <c r="R646" s="1" t="str">
        <f>IF(AND(NOT(ISBLANK(po_master[[#This Row],[GR Quantity]])), po_master[[#This Row],[GR Quantity]]&lt;&gt;po_master[[#This Row],[PO Quantity]]), "Qty Variance", "OK")</f>
        <v>OK</v>
      </c>
      <c r="S646" s="1" t="str">
        <f>IF(po_master[[#This Row],[Invoice Unit Price]]&gt;po_master[[#This Row],[PO Unit Price]]*1.01, "Price Variance", "OK")</f>
        <v>OK</v>
      </c>
      <c r="T646" s="1" t="str">
        <f>IF(po_master[[#This Row],[Actual Delivery Date]]&gt;po_master[[#This Row],[Promised Delivey Date]], "Late Delivery", "OK")</f>
        <v>OK</v>
      </c>
      <c r="U646" s="1" t="str">
        <f>IF(COUNTIF(po_master[PO Number],po_master[[#This Row],[PO Number]])&gt;1, "Duplicate Invoice", "OK")</f>
        <v>OK</v>
      </c>
    </row>
    <row r="647" spans="1:21" x14ac:dyDescent="0.25">
      <c r="A647" s="1" t="s">
        <v>573</v>
      </c>
      <c r="B647" s="1" t="s">
        <v>1509</v>
      </c>
      <c r="C647" s="2">
        <v>46079</v>
      </c>
      <c r="D647">
        <v>25</v>
      </c>
      <c r="E647">
        <v>179.67</v>
      </c>
      <c r="F647" s="1" t="s">
        <v>1456</v>
      </c>
      <c r="G647" s="2">
        <v>46092</v>
      </c>
      <c r="H647">
        <v>25</v>
      </c>
      <c r="I647" s="2">
        <v>46091</v>
      </c>
      <c r="J647" s="1" t="s">
        <v>1354</v>
      </c>
      <c r="K647">
        <v>25</v>
      </c>
      <c r="L647">
        <v>179.67</v>
      </c>
      <c r="M647" s="2">
        <v>46094</v>
      </c>
      <c r="N647" t="str">
        <f>IF(po_master[[#This Row],[Approved By]]="", "Missing Approval", "OK")</f>
        <v>OK</v>
      </c>
      <c r="O647" t="str">
        <f>IF(ISBLANK(po_master[[#This Row],[GR Quantity]]), "No GR - Not received", "OK")</f>
        <v>OK</v>
      </c>
      <c r="P647" s="1" t="str">
        <f>IF(po_master[[#This Row],[Promised Delivey Date]]&lt;po_master[[#This Row],[Order Date]], "Invalid", "OK")</f>
        <v>OK</v>
      </c>
      <c r="Q647" s="1" t="str">
        <f>IF(ISBLANK(po_master[[#This Row],[Invoice Number]]), "No Invoice", "OK")</f>
        <v>OK</v>
      </c>
      <c r="R647" s="1" t="str">
        <f>IF(AND(NOT(ISBLANK(po_master[[#This Row],[GR Quantity]])), po_master[[#This Row],[GR Quantity]]&lt;&gt;po_master[[#This Row],[PO Quantity]]), "Qty Variance", "OK")</f>
        <v>OK</v>
      </c>
      <c r="S647" s="1" t="str">
        <f>IF(po_master[[#This Row],[Invoice Unit Price]]&gt;po_master[[#This Row],[PO Unit Price]]*1.01, "Price Variance", "OK")</f>
        <v>OK</v>
      </c>
      <c r="T647" s="1" t="str">
        <f>IF(po_master[[#This Row],[Actual Delivery Date]]&gt;po_master[[#This Row],[Promised Delivey Date]], "Late Delivery", "OK")</f>
        <v>OK</v>
      </c>
      <c r="U647" s="1" t="str">
        <f>IF(COUNTIF(po_master[PO Number],po_master[[#This Row],[PO Number]])&gt;1, "Duplicate Invoice", "OK")</f>
        <v>OK</v>
      </c>
    </row>
    <row r="648" spans="1:21" x14ac:dyDescent="0.25">
      <c r="A648" s="1" t="s">
        <v>574</v>
      </c>
      <c r="B648" s="1" t="s">
        <v>1475</v>
      </c>
      <c r="C648" s="2">
        <v>46143</v>
      </c>
      <c r="D648">
        <v>281</v>
      </c>
      <c r="E648">
        <v>74.7</v>
      </c>
      <c r="F648" s="1" t="s">
        <v>1480</v>
      </c>
      <c r="G648" s="2">
        <v>46155</v>
      </c>
      <c r="H648">
        <v>281</v>
      </c>
      <c r="I648" s="2">
        <v>46156</v>
      </c>
      <c r="J648" s="1" t="s">
        <v>1355</v>
      </c>
      <c r="K648">
        <v>281</v>
      </c>
      <c r="L648">
        <v>81.12</v>
      </c>
      <c r="M648" s="2">
        <v>46157</v>
      </c>
      <c r="N648" t="str">
        <f>IF(po_master[[#This Row],[Approved By]]="", "Missing Approval", "OK")</f>
        <v>OK</v>
      </c>
      <c r="O648" t="str">
        <f>IF(ISBLANK(po_master[[#This Row],[GR Quantity]]), "No GR - Not received", "OK")</f>
        <v>OK</v>
      </c>
      <c r="P648" s="1" t="str">
        <f>IF(po_master[[#This Row],[Promised Delivey Date]]&lt;po_master[[#This Row],[Order Date]], "Invalid", "OK")</f>
        <v>OK</v>
      </c>
      <c r="Q648" s="1" t="str">
        <f>IF(ISBLANK(po_master[[#This Row],[Invoice Number]]), "No Invoice", "OK")</f>
        <v>OK</v>
      </c>
      <c r="R648" s="1" t="str">
        <f>IF(AND(NOT(ISBLANK(po_master[[#This Row],[GR Quantity]])), po_master[[#This Row],[GR Quantity]]&lt;&gt;po_master[[#This Row],[PO Quantity]]), "Qty Variance", "OK")</f>
        <v>OK</v>
      </c>
      <c r="S648" s="1" t="str">
        <f>IF(po_master[[#This Row],[Invoice Unit Price]]&gt;po_master[[#This Row],[PO Unit Price]]*1.01, "Price Variance", "OK")</f>
        <v>Price Variance</v>
      </c>
      <c r="T648" s="1" t="str">
        <f>IF(po_master[[#This Row],[Actual Delivery Date]]&gt;po_master[[#This Row],[Promised Delivey Date]], "Late Delivery", "OK")</f>
        <v>Late Delivery</v>
      </c>
      <c r="U648" s="1" t="str">
        <f>IF(COUNTIF(po_master[PO Number],po_master[[#This Row],[PO Number]])&gt;1, "Duplicate Invoice", "OK")</f>
        <v>OK</v>
      </c>
    </row>
    <row r="649" spans="1:21" x14ac:dyDescent="0.25">
      <c r="A649" s="1" t="s">
        <v>575</v>
      </c>
      <c r="B649" s="1" t="s">
        <v>1460</v>
      </c>
      <c r="C649" s="2">
        <v>46048</v>
      </c>
      <c r="D649">
        <v>136</v>
      </c>
      <c r="E649">
        <v>133.09</v>
      </c>
      <c r="F649" s="1" t="s">
        <v>1458</v>
      </c>
      <c r="G649" s="2">
        <v>46054</v>
      </c>
      <c r="H649">
        <v>136</v>
      </c>
      <c r="I649" s="2">
        <v>46055</v>
      </c>
      <c r="J649" s="1" t="s">
        <v>1356</v>
      </c>
      <c r="K649">
        <v>136</v>
      </c>
      <c r="L649">
        <v>154.59</v>
      </c>
      <c r="M649" s="2">
        <v>46063</v>
      </c>
      <c r="N649" t="str">
        <f>IF(po_master[[#This Row],[Approved By]]="", "Missing Approval", "OK")</f>
        <v>OK</v>
      </c>
      <c r="O649" t="str">
        <f>IF(ISBLANK(po_master[[#This Row],[GR Quantity]]), "No GR - Not received", "OK")</f>
        <v>OK</v>
      </c>
      <c r="P649" s="1" t="str">
        <f>IF(po_master[[#This Row],[Promised Delivey Date]]&lt;po_master[[#This Row],[Order Date]], "Invalid", "OK")</f>
        <v>OK</v>
      </c>
      <c r="Q649" s="1" t="str">
        <f>IF(ISBLANK(po_master[[#This Row],[Invoice Number]]), "No Invoice", "OK")</f>
        <v>OK</v>
      </c>
      <c r="R649" s="1" t="str">
        <f>IF(AND(NOT(ISBLANK(po_master[[#This Row],[GR Quantity]])), po_master[[#This Row],[GR Quantity]]&lt;&gt;po_master[[#This Row],[PO Quantity]]), "Qty Variance", "OK")</f>
        <v>OK</v>
      </c>
      <c r="S649" s="1" t="str">
        <f>IF(po_master[[#This Row],[Invoice Unit Price]]&gt;po_master[[#This Row],[PO Unit Price]]*1.01, "Price Variance", "OK")</f>
        <v>Price Variance</v>
      </c>
      <c r="T649" s="1" t="str">
        <f>IF(po_master[[#This Row],[Actual Delivery Date]]&gt;po_master[[#This Row],[Promised Delivey Date]], "Late Delivery", "OK")</f>
        <v>Late Delivery</v>
      </c>
      <c r="U649" s="1" t="str">
        <f>IF(COUNTIF(po_master[PO Number],po_master[[#This Row],[PO Number]])&gt;1, "Duplicate Invoice", "OK")</f>
        <v>OK</v>
      </c>
    </row>
    <row r="650" spans="1:21" x14ac:dyDescent="0.25">
      <c r="A650" s="1" t="s">
        <v>576</v>
      </c>
      <c r="B650" s="1" t="s">
        <v>1447</v>
      </c>
      <c r="C650" s="2">
        <v>46170</v>
      </c>
      <c r="D650">
        <v>443</v>
      </c>
      <c r="E650">
        <v>196.62</v>
      </c>
      <c r="F650" s="1" t="s">
        <v>1453</v>
      </c>
      <c r="G650" s="2">
        <v>46186</v>
      </c>
      <c r="H650">
        <v>431</v>
      </c>
      <c r="I650" s="2">
        <v>46195</v>
      </c>
      <c r="J650" s="1" t="s">
        <v>1357</v>
      </c>
      <c r="K650">
        <v>443</v>
      </c>
      <c r="L650">
        <v>196.62</v>
      </c>
      <c r="M650" s="2">
        <v>46187</v>
      </c>
      <c r="N650" t="str">
        <f>IF(po_master[[#This Row],[Approved By]]="", "Missing Approval", "OK")</f>
        <v>OK</v>
      </c>
      <c r="O650" t="str">
        <f>IF(ISBLANK(po_master[[#This Row],[GR Quantity]]), "No GR - Not received", "OK")</f>
        <v>OK</v>
      </c>
      <c r="P650" s="1" t="str">
        <f>IF(po_master[[#This Row],[Promised Delivey Date]]&lt;po_master[[#This Row],[Order Date]], "Invalid", "OK")</f>
        <v>OK</v>
      </c>
      <c r="Q650" s="1" t="str">
        <f>IF(ISBLANK(po_master[[#This Row],[Invoice Number]]), "No Invoice", "OK")</f>
        <v>OK</v>
      </c>
      <c r="R650" s="1" t="str">
        <f>IF(AND(NOT(ISBLANK(po_master[[#This Row],[GR Quantity]])), po_master[[#This Row],[GR Quantity]]&lt;&gt;po_master[[#This Row],[PO Quantity]]), "Qty Variance", "OK")</f>
        <v>Qty Variance</v>
      </c>
      <c r="S650" s="1" t="str">
        <f>IF(po_master[[#This Row],[Invoice Unit Price]]&gt;po_master[[#This Row],[PO Unit Price]]*1.01, "Price Variance", "OK")</f>
        <v>OK</v>
      </c>
      <c r="T650" s="1" t="str">
        <f>IF(po_master[[#This Row],[Actual Delivery Date]]&gt;po_master[[#This Row],[Promised Delivey Date]], "Late Delivery", "OK")</f>
        <v>Late Delivery</v>
      </c>
      <c r="U650" s="1" t="str">
        <f>IF(COUNTIF(po_master[PO Number],po_master[[#This Row],[PO Number]])&gt;1, "Duplicate Invoice", "OK")</f>
        <v>OK</v>
      </c>
    </row>
    <row r="651" spans="1:21" x14ac:dyDescent="0.25">
      <c r="A651" s="1" t="s">
        <v>577</v>
      </c>
      <c r="B651" s="1" t="s">
        <v>1486</v>
      </c>
      <c r="C651" s="2">
        <v>46068</v>
      </c>
      <c r="D651">
        <v>131</v>
      </c>
      <c r="E651">
        <v>120.54</v>
      </c>
      <c r="F651" s="1" t="s">
        <v>1490</v>
      </c>
      <c r="G651" s="2">
        <v>46084</v>
      </c>
      <c r="H651">
        <v>131</v>
      </c>
      <c r="I651" s="2">
        <v>46085</v>
      </c>
      <c r="J651" s="1" t="s">
        <v>1358</v>
      </c>
      <c r="K651">
        <v>131</v>
      </c>
      <c r="L651">
        <v>120.54</v>
      </c>
      <c r="M651" s="2">
        <v>46093</v>
      </c>
      <c r="N651" t="str">
        <f>IF(po_master[[#This Row],[Approved By]]="", "Missing Approval", "OK")</f>
        <v>OK</v>
      </c>
      <c r="O651" t="str">
        <f>IF(ISBLANK(po_master[[#This Row],[GR Quantity]]), "No GR - Not received", "OK")</f>
        <v>OK</v>
      </c>
      <c r="P651" s="1" t="str">
        <f>IF(po_master[[#This Row],[Promised Delivey Date]]&lt;po_master[[#This Row],[Order Date]], "Invalid", "OK")</f>
        <v>OK</v>
      </c>
      <c r="Q651" s="1" t="str">
        <f>IF(ISBLANK(po_master[[#This Row],[Invoice Number]]), "No Invoice", "OK")</f>
        <v>OK</v>
      </c>
      <c r="R651" s="1" t="str">
        <f>IF(AND(NOT(ISBLANK(po_master[[#This Row],[GR Quantity]])), po_master[[#This Row],[GR Quantity]]&lt;&gt;po_master[[#This Row],[PO Quantity]]), "Qty Variance", "OK")</f>
        <v>OK</v>
      </c>
      <c r="S651" s="1" t="str">
        <f>IF(po_master[[#This Row],[Invoice Unit Price]]&gt;po_master[[#This Row],[PO Unit Price]]*1.01, "Price Variance", "OK")</f>
        <v>OK</v>
      </c>
      <c r="T651" s="1" t="str">
        <f>IF(po_master[[#This Row],[Actual Delivery Date]]&gt;po_master[[#This Row],[Promised Delivey Date]], "Late Delivery", "OK")</f>
        <v>Late Delivery</v>
      </c>
      <c r="U651" s="1" t="str">
        <f>IF(COUNTIF(po_master[PO Number],po_master[[#This Row],[PO Number]])&gt;1, "Duplicate Invoice", "OK")</f>
        <v>OK</v>
      </c>
    </row>
    <row r="652" spans="1:21" x14ac:dyDescent="0.25">
      <c r="A652" s="1" t="s">
        <v>578</v>
      </c>
      <c r="B652" s="1" t="s">
        <v>1443</v>
      </c>
      <c r="C652" s="2">
        <v>46030</v>
      </c>
      <c r="D652">
        <v>370</v>
      </c>
      <c r="E652">
        <v>141.61000000000001</v>
      </c>
      <c r="F652" s="1" t="s">
        <v>1480</v>
      </c>
      <c r="G652" s="2">
        <v>46039</v>
      </c>
      <c r="H652">
        <v>370</v>
      </c>
      <c r="I652" s="2">
        <v>46038</v>
      </c>
      <c r="J652" s="1" t="s">
        <v>1359</v>
      </c>
      <c r="K652">
        <v>370</v>
      </c>
      <c r="L652">
        <v>141.61000000000001</v>
      </c>
      <c r="M652" s="2">
        <v>46047</v>
      </c>
      <c r="N652" t="str">
        <f>IF(po_master[[#This Row],[Approved By]]="", "Missing Approval", "OK")</f>
        <v>OK</v>
      </c>
      <c r="O652" t="str">
        <f>IF(ISBLANK(po_master[[#This Row],[GR Quantity]]), "No GR - Not received", "OK")</f>
        <v>OK</v>
      </c>
      <c r="P652" s="1" t="str">
        <f>IF(po_master[[#This Row],[Promised Delivey Date]]&lt;po_master[[#This Row],[Order Date]], "Invalid", "OK")</f>
        <v>OK</v>
      </c>
      <c r="Q652" s="1" t="str">
        <f>IF(ISBLANK(po_master[[#This Row],[Invoice Number]]), "No Invoice", "OK")</f>
        <v>OK</v>
      </c>
      <c r="R652" s="1" t="str">
        <f>IF(AND(NOT(ISBLANK(po_master[[#This Row],[GR Quantity]])), po_master[[#This Row],[GR Quantity]]&lt;&gt;po_master[[#This Row],[PO Quantity]]), "Qty Variance", "OK")</f>
        <v>OK</v>
      </c>
      <c r="S652" s="1" t="str">
        <f>IF(po_master[[#This Row],[Invoice Unit Price]]&gt;po_master[[#This Row],[PO Unit Price]]*1.01, "Price Variance", "OK")</f>
        <v>OK</v>
      </c>
      <c r="T652" s="1" t="str">
        <f>IF(po_master[[#This Row],[Actual Delivery Date]]&gt;po_master[[#This Row],[Promised Delivey Date]], "Late Delivery", "OK")</f>
        <v>OK</v>
      </c>
      <c r="U652" s="1" t="str">
        <f>IF(COUNTIF(po_master[PO Number],po_master[[#This Row],[PO Number]])&gt;1, "Duplicate Invoice", "OK")</f>
        <v>OK</v>
      </c>
    </row>
    <row r="653" spans="1:21" x14ac:dyDescent="0.25">
      <c r="A653" s="1" t="s">
        <v>579</v>
      </c>
      <c r="B653" s="1" t="s">
        <v>1493</v>
      </c>
      <c r="C653" s="2">
        <v>46071</v>
      </c>
      <c r="D653">
        <v>438</v>
      </c>
      <c r="E653">
        <v>197.66</v>
      </c>
      <c r="F653" s="1" t="s">
        <v>1487</v>
      </c>
      <c r="G653" s="2">
        <v>46085</v>
      </c>
      <c r="H653">
        <v>438</v>
      </c>
      <c r="I653" s="2">
        <v>46084</v>
      </c>
      <c r="J653" s="1" t="s">
        <v>1360</v>
      </c>
      <c r="K653">
        <v>438</v>
      </c>
      <c r="L653">
        <v>197.66</v>
      </c>
      <c r="M653" s="2">
        <v>46094</v>
      </c>
      <c r="N653" t="str">
        <f>IF(po_master[[#This Row],[Approved By]]="", "Missing Approval", "OK")</f>
        <v>OK</v>
      </c>
      <c r="O653" t="str">
        <f>IF(ISBLANK(po_master[[#This Row],[GR Quantity]]), "No GR - Not received", "OK")</f>
        <v>OK</v>
      </c>
      <c r="P653" s="1" t="str">
        <f>IF(po_master[[#This Row],[Promised Delivey Date]]&lt;po_master[[#This Row],[Order Date]], "Invalid", "OK")</f>
        <v>OK</v>
      </c>
      <c r="Q653" s="1" t="str">
        <f>IF(ISBLANK(po_master[[#This Row],[Invoice Number]]), "No Invoice", "OK")</f>
        <v>OK</v>
      </c>
      <c r="R653" s="1" t="str">
        <f>IF(AND(NOT(ISBLANK(po_master[[#This Row],[GR Quantity]])), po_master[[#This Row],[GR Quantity]]&lt;&gt;po_master[[#This Row],[PO Quantity]]), "Qty Variance", "OK")</f>
        <v>OK</v>
      </c>
      <c r="S653" s="1" t="str">
        <f>IF(po_master[[#This Row],[Invoice Unit Price]]&gt;po_master[[#This Row],[PO Unit Price]]*1.01, "Price Variance", "OK")</f>
        <v>OK</v>
      </c>
      <c r="T653" s="1" t="str">
        <f>IF(po_master[[#This Row],[Actual Delivery Date]]&gt;po_master[[#This Row],[Promised Delivey Date]], "Late Delivery", "OK")</f>
        <v>OK</v>
      </c>
      <c r="U653" s="1" t="str">
        <f>IF(COUNTIF(po_master[PO Number],po_master[[#This Row],[PO Number]])&gt;1, "Duplicate Invoice", "OK")</f>
        <v>OK</v>
      </c>
    </row>
    <row r="654" spans="1:21" x14ac:dyDescent="0.25">
      <c r="A654" s="1" t="s">
        <v>580</v>
      </c>
      <c r="B654" s="1" t="s">
        <v>1486</v>
      </c>
      <c r="C654" s="2">
        <v>46148</v>
      </c>
      <c r="D654">
        <v>29</v>
      </c>
      <c r="E654">
        <v>22.6</v>
      </c>
      <c r="F654" s="1" t="s">
        <v>1440</v>
      </c>
      <c r="G654" s="2">
        <v>46160</v>
      </c>
      <c r="H654">
        <v>29</v>
      </c>
      <c r="I654" s="2">
        <v>46165</v>
      </c>
      <c r="J654" s="1" t="s">
        <v>1361</v>
      </c>
      <c r="K654">
        <v>29</v>
      </c>
      <c r="L654">
        <v>22.6</v>
      </c>
      <c r="M654" s="2">
        <v>46170</v>
      </c>
      <c r="N654" t="str">
        <f>IF(po_master[[#This Row],[Approved By]]="", "Missing Approval", "OK")</f>
        <v>OK</v>
      </c>
      <c r="O654" t="str">
        <f>IF(ISBLANK(po_master[[#This Row],[GR Quantity]]), "No GR - Not received", "OK")</f>
        <v>OK</v>
      </c>
      <c r="P654" s="1" t="str">
        <f>IF(po_master[[#This Row],[Promised Delivey Date]]&lt;po_master[[#This Row],[Order Date]], "Invalid", "OK")</f>
        <v>OK</v>
      </c>
      <c r="Q654" s="1" t="str">
        <f>IF(ISBLANK(po_master[[#This Row],[Invoice Number]]), "No Invoice", "OK")</f>
        <v>OK</v>
      </c>
      <c r="R654" s="1" t="str">
        <f>IF(AND(NOT(ISBLANK(po_master[[#This Row],[GR Quantity]])), po_master[[#This Row],[GR Quantity]]&lt;&gt;po_master[[#This Row],[PO Quantity]]), "Qty Variance", "OK")</f>
        <v>OK</v>
      </c>
      <c r="S654" s="1" t="str">
        <f>IF(po_master[[#This Row],[Invoice Unit Price]]&gt;po_master[[#This Row],[PO Unit Price]]*1.01, "Price Variance", "OK")</f>
        <v>OK</v>
      </c>
      <c r="T654" s="1" t="str">
        <f>IF(po_master[[#This Row],[Actual Delivery Date]]&gt;po_master[[#This Row],[Promised Delivey Date]], "Late Delivery", "OK")</f>
        <v>Late Delivery</v>
      </c>
      <c r="U654" s="1" t="str">
        <f>IF(COUNTIF(po_master[PO Number],po_master[[#This Row],[PO Number]])&gt;1, "Duplicate Invoice", "OK")</f>
        <v>OK</v>
      </c>
    </row>
    <row r="655" spans="1:21" x14ac:dyDescent="0.25">
      <c r="A655" s="1" t="s">
        <v>1330</v>
      </c>
      <c r="B655" s="1" t="s">
        <v>1509</v>
      </c>
      <c r="C655" s="2">
        <v>46127</v>
      </c>
      <c r="D655">
        <v>71</v>
      </c>
      <c r="E655">
        <v>109.51</v>
      </c>
      <c r="F655" s="1" t="s">
        <v>1456</v>
      </c>
      <c r="G655" s="2">
        <v>46138</v>
      </c>
      <c r="I655" s="2"/>
      <c r="J655" s="1" t="s">
        <v>1331</v>
      </c>
      <c r="K655">
        <v>71</v>
      </c>
      <c r="L655">
        <v>109.51</v>
      </c>
      <c r="M655" s="2">
        <v>46143</v>
      </c>
      <c r="N655" t="str">
        <f>IF(po_master[[#This Row],[Approved By]]="", "Missing Approval", "OK")</f>
        <v>OK</v>
      </c>
      <c r="O655" t="str">
        <f>IF(ISBLANK(po_master[[#This Row],[GR Quantity]]), "No GR - Not received", "OK")</f>
        <v>No GR - Not received</v>
      </c>
      <c r="P655" s="1" t="str">
        <f>IF(po_master[[#This Row],[Promised Delivey Date]]&lt;po_master[[#This Row],[Order Date]], "Invalid", "OK")</f>
        <v>OK</v>
      </c>
      <c r="Q655" s="1" t="str">
        <f>IF(ISBLANK(po_master[[#This Row],[Invoice Number]]), "No Invoice", "OK")</f>
        <v>OK</v>
      </c>
      <c r="R655" s="1" t="str">
        <f>IF(AND(NOT(ISBLANK(po_master[[#This Row],[GR Quantity]])), po_master[[#This Row],[GR Quantity]]&lt;&gt;po_master[[#This Row],[PO Quantity]]), "Qty Variance", "OK")</f>
        <v>OK</v>
      </c>
      <c r="S655" s="1" t="str">
        <f>IF(po_master[[#This Row],[Invoice Unit Price]]&gt;po_master[[#This Row],[PO Unit Price]]*1.01, "Price Variance", "OK")</f>
        <v>OK</v>
      </c>
      <c r="T655" s="1" t="str">
        <f>IF(po_master[[#This Row],[Actual Delivery Date]]&gt;po_master[[#This Row],[Promised Delivey Date]], "Late Delivery", "OK")</f>
        <v>OK</v>
      </c>
      <c r="U655" s="1" t="str">
        <f>IF(COUNTIF(po_master[PO Number],po_master[[#This Row],[PO Number]])&gt;1, "Duplicate Invoice", "OK")</f>
        <v>Duplicate Invoice</v>
      </c>
    </row>
    <row r="656" spans="1:21" x14ac:dyDescent="0.25">
      <c r="A656" s="1" t="s">
        <v>1330</v>
      </c>
      <c r="B656" s="1" t="s">
        <v>1509</v>
      </c>
      <c r="C656" s="2">
        <v>46127</v>
      </c>
      <c r="D656">
        <v>71</v>
      </c>
      <c r="E656">
        <v>109.51</v>
      </c>
      <c r="F656" s="1" t="s">
        <v>1456</v>
      </c>
      <c r="G656" s="2">
        <v>46138</v>
      </c>
      <c r="I656" s="2"/>
      <c r="J656" s="1" t="s">
        <v>1332</v>
      </c>
      <c r="K656">
        <v>71</v>
      </c>
      <c r="L656">
        <v>109.51</v>
      </c>
      <c r="M656" s="2">
        <v>46147</v>
      </c>
      <c r="N656" t="str">
        <f>IF(po_master[[#This Row],[Approved By]]="", "Missing Approval", "OK")</f>
        <v>OK</v>
      </c>
      <c r="O656" t="str">
        <f>IF(ISBLANK(po_master[[#This Row],[GR Quantity]]), "No GR - Not received", "OK")</f>
        <v>No GR - Not received</v>
      </c>
      <c r="P656" s="1" t="str">
        <f>IF(po_master[[#This Row],[Promised Delivey Date]]&lt;po_master[[#This Row],[Order Date]], "Invalid", "OK")</f>
        <v>OK</v>
      </c>
      <c r="Q656" s="1" t="str">
        <f>IF(ISBLANK(po_master[[#This Row],[Invoice Number]]), "No Invoice", "OK")</f>
        <v>OK</v>
      </c>
      <c r="R656" s="1" t="str">
        <f>IF(AND(NOT(ISBLANK(po_master[[#This Row],[GR Quantity]])), po_master[[#This Row],[GR Quantity]]&lt;&gt;po_master[[#This Row],[PO Quantity]]), "Qty Variance", "OK")</f>
        <v>OK</v>
      </c>
      <c r="S656" s="1" t="str">
        <f>IF(po_master[[#This Row],[Invoice Unit Price]]&gt;po_master[[#This Row],[PO Unit Price]]*1.01, "Price Variance", "OK")</f>
        <v>OK</v>
      </c>
      <c r="T656" s="1" t="str">
        <f>IF(po_master[[#This Row],[Actual Delivery Date]]&gt;po_master[[#This Row],[Promised Delivey Date]], "Late Delivery", "OK")</f>
        <v>OK</v>
      </c>
      <c r="U656" s="1" t="str">
        <f>IF(COUNTIF(po_master[PO Number],po_master[[#This Row],[PO Number]])&gt;1, "Duplicate Invoice", "OK")</f>
        <v>Duplicate Invoice</v>
      </c>
    </row>
    <row r="657" spans="1:21" x14ac:dyDescent="0.25">
      <c r="A657" s="1" t="s">
        <v>581</v>
      </c>
      <c r="B657" s="1" t="s">
        <v>1473</v>
      </c>
      <c r="C657" s="2">
        <v>46157</v>
      </c>
      <c r="D657">
        <v>254</v>
      </c>
      <c r="E657">
        <v>5.13</v>
      </c>
      <c r="F657" s="1" t="s">
        <v>1494</v>
      </c>
      <c r="G657" s="2">
        <v>46168</v>
      </c>
      <c r="H657">
        <v>254</v>
      </c>
      <c r="I657" s="2">
        <v>46169</v>
      </c>
      <c r="J657" s="1" t="s">
        <v>1362</v>
      </c>
      <c r="K657">
        <v>254</v>
      </c>
      <c r="L657">
        <v>5.13</v>
      </c>
      <c r="M657" s="2">
        <v>46169</v>
      </c>
      <c r="N657" t="str">
        <f>IF(po_master[[#This Row],[Approved By]]="", "Missing Approval", "OK")</f>
        <v>OK</v>
      </c>
      <c r="O657" t="str">
        <f>IF(ISBLANK(po_master[[#This Row],[GR Quantity]]), "No GR - Not received", "OK")</f>
        <v>OK</v>
      </c>
      <c r="P657" s="1" t="str">
        <f>IF(po_master[[#This Row],[Promised Delivey Date]]&lt;po_master[[#This Row],[Order Date]], "Invalid", "OK")</f>
        <v>OK</v>
      </c>
      <c r="Q657" s="1" t="str">
        <f>IF(ISBLANK(po_master[[#This Row],[Invoice Number]]), "No Invoice", "OK")</f>
        <v>OK</v>
      </c>
      <c r="R657" s="1" t="str">
        <f>IF(AND(NOT(ISBLANK(po_master[[#This Row],[GR Quantity]])), po_master[[#This Row],[GR Quantity]]&lt;&gt;po_master[[#This Row],[PO Quantity]]), "Qty Variance", "OK")</f>
        <v>OK</v>
      </c>
      <c r="S657" s="1" t="str">
        <f>IF(po_master[[#This Row],[Invoice Unit Price]]&gt;po_master[[#This Row],[PO Unit Price]]*1.01, "Price Variance", "OK")</f>
        <v>OK</v>
      </c>
      <c r="T657" s="1" t="str">
        <f>IF(po_master[[#This Row],[Actual Delivery Date]]&gt;po_master[[#This Row],[Promised Delivey Date]], "Late Delivery", "OK")</f>
        <v>Late Delivery</v>
      </c>
      <c r="U657" s="1" t="str">
        <f>IF(COUNTIF(po_master[PO Number],po_master[[#This Row],[PO Number]])&gt;1, "Duplicate Invoice", "OK")</f>
        <v>OK</v>
      </c>
    </row>
    <row r="658" spans="1:21" x14ac:dyDescent="0.25">
      <c r="A658" s="1" t="s">
        <v>582</v>
      </c>
      <c r="B658" s="1" t="s">
        <v>1441</v>
      </c>
      <c r="C658" s="2">
        <v>46110</v>
      </c>
      <c r="D658">
        <v>377</v>
      </c>
      <c r="E658">
        <v>39.6</v>
      </c>
      <c r="F658" s="1" t="s">
        <v>1472</v>
      </c>
      <c r="G658" s="2">
        <v>46116</v>
      </c>
      <c r="H658">
        <v>377</v>
      </c>
      <c r="I658" s="2">
        <v>46114</v>
      </c>
      <c r="J658" s="1" t="s">
        <v>1363</v>
      </c>
      <c r="K658">
        <v>377</v>
      </c>
      <c r="L658">
        <v>39.6</v>
      </c>
      <c r="M658" s="2">
        <v>46122</v>
      </c>
      <c r="N658" t="str">
        <f>IF(po_master[[#This Row],[Approved By]]="", "Missing Approval", "OK")</f>
        <v>OK</v>
      </c>
      <c r="O658" t="str">
        <f>IF(ISBLANK(po_master[[#This Row],[GR Quantity]]), "No GR - Not received", "OK")</f>
        <v>OK</v>
      </c>
      <c r="P658" s="1" t="str">
        <f>IF(po_master[[#This Row],[Promised Delivey Date]]&lt;po_master[[#This Row],[Order Date]], "Invalid", "OK")</f>
        <v>OK</v>
      </c>
      <c r="Q658" s="1" t="str">
        <f>IF(ISBLANK(po_master[[#This Row],[Invoice Number]]), "No Invoice", "OK")</f>
        <v>OK</v>
      </c>
      <c r="R658" s="1" t="str">
        <f>IF(AND(NOT(ISBLANK(po_master[[#This Row],[GR Quantity]])), po_master[[#This Row],[GR Quantity]]&lt;&gt;po_master[[#This Row],[PO Quantity]]), "Qty Variance", "OK")</f>
        <v>OK</v>
      </c>
      <c r="S658" s="1" t="str">
        <f>IF(po_master[[#This Row],[Invoice Unit Price]]&gt;po_master[[#This Row],[PO Unit Price]]*1.01, "Price Variance", "OK")</f>
        <v>OK</v>
      </c>
      <c r="T658" s="1" t="str">
        <f>IF(po_master[[#This Row],[Actual Delivery Date]]&gt;po_master[[#This Row],[Promised Delivey Date]], "Late Delivery", "OK")</f>
        <v>OK</v>
      </c>
      <c r="U658" s="1" t="str">
        <f>IF(COUNTIF(po_master[PO Number],po_master[[#This Row],[PO Number]])&gt;1, "Duplicate Invoice", "OK")</f>
        <v>OK</v>
      </c>
    </row>
    <row r="659" spans="1:21" x14ac:dyDescent="0.25">
      <c r="A659" s="1" t="s">
        <v>1333</v>
      </c>
      <c r="B659" s="1" t="s">
        <v>1478</v>
      </c>
      <c r="C659" s="2">
        <v>46101</v>
      </c>
      <c r="D659">
        <v>247</v>
      </c>
      <c r="E659">
        <v>56.68</v>
      </c>
      <c r="F659" s="1" t="s">
        <v>1483</v>
      </c>
      <c r="G659" s="2">
        <v>46108</v>
      </c>
      <c r="I659" s="2"/>
      <c r="J659" s="1" t="s">
        <v>1334</v>
      </c>
      <c r="K659">
        <v>247</v>
      </c>
      <c r="L659">
        <v>56.68</v>
      </c>
      <c r="M659" s="2">
        <v>46112</v>
      </c>
      <c r="N659" t="str">
        <f>IF(po_master[[#This Row],[Approved By]]="", "Missing Approval", "OK")</f>
        <v>OK</v>
      </c>
      <c r="O659" t="str">
        <f>IF(ISBLANK(po_master[[#This Row],[GR Quantity]]), "No GR - Not received", "OK")</f>
        <v>No GR - Not received</v>
      </c>
      <c r="P659" s="1" t="str">
        <f>IF(po_master[[#This Row],[Promised Delivey Date]]&lt;po_master[[#This Row],[Order Date]], "Invalid", "OK")</f>
        <v>OK</v>
      </c>
      <c r="Q659" s="1" t="str">
        <f>IF(ISBLANK(po_master[[#This Row],[Invoice Number]]), "No Invoice", "OK")</f>
        <v>OK</v>
      </c>
      <c r="R659" s="1" t="str">
        <f>IF(AND(NOT(ISBLANK(po_master[[#This Row],[GR Quantity]])), po_master[[#This Row],[GR Quantity]]&lt;&gt;po_master[[#This Row],[PO Quantity]]), "Qty Variance", "OK")</f>
        <v>OK</v>
      </c>
      <c r="S659" s="1" t="str">
        <f>IF(po_master[[#This Row],[Invoice Unit Price]]&gt;po_master[[#This Row],[PO Unit Price]]*1.01, "Price Variance", "OK")</f>
        <v>OK</v>
      </c>
      <c r="T659" s="1" t="str">
        <f>IF(po_master[[#This Row],[Actual Delivery Date]]&gt;po_master[[#This Row],[Promised Delivey Date]], "Late Delivery", "OK")</f>
        <v>OK</v>
      </c>
      <c r="U659" s="1" t="str">
        <f>IF(COUNTIF(po_master[PO Number],po_master[[#This Row],[PO Number]])&gt;1, "Duplicate Invoice", "OK")</f>
        <v>OK</v>
      </c>
    </row>
    <row r="660" spans="1:21" x14ac:dyDescent="0.25">
      <c r="A660" s="1" t="s">
        <v>583</v>
      </c>
      <c r="B660" s="1" t="s">
        <v>1473</v>
      </c>
      <c r="C660" s="2">
        <v>46060</v>
      </c>
      <c r="D660">
        <v>310</v>
      </c>
      <c r="E660">
        <v>142.41999999999999</v>
      </c>
      <c r="F660" s="1" t="s">
        <v>1485</v>
      </c>
      <c r="G660" s="2">
        <v>46068</v>
      </c>
      <c r="H660">
        <v>328</v>
      </c>
      <c r="I660" s="2">
        <v>46067</v>
      </c>
      <c r="J660" s="1" t="s">
        <v>1364</v>
      </c>
      <c r="K660">
        <v>310</v>
      </c>
      <c r="L660">
        <v>142.41999999999999</v>
      </c>
      <c r="M660" s="2">
        <v>46077</v>
      </c>
      <c r="N660" t="str">
        <f>IF(po_master[[#This Row],[Approved By]]="", "Missing Approval", "OK")</f>
        <v>OK</v>
      </c>
      <c r="O660" t="str">
        <f>IF(ISBLANK(po_master[[#This Row],[GR Quantity]]), "No GR - Not received", "OK")</f>
        <v>OK</v>
      </c>
      <c r="P660" s="1" t="str">
        <f>IF(po_master[[#This Row],[Promised Delivey Date]]&lt;po_master[[#This Row],[Order Date]], "Invalid", "OK")</f>
        <v>OK</v>
      </c>
      <c r="Q660" s="1" t="str">
        <f>IF(ISBLANK(po_master[[#This Row],[Invoice Number]]), "No Invoice", "OK")</f>
        <v>OK</v>
      </c>
      <c r="R660" s="1" t="str">
        <f>IF(AND(NOT(ISBLANK(po_master[[#This Row],[GR Quantity]])), po_master[[#This Row],[GR Quantity]]&lt;&gt;po_master[[#This Row],[PO Quantity]]), "Qty Variance", "OK")</f>
        <v>Qty Variance</v>
      </c>
      <c r="S660" s="1" t="str">
        <f>IF(po_master[[#This Row],[Invoice Unit Price]]&gt;po_master[[#This Row],[PO Unit Price]]*1.01, "Price Variance", "OK")</f>
        <v>OK</v>
      </c>
      <c r="T660" s="1" t="str">
        <f>IF(po_master[[#This Row],[Actual Delivery Date]]&gt;po_master[[#This Row],[Promised Delivey Date]], "Late Delivery", "OK")</f>
        <v>OK</v>
      </c>
      <c r="U660" s="1" t="str">
        <f>IF(COUNTIF(po_master[PO Number],po_master[[#This Row],[PO Number]])&gt;1, "Duplicate Invoice", "OK")</f>
        <v>OK</v>
      </c>
    </row>
    <row r="661" spans="1:21" x14ac:dyDescent="0.25">
      <c r="A661" s="1" t="s">
        <v>584</v>
      </c>
      <c r="B661" s="1" t="s">
        <v>1443</v>
      </c>
      <c r="C661" s="2">
        <v>46048</v>
      </c>
      <c r="D661">
        <v>182</v>
      </c>
      <c r="E661">
        <v>63.84</v>
      </c>
      <c r="F661" s="1" t="s">
        <v>1485</v>
      </c>
      <c r="G661" s="2">
        <v>46058</v>
      </c>
      <c r="H661">
        <v>182</v>
      </c>
      <c r="I661" s="2">
        <v>46056</v>
      </c>
      <c r="J661" s="1" t="s">
        <v>1367</v>
      </c>
      <c r="K661">
        <v>182</v>
      </c>
      <c r="L661">
        <v>63.84</v>
      </c>
      <c r="M661" s="2">
        <v>46067</v>
      </c>
      <c r="N661" t="str">
        <f>IF(po_master[[#This Row],[Approved By]]="", "Missing Approval", "OK")</f>
        <v>OK</v>
      </c>
      <c r="O661" t="str">
        <f>IF(ISBLANK(po_master[[#This Row],[GR Quantity]]), "No GR - Not received", "OK")</f>
        <v>OK</v>
      </c>
      <c r="P661" s="1" t="str">
        <f>IF(po_master[[#This Row],[Promised Delivey Date]]&lt;po_master[[#This Row],[Order Date]], "Invalid", "OK")</f>
        <v>OK</v>
      </c>
      <c r="Q661" s="1" t="str">
        <f>IF(ISBLANK(po_master[[#This Row],[Invoice Number]]), "No Invoice", "OK")</f>
        <v>OK</v>
      </c>
      <c r="R661" s="1" t="str">
        <f>IF(AND(NOT(ISBLANK(po_master[[#This Row],[GR Quantity]])), po_master[[#This Row],[GR Quantity]]&lt;&gt;po_master[[#This Row],[PO Quantity]]), "Qty Variance", "OK")</f>
        <v>OK</v>
      </c>
      <c r="S661" s="1" t="str">
        <f>IF(po_master[[#This Row],[Invoice Unit Price]]&gt;po_master[[#This Row],[PO Unit Price]]*1.01, "Price Variance", "OK")</f>
        <v>OK</v>
      </c>
      <c r="T661" s="1" t="str">
        <f>IF(po_master[[#This Row],[Actual Delivery Date]]&gt;po_master[[#This Row],[Promised Delivey Date]], "Late Delivery", "OK")</f>
        <v>OK</v>
      </c>
      <c r="U661" s="1" t="str">
        <f>IF(COUNTIF(po_master[PO Number],po_master[[#This Row],[PO Number]])&gt;1, "Duplicate Invoice", "OK")</f>
        <v>OK</v>
      </c>
    </row>
    <row r="662" spans="1:21" x14ac:dyDescent="0.25">
      <c r="A662" s="1" t="s">
        <v>585</v>
      </c>
      <c r="B662" s="1" t="s">
        <v>1477</v>
      </c>
      <c r="C662" s="2">
        <v>46134</v>
      </c>
      <c r="D662">
        <v>415</v>
      </c>
      <c r="E662">
        <v>129.66</v>
      </c>
      <c r="F662" s="1" t="s">
        <v>1487</v>
      </c>
      <c r="G662" s="2">
        <v>46149</v>
      </c>
      <c r="H662">
        <v>415</v>
      </c>
      <c r="I662" s="2">
        <v>46147</v>
      </c>
      <c r="J662" s="1" t="s">
        <v>1368</v>
      </c>
      <c r="K662">
        <v>415</v>
      </c>
      <c r="L662">
        <v>129.66</v>
      </c>
      <c r="M662" s="2">
        <v>46155</v>
      </c>
      <c r="N662" t="str">
        <f>IF(po_master[[#This Row],[Approved By]]="", "Missing Approval", "OK")</f>
        <v>OK</v>
      </c>
      <c r="O662" t="str">
        <f>IF(ISBLANK(po_master[[#This Row],[GR Quantity]]), "No GR - Not received", "OK")</f>
        <v>OK</v>
      </c>
      <c r="P662" s="1" t="str">
        <f>IF(po_master[[#This Row],[Promised Delivey Date]]&lt;po_master[[#This Row],[Order Date]], "Invalid", "OK")</f>
        <v>OK</v>
      </c>
      <c r="Q662" s="1" t="str">
        <f>IF(ISBLANK(po_master[[#This Row],[Invoice Number]]), "No Invoice", "OK")</f>
        <v>OK</v>
      </c>
      <c r="R662" s="1" t="str">
        <f>IF(AND(NOT(ISBLANK(po_master[[#This Row],[GR Quantity]])), po_master[[#This Row],[GR Quantity]]&lt;&gt;po_master[[#This Row],[PO Quantity]]), "Qty Variance", "OK")</f>
        <v>OK</v>
      </c>
      <c r="S662" s="1" t="str">
        <f>IF(po_master[[#This Row],[Invoice Unit Price]]&gt;po_master[[#This Row],[PO Unit Price]]*1.01, "Price Variance", "OK")</f>
        <v>OK</v>
      </c>
      <c r="T662" s="1" t="str">
        <f>IF(po_master[[#This Row],[Actual Delivery Date]]&gt;po_master[[#This Row],[Promised Delivey Date]], "Late Delivery", "OK")</f>
        <v>OK</v>
      </c>
      <c r="U662" s="1" t="str">
        <f>IF(COUNTIF(po_master[PO Number],po_master[[#This Row],[PO Number]])&gt;1, "Duplicate Invoice", "OK")</f>
        <v>OK</v>
      </c>
    </row>
    <row r="663" spans="1:21" x14ac:dyDescent="0.25">
      <c r="A663" s="1" t="s">
        <v>1337</v>
      </c>
      <c r="B663" s="1" t="s">
        <v>1488</v>
      </c>
      <c r="C663" s="2">
        <v>46154</v>
      </c>
      <c r="D663">
        <v>35</v>
      </c>
      <c r="E663">
        <v>137.05000000000001</v>
      </c>
      <c r="F663" s="1" t="s">
        <v>1458</v>
      </c>
      <c r="G663" s="2">
        <v>46164</v>
      </c>
      <c r="I663" s="2"/>
      <c r="J663" s="1" t="s">
        <v>1338</v>
      </c>
      <c r="K663">
        <v>35</v>
      </c>
      <c r="L663">
        <v>137.05000000000001</v>
      </c>
      <c r="M663" s="2">
        <v>46166</v>
      </c>
      <c r="N663" t="str">
        <f>IF(po_master[[#This Row],[Approved By]]="", "Missing Approval", "OK")</f>
        <v>OK</v>
      </c>
      <c r="O663" t="str">
        <f>IF(ISBLANK(po_master[[#This Row],[GR Quantity]]), "No GR - Not received", "OK")</f>
        <v>No GR - Not received</v>
      </c>
      <c r="P663" s="1" t="str">
        <f>IF(po_master[[#This Row],[Promised Delivey Date]]&lt;po_master[[#This Row],[Order Date]], "Invalid", "OK")</f>
        <v>OK</v>
      </c>
      <c r="Q663" s="1" t="str">
        <f>IF(ISBLANK(po_master[[#This Row],[Invoice Number]]), "No Invoice", "OK")</f>
        <v>OK</v>
      </c>
      <c r="R663" s="1" t="str">
        <f>IF(AND(NOT(ISBLANK(po_master[[#This Row],[GR Quantity]])), po_master[[#This Row],[GR Quantity]]&lt;&gt;po_master[[#This Row],[PO Quantity]]), "Qty Variance", "OK")</f>
        <v>OK</v>
      </c>
      <c r="S663" s="1" t="str">
        <f>IF(po_master[[#This Row],[Invoice Unit Price]]&gt;po_master[[#This Row],[PO Unit Price]]*1.01, "Price Variance", "OK")</f>
        <v>OK</v>
      </c>
      <c r="T663" s="1" t="str">
        <f>IF(po_master[[#This Row],[Actual Delivery Date]]&gt;po_master[[#This Row],[Promised Delivey Date]], "Late Delivery", "OK")</f>
        <v>OK</v>
      </c>
      <c r="U663" s="1" t="str">
        <f>IF(COUNTIF(po_master[PO Number],po_master[[#This Row],[PO Number]])&gt;1, "Duplicate Invoice", "OK")</f>
        <v>OK</v>
      </c>
    </row>
    <row r="664" spans="1:21" x14ac:dyDescent="0.25">
      <c r="A664" s="1" t="s">
        <v>586</v>
      </c>
      <c r="B664" s="1" t="s">
        <v>1486</v>
      </c>
      <c r="C664" s="2">
        <v>46166</v>
      </c>
      <c r="D664">
        <v>365</v>
      </c>
      <c r="E664">
        <v>178.47</v>
      </c>
      <c r="F664" s="1" t="s">
        <v>1494</v>
      </c>
      <c r="G664" s="2">
        <v>46182</v>
      </c>
      <c r="H664">
        <v>365</v>
      </c>
      <c r="I664" s="2">
        <v>46180</v>
      </c>
      <c r="J664" s="1" t="s">
        <v>1369</v>
      </c>
      <c r="K664">
        <v>365</v>
      </c>
      <c r="L664">
        <v>178.47</v>
      </c>
      <c r="M664" s="2">
        <v>46183</v>
      </c>
      <c r="N664" t="str">
        <f>IF(po_master[[#This Row],[Approved By]]="", "Missing Approval", "OK")</f>
        <v>OK</v>
      </c>
      <c r="O664" t="str">
        <f>IF(ISBLANK(po_master[[#This Row],[GR Quantity]]), "No GR - Not received", "OK")</f>
        <v>OK</v>
      </c>
      <c r="P664" s="1" t="str">
        <f>IF(po_master[[#This Row],[Promised Delivey Date]]&lt;po_master[[#This Row],[Order Date]], "Invalid", "OK")</f>
        <v>OK</v>
      </c>
      <c r="Q664" s="1" t="str">
        <f>IF(ISBLANK(po_master[[#This Row],[Invoice Number]]), "No Invoice", "OK")</f>
        <v>OK</v>
      </c>
      <c r="R664" s="1" t="str">
        <f>IF(AND(NOT(ISBLANK(po_master[[#This Row],[GR Quantity]])), po_master[[#This Row],[GR Quantity]]&lt;&gt;po_master[[#This Row],[PO Quantity]]), "Qty Variance", "OK")</f>
        <v>OK</v>
      </c>
      <c r="S664" s="1" t="str">
        <f>IF(po_master[[#This Row],[Invoice Unit Price]]&gt;po_master[[#This Row],[PO Unit Price]]*1.01, "Price Variance", "OK")</f>
        <v>OK</v>
      </c>
      <c r="T664" s="1" t="str">
        <f>IF(po_master[[#This Row],[Actual Delivery Date]]&gt;po_master[[#This Row],[Promised Delivey Date]], "Late Delivery", "OK")</f>
        <v>OK</v>
      </c>
      <c r="U664" s="1" t="str">
        <f>IF(COUNTIF(po_master[PO Number],po_master[[#This Row],[PO Number]])&gt;1, "Duplicate Invoice", "OK")</f>
        <v>OK</v>
      </c>
    </row>
    <row r="665" spans="1:21" x14ac:dyDescent="0.25">
      <c r="A665" s="1" t="s">
        <v>587</v>
      </c>
      <c r="B665" s="1" t="s">
        <v>1447</v>
      </c>
      <c r="C665" s="2">
        <v>46173</v>
      </c>
      <c r="D665">
        <v>427</v>
      </c>
      <c r="E665">
        <v>39.19</v>
      </c>
      <c r="F665" s="1" t="s">
        <v>1474</v>
      </c>
      <c r="G665" s="2">
        <v>46187</v>
      </c>
      <c r="H665">
        <v>427</v>
      </c>
      <c r="I665" s="2">
        <v>46195</v>
      </c>
      <c r="J665" s="1" t="s">
        <v>1370</v>
      </c>
      <c r="K665">
        <v>427</v>
      </c>
      <c r="L665">
        <v>39.19</v>
      </c>
      <c r="M665" s="2">
        <v>46193</v>
      </c>
      <c r="N665" t="str">
        <f>IF(po_master[[#This Row],[Approved By]]="", "Missing Approval", "OK")</f>
        <v>OK</v>
      </c>
      <c r="O665" t="str">
        <f>IF(ISBLANK(po_master[[#This Row],[GR Quantity]]), "No GR - Not received", "OK")</f>
        <v>OK</v>
      </c>
      <c r="P665" s="1" t="str">
        <f>IF(po_master[[#This Row],[Promised Delivey Date]]&lt;po_master[[#This Row],[Order Date]], "Invalid", "OK")</f>
        <v>OK</v>
      </c>
      <c r="Q665" s="1" t="str">
        <f>IF(ISBLANK(po_master[[#This Row],[Invoice Number]]), "No Invoice", "OK")</f>
        <v>OK</v>
      </c>
      <c r="R665" s="1" t="str">
        <f>IF(AND(NOT(ISBLANK(po_master[[#This Row],[GR Quantity]])), po_master[[#This Row],[GR Quantity]]&lt;&gt;po_master[[#This Row],[PO Quantity]]), "Qty Variance", "OK")</f>
        <v>OK</v>
      </c>
      <c r="S665" s="1" t="str">
        <f>IF(po_master[[#This Row],[Invoice Unit Price]]&gt;po_master[[#This Row],[PO Unit Price]]*1.01, "Price Variance", "OK")</f>
        <v>OK</v>
      </c>
      <c r="T665" s="1" t="str">
        <f>IF(po_master[[#This Row],[Actual Delivery Date]]&gt;po_master[[#This Row],[Promised Delivey Date]], "Late Delivery", "OK")</f>
        <v>Late Delivery</v>
      </c>
      <c r="U665" s="1" t="str">
        <f>IF(COUNTIF(po_master[PO Number],po_master[[#This Row],[PO Number]])&gt;1, "Duplicate Invoice", "OK")</f>
        <v>OK</v>
      </c>
    </row>
    <row r="666" spans="1:21" x14ac:dyDescent="0.25">
      <c r="A666" s="1" t="s">
        <v>588</v>
      </c>
      <c r="B666" s="1" t="s">
        <v>1441</v>
      </c>
      <c r="C666" s="2">
        <v>46068</v>
      </c>
      <c r="D666">
        <v>383</v>
      </c>
      <c r="E666">
        <v>5.35</v>
      </c>
      <c r="F666" s="1" t="s">
        <v>1499</v>
      </c>
      <c r="G666" s="2">
        <v>46085</v>
      </c>
      <c r="H666">
        <v>383</v>
      </c>
      <c r="I666" s="2">
        <v>46087</v>
      </c>
      <c r="J666" s="1" t="s">
        <v>1371</v>
      </c>
      <c r="K666">
        <v>383</v>
      </c>
      <c r="L666">
        <v>5.35</v>
      </c>
      <c r="M666" s="2">
        <v>46089</v>
      </c>
      <c r="N666" t="str">
        <f>IF(po_master[[#This Row],[Approved By]]="", "Missing Approval", "OK")</f>
        <v>OK</v>
      </c>
      <c r="O666" t="str">
        <f>IF(ISBLANK(po_master[[#This Row],[GR Quantity]]), "No GR - Not received", "OK")</f>
        <v>OK</v>
      </c>
      <c r="P666" s="1" t="str">
        <f>IF(po_master[[#This Row],[Promised Delivey Date]]&lt;po_master[[#This Row],[Order Date]], "Invalid", "OK")</f>
        <v>OK</v>
      </c>
      <c r="Q666" s="1" t="str">
        <f>IF(ISBLANK(po_master[[#This Row],[Invoice Number]]), "No Invoice", "OK")</f>
        <v>OK</v>
      </c>
      <c r="R666" s="1" t="str">
        <f>IF(AND(NOT(ISBLANK(po_master[[#This Row],[GR Quantity]])), po_master[[#This Row],[GR Quantity]]&lt;&gt;po_master[[#This Row],[PO Quantity]]), "Qty Variance", "OK")</f>
        <v>OK</v>
      </c>
      <c r="S666" s="1" t="str">
        <f>IF(po_master[[#This Row],[Invoice Unit Price]]&gt;po_master[[#This Row],[PO Unit Price]]*1.01, "Price Variance", "OK")</f>
        <v>OK</v>
      </c>
      <c r="T666" s="1" t="str">
        <f>IF(po_master[[#This Row],[Actual Delivery Date]]&gt;po_master[[#This Row],[Promised Delivey Date]], "Late Delivery", "OK")</f>
        <v>Late Delivery</v>
      </c>
      <c r="U666" s="1" t="str">
        <f>IF(COUNTIF(po_master[PO Number],po_master[[#This Row],[PO Number]])&gt;1, "Duplicate Invoice", "OK")</f>
        <v>OK</v>
      </c>
    </row>
    <row r="667" spans="1:21" x14ac:dyDescent="0.25">
      <c r="A667" s="1" t="s">
        <v>589</v>
      </c>
      <c r="B667" s="1" t="s">
        <v>1493</v>
      </c>
      <c r="C667" s="2">
        <v>46031</v>
      </c>
      <c r="D667">
        <v>103</v>
      </c>
      <c r="E667">
        <v>122.47</v>
      </c>
      <c r="F667" s="1" t="s">
        <v>1494</v>
      </c>
      <c r="G667" s="2">
        <v>46043</v>
      </c>
      <c r="H667">
        <v>103</v>
      </c>
      <c r="I667" s="2">
        <v>46041</v>
      </c>
      <c r="J667" s="1" t="s">
        <v>1372</v>
      </c>
      <c r="K667">
        <v>103</v>
      </c>
      <c r="L667">
        <v>122.47</v>
      </c>
      <c r="M667" s="2">
        <v>46045</v>
      </c>
      <c r="N667" t="str">
        <f>IF(po_master[[#This Row],[Approved By]]="", "Missing Approval", "OK")</f>
        <v>OK</v>
      </c>
      <c r="O667" t="str">
        <f>IF(ISBLANK(po_master[[#This Row],[GR Quantity]]), "No GR - Not received", "OK")</f>
        <v>OK</v>
      </c>
      <c r="P667" s="1" t="str">
        <f>IF(po_master[[#This Row],[Promised Delivey Date]]&lt;po_master[[#This Row],[Order Date]], "Invalid", "OK")</f>
        <v>OK</v>
      </c>
      <c r="Q667" s="1" t="str">
        <f>IF(ISBLANK(po_master[[#This Row],[Invoice Number]]), "No Invoice", "OK")</f>
        <v>OK</v>
      </c>
      <c r="R667" s="1" t="str">
        <f>IF(AND(NOT(ISBLANK(po_master[[#This Row],[GR Quantity]])), po_master[[#This Row],[GR Quantity]]&lt;&gt;po_master[[#This Row],[PO Quantity]]), "Qty Variance", "OK")</f>
        <v>OK</v>
      </c>
      <c r="S667" s="1" t="str">
        <f>IF(po_master[[#This Row],[Invoice Unit Price]]&gt;po_master[[#This Row],[PO Unit Price]]*1.01, "Price Variance", "OK")</f>
        <v>OK</v>
      </c>
      <c r="T667" s="1" t="str">
        <f>IF(po_master[[#This Row],[Actual Delivery Date]]&gt;po_master[[#This Row],[Promised Delivey Date]], "Late Delivery", "OK")</f>
        <v>OK</v>
      </c>
      <c r="U667" s="1" t="str">
        <f>IF(COUNTIF(po_master[PO Number],po_master[[#This Row],[PO Number]])&gt;1, "Duplicate Invoice", "OK")</f>
        <v>OK</v>
      </c>
    </row>
    <row r="668" spans="1:21" x14ac:dyDescent="0.25">
      <c r="A668" s="1" t="s">
        <v>590</v>
      </c>
      <c r="B668" s="1" t="s">
        <v>1439</v>
      </c>
      <c r="C668" s="2">
        <v>46167</v>
      </c>
      <c r="D668">
        <v>63</v>
      </c>
      <c r="E668">
        <v>187.65</v>
      </c>
      <c r="F668" s="1" t="s">
        <v>1485</v>
      </c>
      <c r="G668" s="2">
        <v>46182</v>
      </c>
      <c r="H668">
        <v>63</v>
      </c>
      <c r="I668" s="2">
        <v>46183</v>
      </c>
      <c r="J668" s="1" t="s">
        <v>1373</v>
      </c>
      <c r="K668">
        <v>63</v>
      </c>
      <c r="L668">
        <v>187.65</v>
      </c>
      <c r="M668" s="2">
        <v>46187</v>
      </c>
      <c r="N668" t="str">
        <f>IF(po_master[[#This Row],[Approved By]]="", "Missing Approval", "OK")</f>
        <v>OK</v>
      </c>
      <c r="O668" t="str">
        <f>IF(ISBLANK(po_master[[#This Row],[GR Quantity]]), "No GR - Not received", "OK")</f>
        <v>OK</v>
      </c>
      <c r="P668" s="1" t="str">
        <f>IF(po_master[[#This Row],[Promised Delivey Date]]&lt;po_master[[#This Row],[Order Date]], "Invalid", "OK")</f>
        <v>OK</v>
      </c>
      <c r="Q668" s="1" t="str">
        <f>IF(ISBLANK(po_master[[#This Row],[Invoice Number]]), "No Invoice", "OK")</f>
        <v>OK</v>
      </c>
      <c r="R668" s="1" t="str">
        <f>IF(AND(NOT(ISBLANK(po_master[[#This Row],[GR Quantity]])), po_master[[#This Row],[GR Quantity]]&lt;&gt;po_master[[#This Row],[PO Quantity]]), "Qty Variance", "OK")</f>
        <v>OK</v>
      </c>
      <c r="S668" s="1" t="str">
        <f>IF(po_master[[#This Row],[Invoice Unit Price]]&gt;po_master[[#This Row],[PO Unit Price]]*1.01, "Price Variance", "OK")</f>
        <v>OK</v>
      </c>
      <c r="T668" s="1" t="str">
        <f>IF(po_master[[#This Row],[Actual Delivery Date]]&gt;po_master[[#This Row],[Promised Delivey Date]], "Late Delivery", "OK")</f>
        <v>Late Delivery</v>
      </c>
      <c r="U668" s="1" t="str">
        <f>IF(COUNTIF(po_master[PO Number],po_master[[#This Row],[PO Number]])&gt;1, "Duplicate Invoice", "OK")</f>
        <v>OK</v>
      </c>
    </row>
    <row r="669" spans="1:21" x14ac:dyDescent="0.25">
      <c r="A669" s="1" t="s">
        <v>591</v>
      </c>
      <c r="B669" s="1" t="s">
        <v>1465</v>
      </c>
      <c r="C669" s="2">
        <v>46042</v>
      </c>
      <c r="D669">
        <v>131</v>
      </c>
      <c r="E669">
        <v>72.63</v>
      </c>
      <c r="F669" s="1" t="s">
        <v>1472</v>
      </c>
      <c r="G669" s="2">
        <v>46052</v>
      </c>
      <c r="H669">
        <v>131</v>
      </c>
      <c r="I669" s="2">
        <v>46062</v>
      </c>
      <c r="J669" s="1" t="s">
        <v>1374</v>
      </c>
      <c r="K669">
        <v>131</v>
      </c>
      <c r="L669">
        <v>72.63</v>
      </c>
      <c r="M669" s="2">
        <v>46062</v>
      </c>
      <c r="N669" t="str">
        <f>IF(po_master[[#This Row],[Approved By]]="", "Missing Approval", "OK")</f>
        <v>OK</v>
      </c>
      <c r="O669" t="str">
        <f>IF(ISBLANK(po_master[[#This Row],[GR Quantity]]), "No GR - Not received", "OK")</f>
        <v>OK</v>
      </c>
      <c r="P669" s="1" t="str">
        <f>IF(po_master[[#This Row],[Promised Delivey Date]]&lt;po_master[[#This Row],[Order Date]], "Invalid", "OK")</f>
        <v>OK</v>
      </c>
      <c r="Q669" s="1" t="str">
        <f>IF(ISBLANK(po_master[[#This Row],[Invoice Number]]), "No Invoice", "OK")</f>
        <v>OK</v>
      </c>
      <c r="R669" s="1" t="str">
        <f>IF(AND(NOT(ISBLANK(po_master[[#This Row],[GR Quantity]])), po_master[[#This Row],[GR Quantity]]&lt;&gt;po_master[[#This Row],[PO Quantity]]), "Qty Variance", "OK")</f>
        <v>OK</v>
      </c>
      <c r="S669" s="1" t="str">
        <f>IF(po_master[[#This Row],[Invoice Unit Price]]&gt;po_master[[#This Row],[PO Unit Price]]*1.01, "Price Variance", "OK")</f>
        <v>OK</v>
      </c>
      <c r="T669" s="1" t="str">
        <f>IF(po_master[[#This Row],[Actual Delivery Date]]&gt;po_master[[#This Row],[Promised Delivey Date]], "Late Delivery", "OK")</f>
        <v>Late Delivery</v>
      </c>
      <c r="U669" s="1" t="str">
        <f>IF(COUNTIF(po_master[PO Number],po_master[[#This Row],[PO Number]])&gt;1, "Duplicate Invoice", "OK")</f>
        <v>OK</v>
      </c>
    </row>
    <row r="670" spans="1:21" x14ac:dyDescent="0.25">
      <c r="A670" s="1" t="s">
        <v>592</v>
      </c>
      <c r="B670" s="1" t="s">
        <v>1439</v>
      </c>
      <c r="C670" s="2">
        <v>46045</v>
      </c>
      <c r="D670">
        <v>430</v>
      </c>
      <c r="E670">
        <v>143.25</v>
      </c>
      <c r="F670" s="1" t="s">
        <v>1446</v>
      </c>
      <c r="G670" s="2">
        <v>46060</v>
      </c>
      <c r="H670">
        <v>430</v>
      </c>
      <c r="I670" s="2">
        <v>46061</v>
      </c>
      <c r="J670" s="1" t="s">
        <v>1375</v>
      </c>
      <c r="K670">
        <v>430</v>
      </c>
      <c r="L670">
        <v>143.25</v>
      </c>
      <c r="M670" s="2">
        <v>46069</v>
      </c>
      <c r="N670" t="str">
        <f>IF(po_master[[#This Row],[Approved By]]="", "Missing Approval", "OK")</f>
        <v>OK</v>
      </c>
      <c r="O670" t="str">
        <f>IF(ISBLANK(po_master[[#This Row],[GR Quantity]]), "No GR - Not received", "OK")</f>
        <v>OK</v>
      </c>
      <c r="P670" s="1" t="str">
        <f>IF(po_master[[#This Row],[Promised Delivey Date]]&lt;po_master[[#This Row],[Order Date]], "Invalid", "OK")</f>
        <v>OK</v>
      </c>
      <c r="Q670" s="1" t="str">
        <f>IF(ISBLANK(po_master[[#This Row],[Invoice Number]]), "No Invoice", "OK")</f>
        <v>OK</v>
      </c>
      <c r="R670" s="1" t="str">
        <f>IF(AND(NOT(ISBLANK(po_master[[#This Row],[GR Quantity]])), po_master[[#This Row],[GR Quantity]]&lt;&gt;po_master[[#This Row],[PO Quantity]]), "Qty Variance", "OK")</f>
        <v>OK</v>
      </c>
      <c r="S670" s="1" t="str">
        <f>IF(po_master[[#This Row],[Invoice Unit Price]]&gt;po_master[[#This Row],[PO Unit Price]]*1.01, "Price Variance", "OK")</f>
        <v>OK</v>
      </c>
      <c r="T670" s="1" t="str">
        <f>IF(po_master[[#This Row],[Actual Delivery Date]]&gt;po_master[[#This Row],[Promised Delivey Date]], "Late Delivery", "OK")</f>
        <v>Late Delivery</v>
      </c>
      <c r="U670" s="1" t="str">
        <f>IF(COUNTIF(po_master[PO Number],po_master[[#This Row],[PO Number]])&gt;1, "Duplicate Invoice", "OK")</f>
        <v>OK</v>
      </c>
    </row>
    <row r="671" spans="1:21" x14ac:dyDescent="0.25">
      <c r="A671" s="1" t="s">
        <v>1365</v>
      </c>
      <c r="B671" s="1" t="s">
        <v>1491</v>
      </c>
      <c r="C671" s="2">
        <v>46116</v>
      </c>
      <c r="D671">
        <v>47</v>
      </c>
      <c r="E671">
        <v>77.849999999999994</v>
      </c>
      <c r="F671" s="1" t="s">
        <v>1459</v>
      </c>
      <c r="G671" s="2">
        <v>46133</v>
      </c>
      <c r="I671" s="2"/>
      <c r="J671" s="1" t="s">
        <v>1366</v>
      </c>
      <c r="K671">
        <v>47</v>
      </c>
      <c r="L671">
        <v>86.98</v>
      </c>
      <c r="M671" s="2">
        <v>46136</v>
      </c>
      <c r="N671" t="str">
        <f>IF(po_master[[#This Row],[Approved By]]="", "Missing Approval", "OK")</f>
        <v>Missing Approval</v>
      </c>
      <c r="O671" t="str">
        <f>IF(ISBLANK(po_master[[#This Row],[GR Quantity]]), "No GR - Not received", "OK")</f>
        <v>No GR - Not received</v>
      </c>
      <c r="P671" s="1" t="str">
        <f>IF(po_master[[#This Row],[Promised Delivey Date]]&lt;po_master[[#This Row],[Order Date]], "Invalid", "OK")</f>
        <v>OK</v>
      </c>
      <c r="Q671" s="1" t="str">
        <f>IF(ISBLANK(po_master[[#This Row],[Invoice Number]]), "No Invoice", "OK")</f>
        <v>OK</v>
      </c>
      <c r="R671" s="1" t="str">
        <f>IF(AND(NOT(ISBLANK(po_master[[#This Row],[GR Quantity]])), po_master[[#This Row],[GR Quantity]]&lt;&gt;po_master[[#This Row],[PO Quantity]]), "Qty Variance", "OK")</f>
        <v>OK</v>
      </c>
      <c r="S671" s="1" t="str">
        <f>IF(po_master[[#This Row],[Invoice Unit Price]]&gt;po_master[[#This Row],[PO Unit Price]]*1.01, "Price Variance", "OK")</f>
        <v>Price Variance</v>
      </c>
      <c r="T671" s="1" t="str">
        <f>IF(po_master[[#This Row],[Actual Delivery Date]]&gt;po_master[[#This Row],[Promised Delivey Date]], "Late Delivery", "OK")</f>
        <v>OK</v>
      </c>
      <c r="U671" s="1" t="str">
        <f>IF(COUNTIF(po_master[PO Number],po_master[[#This Row],[PO Number]])&gt;1, "Duplicate Invoice", "OK")</f>
        <v>OK</v>
      </c>
    </row>
    <row r="672" spans="1:21" x14ac:dyDescent="0.25">
      <c r="A672" s="1" t="s">
        <v>593</v>
      </c>
      <c r="B672" s="1" t="s">
        <v>1478</v>
      </c>
      <c r="C672" s="2">
        <v>46025</v>
      </c>
      <c r="D672">
        <v>145</v>
      </c>
      <c r="E672">
        <v>45.89</v>
      </c>
      <c r="F672" s="1" t="s">
        <v>1499</v>
      </c>
      <c r="G672" s="2">
        <v>46032</v>
      </c>
      <c r="H672">
        <v>145</v>
      </c>
      <c r="I672" s="2">
        <v>46032</v>
      </c>
      <c r="J672" s="1" t="s">
        <v>1376</v>
      </c>
      <c r="K672">
        <v>145</v>
      </c>
      <c r="L672">
        <v>51.37</v>
      </c>
      <c r="M672" s="2">
        <v>46042</v>
      </c>
      <c r="N672" t="str">
        <f>IF(po_master[[#This Row],[Approved By]]="", "Missing Approval", "OK")</f>
        <v>OK</v>
      </c>
      <c r="O672" t="str">
        <f>IF(ISBLANK(po_master[[#This Row],[GR Quantity]]), "No GR - Not received", "OK")</f>
        <v>OK</v>
      </c>
      <c r="P672" s="1" t="str">
        <f>IF(po_master[[#This Row],[Promised Delivey Date]]&lt;po_master[[#This Row],[Order Date]], "Invalid", "OK")</f>
        <v>OK</v>
      </c>
      <c r="Q672" s="1" t="str">
        <f>IF(ISBLANK(po_master[[#This Row],[Invoice Number]]), "No Invoice", "OK")</f>
        <v>OK</v>
      </c>
      <c r="R672" s="1" t="str">
        <f>IF(AND(NOT(ISBLANK(po_master[[#This Row],[GR Quantity]])), po_master[[#This Row],[GR Quantity]]&lt;&gt;po_master[[#This Row],[PO Quantity]]), "Qty Variance", "OK")</f>
        <v>OK</v>
      </c>
      <c r="S672" s="1" t="str">
        <f>IF(po_master[[#This Row],[Invoice Unit Price]]&gt;po_master[[#This Row],[PO Unit Price]]*1.01, "Price Variance", "OK")</f>
        <v>Price Variance</v>
      </c>
      <c r="T672" s="1" t="str">
        <f>IF(po_master[[#This Row],[Actual Delivery Date]]&gt;po_master[[#This Row],[Promised Delivey Date]], "Late Delivery", "OK")</f>
        <v>OK</v>
      </c>
      <c r="U672" s="1" t="str">
        <f>IF(COUNTIF(po_master[PO Number],po_master[[#This Row],[PO Number]])&gt;1, "Duplicate Invoice", "OK")</f>
        <v>OK</v>
      </c>
    </row>
    <row r="673" spans="1:21" x14ac:dyDescent="0.25">
      <c r="A673" s="1" t="s">
        <v>594</v>
      </c>
      <c r="B673" s="1" t="s">
        <v>1503</v>
      </c>
      <c r="C673" s="2">
        <v>46088</v>
      </c>
      <c r="D673">
        <v>412</v>
      </c>
      <c r="E673">
        <v>26.07</v>
      </c>
      <c r="F673" s="1" t="s">
        <v>1448</v>
      </c>
      <c r="G673" s="2">
        <v>46094</v>
      </c>
      <c r="H673">
        <v>412</v>
      </c>
      <c r="I673" s="2">
        <v>46095</v>
      </c>
      <c r="J673" s="1" t="s">
        <v>1377</v>
      </c>
      <c r="K673">
        <v>412</v>
      </c>
      <c r="L673">
        <v>27.4</v>
      </c>
      <c r="M673" s="2">
        <v>46102</v>
      </c>
      <c r="N673" t="str">
        <f>IF(po_master[[#This Row],[Approved By]]="", "Missing Approval", "OK")</f>
        <v>OK</v>
      </c>
      <c r="O673" t="str">
        <f>IF(ISBLANK(po_master[[#This Row],[GR Quantity]]), "No GR - Not received", "OK")</f>
        <v>OK</v>
      </c>
      <c r="P673" s="1" t="str">
        <f>IF(po_master[[#This Row],[Promised Delivey Date]]&lt;po_master[[#This Row],[Order Date]], "Invalid", "OK")</f>
        <v>OK</v>
      </c>
      <c r="Q673" s="1" t="str">
        <f>IF(ISBLANK(po_master[[#This Row],[Invoice Number]]), "No Invoice", "OK")</f>
        <v>OK</v>
      </c>
      <c r="R673" s="1" t="str">
        <f>IF(AND(NOT(ISBLANK(po_master[[#This Row],[GR Quantity]])), po_master[[#This Row],[GR Quantity]]&lt;&gt;po_master[[#This Row],[PO Quantity]]), "Qty Variance", "OK")</f>
        <v>OK</v>
      </c>
      <c r="S673" s="1" t="str">
        <f>IF(po_master[[#This Row],[Invoice Unit Price]]&gt;po_master[[#This Row],[PO Unit Price]]*1.01, "Price Variance", "OK")</f>
        <v>Price Variance</v>
      </c>
      <c r="T673" s="1" t="str">
        <f>IF(po_master[[#This Row],[Actual Delivery Date]]&gt;po_master[[#This Row],[Promised Delivey Date]], "Late Delivery", "OK")</f>
        <v>Late Delivery</v>
      </c>
      <c r="U673" s="1" t="str">
        <f>IF(COUNTIF(po_master[PO Number],po_master[[#This Row],[PO Number]])&gt;1, "Duplicate Invoice", "OK")</f>
        <v>OK</v>
      </c>
    </row>
    <row r="674" spans="1:21" x14ac:dyDescent="0.25">
      <c r="A674" s="1" t="s">
        <v>595</v>
      </c>
      <c r="B674" s="1" t="s">
        <v>1502</v>
      </c>
      <c r="C674" s="2">
        <v>46135</v>
      </c>
      <c r="D674">
        <v>385</v>
      </c>
      <c r="E674">
        <v>86.83</v>
      </c>
      <c r="F674" s="1" t="s">
        <v>1501</v>
      </c>
      <c r="G674" s="2">
        <v>46153</v>
      </c>
      <c r="H674">
        <v>385</v>
      </c>
      <c r="I674" s="2">
        <v>46152</v>
      </c>
      <c r="J674" s="1" t="s">
        <v>1378</v>
      </c>
      <c r="K674">
        <v>385</v>
      </c>
      <c r="L674">
        <v>86.83</v>
      </c>
      <c r="M674" s="2">
        <v>46154</v>
      </c>
      <c r="N674" t="str">
        <f>IF(po_master[[#This Row],[Approved By]]="", "Missing Approval", "OK")</f>
        <v>OK</v>
      </c>
      <c r="O674" t="str">
        <f>IF(ISBLANK(po_master[[#This Row],[GR Quantity]]), "No GR - Not received", "OK")</f>
        <v>OK</v>
      </c>
      <c r="P674" s="1" t="str">
        <f>IF(po_master[[#This Row],[Promised Delivey Date]]&lt;po_master[[#This Row],[Order Date]], "Invalid", "OK")</f>
        <v>OK</v>
      </c>
      <c r="Q674" s="1" t="str">
        <f>IF(ISBLANK(po_master[[#This Row],[Invoice Number]]), "No Invoice", "OK")</f>
        <v>OK</v>
      </c>
      <c r="R674" s="1" t="str">
        <f>IF(AND(NOT(ISBLANK(po_master[[#This Row],[GR Quantity]])), po_master[[#This Row],[GR Quantity]]&lt;&gt;po_master[[#This Row],[PO Quantity]]), "Qty Variance", "OK")</f>
        <v>OK</v>
      </c>
      <c r="S674" s="1" t="str">
        <f>IF(po_master[[#This Row],[Invoice Unit Price]]&gt;po_master[[#This Row],[PO Unit Price]]*1.01, "Price Variance", "OK")</f>
        <v>OK</v>
      </c>
      <c r="T674" s="1" t="str">
        <f>IF(po_master[[#This Row],[Actual Delivery Date]]&gt;po_master[[#This Row],[Promised Delivey Date]], "Late Delivery", "OK")</f>
        <v>OK</v>
      </c>
      <c r="U674" s="1" t="str">
        <f>IF(COUNTIF(po_master[PO Number],po_master[[#This Row],[PO Number]])&gt;1, "Duplicate Invoice", "OK")</f>
        <v>OK</v>
      </c>
    </row>
    <row r="675" spans="1:21" x14ac:dyDescent="0.25">
      <c r="A675" s="1" t="s">
        <v>596</v>
      </c>
      <c r="B675" s="1" t="s">
        <v>1498</v>
      </c>
      <c r="C675" s="2">
        <v>46119</v>
      </c>
      <c r="D675">
        <v>189</v>
      </c>
      <c r="E675">
        <v>111.47</v>
      </c>
      <c r="F675" s="1" t="s">
        <v>1483</v>
      </c>
      <c r="G675" s="2">
        <v>46139</v>
      </c>
      <c r="H675">
        <v>189</v>
      </c>
      <c r="I675" s="2">
        <v>46137</v>
      </c>
      <c r="J675" s="1" t="s">
        <v>1379</v>
      </c>
      <c r="K675">
        <v>189</v>
      </c>
      <c r="L675">
        <v>111.47</v>
      </c>
      <c r="M675" s="2">
        <v>46146</v>
      </c>
      <c r="N675" t="str">
        <f>IF(po_master[[#This Row],[Approved By]]="", "Missing Approval", "OK")</f>
        <v>OK</v>
      </c>
      <c r="O675" t="str">
        <f>IF(ISBLANK(po_master[[#This Row],[GR Quantity]]), "No GR - Not received", "OK")</f>
        <v>OK</v>
      </c>
      <c r="P675" s="1" t="str">
        <f>IF(po_master[[#This Row],[Promised Delivey Date]]&lt;po_master[[#This Row],[Order Date]], "Invalid", "OK")</f>
        <v>OK</v>
      </c>
      <c r="Q675" s="1" t="str">
        <f>IF(ISBLANK(po_master[[#This Row],[Invoice Number]]), "No Invoice", "OK")</f>
        <v>OK</v>
      </c>
      <c r="R675" s="1" t="str">
        <f>IF(AND(NOT(ISBLANK(po_master[[#This Row],[GR Quantity]])), po_master[[#This Row],[GR Quantity]]&lt;&gt;po_master[[#This Row],[PO Quantity]]), "Qty Variance", "OK")</f>
        <v>OK</v>
      </c>
      <c r="S675" s="1" t="str">
        <f>IF(po_master[[#This Row],[Invoice Unit Price]]&gt;po_master[[#This Row],[PO Unit Price]]*1.01, "Price Variance", "OK")</f>
        <v>OK</v>
      </c>
      <c r="T675" s="1" t="str">
        <f>IF(po_master[[#This Row],[Actual Delivery Date]]&gt;po_master[[#This Row],[Promised Delivey Date]], "Late Delivery", "OK")</f>
        <v>OK</v>
      </c>
      <c r="U675" s="1" t="str">
        <f>IF(COUNTIF(po_master[PO Number],po_master[[#This Row],[PO Number]])&gt;1, "Duplicate Invoice", "OK")</f>
        <v>OK</v>
      </c>
    </row>
    <row r="676" spans="1:21" x14ac:dyDescent="0.25">
      <c r="A676" s="1" t="s">
        <v>597</v>
      </c>
      <c r="B676" s="1" t="s">
        <v>1493</v>
      </c>
      <c r="C676" s="2">
        <v>46080</v>
      </c>
      <c r="D676">
        <v>93</v>
      </c>
      <c r="E676">
        <v>93</v>
      </c>
      <c r="F676" s="1" t="s">
        <v>1459</v>
      </c>
      <c r="G676" s="2">
        <v>46094</v>
      </c>
      <c r="H676">
        <v>85</v>
      </c>
      <c r="I676" s="2">
        <v>46094</v>
      </c>
      <c r="J676" s="1" t="s">
        <v>1380</v>
      </c>
      <c r="K676">
        <v>93</v>
      </c>
      <c r="L676">
        <v>93</v>
      </c>
      <c r="M676" s="2">
        <v>46102</v>
      </c>
      <c r="N676" t="str">
        <f>IF(po_master[[#This Row],[Approved By]]="", "Missing Approval", "OK")</f>
        <v>Missing Approval</v>
      </c>
      <c r="O676" t="str">
        <f>IF(ISBLANK(po_master[[#This Row],[GR Quantity]]), "No GR - Not received", "OK")</f>
        <v>OK</v>
      </c>
      <c r="P676" s="1" t="str">
        <f>IF(po_master[[#This Row],[Promised Delivey Date]]&lt;po_master[[#This Row],[Order Date]], "Invalid", "OK")</f>
        <v>OK</v>
      </c>
      <c r="Q676" s="1" t="str">
        <f>IF(ISBLANK(po_master[[#This Row],[Invoice Number]]), "No Invoice", "OK")</f>
        <v>OK</v>
      </c>
      <c r="R676" s="1" t="str">
        <f>IF(AND(NOT(ISBLANK(po_master[[#This Row],[GR Quantity]])), po_master[[#This Row],[GR Quantity]]&lt;&gt;po_master[[#This Row],[PO Quantity]]), "Qty Variance", "OK")</f>
        <v>Qty Variance</v>
      </c>
      <c r="S676" s="1" t="str">
        <f>IF(po_master[[#This Row],[Invoice Unit Price]]&gt;po_master[[#This Row],[PO Unit Price]]*1.01, "Price Variance", "OK")</f>
        <v>OK</v>
      </c>
      <c r="T676" s="1" t="str">
        <f>IF(po_master[[#This Row],[Actual Delivery Date]]&gt;po_master[[#This Row],[Promised Delivey Date]], "Late Delivery", "OK")</f>
        <v>OK</v>
      </c>
      <c r="U676" s="1" t="str">
        <f>IF(COUNTIF(po_master[PO Number],po_master[[#This Row],[PO Number]])&gt;1, "Duplicate Invoice", "OK")</f>
        <v>OK</v>
      </c>
    </row>
    <row r="677" spans="1:21" x14ac:dyDescent="0.25">
      <c r="A677" s="1" t="s">
        <v>598</v>
      </c>
      <c r="B677" s="1" t="s">
        <v>1473</v>
      </c>
      <c r="C677" s="2">
        <v>46104</v>
      </c>
      <c r="D677">
        <v>143</v>
      </c>
      <c r="E677">
        <v>190.57</v>
      </c>
      <c r="F677" s="1" t="s">
        <v>1476</v>
      </c>
      <c r="G677" s="2">
        <v>46119</v>
      </c>
      <c r="H677">
        <v>143</v>
      </c>
      <c r="I677" s="2">
        <v>46119</v>
      </c>
      <c r="J677" s="1" t="s">
        <v>1381</v>
      </c>
      <c r="K677">
        <v>143</v>
      </c>
      <c r="L677">
        <v>190.57</v>
      </c>
      <c r="M677" s="2">
        <v>46122</v>
      </c>
      <c r="N677" t="str">
        <f>IF(po_master[[#This Row],[Approved By]]="", "Missing Approval", "OK")</f>
        <v>OK</v>
      </c>
      <c r="O677" t="str">
        <f>IF(ISBLANK(po_master[[#This Row],[GR Quantity]]), "No GR - Not received", "OK")</f>
        <v>OK</v>
      </c>
      <c r="P677" s="1" t="str">
        <f>IF(po_master[[#This Row],[Promised Delivey Date]]&lt;po_master[[#This Row],[Order Date]], "Invalid", "OK")</f>
        <v>OK</v>
      </c>
      <c r="Q677" s="1" t="str">
        <f>IF(ISBLANK(po_master[[#This Row],[Invoice Number]]), "No Invoice", "OK")</f>
        <v>OK</v>
      </c>
      <c r="R677" s="1" t="str">
        <f>IF(AND(NOT(ISBLANK(po_master[[#This Row],[GR Quantity]])), po_master[[#This Row],[GR Quantity]]&lt;&gt;po_master[[#This Row],[PO Quantity]]), "Qty Variance", "OK")</f>
        <v>OK</v>
      </c>
      <c r="S677" s="1" t="str">
        <f>IF(po_master[[#This Row],[Invoice Unit Price]]&gt;po_master[[#This Row],[PO Unit Price]]*1.01, "Price Variance", "OK")</f>
        <v>OK</v>
      </c>
      <c r="T677" s="1" t="str">
        <f>IF(po_master[[#This Row],[Actual Delivery Date]]&gt;po_master[[#This Row],[Promised Delivey Date]], "Late Delivery", "OK")</f>
        <v>OK</v>
      </c>
      <c r="U677" s="1" t="str">
        <f>IF(COUNTIF(po_master[PO Number],po_master[[#This Row],[PO Number]])&gt;1, "Duplicate Invoice", "OK")</f>
        <v>OK</v>
      </c>
    </row>
    <row r="678" spans="1:21" x14ac:dyDescent="0.25">
      <c r="A678" s="1" t="s">
        <v>599</v>
      </c>
      <c r="B678" s="1" t="s">
        <v>1460</v>
      </c>
      <c r="C678" s="2">
        <v>46119</v>
      </c>
      <c r="D678">
        <v>92</v>
      </c>
      <c r="E678">
        <v>147.74</v>
      </c>
      <c r="F678" s="1" t="s">
        <v>1442</v>
      </c>
      <c r="G678" s="2">
        <v>46126</v>
      </c>
      <c r="H678">
        <v>92</v>
      </c>
      <c r="I678" s="2">
        <v>46125</v>
      </c>
      <c r="J678" s="1" t="s">
        <v>1382</v>
      </c>
      <c r="K678">
        <v>92</v>
      </c>
      <c r="L678">
        <v>147.74</v>
      </c>
      <c r="M678" s="2">
        <v>46127</v>
      </c>
      <c r="N678" t="str">
        <f>IF(po_master[[#This Row],[Approved By]]="", "Missing Approval", "OK")</f>
        <v>OK</v>
      </c>
      <c r="O678" t="str">
        <f>IF(ISBLANK(po_master[[#This Row],[GR Quantity]]), "No GR - Not received", "OK")</f>
        <v>OK</v>
      </c>
      <c r="P678" s="1" t="str">
        <f>IF(po_master[[#This Row],[Promised Delivey Date]]&lt;po_master[[#This Row],[Order Date]], "Invalid", "OK")</f>
        <v>OK</v>
      </c>
      <c r="Q678" s="1" t="str">
        <f>IF(ISBLANK(po_master[[#This Row],[Invoice Number]]), "No Invoice", "OK")</f>
        <v>OK</v>
      </c>
      <c r="R678" s="1" t="str">
        <f>IF(AND(NOT(ISBLANK(po_master[[#This Row],[GR Quantity]])), po_master[[#This Row],[GR Quantity]]&lt;&gt;po_master[[#This Row],[PO Quantity]]), "Qty Variance", "OK")</f>
        <v>OK</v>
      </c>
      <c r="S678" s="1" t="str">
        <f>IF(po_master[[#This Row],[Invoice Unit Price]]&gt;po_master[[#This Row],[PO Unit Price]]*1.01, "Price Variance", "OK")</f>
        <v>OK</v>
      </c>
      <c r="T678" s="1" t="str">
        <f>IF(po_master[[#This Row],[Actual Delivery Date]]&gt;po_master[[#This Row],[Promised Delivey Date]], "Late Delivery", "OK")</f>
        <v>OK</v>
      </c>
      <c r="U678" s="1" t="str">
        <f>IF(COUNTIF(po_master[PO Number],po_master[[#This Row],[PO Number]])&gt;1, "Duplicate Invoice", "OK")</f>
        <v>OK</v>
      </c>
    </row>
    <row r="679" spans="1:21" x14ac:dyDescent="0.25">
      <c r="A679" s="1" t="s">
        <v>600</v>
      </c>
      <c r="B679" s="1" t="s">
        <v>1479</v>
      </c>
      <c r="C679" s="2">
        <v>46146</v>
      </c>
      <c r="D679">
        <v>370</v>
      </c>
      <c r="E679">
        <v>11.04</v>
      </c>
      <c r="F679" s="1" t="s">
        <v>1446</v>
      </c>
      <c r="G679" s="2">
        <v>46156</v>
      </c>
      <c r="H679">
        <v>370</v>
      </c>
      <c r="I679" s="2">
        <v>46157</v>
      </c>
      <c r="J679" s="1" t="s">
        <v>1383</v>
      </c>
      <c r="K679">
        <v>370</v>
      </c>
      <c r="L679">
        <v>11.04</v>
      </c>
      <c r="M679" s="2">
        <v>46160</v>
      </c>
      <c r="N679" t="str">
        <f>IF(po_master[[#This Row],[Approved By]]="", "Missing Approval", "OK")</f>
        <v>OK</v>
      </c>
      <c r="O679" t="str">
        <f>IF(ISBLANK(po_master[[#This Row],[GR Quantity]]), "No GR - Not received", "OK")</f>
        <v>OK</v>
      </c>
      <c r="P679" s="1" t="str">
        <f>IF(po_master[[#This Row],[Promised Delivey Date]]&lt;po_master[[#This Row],[Order Date]], "Invalid", "OK")</f>
        <v>OK</v>
      </c>
      <c r="Q679" s="1" t="str">
        <f>IF(ISBLANK(po_master[[#This Row],[Invoice Number]]), "No Invoice", "OK")</f>
        <v>OK</v>
      </c>
      <c r="R679" s="1" t="str">
        <f>IF(AND(NOT(ISBLANK(po_master[[#This Row],[GR Quantity]])), po_master[[#This Row],[GR Quantity]]&lt;&gt;po_master[[#This Row],[PO Quantity]]), "Qty Variance", "OK")</f>
        <v>OK</v>
      </c>
      <c r="S679" s="1" t="str">
        <f>IF(po_master[[#This Row],[Invoice Unit Price]]&gt;po_master[[#This Row],[PO Unit Price]]*1.01, "Price Variance", "OK")</f>
        <v>OK</v>
      </c>
      <c r="T679" s="1" t="str">
        <f>IF(po_master[[#This Row],[Actual Delivery Date]]&gt;po_master[[#This Row],[Promised Delivey Date]], "Late Delivery", "OK")</f>
        <v>Late Delivery</v>
      </c>
      <c r="U679" s="1" t="str">
        <f>IF(COUNTIF(po_master[PO Number],po_master[[#This Row],[PO Number]])&gt;1, "Duplicate Invoice", "OK")</f>
        <v>OK</v>
      </c>
    </row>
    <row r="680" spans="1:21" x14ac:dyDescent="0.25">
      <c r="A680" s="1" t="s">
        <v>601</v>
      </c>
      <c r="B680" s="1" t="s">
        <v>1468</v>
      </c>
      <c r="C680" s="2">
        <v>46134</v>
      </c>
      <c r="D680">
        <v>90</v>
      </c>
      <c r="E680">
        <v>15.44</v>
      </c>
      <c r="F680" s="1" t="s">
        <v>1472</v>
      </c>
      <c r="G680" s="2">
        <v>46145</v>
      </c>
      <c r="H680">
        <v>90</v>
      </c>
      <c r="I680" s="2">
        <v>46144</v>
      </c>
      <c r="J680" s="1" t="s">
        <v>1384</v>
      </c>
      <c r="K680">
        <v>90</v>
      </c>
      <c r="L680">
        <v>15.44</v>
      </c>
      <c r="M680" s="2">
        <v>46151</v>
      </c>
      <c r="N680" t="str">
        <f>IF(po_master[[#This Row],[Approved By]]="", "Missing Approval", "OK")</f>
        <v>OK</v>
      </c>
      <c r="O680" t="str">
        <f>IF(ISBLANK(po_master[[#This Row],[GR Quantity]]), "No GR - Not received", "OK")</f>
        <v>OK</v>
      </c>
      <c r="P680" s="1" t="str">
        <f>IF(po_master[[#This Row],[Promised Delivey Date]]&lt;po_master[[#This Row],[Order Date]], "Invalid", "OK")</f>
        <v>OK</v>
      </c>
      <c r="Q680" s="1" t="str">
        <f>IF(ISBLANK(po_master[[#This Row],[Invoice Number]]), "No Invoice", "OK")</f>
        <v>OK</v>
      </c>
      <c r="R680" s="1" t="str">
        <f>IF(AND(NOT(ISBLANK(po_master[[#This Row],[GR Quantity]])), po_master[[#This Row],[GR Quantity]]&lt;&gt;po_master[[#This Row],[PO Quantity]]), "Qty Variance", "OK")</f>
        <v>OK</v>
      </c>
      <c r="S680" s="1" t="str">
        <f>IF(po_master[[#This Row],[Invoice Unit Price]]&gt;po_master[[#This Row],[PO Unit Price]]*1.01, "Price Variance", "OK")</f>
        <v>OK</v>
      </c>
      <c r="T680" s="1" t="str">
        <f>IF(po_master[[#This Row],[Actual Delivery Date]]&gt;po_master[[#This Row],[Promised Delivey Date]], "Late Delivery", "OK")</f>
        <v>OK</v>
      </c>
      <c r="U680" s="1" t="str">
        <f>IF(COUNTIF(po_master[PO Number],po_master[[#This Row],[PO Number]])&gt;1, "Duplicate Invoice", "OK")</f>
        <v>OK</v>
      </c>
    </row>
    <row r="681" spans="1:21" x14ac:dyDescent="0.25">
      <c r="A681" s="1" t="s">
        <v>602</v>
      </c>
      <c r="B681" s="1" t="s">
        <v>1505</v>
      </c>
      <c r="C681" s="2">
        <v>46127</v>
      </c>
      <c r="D681">
        <v>366</v>
      </c>
      <c r="E681">
        <v>113.05</v>
      </c>
      <c r="F681" s="1" t="s">
        <v>1490</v>
      </c>
      <c r="G681" s="2">
        <v>46140</v>
      </c>
      <c r="H681">
        <v>366</v>
      </c>
      <c r="I681" s="2">
        <v>46141</v>
      </c>
      <c r="J681" s="1" t="s">
        <v>1385</v>
      </c>
      <c r="K681">
        <v>366</v>
      </c>
      <c r="L681">
        <v>113.05</v>
      </c>
      <c r="M681" s="2">
        <v>46145</v>
      </c>
      <c r="N681" t="str">
        <f>IF(po_master[[#This Row],[Approved By]]="", "Missing Approval", "OK")</f>
        <v>OK</v>
      </c>
      <c r="O681" t="str">
        <f>IF(ISBLANK(po_master[[#This Row],[GR Quantity]]), "No GR - Not received", "OK")</f>
        <v>OK</v>
      </c>
      <c r="P681" s="1" t="str">
        <f>IF(po_master[[#This Row],[Promised Delivey Date]]&lt;po_master[[#This Row],[Order Date]], "Invalid", "OK")</f>
        <v>OK</v>
      </c>
      <c r="Q681" s="1" t="str">
        <f>IF(ISBLANK(po_master[[#This Row],[Invoice Number]]), "No Invoice", "OK")</f>
        <v>OK</v>
      </c>
      <c r="R681" s="1" t="str">
        <f>IF(AND(NOT(ISBLANK(po_master[[#This Row],[GR Quantity]])), po_master[[#This Row],[GR Quantity]]&lt;&gt;po_master[[#This Row],[PO Quantity]]), "Qty Variance", "OK")</f>
        <v>OK</v>
      </c>
      <c r="S681" s="1" t="str">
        <f>IF(po_master[[#This Row],[Invoice Unit Price]]&gt;po_master[[#This Row],[PO Unit Price]]*1.01, "Price Variance", "OK")</f>
        <v>OK</v>
      </c>
      <c r="T681" s="1" t="str">
        <f>IF(po_master[[#This Row],[Actual Delivery Date]]&gt;po_master[[#This Row],[Promised Delivey Date]], "Late Delivery", "OK")</f>
        <v>Late Delivery</v>
      </c>
      <c r="U681" s="1" t="str">
        <f>IF(COUNTIF(po_master[PO Number],po_master[[#This Row],[PO Number]])&gt;1, "Duplicate Invoice", "OK")</f>
        <v>OK</v>
      </c>
    </row>
    <row r="682" spans="1:21" x14ac:dyDescent="0.25">
      <c r="A682" s="1" t="s">
        <v>603</v>
      </c>
      <c r="B682" s="1" t="s">
        <v>1484</v>
      </c>
      <c r="C682" s="2">
        <v>46095</v>
      </c>
      <c r="D682">
        <v>162</v>
      </c>
      <c r="E682">
        <v>51.32</v>
      </c>
      <c r="F682" s="1" t="s">
        <v>1462</v>
      </c>
      <c r="G682" s="2">
        <v>46112</v>
      </c>
      <c r="H682">
        <v>162</v>
      </c>
      <c r="I682" s="2">
        <v>46113</v>
      </c>
      <c r="J682" s="1" t="s">
        <v>1386</v>
      </c>
      <c r="K682">
        <v>162</v>
      </c>
      <c r="L682">
        <v>51.32</v>
      </c>
      <c r="M682" s="2">
        <v>46120</v>
      </c>
      <c r="N682" t="str">
        <f>IF(po_master[[#This Row],[Approved By]]="", "Missing Approval", "OK")</f>
        <v>OK</v>
      </c>
      <c r="O682" t="str">
        <f>IF(ISBLANK(po_master[[#This Row],[GR Quantity]]), "No GR - Not received", "OK")</f>
        <v>OK</v>
      </c>
      <c r="P682" s="1" t="str">
        <f>IF(po_master[[#This Row],[Promised Delivey Date]]&lt;po_master[[#This Row],[Order Date]], "Invalid", "OK")</f>
        <v>OK</v>
      </c>
      <c r="Q682" s="1" t="str">
        <f>IF(ISBLANK(po_master[[#This Row],[Invoice Number]]), "No Invoice", "OK")</f>
        <v>OK</v>
      </c>
      <c r="R682" s="1" t="str">
        <f>IF(AND(NOT(ISBLANK(po_master[[#This Row],[GR Quantity]])), po_master[[#This Row],[GR Quantity]]&lt;&gt;po_master[[#This Row],[PO Quantity]]), "Qty Variance", "OK")</f>
        <v>OK</v>
      </c>
      <c r="S682" s="1" t="str">
        <f>IF(po_master[[#This Row],[Invoice Unit Price]]&gt;po_master[[#This Row],[PO Unit Price]]*1.01, "Price Variance", "OK")</f>
        <v>OK</v>
      </c>
      <c r="T682" s="1" t="str">
        <f>IF(po_master[[#This Row],[Actual Delivery Date]]&gt;po_master[[#This Row],[Promised Delivey Date]], "Late Delivery", "OK")</f>
        <v>Late Delivery</v>
      </c>
      <c r="U682" s="1" t="str">
        <f>IF(COUNTIF(po_master[PO Number],po_master[[#This Row],[PO Number]])&gt;1, "Duplicate Invoice", "OK")</f>
        <v>OK</v>
      </c>
    </row>
    <row r="683" spans="1:21" x14ac:dyDescent="0.25">
      <c r="A683" s="1" t="s">
        <v>604</v>
      </c>
      <c r="B683" s="1" t="s">
        <v>1493</v>
      </c>
      <c r="C683" s="2">
        <v>46163</v>
      </c>
      <c r="D683">
        <v>440</v>
      </c>
      <c r="E683">
        <v>100.73</v>
      </c>
      <c r="F683" s="1" t="s">
        <v>1462</v>
      </c>
      <c r="G683" s="2">
        <v>46179</v>
      </c>
      <c r="H683">
        <v>440</v>
      </c>
      <c r="I683" s="2">
        <v>46180</v>
      </c>
      <c r="J683" s="1" t="s">
        <v>1387</v>
      </c>
      <c r="K683">
        <v>440</v>
      </c>
      <c r="L683">
        <v>100.73</v>
      </c>
      <c r="M683" s="2">
        <v>46186</v>
      </c>
      <c r="N683" t="str">
        <f>IF(po_master[[#This Row],[Approved By]]="", "Missing Approval", "OK")</f>
        <v>OK</v>
      </c>
      <c r="O683" t="str">
        <f>IF(ISBLANK(po_master[[#This Row],[GR Quantity]]), "No GR - Not received", "OK")</f>
        <v>OK</v>
      </c>
      <c r="P683" s="1" t="str">
        <f>IF(po_master[[#This Row],[Promised Delivey Date]]&lt;po_master[[#This Row],[Order Date]], "Invalid", "OK")</f>
        <v>OK</v>
      </c>
      <c r="Q683" s="1" t="str">
        <f>IF(ISBLANK(po_master[[#This Row],[Invoice Number]]), "No Invoice", "OK")</f>
        <v>OK</v>
      </c>
      <c r="R683" s="1" t="str">
        <f>IF(AND(NOT(ISBLANK(po_master[[#This Row],[GR Quantity]])), po_master[[#This Row],[GR Quantity]]&lt;&gt;po_master[[#This Row],[PO Quantity]]), "Qty Variance", "OK")</f>
        <v>OK</v>
      </c>
      <c r="S683" s="1" t="str">
        <f>IF(po_master[[#This Row],[Invoice Unit Price]]&gt;po_master[[#This Row],[PO Unit Price]]*1.01, "Price Variance", "OK")</f>
        <v>OK</v>
      </c>
      <c r="T683" s="1" t="str">
        <f>IF(po_master[[#This Row],[Actual Delivery Date]]&gt;po_master[[#This Row],[Promised Delivey Date]], "Late Delivery", "OK")</f>
        <v>Late Delivery</v>
      </c>
      <c r="U683" s="1" t="str">
        <f>IF(COUNTIF(po_master[PO Number],po_master[[#This Row],[PO Number]])&gt;1, "Duplicate Invoice", "OK")</f>
        <v>Duplicate Invoice</v>
      </c>
    </row>
    <row r="684" spans="1:21" x14ac:dyDescent="0.25">
      <c r="A684" s="1" t="s">
        <v>604</v>
      </c>
      <c r="B684" s="1" t="s">
        <v>1493</v>
      </c>
      <c r="C684" s="2">
        <v>46163</v>
      </c>
      <c r="D684">
        <v>440</v>
      </c>
      <c r="E684">
        <v>100.73</v>
      </c>
      <c r="F684" s="1" t="s">
        <v>1462</v>
      </c>
      <c r="G684" s="2">
        <v>46179</v>
      </c>
      <c r="H684">
        <v>440</v>
      </c>
      <c r="I684" s="2">
        <v>46180</v>
      </c>
      <c r="J684" s="1" t="s">
        <v>1388</v>
      </c>
      <c r="K684">
        <v>440</v>
      </c>
      <c r="L684">
        <v>100.73</v>
      </c>
      <c r="M684" s="2">
        <v>46188</v>
      </c>
      <c r="N684" t="str">
        <f>IF(po_master[[#This Row],[Approved By]]="", "Missing Approval", "OK")</f>
        <v>OK</v>
      </c>
      <c r="O684" t="str">
        <f>IF(ISBLANK(po_master[[#This Row],[GR Quantity]]), "No GR - Not received", "OK")</f>
        <v>OK</v>
      </c>
      <c r="P684" s="1" t="str">
        <f>IF(po_master[[#This Row],[Promised Delivey Date]]&lt;po_master[[#This Row],[Order Date]], "Invalid", "OK")</f>
        <v>OK</v>
      </c>
      <c r="Q684" s="1" t="str">
        <f>IF(ISBLANK(po_master[[#This Row],[Invoice Number]]), "No Invoice", "OK")</f>
        <v>OK</v>
      </c>
      <c r="R684" s="1" t="str">
        <f>IF(AND(NOT(ISBLANK(po_master[[#This Row],[GR Quantity]])), po_master[[#This Row],[GR Quantity]]&lt;&gt;po_master[[#This Row],[PO Quantity]]), "Qty Variance", "OK")</f>
        <v>OK</v>
      </c>
      <c r="S684" s="1" t="str">
        <f>IF(po_master[[#This Row],[Invoice Unit Price]]&gt;po_master[[#This Row],[PO Unit Price]]*1.01, "Price Variance", "OK")</f>
        <v>OK</v>
      </c>
      <c r="T684" s="1" t="str">
        <f>IF(po_master[[#This Row],[Actual Delivery Date]]&gt;po_master[[#This Row],[Promised Delivey Date]], "Late Delivery", "OK")</f>
        <v>Late Delivery</v>
      </c>
      <c r="U684" s="1" t="str">
        <f>IF(COUNTIF(po_master[PO Number],po_master[[#This Row],[PO Number]])&gt;1, "Duplicate Invoice", "OK")</f>
        <v>Duplicate Invoice</v>
      </c>
    </row>
    <row r="685" spans="1:21" x14ac:dyDescent="0.25">
      <c r="A685" s="1" t="s">
        <v>605</v>
      </c>
      <c r="B685" s="1" t="s">
        <v>1481</v>
      </c>
      <c r="C685" s="2">
        <v>46132</v>
      </c>
      <c r="D685">
        <v>54</v>
      </c>
      <c r="E685">
        <v>62.44</v>
      </c>
      <c r="F685" s="1" t="s">
        <v>1467</v>
      </c>
      <c r="G685" s="2">
        <v>46152</v>
      </c>
      <c r="H685">
        <v>54</v>
      </c>
      <c r="I685" s="2">
        <v>46153</v>
      </c>
      <c r="J685" s="1" t="s">
        <v>1389</v>
      </c>
      <c r="K685">
        <v>54</v>
      </c>
      <c r="L685">
        <v>62.44</v>
      </c>
      <c r="M685" s="2">
        <v>46157</v>
      </c>
      <c r="N685" t="str">
        <f>IF(po_master[[#This Row],[Approved By]]="", "Missing Approval", "OK")</f>
        <v>OK</v>
      </c>
      <c r="O685" t="str">
        <f>IF(ISBLANK(po_master[[#This Row],[GR Quantity]]), "No GR - Not received", "OK")</f>
        <v>OK</v>
      </c>
      <c r="P685" s="1" t="str">
        <f>IF(po_master[[#This Row],[Promised Delivey Date]]&lt;po_master[[#This Row],[Order Date]], "Invalid", "OK")</f>
        <v>OK</v>
      </c>
      <c r="Q685" s="1" t="str">
        <f>IF(ISBLANK(po_master[[#This Row],[Invoice Number]]), "No Invoice", "OK")</f>
        <v>OK</v>
      </c>
      <c r="R685" s="1" t="str">
        <f>IF(AND(NOT(ISBLANK(po_master[[#This Row],[GR Quantity]])), po_master[[#This Row],[GR Quantity]]&lt;&gt;po_master[[#This Row],[PO Quantity]]), "Qty Variance", "OK")</f>
        <v>OK</v>
      </c>
      <c r="S685" s="1" t="str">
        <f>IF(po_master[[#This Row],[Invoice Unit Price]]&gt;po_master[[#This Row],[PO Unit Price]]*1.01, "Price Variance", "OK")</f>
        <v>OK</v>
      </c>
      <c r="T685" s="1" t="str">
        <f>IF(po_master[[#This Row],[Actual Delivery Date]]&gt;po_master[[#This Row],[Promised Delivey Date]], "Late Delivery", "OK")</f>
        <v>Late Delivery</v>
      </c>
      <c r="U685" s="1" t="str">
        <f>IF(COUNTIF(po_master[PO Number],po_master[[#This Row],[PO Number]])&gt;1, "Duplicate Invoice", "OK")</f>
        <v>OK</v>
      </c>
    </row>
    <row r="686" spans="1:21" x14ac:dyDescent="0.25">
      <c r="A686" s="1" t="s">
        <v>606</v>
      </c>
      <c r="B686" s="1" t="s">
        <v>1505</v>
      </c>
      <c r="C686" s="2">
        <v>46047</v>
      </c>
      <c r="D686">
        <v>23</v>
      </c>
      <c r="E686">
        <v>45.36</v>
      </c>
      <c r="F686" s="1" t="s">
        <v>1446</v>
      </c>
      <c r="G686" s="2">
        <v>46061</v>
      </c>
      <c r="H686">
        <v>23</v>
      </c>
      <c r="I686" s="2">
        <v>46061</v>
      </c>
      <c r="J686" s="1" t="s">
        <v>1390</v>
      </c>
      <c r="K686">
        <v>23</v>
      </c>
      <c r="L686">
        <v>45.36</v>
      </c>
      <c r="M686" s="2">
        <v>46067</v>
      </c>
      <c r="N686" t="str">
        <f>IF(po_master[[#This Row],[Approved By]]="", "Missing Approval", "OK")</f>
        <v>OK</v>
      </c>
      <c r="O686" t="str">
        <f>IF(ISBLANK(po_master[[#This Row],[GR Quantity]]), "No GR - Not received", "OK")</f>
        <v>OK</v>
      </c>
      <c r="P686" s="1" t="str">
        <f>IF(po_master[[#This Row],[Promised Delivey Date]]&lt;po_master[[#This Row],[Order Date]], "Invalid", "OK")</f>
        <v>OK</v>
      </c>
      <c r="Q686" s="1" t="str">
        <f>IF(ISBLANK(po_master[[#This Row],[Invoice Number]]), "No Invoice", "OK")</f>
        <v>OK</v>
      </c>
      <c r="R686" s="1" t="str">
        <f>IF(AND(NOT(ISBLANK(po_master[[#This Row],[GR Quantity]])), po_master[[#This Row],[GR Quantity]]&lt;&gt;po_master[[#This Row],[PO Quantity]]), "Qty Variance", "OK")</f>
        <v>OK</v>
      </c>
      <c r="S686" s="1" t="str">
        <f>IF(po_master[[#This Row],[Invoice Unit Price]]&gt;po_master[[#This Row],[PO Unit Price]]*1.01, "Price Variance", "OK")</f>
        <v>OK</v>
      </c>
      <c r="T686" s="1" t="str">
        <f>IF(po_master[[#This Row],[Actual Delivery Date]]&gt;po_master[[#This Row],[Promised Delivey Date]], "Late Delivery", "OK")</f>
        <v>OK</v>
      </c>
      <c r="U686" s="1" t="str">
        <f>IF(COUNTIF(po_master[PO Number],po_master[[#This Row],[PO Number]])&gt;1, "Duplicate Invoice", "OK")</f>
        <v>OK</v>
      </c>
    </row>
    <row r="687" spans="1:21" x14ac:dyDescent="0.25">
      <c r="A687" s="1" t="s">
        <v>607</v>
      </c>
      <c r="B687" s="1" t="s">
        <v>1457</v>
      </c>
      <c r="C687" s="2">
        <v>46144</v>
      </c>
      <c r="D687">
        <v>442</v>
      </c>
      <c r="E687">
        <v>27.52</v>
      </c>
      <c r="F687" s="1" t="s">
        <v>1453</v>
      </c>
      <c r="G687" s="2">
        <v>46164</v>
      </c>
      <c r="H687">
        <v>442</v>
      </c>
      <c r="I687" s="2">
        <v>46166</v>
      </c>
      <c r="J687" s="1" t="s">
        <v>1391</v>
      </c>
      <c r="K687">
        <v>442</v>
      </c>
      <c r="L687">
        <v>27.52</v>
      </c>
      <c r="M687" s="2">
        <v>46168</v>
      </c>
      <c r="N687" t="str">
        <f>IF(po_master[[#This Row],[Approved By]]="", "Missing Approval", "OK")</f>
        <v>OK</v>
      </c>
      <c r="O687" t="str">
        <f>IF(ISBLANK(po_master[[#This Row],[GR Quantity]]), "No GR - Not received", "OK")</f>
        <v>OK</v>
      </c>
      <c r="P687" s="1" t="str">
        <f>IF(po_master[[#This Row],[Promised Delivey Date]]&lt;po_master[[#This Row],[Order Date]], "Invalid", "OK")</f>
        <v>OK</v>
      </c>
      <c r="Q687" s="1" t="str">
        <f>IF(ISBLANK(po_master[[#This Row],[Invoice Number]]), "No Invoice", "OK")</f>
        <v>OK</v>
      </c>
      <c r="R687" s="1" t="str">
        <f>IF(AND(NOT(ISBLANK(po_master[[#This Row],[GR Quantity]])), po_master[[#This Row],[GR Quantity]]&lt;&gt;po_master[[#This Row],[PO Quantity]]), "Qty Variance", "OK")</f>
        <v>OK</v>
      </c>
      <c r="S687" s="1" t="str">
        <f>IF(po_master[[#This Row],[Invoice Unit Price]]&gt;po_master[[#This Row],[PO Unit Price]]*1.01, "Price Variance", "OK")</f>
        <v>OK</v>
      </c>
      <c r="T687" s="1" t="str">
        <f>IF(po_master[[#This Row],[Actual Delivery Date]]&gt;po_master[[#This Row],[Promised Delivey Date]], "Late Delivery", "OK")</f>
        <v>Late Delivery</v>
      </c>
      <c r="U687" s="1" t="str">
        <f>IF(COUNTIF(po_master[PO Number],po_master[[#This Row],[PO Number]])&gt;1, "Duplicate Invoice", "OK")</f>
        <v>OK</v>
      </c>
    </row>
    <row r="688" spans="1:21" x14ac:dyDescent="0.25">
      <c r="A688" s="1" t="s">
        <v>608</v>
      </c>
      <c r="B688" s="1" t="s">
        <v>1498</v>
      </c>
      <c r="C688" s="2">
        <v>46090</v>
      </c>
      <c r="D688">
        <v>56</v>
      </c>
      <c r="E688">
        <v>130.16</v>
      </c>
      <c r="F688" s="1" t="s">
        <v>1453</v>
      </c>
      <c r="G688" s="2">
        <v>46100</v>
      </c>
      <c r="H688">
        <v>50</v>
      </c>
      <c r="I688" s="2">
        <v>46101</v>
      </c>
      <c r="J688" s="1" t="s">
        <v>1392</v>
      </c>
      <c r="K688">
        <v>56</v>
      </c>
      <c r="L688">
        <v>130.16</v>
      </c>
      <c r="M688" s="2">
        <v>46105</v>
      </c>
      <c r="N688" t="str">
        <f>IF(po_master[[#This Row],[Approved By]]="", "Missing Approval", "OK")</f>
        <v>OK</v>
      </c>
      <c r="O688" t="str">
        <f>IF(ISBLANK(po_master[[#This Row],[GR Quantity]]), "No GR - Not received", "OK")</f>
        <v>OK</v>
      </c>
      <c r="P688" s="1" t="str">
        <f>IF(po_master[[#This Row],[Promised Delivey Date]]&lt;po_master[[#This Row],[Order Date]], "Invalid", "OK")</f>
        <v>OK</v>
      </c>
      <c r="Q688" s="1" t="str">
        <f>IF(ISBLANK(po_master[[#This Row],[Invoice Number]]), "No Invoice", "OK")</f>
        <v>OK</v>
      </c>
      <c r="R688" s="1" t="str">
        <f>IF(AND(NOT(ISBLANK(po_master[[#This Row],[GR Quantity]])), po_master[[#This Row],[GR Quantity]]&lt;&gt;po_master[[#This Row],[PO Quantity]]), "Qty Variance", "OK")</f>
        <v>Qty Variance</v>
      </c>
      <c r="S688" s="1" t="str">
        <f>IF(po_master[[#This Row],[Invoice Unit Price]]&gt;po_master[[#This Row],[PO Unit Price]]*1.01, "Price Variance", "OK")</f>
        <v>OK</v>
      </c>
      <c r="T688" s="1" t="str">
        <f>IF(po_master[[#This Row],[Actual Delivery Date]]&gt;po_master[[#This Row],[Promised Delivey Date]], "Late Delivery", "OK")</f>
        <v>Late Delivery</v>
      </c>
      <c r="U688" s="1" t="str">
        <f>IF(COUNTIF(po_master[PO Number],po_master[[#This Row],[PO Number]])&gt;1, "Duplicate Invoice", "OK")</f>
        <v>OK</v>
      </c>
    </row>
    <row r="689" spans="1:21" x14ac:dyDescent="0.25">
      <c r="A689" s="1" t="s">
        <v>609</v>
      </c>
      <c r="B689" s="1" t="s">
        <v>1496</v>
      </c>
      <c r="C689" s="2">
        <v>46120</v>
      </c>
      <c r="D689">
        <v>199</v>
      </c>
      <c r="E689">
        <v>41.38</v>
      </c>
      <c r="F689" s="1" t="s">
        <v>1462</v>
      </c>
      <c r="G689" s="2">
        <v>46133</v>
      </c>
      <c r="H689">
        <v>199</v>
      </c>
      <c r="I689" s="2">
        <v>46133</v>
      </c>
      <c r="J689" s="1" t="s">
        <v>1393</v>
      </c>
      <c r="K689">
        <v>199</v>
      </c>
      <c r="L689">
        <v>41.38</v>
      </c>
      <c r="M689" s="2">
        <v>46141</v>
      </c>
      <c r="N689" t="str">
        <f>IF(po_master[[#This Row],[Approved By]]="", "Missing Approval", "OK")</f>
        <v>OK</v>
      </c>
      <c r="O689" t="str">
        <f>IF(ISBLANK(po_master[[#This Row],[GR Quantity]]), "No GR - Not received", "OK")</f>
        <v>OK</v>
      </c>
      <c r="P689" s="1" t="str">
        <f>IF(po_master[[#This Row],[Promised Delivey Date]]&lt;po_master[[#This Row],[Order Date]], "Invalid", "OK")</f>
        <v>OK</v>
      </c>
      <c r="Q689" s="1" t="str">
        <f>IF(ISBLANK(po_master[[#This Row],[Invoice Number]]), "No Invoice", "OK")</f>
        <v>OK</v>
      </c>
      <c r="R689" s="1" t="str">
        <f>IF(AND(NOT(ISBLANK(po_master[[#This Row],[GR Quantity]])), po_master[[#This Row],[GR Quantity]]&lt;&gt;po_master[[#This Row],[PO Quantity]]), "Qty Variance", "OK")</f>
        <v>OK</v>
      </c>
      <c r="S689" s="1" t="str">
        <f>IF(po_master[[#This Row],[Invoice Unit Price]]&gt;po_master[[#This Row],[PO Unit Price]]*1.01, "Price Variance", "OK")</f>
        <v>OK</v>
      </c>
      <c r="T689" s="1" t="str">
        <f>IF(po_master[[#This Row],[Actual Delivery Date]]&gt;po_master[[#This Row],[Promised Delivey Date]], "Late Delivery", "OK")</f>
        <v>OK</v>
      </c>
      <c r="U689" s="1" t="str">
        <f>IF(COUNTIF(po_master[PO Number],po_master[[#This Row],[PO Number]])&gt;1, "Duplicate Invoice", "OK")</f>
        <v>OK</v>
      </c>
    </row>
    <row r="690" spans="1:21" x14ac:dyDescent="0.25">
      <c r="A690" s="1" t="s">
        <v>610</v>
      </c>
      <c r="B690" s="1" t="s">
        <v>1478</v>
      </c>
      <c r="C690" s="2">
        <v>46142</v>
      </c>
      <c r="D690">
        <v>144</v>
      </c>
      <c r="E690">
        <v>49.12</v>
      </c>
      <c r="F690" s="1" t="s">
        <v>1458</v>
      </c>
      <c r="G690" s="2">
        <v>46148</v>
      </c>
      <c r="H690">
        <v>144</v>
      </c>
      <c r="I690" s="2">
        <v>46150</v>
      </c>
      <c r="J690" s="1" t="s">
        <v>1394</v>
      </c>
      <c r="K690">
        <v>144</v>
      </c>
      <c r="L690">
        <v>49.12</v>
      </c>
      <c r="M690" s="2">
        <v>46154</v>
      </c>
      <c r="N690" t="str">
        <f>IF(po_master[[#This Row],[Approved By]]="", "Missing Approval", "OK")</f>
        <v>OK</v>
      </c>
      <c r="O690" t="str">
        <f>IF(ISBLANK(po_master[[#This Row],[GR Quantity]]), "No GR - Not received", "OK")</f>
        <v>OK</v>
      </c>
      <c r="P690" s="1" t="str">
        <f>IF(po_master[[#This Row],[Promised Delivey Date]]&lt;po_master[[#This Row],[Order Date]], "Invalid", "OK")</f>
        <v>OK</v>
      </c>
      <c r="Q690" s="1" t="str">
        <f>IF(ISBLANK(po_master[[#This Row],[Invoice Number]]), "No Invoice", "OK")</f>
        <v>OK</v>
      </c>
      <c r="R690" s="1" t="str">
        <f>IF(AND(NOT(ISBLANK(po_master[[#This Row],[GR Quantity]])), po_master[[#This Row],[GR Quantity]]&lt;&gt;po_master[[#This Row],[PO Quantity]]), "Qty Variance", "OK")</f>
        <v>OK</v>
      </c>
      <c r="S690" s="1" t="str">
        <f>IF(po_master[[#This Row],[Invoice Unit Price]]&gt;po_master[[#This Row],[PO Unit Price]]*1.01, "Price Variance", "OK")</f>
        <v>OK</v>
      </c>
      <c r="T690" s="1" t="str">
        <f>IF(po_master[[#This Row],[Actual Delivery Date]]&gt;po_master[[#This Row],[Promised Delivey Date]], "Late Delivery", "OK")</f>
        <v>Late Delivery</v>
      </c>
      <c r="U690" s="1" t="str">
        <f>IF(COUNTIF(po_master[PO Number],po_master[[#This Row],[PO Number]])&gt;1, "Duplicate Invoice", "OK")</f>
        <v>OK</v>
      </c>
    </row>
    <row r="691" spans="1:21" x14ac:dyDescent="0.25">
      <c r="A691" s="1" t="s">
        <v>611</v>
      </c>
      <c r="B691" s="1" t="s">
        <v>1464</v>
      </c>
      <c r="C691" s="2">
        <v>46047</v>
      </c>
      <c r="D691">
        <v>53</v>
      </c>
      <c r="E691">
        <v>135.29</v>
      </c>
      <c r="F691" s="1" t="s">
        <v>1459</v>
      </c>
      <c r="G691" s="2">
        <v>46065</v>
      </c>
      <c r="H691">
        <v>53</v>
      </c>
      <c r="I691" s="2">
        <v>46064</v>
      </c>
      <c r="J691" s="1" t="s">
        <v>1395</v>
      </c>
      <c r="K691">
        <v>53</v>
      </c>
      <c r="L691">
        <v>135.29</v>
      </c>
      <c r="M691" s="2">
        <v>46072</v>
      </c>
      <c r="N691" t="str">
        <f>IF(po_master[[#This Row],[Approved By]]="", "Missing Approval", "OK")</f>
        <v>Missing Approval</v>
      </c>
      <c r="O691" t="str">
        <f>IF(ISBLANK(po_master[[#This Row],[GR Quantity]]), "No GR - Not received", "OK")</f>
        <v>OK</v>
      </c>
      <c r="P691" s="1" t="str">
        <f>IF(po_master[[#This Row],[Promised Delivey Date]]&lt;po_master[[#This Row],[Order Date]], "Invalid", "OK")</f>
        <v>OK</v>
      </c>
      <c r="Q691" s="1" t="str">
        <f>IF(ISBLANK(po_master[[#This Row],[Invoice Number]]), "No Invoice", "OK")</f>
        <v>OK</v>
      </c>
      <c r="R691" s="1" t="str">
        <f>IF(AND(NOT(ISBLANK(po_master[[#This Row],[GR Quantity]])), po_master[[#This Row],[GR Quantity]]&lt;&gt;po_master[[#This Row],[PO Quantity]]), "Qty Variance", "OK")</f>
        <v>OK</v>
      </c>
      <c r="S691" s="1" t="str">
        <f>IF(po_master[[#This Row],[Invoice Unit Price]]&gt;po_master[[#This Row],[PO Unit Price]]*1.01, "Price Variance", "OK")</f>
        <v>OK</v>
      </c>
      <c r="T691" s="1" t="str">
        <f>IF(po_master[[#This Row],[Actual Delivery Date]]&gt;po_master[[#This Row],[Promised Delivey Date]], "Late Delivery", "OK")</f>
        <v>OK</v>
      </c>
      <c r="U691" s="1" t="str">
        <f>IF(COUNTIF(po_master[PO Number],po_master[[#This Row],[PO Number]])&gt;1, "Duplicate Invoice", "OK")</f>
        <v>OK</v>
      </c>
    </row>
    <row r="692" spans="1:21" x14ac:dyDescent="0.25">
      <c r="A692" s="1" t="s">
        <v>612</v>
      </c>
      <c r="B692" s="1" t="s">
        <v>1443</v>
      </c>
      <c r="C692" s="2">
        <v>46081</v>
      </c>
      <c r="D692">
        <v>293</v>
      </c>
      <c r="E692">
        <v>16.89</v>
      </c>
      <c r="F692" s="1" t="s">
        <v>1453</v>
      </c>
      <c r="G692" s="2">
        <v>46102</v>
      </c>
      <c r="H692">
        <v>293</v>
      </c>
      <c r="I692" s="2">
        <v>46102</v>
      </c>
      <c r="J692" s="1" t="s">
        <v>1396</v>
      </c>
      <c r="K692">
        <v>293</v>
      </c>
      <c r="L692">
        <v>16.89</v>
      </c>
      <c r="M692" s="2">
        <v>46109</v>
      </c>
      <c r="N692" t="str">
        <f>IF(po_master[[#This Row],[Approved By]]="", "Missing Approval", "OK")</f>
        <v>OK</v>
      </c>
      <c r="O692" t="str">
        <f>IF(ISBLANK(po_master[[#This Row],[GR Quantity]]), "No GR - Not received", "OK")</f>
        <v>OK</v>
      </c>
      <c r="P692" s="1" t="str">
        <f>IF(po_master[[#This Row],[Promised Delivey Date]]&lt;po_master[[#This Row],[Order Date]], "Invalid", "OK")</f>
        <v>OK</v>
      </c>
      <c r="Q692" s="1" t="str">
        <f>IF(ISBLANK(po_master[[#This Row],[Invoice Number]]), "No Invoice", "OK")</f>
        <v>OK</v>
      </c>
      <c r="R692" s="1" t="str">
        <f>IF(AND(NOT(ISBLANK(po_master[[#This Row],[GR Quantity]])), po_master[[#This Row],[GR Quantity]]&lt;&gt;po_master[[#This Row],[PO Quantity]]), "Qty Variance", "OK")</f>
        <v>OK</v>
      </c>
      <c r="S692" s="1" t="str">
        <f>IF(po_master[[#This Row],[Invoice Unit Price]]&gt;po_master[[#This Row],[PO Unit Price]]*1.01, "Price Variance", "OK")</f>
        <v>OK</v>
      </c>
      <c r="T692" s="1" t="str">
        <f>IF(po_master[[#This Row],[Actual Delivery Date]]&gt;po_master[[#This Row],[Promised Delivey Date]], "Late Delivery", "OK")</f>
        <v>OK</v>
      </c>
      <c r="U692" s="1" t="str">
        <f>IF(COUNTIF(po_master[PO Number],po_master[[#This Row],[PO Number]])&gt;1, "Duplicate Invoice", "OK")</f>
        <v>OK</v>
      </c>
    </row>
    <row r="693" spans="1:21" x14ac:dyDescent="0.25">
      <c r="A693" s="1" t="s">
        <v>613</v>
      </c>
      <c r="B693" s="1" t="s">
        <v>1495</v>
      </c>
      <c r="C693" s="2">
        <v>46160</v>
      </c>
      <c r="D693">
        <v>361</v>
      </c>
      <c r="E693">
        <v>174.04</v>
      </c>
      <c r="F693" s="1" t="s">
        <v>1487</v>
      </c>
      <c r="G693" s="2">
        <v>46172</v>
      </c>
      <c r="H693">
        <v>361</v>
      </c>
      <c r="I693" s="2">
        <v>46171</v>
      </c>
      <c r="J693" s="1" t="s">
        <v>1397</v>
      </c>
      <c r="K693">
        <v>361</v>
      </c>
      <c r="L693">
        <v>174.04</v>
      </c>
      <c r="M693" s="2">
        <v>46173</v>
      </c>
      <c r="N693" t="str">
        <f>IF(po_master[[#This Row],[Approved By]]="", "Missing Approval", "OK")</f>
        <v>OK</v>
      </c>
      <c r="O693" t="str">
        <f>IF(ISBLANK(po_master[[#This Row],[GR Quantity]]), "No GR - Not received", "OK")</f>
        <v>OK</v>
      </c>
      <c r="P693" s="1" t="str">
        <f>IF(po_master[[#This Row],[Promised Delivey Date]]&lt;po_master[[#This Row],[Order Date]], "Invalid", "OK")</f>
        <v>OK</v>
      </c>
      <c r="Q693" s="1" t="str">
        <f>IF(ISBLANK(po_master[[#This Row],[Invoice Number]]), "No Invoice", "OK")</f>
        <v>OK</v>
      </c>
      <c r="R693" s="1" t="str">
        <f>IF(AND(NOT(ISBLANK(po_master[[#This Row],[GR Quantity]])), po_master[[#This Row],[GR Quantity]]&lt;&gt;po_master[[#This Row],[PO Quantity]]), "Qty Variance", "OK")</f>
        <v>OK</v>
      </c>
      <c r="S693" s="1" t="str">
        <f>IF(po_master[[#This Row],[Invoice Unit Price]]&gt;po_master[[#This Row],[PO Unit Price]]*1.01, "Price Variance", "OK")</f>
        <v>OK</v>
      </c>
      <c r="T693" s="1" t="str">
        <f>IF(po_master[[#This Row],[Actual Delivery Date]]&gt;po_master[[#This Row],[Promised Delivey Date]], "Late Delivery", "OK")</f>
        <v>OK</v>
      </c>
      <c r="U693" s="1" t="str">
        <f>IF(COUNTIF(po_master[PO Number],po_master[[#This Row],[PO Number]])&gt;1, "Duplicate Invoice", "OK")</f>
        <v>OK</v>
      </c>
    </row>
    <row r="694" spans="1:21" x14ac:dyDescent="0.25">
      <c r="A694" s="1" t="s">
        <v>614</v>
      </c>
      <c r="B694" s="1" t="s">
        <v>1510</v>
      </c>
      <c r="C694" s="2">
        <v>46099</v>
      </c>
      <c r="D694">
        <v>50</v>
      </c>
      <c r="E694">
        <v>81.99</v>
      </c>
      <c r="F694" s="1" t="s">
        <v>1499</v>
      </c>
      <c r="G694" s="2">
        <v>46105</v>
      </c>
      <c r="H694">
        <v>50</v>
      </c>
      <c r="I694" s="2">
        <v>46121</v>
      </c>
      <c r="J694" s="1" t="s">
        <v>1398</v>
      </c>
      <c r="K694">
        <v>50</v>
      </c>
      <c r="L694">
        <v>81.99</v>
      </c>
      <c r="M694" s="2">
        <v>46106</v>
      </c>
      <c r="N694" t="str">
        <f>IF(po_master[[#This Row],[Approved By]]="", "Missing Approval", "OK")</f>
        <v>OK</v>
      </c>
      <c r="O694" t="str">
        <f>IF(ISBLANK(po_master[[#This Row],[GR Quantity]]), "No GR - Not received", "OK")</f>
        <v>OK</v>
      </c>
      <c r="P694" s="1" t="str">
        <f>IF(po_master[[#This Row],[Promised Delivey Date]]&lt;po_master[[#This Row],[Order Date]], "Invalid", "OK")</f>
        <v>OK</v>
      </c>
      <c r="Q694" s="1" t="str">
        <f>IF(ISBLANK(po_master[[#This Row],[Invoice Number]]), "No Invoice", "OK")</f>
        <v>OK</v>
      </c>
      <c r="R694" s="1" t="str">
        <f>IF(AND(NOT(ISBLANK(po_master[[#This Row],[GR Quantity]])), po_master[[#This Row],[GR Quantity]]&lt;&gt;po_master[[#This Row],[PO Quantity]]), "Qty Variance", "OK")</f>
        <v>OK</v>
      </c>
      <c r="S694" s="1" t="str">
        <f>IF(po_master[[#This Row],[Invoice Unit Price]]&gt;po_master[[#This Row],[PO Unit Price]]*1.01, "Price Variance", "OK")</f>
        <v>OK</v>
      </c>
      <c r="T694" s="1" t="str">
        <f>IF(po_master[[#This Row],[Actual Delivery Date]]&gt;po_master[[#This Row],[Promised Delivey Date]], "Late Delivery", "OK")</f>
        <v>Late Delivery</v>
      </c>
      <c r="U694" s="1" t="str">
        <f>IF(COUNTIF(po_master[PO Number],po_master[[#This Row],[PO Number]])&gt;1, "Duplicate Invoice", "OK")</f>
        <v>OK</v>
      </c>
    </row>
    <row r="695" spans="1:21" x14ac:dyDescent="0.25">
      <c r="A695" s="1" t="s">
        <v>615</v>
      </c>
      <c r="B695" s="1" t="s">
        <v>1445</v>
      </c>
      <c r="C695" s="2">
        <v>46169</v>
      </c>
      <c r="D695">
        <v>471</v>
      </c>
      <c r="E695">
        <v>105.78</v>
      </c>
      <c r="F695" s="1" t="s">
        <v>1480</v>
      </c>
      <c r="G695" s="2">
        <v>46178</v>
      </c>
      <c r="H695">
        <v>471</v>
      </c>
      <c r="I695" s="2">
        <v>46180</v>
      </c>
      <c r="J695" s="1" t="s">
        <v>1399</v>
      </c>
      <c r="K695">
        <v>471</v>
      </c>
      <c r="L695">
        <v>105.78</v>
      </c>
      <c r="M695" s="2">
        <v>46184</v>
      </c>
      <c r="N695" t="str">
        <f>IF(po_master[[#This Row],[Approved By]]="", "Missing Approval", "OK")</f>
        <v>OK</v>
      </c>
      <c r="O695" t="str">
        <f>IF(ISBLANK(po_master[[#This Row],[GR Quantity]]), "No GR - Not received", "OK")</f>
        <v>OK</v>
      </c>
      <c r="P695" s="1" t="str">
        <f>IF(po_master[[#This Row],[Promised Delivey Date]]&lt;po_master[[#This Row],[Order Date]], "Invalid", "OK")</f>
        <v>OK</v>
      </c>
      <c r="Q695" s="1" t="str">
        <f>IF(ISBLANK(po_master[[#This Row],[Invoice Number]]), "No Invoice", "OK")</f>
        <v>OK</v>
      </c>
      <c r="R695" s="1" t="str">
        <f>IF(AND(NOT(ISBLANK(po_master[[#This Row],[GR Quantity]])), po_master[[#This Row],[GR Quantity]]&lt;&gt;po_master[[#This Row],[PO Quantity]]), "Qty Variance", "OK")</f>
        <v>OK</v>
      </c>
      <c r="S695" s="1" t="str">
        <f>IF(po_master[[#This Row],[Invoice Unit Price]]&gt;po_master[[#This Row],[PO Unit Price]]*1.01, "Price Variance", "OK")</f>
        <v>OK</v>
      </c>
      <c r="T695" s="1" t="str">
        <f>IF(po_master[[#This Row],[Actual Delivery Date]]&gt;po_master[[#This Row],[Promised Delivey Date]], "Late Delivery", "OK")</f>
        <v>Late Delivery</v>
      </c>
      <c r="U695" s="1" t="str">
        <f>IF(COUNTIF(po_master[PO Number],po_master[[#This Row],[PO Number]])&gt;1, "Duplicate Invoice", "OK")</f>
        <v>OK</v>
      </c>
    </row>
    <row r="696" spans="1:21" x14ac:dyDescent="0.25">
      <c r="A696" s="1" t="s">
        <v>616</v>
      </c>
      <c r="B696" s="1" t="s">
        <v>1466</v>
      </c>
      <c r="C696" s="2">
        <v>46137</v>
      </c>
      <c r="D696">
        <v>98</v>
      </c>
      <c r="E696">
        <v>190.07</v>
      </c>
      <c r="F696" s="1" t="s">
        <v>1501</v>
      </c>
      <c r="G696" s="2">
        <v>46148</v>
      </c>
      <c r="H696">
        <v>98</v>
      </c>
      <c r="I696" s="2">
        <v>46150</v>
      </c>
      <c r="J696" s="1" t="s">
        <v>1400</v>
      </c>
      <c r="K696">
        <v>98</v>
      </c>
      <c r="L696">
        <v>190.07</v>
      </c>
      <c r="M696" s="2">
        <v>46149</v>
      </c>
      <c r="N696" t="str">
        <f>IF(po_master[[#This Row],[Approved By]]="", "Missing Approval", "OK")</f>
        <v>OK</v>
      </c>
      <c r="O696" t="str">
        <f>IF(ISBLANK(po_master[[#This Row],[GR Quantity]]), "No GR - Not received", "OK")</f>
        <v>OK</v>
      </c>
      <c r="P696" s="1" t="str">
        <f>IF(po_master[[#This Row],[Promised Delivey Date]]&lt;po_master[[#This Row],[Order Date]], "Invalid", "OK")</f>
        <v>OK</v>
      </c>
      <c r="Q696" s="1" t="str">
        <f>IF(ISBLANK(po_master[[#This Row],[Invoice Number]]), "No Invoice", "OK")</f>
        <v>OK</v>
      </c>
      <c r="R696" s="1" t="str">
        <f>IF(AND(NOT(ISBLANK(po_master[[#This Row],[GR Quantity]])), po_master[[#This Row],[GR Quantity]]&lt;&gt;po_master[[#This Row],[PO Quantity]]), "Qty Variance", "OK")</f>
        <v>OK</v>
      </c>
      <c r="S696" s="1" t="str">
        <f>IF(po_master[[#This Row],[Invoice Unit Price]]&gt;po_master[[#This Row],[PO Unit Price]]*1.01, "Price Variance", "OK")</f>
        <v>OK</v>
      </c>
      <c r="T696" s="1" t="str">
        <f>IF(po_master[[#This Row],[Actual Delivery Date]]&gt;po_master[[#This Row],[Promised Delivey Date]], "Late Delivery", "OK")</f>
        <v>Late Delivery</v>
      </c>
      <c r="U696" s="1" t="str">
        <f>IF(COUNTIF(po_master[PO Number],po_master[[#This Row],[PO Number]])&gt;1, "Duplicate Invoice", "OK")</f>
        <v>OK</v>
      </c>
    </row>
    <row r="697" spans="1:21" x14ac:dyDescent="0.25">
      <c r="A697" s="1" t="s">
        <v>617</v>
      </c>
      <c r="B697" s="1" t="s">
        <v>1505</v>
      </c>
      <c r="C697" s="2">
        <v>46055</v>
      </c>
      <c r="D697">
        <v>31</v>
      </c>
      <c r="E697">
        <v>87.56</v>
      </c>
      <c r="F697" s="1" t="s">
        <v>1467</v>
      </c>
      <c r="G697" s="2">
        <v>46073</v>
      </c>
      <c r="H697">
        <v>31</v>
      </c>
      <c r="I697" s="2">
        <v>46072</v>
      </c>
      <c r="J697" s="1" t="s">
        <v>1401</v>
      </c>
      <c r="K697">
        <v>31</v>
      </c>
      <c r="L697">
        <v>87.56</v>
      </c>
      <c r="M697" s="2">
        <v>46081</v>
      </c>
      <c r="N697" t="str">
        <f>IF(po_master[[#This Row],[Approved By]]="", "Missing Approval", "OK")</f>
        <v>OK</v>
      </c>
      <c r="O697" t="str">
        <f>IF(ISBLANK(po_master[[#This Row],[GR Quantity]]), "No GR - Not received", "OK")</f>
        <v>OK</v>
      </c>
      <c r="P697" s="1" t="str">
        <f>IF(po_master[[#This Row],[Promised Delivey Date]]&lt;po_master[[#This Row],[Order Date]], "Invalid", "OK")</f>
        <v>OK</v>
      </c>
      <c r="Q697" s="1" t="str">
        <f>IF(ISBLANK(po_master[[#This Row],[Invoice Number]]), "No Invoice", "OK")</f>
        <v>OK</v>
      </c>
      <c r="R697" s="1" t="str">
        <f>IF(AND(NOT(ISBLANK(po_master[[#This Row],[GR Quantity]])), po_master[[#This Row],[GR Quantity]]&lt;&gt;po_master[[#This Row],[PO Quantity]]), "Qty Variance", "OK")</f>
        <v>OK</v>
      </c>
      <c r="S697" s="1" t="str">
        <f>IF(po_master[[#This Row],[Invoice Unit Price]]&gt;po_master[[#This Row],[PO Unit Price]]*1.01, "Price Variance", "OK")</f>
        <v>OK</v>
      </c>
      <c r="T697" s="1" t="str">
        <f>IF(po_master[[#This Row],[Actual Delivery Date]]&gt;po_master[[#This Row],[Promised Delivey Date]], "Late Delivery", "OK")</f>
        <v>OK</v>
      </c>
      <c r="U697" s="1" t="str">
        <f>IF(COUNTIF(po_master[PO Number],po_master[[#This Row],[PO Number]])&gt;1, "Duplicate Invoice", "OK")</f>
        <v>OK</v>
      </c>
    </row>
    <row r="698" spans="1:21" x14ac:dyDescent="0.25">
      <c r="A698" s="1" t="s">
        <v>618</v>
      </c>
      <c r="B698" s="1" t="s">
        <v>1505</v>
      </c>
      <c r="C698" s="2">
        <v>46060</v>
      </c>
      <c r="D698">
        <v>437</v>
      </c>
      <c r="E698">
        <v>121.03</v>
      </c>
      <c r="F698" s="1" t="s">
        <v>1472</v>
      </c>
      <c r="G698" s="2">
        <v>46067</v>
      </c>
      <c r="H698">
        <v>457</v>
      </c>
      <c r="I698" s="2">
        <v>46083</v>
      </c>
      <c r="J698" s="1" t="s">
        <v>1402</v>
      </c>
      <c r="K698">
        <v>437</v>
      </c>
      <c r="L698">
        <v>121.03</v>
      </c>
      <c r="M698" s="2">
        <v>46077</v>
      </c>
      <c r="N698" t="str">
        <f>IF(po_master[[#This Row],[Approved By]]="", "Missing Approval", "OK")</f>
        <v>OK</v>
      </c>
      <c r="O698" t="str">
        <f>IF(ISBLANK(po_master[[#This Row],[GR Quantity]]), "No GR - Not received", "OK")</f>
        <v>OK</v>
      </c>
      <c r="P698" s="1" t="str">
        <f>IF(po_master[[#This Row],[Promised Delivey Date]]&lt;po_master[[#This Row],[Order Date]], "Invalid", "OK")</f>
        <v>OK</v>
      </c>
      <c r="Q698" s="1" t="str">
        <f>IF(ISBLANK(po_master[[#This Row],[Invoice Number]]), "No Invoice", "OK")</f>
        <v>OK</v>
      </c>
      <c r="R698" s="1" t="str">
        <f>IF(AND(NOT(ISBLANK(po_master[[#This Row],[GR Quantity]])), po_master[[#This Row],[GR Quantity]]&lt;&gt;po_master[[#This Row],[PO Quantity]]), "Qty Variance", "OK")</f>
        <v>Qty Variance</v>
      </c>
      <c r="S698" s="1" t="str">
        <f>IF(po_master[[#This Row],[Invoice Unit Price]]&gt;po_master[[#This Row],[PO Unit Price]]*1.01, "Price Variance", "OK")</f>
        <v>OK</v>
      </c>
      <c r="T698" s="1" t="str">
        <f>IF(po_master[[#This Row],[Actual Delivery Date]]&gt;po_master[[#This Row],[Promised Delivey Date]], "Late Delivery", "OK")</f>
        <v>Late Delivery</v>
      </c>
      <c r="U698" s="1" t="str">
        <f>IF(COUNTIF(po_master[PO Number],po_master[[#This Row],[PO Number]])&gt;1, "Duplicate Invoice", "OK")</f>
        <v>OK</v>
      </c>
    </row>
    <row r="699" spans="1:21" x14ac:dyDescent="0.25">
      <c r="A699" s="1" t="s">
        <v>619</v>
      </c>
      <c r="B699" s="1" t="s">
        <v>1457</v>
      </c>
      <c r="C699" s="2">
        <v>46122</v>
      </c>
      <c r="D699">
        <v>294</v>
      </c>
      <c r="E699">
        <v>82.48</v>
      </c>
      <c r="F699" s="1" t="s">
        <v>1472</v>
      </c>
      <c r="G699" s="2">
        <v>46135</v>
      </c>
      <c r="H699">
        <v>294</v>
      </c>
      <c r="I699" s="2">
        <v>46133</v>
      </c>
      <c r="J699" s="1" t="s">
        <v>1403</v>
      </c>
      <c r="K699">
        <v>294</v>
      </c>
      <c r="L699">
        <v>82.48</v>
      </c>
      <c r="M699" s="2">
        <v>46139</v>
      </c>
      <c r="N699" t="str">
        <f>IF(po_master[[#This Row],[Approved By]]="", "Missing Approval", "OK")</f>
        <v>OK</v>
      </c>
      <c r="O699" t="str">
        <f>IF(ISBLANK(po_master[[#This Row],[GR Quantity]]), "No GR - Not received", "OK")</f>
        <v>OK</v>
      </c>
      <c r="P699" s="1" t="str">
        <f>IF(po_master[[#This Row],[Promised Delivey Date]]&lt;po_master[[#This Row],[Order Date]], "Invalid", "OK")</f>
        <v>OK</v>
      </c>
      <c r="Q699" s="1" t="str">
        <f>IF(ISBLANK(po_master[[#This Row],[Invoice Number]]), "No Invoice", "OK")</f>
        <v>OK</v>
      </c>
      <c r="R699" s="1" t="str">
        <f>IF(AND(NOT(ISBLANK(po_master[[#This Row],[GR Quantity]])), po_master[[#This Row],[GR Quantity]]&lt;&gt;po_master[[#This Row],[PO Quantity]]), "Qty Variance", "OK")</f>
        <v>OK</v>
      </c>
      <c r="S699" s="1" t="str">
        <f>IF(po_master[[#This Row],[Invoice Unit Price]]&gt;po_master[[#This Row],[PO Unit Price]]*1.01, "Price Variance", "OK")</f>
        <v>OK</v>
      </c>
      <c r="T699" s="1" t="str">
        <f>IF(po_master[[#This Row],[Actual Delivery Date]]&gt;po_master[[#This Row],[Promised Delivey Date]], "Late Delivery", "OK")</f>
        <v>OK</v>
      </c>
      <c r="U699" s="1" t="str">
        <f>IF(COUNTIF(po_master[PO Number],po_master[[#This Row],[PO Number]])&gt;1, "Duplicate Invoice", "OK")</f>
        <v>OK</v>
      </c>
    </row>
    <row r="700" spans="1:21" x14ac:dyDescent="0.25">
      <c r="A700" s="1" t="s">
        <v>620</v>
      </c>
      <c r="B700" s="1" t="s">
        <v>1491</v>
      </c>
      <c r="C700" s="2">
        <v>46140</v>
      </c>
      <c r="D700">
        <v>479</v>
      </c>
      <c r="E700">
        <v>175.33</v>
      </c>
      <c r="F700" s="1" t="s">
        <v>1499</v>
      </c>
      <c r="G700" s="2">
        <v>46161</v>
      </c>
      <c r="H700">
        <v>479</v>
      </c>
      <c r="I700" s="2">
        <v>46162</v>
      </c>
      <c r="J700" s="1" t="s">
        <v>1404</v>
      </c>
      <c r="K700">
        <v>479</v>
      </c>
      <c r="L700">
        <v>175.33</v>
      </c>
      <c r="M700" s="2">
        <v>46166</v>
      </c>
      <c r="N700" t="str">
        <f>IF(po_master[[#This Row],[Approved By]]="", "Missing Approval", "OK")</f>
        <v>OK</v>
      </c>
      <c r="O700" t="str">
        <f>IF(ISBLANK(po_master[[#This Row],[GR Quantity]]), "No GR - Not received", "OK")</f>
        <v>OK</v>
      </c>
      <c r="P700" s="1" t="str">
        <f>IF(po_master[[#This Row],[Promised Delivey Date]]&lt;po_master[[#This Row],[Order Date]], "Invalid", "OK")</f>
        <v>OK</v>
      </c>
      <c r="Q700" s="1" t="str">
        <f>IF(ISBLANK(po_master[[#This Row],[Invoice Number]]), "No Invoice", "OK")</f>
        <v>OK</v>
      </c>
      <c r="R700" s="1" t="str">
        <f>IF(AND(NOT(ISBLANK(po_master[[#This Row],[GR Quantity]])), po_master[[#This Row],[GR Quantity]]&lt;&gt;po_master[[#This Row],[PO Quantity]]), "Qty Variance", "OK")</f>
        <v>OK</v>
      </c>
      <c r="S700" s="1" t="str">
        <f>IF(po_master[[#This Row],[Invoice Unit Price]]&gt;po_master[[#This Row],[PO Unit Price]]*1.01, "Price Variance", "OK")</f>
        <v>OK</v>
      </c>
      <c r="T700" s="1" t="str">
        <f>IF(po_master[[#This Row],[Actual Delivery Date]]&gt;po_master[[#This Row],[Promised Delivey Date]], "Late Delivery", "OK")</f>
        <v>Late Delivery</v>
      </c>
      <c r="U700" s="1" t="str">
        <f>IF(COUNTIF(po_master[PO Number],po_master[[#This Row],[PO Number]])&gt;1, "Duplicate Invoice", "OK")</f>
        <v>OK</v>
      </c>
    </row>
    <row r="701" spans="1:21" x14ac:dyDescent="0.25">
      <c r="A701" s="1" t="s">
        <v>621</v>
      </c>
      <c r="B701" s="1" t="s">
        <v>1495</v>
      </c>
      <c r="C701" s="2">
        <v>46051</v>
      </c>
      <c r="D701">
        <v>222</v>
      </c>
      <c r="E701">
        <v>34.18</v>
      </c>
      <c r="F701" s="1" t="s">
        <v>1480</v>
      </c>
      <c r="G701" s="2">
        <v>46059</v>
      </c>
      <c r="H701">
        <v>222</v>
      </c>
      <c r="I701" s="2">
        <v>46058</v>
      </c>
      <c r="J701" s="1" t="s">
        <v>1405</v>
      </c>
      <c r="K701">
        <v>222</v>
      </c>
      <c r="L701">
        <v>34.18</v>
      </c>
      <c r="M701" s="2">
        <v>46066</v>
      </c>
      <c r="N701" t="str">
        <f>IF(po_master[[#This Row],[Approved By]]="", "Missing Approval", "OK")</f>
        <v>OK</v>
      </c>
      <c r="O701" t="str">
        <f>IF(ISBLANK(po_master[[#This Row],[GR Quantity]]), "No GR - Not received", "OK")</f>
        <v>OK</v>
      </c>
      <c r="P701" s="1" t="str">
        <f>IF(po_master[[#This Row],[Promised Delivey Date]]&lt;po_master[[#This Row],[Order Date]], "Invalid", "OK")</f>
        <v>OK</v>
      </c>
      <c r="Q701" s="1" t="str">
        <f>IF(ISBLANK(po_master[[#This Row],[Invoice Number]]), "No Invoice", "OK")</f>
        <v>OK</v>
      </c>
      <c r="R701" s="1" t="str">
        <f>IF(AND(NOT(ISBLANK(po_master[[#This Row],[GR Quantity]])), po_master[[#This Row],[GR Quantity]]&lt;&gt;po_master[[#This Row],[PO Quantity]]), "Qty Variance", "OK")</f>
        <v>OK</v>
      </c>
      <c r="S701" s="1" t="str">
        <f>IF(po_master[[#This Row],[Invoice Unit Price]]&gt;po_master[[#This Row],[PO Unit Price]]*1.01, "Price Variance", "OK")</f>
        <v>OK</v>
      </c>
      <c r="T701" s="1" t="str">
        <f>IF(po_master[[#This Row],[Actual Delivery Date]]&gt;po_master[[#This Row],[Promised Delivey Date]], "Late Delivery", "OK")</f>
        <v>OK</v>
      </c>
      <c r="U701" s="1" t="str">
        <f>IF(COUNTIF(po_master[PO Number],po_master[[#This Row],[PO Number]])&gt;1, "Duplicate Invoice", "OK")</f>
        <v>OK</v>
      </c>
    </row>
    <row r="702" spans="1:21" x14ac:dyDescent="0.25">
      <c r="A702" s="1" t="s">
        <v>622</v>
      </c>
      <c r="B702" s="1" t="s">
        <v>1450</v>
      </c>
      <c r="C702" s="2">
        <v>46167</v>
      </c>
      <c r="D702">
        <v>409</v>
      </c>
      <c r="E702">
        <v>24.69</v>
      </c>
      <c r="F702" s="1" t="s">
        <v>1459</v>
      </c>
      <c r="G702" s="2">
        <v>46183</v>
      </c>
      <c r="H702">
        <v>409</v>
      </c>
      <c r="I702" s="2">
        <v>46183</v>
      </c>
      <c r="J702" s="1" t="s">
        <v>1406</v>
      </c>
      <c r="K702">
        <v>409</v>
      </c>
      <c r="L702">
        <v>24.69</v>
      </c>
      <c r="M702" s="2">
        <v>46185</v>
      </c>
      <c r="N702" t="str">
        <f>IF(po_master[[#This Row],[Approved By]]="", "Missing Approval", "OK")</f>
        <v>Missing Approval</v>
      </c>
      <c r="O702" t="str">
        <f>IF(ISBLANK(po_master[[#This Row],[GR Quantity]]), "No GR - Not received", "OK")</f>
        <v>OK</v>
      </c>
      <c r="P702" s="1" t="str">
        <f>IF(po_master[[#This Row],[Promised Delivey Date]]&lt;po_master[[#This Row],[Order Date]], "Invalid", "OK")</f>
        <v>OK</v>
      </c>
      <c r="Q702" s="1" t="str">
        <f>IF(ISBLANK(po_master[[#This Row],[Invoice Number]]), "No Invoice", "OK")</f>
        <v>OK</v>
      </c>
      <c r="R702" s="1" t="str">
        <f>IF(AND(NOT(ISBLANK(po_master[[#This Row],[GR Quantity]])), po_master[[#This Row],[GR Quantity]]&lt;&gt;po_master[[#This Row],[PO Quantity]]), "Qty Variance", "OK")</f>
        <v>OK</v>
      </c>
      <c r="S702" s="1" t="str">
        <f>IF(po_master[[#This Row],[Invoice Unit Price]]&gt;po_master[[#This Row],[PO Unit Price]]*1.01, "Price Variance", "OK")</f>
        <v>OK</v>
      </c>
      <c r="T702" s="1" t="str">
        <f>IF(po_master[[#This Row],[Actual Delivery Date]]&gt;po_master[[#This Row],[Promised Delivey Date]], "Late Delivery", "OK")</f>
        <v>OK</v>
      </c>
      <c r="U702" s="1" t="str">
        <f>IF(COUNTIF(po_master[PO Number],po_master[[#This Row],[PO Number]])&gt;1, "Duplicate Invoice", "OK")</f>
        <v>OK</v>
      </c>
    </row>
    <row r="703" spans="1:21" x14ac:dyDescent="0.25">
      <c r="A703" s="1" t="s">
        <v>623</v>
      </c>
      <c r="B703" s="1" t="s">
        <v>1495</v>
      </c>
      <c r="C703" s="2">
        <v>46090</v>
      </c>
      <c r="D703">
        <v>206</v>
      </c>
      <c r="E703">
        <v>132.68</v>
      </c>
      <c r="F703" s="1" t="s">
        <v>1480</v>
      </c>
      <c r="G703" s="2">
        <v>46110</v>
      </c>
      <c r="H703">
        <v>206</v>
      </c>
      <c r="I703" s="2">
        <v>46109</v>
      </c>
      <c r="J703" s="1" t="s">
        <v>1407</v>
      </c>
      <c r="K703">
        <v>206</v>
      </c>
      <c r="L703">
        <v>132.68</v>
      </c>
      <c r="M703" s="2">
        <v>46113</v>
      </c>
      <c r="N703" t="str">
        <f>IF(po_master[[#This Row],[Approved By]]="", "Missing Approval", "OK")</f>
        <v>OK</v>
      </c>
      <c r="O703" t="str">
        <f>IF(ISBLANK(po_master[[#This Row],[GR Quantity]]), "No GR - Not received", "OK")</f>
        <v>OK</v>
      </c>
      <c r="P703" s="1" t="str">
        <f>IF(po_master[[#This Row],[Promised Delivey Date]]&lt;po_master[[#This Row],[Order Date]], "Invalid", "OK")</f>
        <v>OK</v>
      </c>
      <c r="Q703" s="1" t="str">
        <f>IF(ISBLANK(po_master[[#This Row],[Invoice Number]]), "No Invoice", "OK")</f>
        <v>OK</v>
      </c>
      <c r="R703" s="1" t="str">
        <f>IF(AND(NOT(ISBLANK(po_master[[#This Row],[GR Quantity]])), po_master[[#This Row],[GR Quantity]]&lt;&gt;po_master[[#This Row],[PO Quantity]]), "Qty Variance", "OK")</f>
        <v>OK</v>
      </c>
      <c r="S703" s="1" t="str">
        <f>IF(po_master[[#This Row],[Invoice Unit Price]]&gt;po_master[[#This Row],[PO Unit Price]]*1.01, "Price Variance", "OK")</f>
        <v>OK</v>
      </c>
      <c r="T703" s="1" t="str">
        <f>IF(po_master[[#This Row],[Actual Delivery Date]]&gt;po_master[[#This Row],[Promised Delivey Date]], "Late Delivery", "OK")</f>
        <v>OK</v>
      </c>
      <c r="U703" s="1" t="str">
        <f>IF(COUNTIF(po_master[PO Number],po_master[[#This Row],[PO Number]])&gt;1, "Duplicate Invoice", "OK")</f>
        <v>OK</v>
      </c>
    </row>
    <row r="704" spans="1:21" x14ac:dyDescent="0.25">
      <c r="A704" s="1" t="s">
        <v>624</v>
      </c>
      <c r="B704" s="1" t="s">
        <v>1452</v>
      </c>
      <c r="C704" s="2">
        <v>46067</v>
      </c>
      <c r="D704">
        <v>151</v>
      </c>
      <c r="E704">
        <v>83.58</v>
      </c>
      <c r="F704" s="1" t="s">
        <v>1494</v>
      </c>
      <c r="G704" s="2">
        <v>46084</v>
      </c>
      <c r="H704">
        <v>151</v>
      </c>
      <c r="I704" s="2">
        <v>46083</v>
      </c>
      <c r="J704" s="1" t="s">
        <v>1408</v>
      </c>
      <c r="K704">
        <v>151</v>
      </c>
      <c r="L704">
        <v>83.58</v>
      </c>
      <c r="M704" s="2">
        <v>46087</v>
      </c>
      <c r="N704" t="str">
        <f>IF(po_master[[#This Row],[Approved By]]="", "Missing Approval", "OK")</f>
        <v>OK</v>
      </c>
      <c r="O704" t="str">
        <f>IF(ISBLANK(po_master[[#This Row],[GR Quantity]]), "No GR - Not received", "OK")</f>
        <v>OK</v>
      </c>
      <c r="P704" s="1" t="str">
        <f>IF(po_master[[#This Row],[Promised Delivey Date]]&lt;po_master[[#This Row],[Order Date]], "Invalid", "OK")</f>
        <v>OK</v>
      </c>
      <c r="Q704" s="1" t="str">
        <f>IF(ISBLANK(po_master[[#This Row],[Invoice Number]]), "No Invoice", "OK")</f>
        <v>OK</v>
      </c>
      <c r="R704" s="1" t="str">
        <f>IF(AND(NOT(ISBLANK(po_master[[#This Row],[GR Quantity]])), po_master[[#This Row],[GR Quantity]]&lt;&gt;po_master[[#This Row],[PO Quantity]]), "Qty Variance", "OK")</f>
        <v>OK</v>
      </c>
      <c r="S704" s="1" t="str">
        <f>IF(po_master[[#This Row],[Invoice Unit Price]]&gt;po_master[[#This Row],[PO Unit Price]]*1.01, "Price Variance", "OK")</f>
        <v>OK</v>
      </c>
      <c r="T704" s="1" t="str">
        <f>IF(po_master[[#This Row],[Actual Delivery Date]]&gt;po_master[[#This Row],[Promised Delivey Date]], "Late Delivery", "OK")</f>
        <v>OK</v>
      </c>
      <c r="U704" s="1" t="str">
        <f>IF(COUNTIF(po_master[PO Number],po_master[[#This Row],[PO Number]])&gt;1, "Duplicate Invoice", "OK")</f>
        <v>OK</v>
      </c>
    </row>
    <row r="705" spans="1:21" x14ac:dyDescent="0.25">
      <c r="A705" s="1" t="s">
        <v>625</v>
      </c>
      <c r="B705" s="1" t="s">
        <v>1452</v>
      </c>
      <c r="C705" s="2">
        <v>46124</v>
      </c>
      <c r="D705">
        <v>465</v>
      </c>
      <c r="E705">
        <v>176.4</v>
      </c>
      <c r="F705" s="1" t="s">
        <v>1499</v>
      </c>
      <c r="G705" s="2">
        <v>46136</v>
      </c>
      <c r="H705">
        <v>465</v>
      </c>
      <c r="I705" s="2">
        <v>46136</v>
      </c>
      <c r="J705" s="1" t="s">
        <v>1409</v>
      </c>
      <c r="K705">
        <v>465</v>
      </c>
      <c r="L705">
        <v>176.4</v>
      </c>
      <c r="M705" s="2">
        <v>46137</v>
      </c>
      <c r="N705" t="str">
        <f>IF(po_master[[#This Row],[Approved By]]="", "Missing Approval", "OK")</f>
        <v>OK</v>
      </c>
      <c r="O705" t="str">
        <f>IF(ISBLANK(po_master[[#This Row],[GR Quantity]]), "No GR - Not received", "OK")</f>
        <v>OK</v>
      </c>
      <c r="P705" s="1" t="str">
        <f>IF(po_master[[#This Row],[Promised Delivey Date]]&lt;po_master[[#This Row],[Order Date]], "Invalid", "OK")</f>
        <v>OK</v>
      </c>
      <c r="Q705" s="1" t="str">
        <f>IF(ISBLANK(po_master[[#This Row],[Invoice Number]]), "No Invoice", "OK")</f>
        <v>OK</v>
      </c>
      <c r="R705" s="1" t="str">
        <f>IF(AND(NOT(ISBLANK(po_master[[#This Row],[GR Quantity]])), po_master[[#This Row],[GR Quantity]]&lt;&gt;po_master[[#This Row],[PO Quantity]]), "Qty Variance", "OK")</f>
        <v>OK</v>
      </c>
      <c r="S705" s="1" t="str">
        <f>IF(po_master[[#This Row],[Invoice Unit Price]]&gt;po_master[[#This Row],[PO Unit Price]]*1.01, "Price Variance", "OK")</f>
        <v>OK</v>
      </c>
      <c r="T705" s="1" t="str">
        <f>IF(po_master[[#This Row],[Actual Delivery Date]]&gt;po_master[[#This Row],[Promised Delivey Date]], "Late Delivery", "OK")</f>
        <v>OK</v>
      </c>
      <c r="U705" s="1" t="str">
        <f>IF(COUNTIF(po_master[PO Number],po_master[[#This Row],[PO Number]])&gt;1, "Duplicate Invoice", "OK")</f>
        <v>OK</v>
      </c>
    </row>
    <row r="706" spans="1:21" x14ac:dyDescent="0.25">
      <c r="A706" s="1" t="s">
        <v>626</v>
      </c>
      <c r="B706" s="1" t="s">
        <v>1475</v>
      </c>
      <c r="C706" s="2">
        <v>46144</v>
      </c>
      <c r="D706">
        <v>481</v>
      </c>
      <c r="E706">
        <v>57.37</v>
      </c>
      <c r="F706" s="1" t="s">
        <v>1451</v>
      </c>
      <c r="G706" s="2">
        <v>46149</v>
      </c>
      <c r="H706">
        <v>481</v>
      </c>
      <c r="I706" s="2">
        <v>46148</v>
      </c>
      <c r="J706" s="1" t="s">
        <v>1410</v>
      </c>
      <c r="K706">
        <v>481</v>
      </c>
      <c r="L706">
        <v>57.37</v>
      </c>
      <c r="M706" s="2">
        <v>46152</v>
      </c>
      <c r="N706" t="str">
        <f>IF(po_master[[#This Row],[Approved By]]="", "Missing Approval", "OK")</f>
        <v>OK</v>
      </c>
      <c r="O706" t="str">
        <f>IF(ISBLANK(po_master[[#This Row],[GR Quantity]]), "No GR - Not received", "OK")</f>
        <v>OK</v>
      </c>
      <c r="P706" s="1" t="str">
        <f>IF(po_master[[#This Row],[Promised Delivey Date]]&lt;po_master[[#This Row],[Order Date]], "Invalid", "OK")</f>
        <v>OK</v>
      </c>
      <c r="Q706" s="1" t="str">
        <f>IF(ISBLANK(po_master[[#This Row],[Invoice Number]]), "No Invoice", "OK")</f>
        <v>OK</v>
      </c>
      <c r="R706" s="1" t="str">
        <f>IF(AND(NOT(ISBLANK(po_master[[#This Row],[GR Quantity]])), po_master[[#This Row],[GR Quantity]]&lt;&gt;po_master[[#This Row],[PO Quantity]]), "Qty Variance", "OK")</f>
        <v>OK</v>
      </c>
      <c r="S706" s="1" t="str">
        <f>IF(po_master[[#This Row],[Invoice Unit Price]]&gt;po_master[[#This Row],[PO Unit Price]]*1.01, "Price Variance", "OK")</f>
        <v>OK</v>
      </c>
      <c r="T706" s="1" t="str">
        <f>IF(po_master[[#This Row],[Actual Delivery Date]]&gt;po_master[[#This Row],[Promised Delivey Date]], "Late Delivery", "OK")</f>
        <v>OK</v>
      </c>
      <c r="U706" s="1" t="str">
        <f>IF(COUNTIF(po_master[PO Number],po_master[[#This Row],[PO Number]])&gt;1, "Duplicate Invoice", "OK")</f>
        <v>OK</v>
      </c>
    </row>
    <row r="707" spans="1:21" x14ac:dyDescent="0.25">
      <c r="A707" s="1" t="s">
        <v>627</v>
      </c>
      <c r="B707" s="1" t="s">
        <v>1479</v>
      </c>
      <c r="C707" s="2">
        <v>46100</v>
      </c>
      <c r="D707">
        <v>169</v>
      </c>
      <c r="E707">
        <v>59.67</v>
      </c>
      <c r="F707" s="1" t="s">
        <v>1487</v>
      </c>
      <c r="G707" s="2">
        <v>46108</v>
      </c>
      <c r="H707">
        <v>169</v>
      </c>
      <c r="I707" s="2">
        <v>46106</v>
      </c>
      <c r="J707" s="1" t="s">
        <v>1411</v>
      </c>
      <c r="K707">
        <v>169</v>
      </c>
      <c r="L707">
        <v>59.67</v>
      </c>
      <c r="M707" s="2">
        <v>46110</v>
      </c>
      <c r="N707" t="str">
        <f>IF(po_master[[#This Row],[Approved By]]="", "Missing Approval", "OK")</f>
        <v>OK</v>
      </c>
      <c r="O707" t="str">
        <f>IF(ISBLANK(po_master[[#This Row],[GR Quantity]]), "No GR - Not received", "OK")</f>
        <v>OK</v>
      </c>
      <c r="P707" s="1" t="str">
        <f>IF(po_master[[#This Row],[Promised Delivey Date]]&lt;po_master[[#This Row],[Order Date]], "Invalid", "OK")</f>
        <v>OK</v>
      </c>
      <c r="Q707" s="1" t="str">
        <f>IF(ISBLANK(po_master[[#This Row],[Invoice Number]]), "No Invoice", "OK")</f>
        <v>OK</v>
      </c>
      <c r="R707" s="1" t="str">
        <f>IF(AND(NOT(ISBLANK(po_master[[#This Row],[GR Quantity]])), po_master[[#This Row],[GR Quantity]]&lt;&gt;po_master[[#This Row],[PO Quantity]]), "Qty Variance", "OK")</f>
        <v>OK</v>
      </c>
      <c r="S707" s="1" t="str">
        <f>IF(po_master[[#This Row],[Invoice Unit Price]]&gt;po_master[[#This Row],[PO Unit Price]]*1.01, "Price Variance", "OK")</f>
        <v>OK</v>
      </c>
      <c r="T707" s="1" t="str">
        <f>IF(po_master[[#This Row],[Actual Delivery Date]]&gt;po_master[[#This Row],[Promised Delivey Date]], "Late Delivery", "OK")</f>
        <v>OK</v>
      </c>
      <c r="U707" s="1" t="str">
        <f>IF(COUNTIF(po_master[PO Number],po_master[[#This Row],[PO Number]])&gt;1, "Duplicate Invoice", "OK")</f>
        <v>OK</v>
      </c>
    </row>
    <row r="708" spans="1:21" x14ac:dyDescent="0.25">
      <c r="A708" s="1" t="s">
        <v>628</v>
      </c>
      <c r="B708" s="1" t="s">
        <v>1447</v>
      </c>
      <c r="C708" s="2">
        <v>46057</v>
      </c>
      <c r="D708">
        <v>163</v>
      </c>
      <c r="E708">
        <v>194.97</v>
      </c>
      <c r="F708" s="1" t="s">
        <v>1469</v>
      </c>
      <c r="G708" s="2">
        <v>46072</v>
      </c>
      <c r="H708">
        <v>163</v>
      </c>
      <c r="I708" s="2">
        <v>46073</v>
      </c>
      <c r="J708" s="1" t="s">
        <v>1412</v>
      </c>
      <c r="K708">
        <v>163</v>
      </c>
      <c r="L708">
        <v>194.97</v>
      </c>
      <c r="M708" s="2">
        <v>46081</v>
      </c>
      <c r="N708" t="str">
        <f>IF(po_master[[#This Row],[Approved By]]="", "Missing Approval", "OK")</f>
        <v>OK</v>
      </c>
      <c r="O708" t="str">
        <f>IF(ISBLANK(po_master[[#This Row],[GR Quantity]]), "No GR - Not received", "OK")</f>
        <v>OK</v>
      </c>
      <c r="P708" s="1" t="str">
        <f>IF(po_master[[#This Row],[Promised Delivey Date]]&lt;po_master[[#This Row],[Order Date]], "Invalid", "OK")</f>
        <v>OK</v>
      </c>
      <c r="Q708" s="1" t="str">
        <f>IF(ISBLANK(po_master[[#This Row],[Invoice Number]]), "No Invoice", "OK")</f>
        <v>OK</v>
      </c>
      <c r="R708" s="1" t="str">
        <f>IF(AND(NOT(ISBLANK(po_master[[#This Row],[GR Quantity]])), po_master[[#This Row],[GR Quantity]]&lt;&gt;po_master[[#This Row],[PO Quantity]]), "Qty Variance", "OK")</f>
        <v>OK</v>
      </c>
      <c r="S708" s="1" t="str">
        <f>IF(po_master[[#This Row],[Invoice Unit Price]]&gt;po_master[[#This Row],[PO Unit Price]]*1.01, "Price Variance", "OK")</f>
        <v>OK</v>
      </c>
      <c r="T708" s="1" t="str">
        <f>IF(po_master[[#This Row],[Actual Delivery Date]]&gt;po_master[[#This Row],[Promised Delivey Date]], "Late Delivery", "OK")</f>
        <v>Late Delivery</v>
      </c>
      <c r="U708" s="1" t="str">
        <f>IF(COUNTIF(po_master[PO Number],po_master[[#This Row],[PO Number]])&gt;1, "Duplicate Invoice", "OK")</f>
        <v>OK</v>
      </c>
    </row>
    <row r="709" spans="1:21" x14ac:dyDescent="0.25">
      <c r="A709" s="1" t="s">
        <v>629</v>
      </c>
      <c r="B709" s="1" t="s">
        <v>1511</v>
      </c>
      <c r="C709" s="2">
        <v>46129</v>
      </c>
      <c r="D709">
        <v>319</v>
      </c>
      <c r="E709">
        <v>130.88</v>
      </c>
      <c r="F709" s="1" t="s">
        <v>1444</v>
      </c>
      <c r="G709" s="2">
        <v>46148</v>
      </c>
      <c r="H709">
        <v>319</v>
      </c>
      <c r="I709" s="2">
        <v>46150</v>
      </c>
      <c r="J709" s="1" t="s">
        <v>1413</v>
      </c>
      <c r="K709">
        <v>319</v>
      </c>
      <c r="L709">
        <v>130.88</v>
      </c>
      <c r="M709" s="2">
        <v>46152</v>
      </c>
      <c r="N709" t="str">
        <f>IF(po_master[[#This Row],[Approved By]]="", "Missing Approval", "OK")</f>
        <v>OK</v>
      </c>
      <c r="O709" t="str">
        <f>IF(ISBLANK(po_master[[#This Row],[GR Quantity]]), "No GR - Not received", "OK")</f>
        <v>OK</v>
      </c>
      <c r="P709" s="1" t="str">
        <f>IF(po_master[[#This Row],[Promised Delivey Date]]&lt;po_master[[#This Row],[Order Date]], "Invalid", "OK")</f>
        <v>OK</v>
      </c>
      <c r="Q709" s="1" t="str">
        <f>IF(ISBLANK(po_master[[#This Row],[Invoice Number]]), "No Invoice", "OK")</f>
        <v>OK</v>
      </c>
      <c r="R709" s="1" t="str">
        <f>IF(AND(NOT(ISBLANK(po_master[[#This Row],[GR Quantity]])), po_master[[#This Row],[GR Quantity]]&lt;&gt;po_master[[#This Row],[PO Quantity]]), "Qty Variance", "OK")</f>
        <v>OK</v>
      </c>
      <c r="S709" s="1" t="str">
        <f>IF(po_master[[#This Row],[Invoice Unit Price]]&gt;po_master[[#This Row],[PO Unit Price]]*1.01, "Price Variance", "OK")</f>
        <v>OK</v>
      </c>
      <c r="T709" s="1" t="str">
        <f>IF(po_master[[#This Row],[Actual Delivery Date]]&gt;po_master[[#This Row],[Promised Delivey Date]], "Late Delivery", "OK")</f>
        <v>Late Delivery</v>
      </c>
      <c r="U709" s="1" t="str">
        <f>IF(COUNTIF(po_master[PO Number],po_master[[#This Row],[PO Number]])&gt;1, "Duplicate Invoice", "OK")</f>
        <v>OK</v>
      </c>
    </row>
    <row r="710" spans="1:21" x14ac:dyDescent="0.25">
      <c r="A710" s="1" t="s">
        <v>630</v>
      </c>
      <c r="B710" s="1" t="s">
        <v>1463</v>
      </c>
      <c r="C710" s="2">
        <v>46127</v>
      </c>
      <c r="D710">
        <v>389</v>
      </c>
      <c r="E710">
        <v>99.47</v>
      </c>
      <c r="F710" s="1" t="s">
        <v>1504</v>
      </c>
      <c r="G710" s="2">
        <v>46143</v>
      </c>
      <c r="H710">
        <v>397</v>
      </c>
      <c r="I710" s="2">
        <v>46144</v>
      </c>
      <c r="J710" s="1" t="s">
        <v>1414</v>
      </c>
      <c r="K710">
        <v>389</v>
      </c>
      <c r="L710">
        <v>99.47</v>
      </c>
      <c r="M710" s="2">
        <v>46144</v>
      </c>
      <c r="N710" t="str">
        <f>IF(po_master[[#This Row],[Approved By]]="", "Missing Approval", "OK")</f>
        <v>OK</v>
      </c>
      <c r="O710" t="str">
        <f>IF(ISBLANK(po_master[[#This Row],[GR Quantity]]), "No GR - Not received", "OK")</f>
        <v>OK</v>
      </c>
      <c r="P710" s="1" t="str">
        <f>IF(po_master[[#This Row],[Promised Delivey Date]]&lt;po_master[[#This Row],[Order Date]], "Invalid", "OK")</f>
        <v>OK</v>
      </c>
      <c r="Q710" s="1" t="str">
        <f>IF(ISBLANK(po_master[[#This Row],[Invoice Number]]), "No Invoice", "OK")</f>
        <v>OK</v>
      </c>
      <c r="R710" s="1" t="str">
        <f>IF(AND(NOT(ISBLANK(po_master[[#This Row],[GR Quantity]])), po_master[[#This Row],[GR Quantity]]&lt;&gt;po_master[[#This Row],[PO Quantity]]), "Qty Variance", "OK")</f>
        <v>Qty Variance</v>
      </c>
      <c r="S710" s="1" t="str">
        <f>IF(po_master[[#This Row],[Invoice Unit Price]]&gt;po_master[[#This Row],[PO Unit Price]]*1.01, "Price Variance", "OK")</f>
        <v>OK</v>
      </c>
      <c r="T710" s="1" t="str">
        <f>IF(po_master[[#This Row],[Actual Delivery Date]]&gt;po_master[[#This Row],[Promised Delivey Date]], "Late Delivery", "OK")</f>
        <v>Late Delivery</v>
      </c>
      <c r="U710" s="1" t="str">
        <f>IF(COUNTIF(po_master[PO Number],po_master[[#This Row],[PO Number]])&gt;1, "Duplicate Invoice", "OK")</f>
        <v>OK</v>
      </c>
    </row>
    <row r="711" spans="1:21" x14ac:dyDescent="0.25">
      <c r="A711" s="1" t="s">
        <v>631</v>
      </c>
      <c r="B711" s="1" t="s">
        <v>1475</v>
      </c>
      <c r="C711" s="2">
        <v>46154</v>
      </c>
      <c r="D711">
        <v>415</v>
      </c>
      <c r="E711">
        <v>36</v>
      </c>
      <c r="F711" s="1" t="s">
        <v>1474</v>
      </c>
      <c r="G711" s="2">
        <v>46175</v>
      </c>
      <c r="H711">
        <v>415</v>
      </c>
      <c r="I711" s="2">
        <v>46177</v>
      </c>
      <c r="J711" s="1" t="s">
        <v>1415</v>
      </c>
      <c r="K711">
        <v>415</v>
      </c>
      <c r="L711">
        <v>36</v>
      </c>
      <c r="M711" s="2">
        <v>46180</v>
      </c>
      <c r="N711" t="str">
        <f>IF(po_master[[#This Row],[Approved By]]="", "Missing Approval", "OK")</f>
        <v>OK</v>
      </c>
      <c r="O711" t="str">
        <f>IF(ISBLANK(po_master[[#This Row],[GR Quantity]]), "No GR - Not received", "OK")</f>
        <v>OK</v>
      </c>
      <c r="P711" s="1" t="str">
        <f>IF(po_master[[#This Row],[Promised Delivey Date]]&lt;po_master[[#This Row],[Order Date]], "Invalid", "OK")</f>
        <v>OK</v>
      </c>
      <c r="Q711" s="1" t="str">
        <f>IF(ISBLANK(po_master[[#This Row],[Invoice Number]]), "No Invoice", "OK")</f>
        <v>OK</v>
      </c>
      <c r="R711" s="1" t="str">
        <f>IF(AND(NOT(ISBLANK(po_master[[#This Row],[GR Quantity]])), po_master[[#This Row],[GR Quantity]]&lt;&gt;po_master[[#This Row],[PO Quantity]]), "Qty Variance", "OK")</f>
        <v>OK</v>
      </c>
      <c r="S711" s="1" t="str">
        <f>IF(po_master[[#This Row],[Invoice Unit Price]]&gt;po_master[[#This Row],[PO Unit Price]]*1.01, "Price Variance", "OK")</f>
        <v>OK</v>
      </c>
      <c r="T711" s="1" t="str">
        <f>IF(po_master[[#This Row],[Actual Delivery Date]]&gt;po_master[[#This Row],[Promised Delivey Date]], "Late Delivery", "OK")</f>
        <v>Late Delivery</v>
      </c>
      <c r="U711" s="1" t="str">
        <f>IF(COUNTIF(po_master[PO Number],po_master[[#This Row],[PO Number]])&gt;1, "Duplicate Invoice", "OK")</f>
        <v>OK</v>
      </c>
    </row>
    <row r="712" spans="1:21" x14ac:dyDescent="0.25">
      <c r="A712" s="1" t="s">
        <v>632</v>
      </c>
      <c r="B712" s="1" t="s">
        <v>1488</v>
      </c>
      <c r="C712" s="2">
        <v>46057</v>
      </c>
      <c r="D712">
        <v>409</v>
      </c>
      <c r="E712">
        <v>171</v>
      </c>
      <c r="F712" s="1" t="s">
        <v>1480</v>
      </c>
      <c r="G712" s="2">
        <v>46062</v>
      </c>
      <c r="H712">
        <v>419</v>
      </c>
      <c r="I712" s="2">
        <v>46063</v>
      </c>
      <c r="J712" s="1" t="s">
        <v>1416</v>
      </c>
      <c r="K712">
        <v>409</v>
      </c>
      <c r="L712">
        <v>171</v>
      </c>
      <c r="M712" s="2">
        <v>46068</v>
      </c>
      <c r="N712" t="str">
        <f>IF(po_master[[#This Row],[Approved By]]="", "Missing Approval", "OK")</f>
        <v>OK</v>
      </c>
      <c r="O712" t="str">
        <f>IF(ISBLANK(po_master[[#This Row],[GR Quantity]]), "No GR - Not received", "OK")</f>
        <v>OK</v>
      </c>
      <c r="P712" s="1" t="str">
        <f>IF(po_master[[#This Row],[Promised Delivey Date]]&lt;po_master[[#This Row],[Order Date]], "Invalid", "OK")</f>
        <v>OK</v>
      </c>
      <c r="Q712" s="1" t="str">
        <f>IF(ISBLANK(po_master[[#This Row],[Invoice Number]]), "No Invoice", "OK")</f>
        <v>OK</v>
      </c>
      <c r="R712" s="1" t="str">
        <f>IF(AND(NOT(ISBLANK(po_master[[#This Row],[GR Quantity]])), po_master[[#This Row],[GR Quantity]]&lt;&gt;po_master[[#This Row],[PO Quantity]]), "Qty Variance", "OK")</f>
        <v>Qty Variance</v>
      </c>
      <c r="S712" s="1" t="str">
        <f>IF(po_master[[#This Row],[Invoice Unit Price]]&gt;po_master[[#This Row],[PO Unit Price]]*1.01, "Price Variance", "OK")</f>
        <v>OK</v>
      </c>
      <c r="T712" s="1" t="str">
        <f>IF(po_master[[#This Row],[Actual Delivery Date]]&gt;po_master[[#This Row],[Promised Delivey Date]], "Late Delivery", "OK")</f>
        <v>Late Delivery</v>
      </c>
      <c r="U712" s="1" t="str">
        <f>IF(COUNTIF(po_master[PO Number],po_master[[#This Row],[PO Number]])&gt;1, "Duplicate Invoice", "OK")</f>
        <v>OK</v>
      </c>
    </row>
    <row r="713" spans="1:21" x14ac:dyDescent="0.25">
      <c r="A713" s="1" t="s">
        <v>633</v>
      </c>
      <c r="B713" s="1" t="s">
        <v>1486</v>
      </c>
      <c r="C713" s="2">
        <v>46072</v>
      </c>
      <c r="D713">
        <v>458</v>
      </c>
      <c r="E713">
        <v>167.42</v>
      </c>
      <c r="F713" s="1" t="s">
        <v>1462</v>
      </c>
      <c r="G713" s="2">
        <v>46084</v>
      </c>
      <c r="H713">
        <v>458</v>
      </c>
      <c r="I713" s="2">
        <v>46082</v>
      </c>
      <c r="J713" s="1" t="s">
        <v>1417</v>
      </c>
      <c r="K713">
        <v>458</v>
      </c>
      <c r="L713">
        <v>167.42</v>
      </c>
      <c r="M713" s="2">
        <v>46085</v>
      </c>
      <c r="N713" t="str">
        <f>IF(po_master[[#This Row],[Approved By]]="", "Missing Approval", "OK")</f>
        <v>OK</v>
      </c>
      <c r="O713" t="str">
        <f>IF(ISBLANK(po_master[[#This Row],[GR Quantity]]), "No GR - Not received", "OK")</f>
        <v>OK</v>
      </c>
      <c r="P713" s="1" t="str">
        <f>IF(po_master[[#This Row],[Promised Delivey Date]]&lt;po_master[[#This Row],[Order Date]], "Invalid", "OK")</f>
        <v>OK</v>
      </c>
      <c r="Q713" s="1" t="str">
        <f>IF(ISBLANK(po_master[[#This Row],[Invoice Number]]), "No Invoice", "OK")</f>
        <v>OK</v>
      </c>
      <c r="R713" s="1" t="str">
        <f>IF(AND(NOT(ISBLANK(po_master[[#This Row],[GR Quantity]])), po_master[[#This Row],[GR Quantity]]&lt;&gt;po_master[[#This Row],[PO Quantity]]), "Qty Variance", "OK")</f>
        <v>OK</v>
      </c>
      <c r="S713" s="1" t="str">
        <f>IF(po_master[[#This Row],[Invoice Unit Price]]&gt;po_master[[#This Row],[PO Unit Price]]*1.01, "Price Variance", "OK")</f>
        <v>OK</v>
      </c>
      <c r="T713" s="1" t="str">
        <f>IF(po_master[[#This Row],[Actual Delivery Date]]&gt;po_master[[#This Row],[Promised Delivey Date]], "Late Delivery", "OK")</f>
        <v>OK</v>
      </c>
      <c r="U713" s="1" t="str">
        <f>IF(COUNTIF(po_master[PO Number],po_master[[#This Row],[PO Number]])&gt;1, "Duplicate Invoice", "OK")</f>
        <v>OK</v>
      </c>
    </row>
    <row r="714" spans="1:21" x14ac:dyDescent="0.25">
      <c r="A714" s="1" t="s">
        <v>634</v>
      </c>
      <c r="B714" s="1" t="s">
        <v>1452</v>
      </c>
      <c r="C714" s="2">
        <v>46139</v>
      </c>
      <c r="D714">
        <v>35</v>
      </c>
      <c r="E714">
        <v>184.02</v>
      </c>
      <c r="F714" s="1" t="s">
        <v>1499</v>
      </c>
      <c r="G714" s="2">
        <v>46150</v>
      </c>
      <c r="H714">
        <v>35</v>
      </c>
      <c r="I714" s="2">
        <v>46150</v>
      </c>
      <c r="J714" s="1" t="s">
        <v>1418</v>
      </c>
      <c r="K714">
        <v>35</v>
      </c>
      <c r="L714">
        <v>211.45</v>
      </c>
      <c r="M714" s="2">
        <v>46156</v>
      </c>
      <c r="N714" t="str">
        <f>IF(po_master[[#This Row],[Approved By]]="", "Missing Approval", "OK")</f>
        <v>OK</v>
      </c>
      <c r="O714" t="str">
        <f>IF(ISBLANK(po_master[[#This Row],[GR Quantity]]), "No GR - Not received", "OK")</f>
        <v>OK</v>
      </c>
      <c r="P714" s="1" t="str">
        <f>IF(po_master[[#This Row],[Promised Delivey Date]]&lt;po_master[[#This Row],[Order Date]], "Invalid", "OK")</f>
        <v>OK</v>
      </c>
      <c r="Q714" s="1" t="str">
        <f>IF(ISBLANK(po_master[[#This Row],[Invoice Number]]), "No Invoice", "OK")</f>
        <v>OK</v>
      </c>
      <c r="R714" s="1" t="str">
        <f>IF(AND(NOT(ISBLANK(po_master[[#This Row],[GR Quantity]])), po_master[[#This Row],[GR Quantity]]&lt;&gt;po_master[[#This Row],[PO Quantity]]), "Qty Variance", "OK")</f>
        <v>OK</v>
      </c>
      <c r="S714" s="1" t="str">
        <f>IF(po_master[[#This Row],[Invoice Unit Price]]&gt;po_master[[#This Row],[PO Unit Price]]*1.01, "Price Variance", "OK")</f>
        <v>Price Variance</v>
      </c>
      <c r="T714" s="1" t="str">
        <f>IF(po_master[[#This Row],[Actual Delivery Date]]&gt;po_master[[#This Row],[Promised Delivey Date]], "Late Delivery", "OK")</f>
        <v>OK</v>
      </c>
      <c r="U714" s="1" t="str">
        <f>IF(COUNTIF(po_master[PO Number],po_master[[#This Row],[PO Number]])&gt;1, "Duplicate Invoice", "OK")</f>
        <v>OK</v>
      </c>
    </row>
    <row r="715" spans="1:21" x14ac:dyDescent="0.25">
      <c r="A715" s="1" t="s">
        <v>635</v>
      </c>
      <c r="B715" s="1" t="s">
        <v>1511</v>
      </c>
      <c r="C715" s="2">
        <v>46117</v>
      </c>
      <c r="D715">
        <v>431</v>
      </c>
      <c r="E715">
        <v>95.52</v>
      </c>
      <c r="F715" s="1" t="s">
        <v>1453</v>
      </c>
      <c r="G715" s="2">
        <v>46125</v>
      </c>
      <c r="H715">
        <v>431</v>
      </c>
      <c r="I715" s="2">
        <v>46127</v>
      </c>
      <c r="J715" s="1" t="s">
        <v>1419</v>
      </c>
      <c r="K715">
        <v>431</v>
      </c>
      <c r="L715">
        <v>95.52</v>
      </c>
      <c r="M715" s="2">
        <v>46135</v>
      </c>
      <c r="N715" t="str">
        <f>IF(po_master[[#This Row],[Approved By]]="", "Missing Approval", "OK")</f>
        <v>OK</v>
      </c>
      <c r="O715" t="str">
        <f>IF(ISBLANK(po_master[[#This Row],[GR Quantity]]), "No GR - Not received", "OK")</f>
        <v>OK</v>
      </c>
      <c r="P715" s="1" t="str">
        <f>IF(po_master[[#This Row],[Promised Delivey Date]]&lt;po_master[[#This Row],[Order Date]], "Invalid", "OK")</f>
        <v>OK</v>
      </c>
      <c r="Q715" s="1" t="str">
        <f>IF(ISBLANK(po_master[[#This Row],[Invoice Number]]), "No Invoice", "OK")</f>
        <v>OK</v>
      </c>
      <c r="R715" s="1" t="str">
        <f>IF(AND(NOT(ISBLANK(po_master[[#This Row],[GR Quantity]])), po_master[[#This Row],[GR Quantity]]&lt;&gt;po_master[[#This Row],[PO Quantity]]), "Qty Variance", "OK")</f>
        <v>OK</v>
      </c>
      <c r="S715" s="1" t="str">
        <f>IF(po_master[[#This Row],[Invoice Unit Price]]&gt;po_master[[#This Row],[PO Unit Price]]*1.01, "Price Variance", "OK")</f>
        <v>OK</v>
      </c>
      <c r="T715" s="1" t="str">
        <f>IF(po_master[[#This Row],[Actual Delivery Date]]&gt;po_master[[#This Row],[Promised Delivey Date]], "Late Delivery", "OK")</f>
        <v>Late Delivery</v>
      </c>
      <c r="U715" s="1" t="str">
        <f>IF(COUNTIF(po_master[PO Number],po_master[[#This Row],[PO Number]])&gt;1, "Duplicate Invoice", "OK")</f>
        <v>OK</v>
      </c>
    </row>
    <row r="716" spans="1:21" x14ac:dyDescent="0.25">
      <c r="A716" s="1" t="s">
        <v>636</v>
      </c>
      <c r="B716" s="1" t="s">
        <v>1461</v>
      </c>
      <c r="C716" s="2">
        <v>46030</v>
      </c>
      <c r="D716">
        <v>133</v>
      </c>
      <c r="E716">
        <v>77.63</v>
      </c>
      <c r="F716" s="1" t="s">
        <v>1494</v>
      </c>
      <c r="G716" s="2">
        <v>46049</v>
      </c>
      <c r="H716">
        <v>133</v>
      </c>
      <c r="I716" s="2">
        <v>46048</v>
      </c>
      <c r="J716" s="1" t="s">
        <v>1420</v>
      </c>
      <c r="K716">
        <v>133</v>
      </c>
      <c r="L716">
        <v>77.63</v>
      </c>
      <c r="M716" s="2">
        <v>46057</v>
      </c>
      <c r="N716" t="str">
        <f>IF(po_master[[#This Row],[Approved By]]="", "Missing Approval", "OK")</f>
        <v>OK</v>
      </c>
      <c r="O716" t="str">
        <f>IF(ISBLANK(po_master[[#This Row],[GR Quantity]]), "No GR - Not received", "OK")</f>
        <v>OK</v>
      </c>
      <c r="P716" s="1" t="str">
        <f>IF(po_master[[#This Row],[Promised Delivey Date]]&lt;po_master[[#This Row],[Order Date]], "Invalid", "OK")</f>
        <v>OK</v>
      </c>
      <c r="Q716" s="1" t="str">
        <f>IF(ISBLANK(po_master[[#This Row],[Invoice Number]]), "No Invoice", "OK")</f>
        <v>OK</v>
      </c>
      <c r="R716" s="1" t="str">
        <f>IF(AND(NOT(ISBLANK(po_master[[#This Row],[GR Quantity]])), po_master[[#This Row],[GR Quantity]]&lt;&gt;po_master[[#This Row],[PO Quantity]]), "Qty Variance", "OK")</f>
        <v>OK</v>
      </c>
      <c r="S716" s="1" t="str">
        <f>IF(po_master[[#This Row],[Invoice Unit Price]]&gt;po_master[[#This Row],[PO Unit Price]]*1.01, "Price Variance", "OK")</f>
        <v>OK</v>
      </c>
      <c r="T716" s="1" t="str">
        <f>IF(po_master[[#This Row],[Actual Delivery Date]]&gt;po_master[[#This Row],[Promised Delivey Date]], "Late Delivery", "OK")</f>
        <v>OK</v>
      </c>
      <c r="U716" s="1" t="str">
        <f>IF(COUNTIF(po_master[PO Number],po_master[[#This Row],[PO Number]])&gt;1, "Duplicate Invoice", "OK")</f>
        <v>OK</v>
      </c>
    </row>
    <row r="717" spans="1:21" x14ac:dyDescent="0.25">
      <c r="A717" s="1" t="s">
        <v>637</v>
      </c>
      <c r="B717" s="1" t="s">
        <v>1486</v>
      </c>
      <c r="C717" s="2">
        <v>46144</v>
      </c>
      <c r="D717">
        <v>310</v>
      </c>
      <c r="E717">
        <v>112.51</v>
      </c>
      <c r="F717" s="1" t="s">
        <v>1451</v>
      </c>
      <c r="G717" s="2">
        <v>46154</v>
      </c>
      <c r="H717">
        <v>310</v>
      </c>
      <c r="I717" s="2">
        <v>46154</v>
      </c>
      <c r="J717" s="1" t="s">
        <v>1421</v>
      </c>
      <c r="K717">
        <v>310</v>
      </c>
      <c r="L717">
        <v>112.51</v>
      </c>
      <c r="M717" s="2">
        <v>46156</v>
      </c>
      <c r="N717" t="str">
        <f>IF(po_master[[#This Row],[Approved By]]="", "Missing Approval", "OK")</f>
        <v>OK</v>
      </c>
      <c r="O717" t="str">
        <f>IF(ISBLANK(po_master[[#This Row],[GR Quantity]]), "No GR - Not received", "OK")</f>
        <v>OK</v>
      </c>
      <c r="P717" s="1" t="str">
        <f>IF(po_master[[#This Row],[Promised Delivey Date]]&lt;po_master[[#This Row],[Order Date]], "Invalid", "OK")</f>
        <v>OK</v>
      </c>
      <c r="Q717" s="1" t="str">
        <f>IF(ISBLANK(po_master[[#This Row],[Invoice Number]]), "No Invoice", "OK")</f>
        <v>OK</v>
      </c>
      <c r="R717" s="1" t="str">
        <f>IF(AND(NOT(ISBLANK(po_master[[#This Row],[GR Quantity]])), po_master[[#This Row],[GR Quantity]]&lt;&gt;po_master[[#This Row],[PO Quantity]]), "Qty Variance", "OK")</f>
        <v>OK</v>
      </c>
      <c r="S717" s="1" t="str">
        <f>IF(po_master[[#This Row],[Invoice Unit Price]]&gt;po_master[[#This Row],[PO Unit Price]]*1.01, "Price Variance", "OK")</f>
        <v>OK</v>
      </c>
      <c r="T717" s="1" t="str">
        <f>IF(po_master[[#This Row],[Actual Delivery Date]]&gt;po_master[[#This Row],[Promised Delivey Date]], "Late Delivery", "OK")</f>
        <v>OK</v>
      </c>
      <c r="U717" s="1" t="str">
        <f>IF(COUNTIF(po_master[PO Number],po_master[[#This Row],[PO Number]])&gt;1, "Duplicate Invoice", "OK")</f>
        <v>OK</v>
      </c>
    </row>
    <row r="718" spans="1:21" x14ac:dyDescent="0.25">
      <c r="A718" s="1" t="s">
        <v>638</v>
      </c>
      <c r="B718" s="1" t="s">
        <v>1470</v>
      </c>
      <c r="C718" s="2">
        <v>46046</v>
      </c>
      <c r="D718">
        <v>155</v>
      </c>
      <c r="E718">
        <v>10.35</v>
      </c>
      <c r="F718" s="1" t="s">
        <v>1462</v>
      </c>
      <c r="G718" s="2">
        <v>46056</v>
      </c>
      <c r="H718">
        <v>155</v>
      </c>
      <c r="I718" s="2">
        <v>46058</v>
      </c>
      <c r="J718" s="1" t="s">
        <v>1422</v>
      </c>
      <c r="K718">
        <v>155</v>
      </c>
      <c r="L718">
        <v>10.35</v>
      </c>
      <c r="M718" s="2">
        <v>46059</v>
      </c>
      <c r="N718" t="str">
        <f>IF(po_master[[#This Row],[Approved By]]="", "Missing Approval", "OK")</f>
        <v>OK</v>
      </c>
      <c r="O718" t="str">
        <f>IF(ISBLANK(po_master[[#This Row],[GR Quantity]]), "No GR - Not received", "OK")</f>
        <v>OK</v>
      </c>
      <c r="P718" s="1" t="str">
        <f>IF(po_master[[#This Row],[Promised Delivey Date]]&lt;po_master[[#This Row],[Order Date]], "Invalid", "OK")</f>
        <v>OK</v>
      </c>
      <c r="Q718" s="1" t="str">
        <f>IF(ISBLANK(po_master[[#This Row],[Invoice Number]]), "No Invoice", "OK")</f>
        <v>OK</v>
      </c>
      <c r="R718" s="1" t="str">
        <f>IF(AND(NOT(ISBLANK(po_master[[#This Row],[GR Quantity]])), po_master[[#This Row],[GR Quantity]]&lt;&gt;po_master[[#This Row],[PO Quantity]]), "Qty Variance", "OK")</f>
        <v>OK</v>
      </c>
      <c r="S718" s="1" t="str">
        <f>IF(po_master[[#This Row],[Invoice Unit Price]]&gt;po_master[[#This Row],[PO Unit Price]]*1.01, "Price Variance", "OK")</f>
        <v>OK</v>
      </c>
      <c r="T718" s="1" t="str">
        <f>IF(po_master[[#This Row],[Actual Delivery Date]]&gt;po_master[[#This Row],[Promised Delivey Date]], "Late Delivery", "OK")</f>
        <v>Late Delivery</v>
      </c>
      <c r="U718" s="1" t="str">
        <f>IF(COUNTIF(po_master[PO Number],po_master[[#This Row],[PO Number]])&gt;1, "Duplicate Invoice", "OK")</f>
        <v>OK</v>
      </c>
    </row>
    <row r="719" spans="1:21" x14ac:dyDescent="0.25">
      <c r="A719" s="1" t="s">
        <v>639</v>
      </c>
      <c r="B719" s="1" t="s">
        <v>1493</v>
      </c>
      <c r="C719" s="2">
        <v>46077</v>
      </c>
      <c r="D719">
        <v>448</v>
      </c>
      <c r="E719">
        <v>48.16</v>
      </c>
      <c r="F719" s="1" t="s">
        <v>1440</v>
      </c>
      <c r="G719" s="2">
        <v>46088</v>
      </c>
      <c r="H719">
        <v>448</v>
      </c>
      <c r="I719" s="2">
        <v>46089</v>
      </c>
      <c r="J719" s="1" t="s">
        <v>1423</v>
      </c>
      <c r="K719">
        <v>448</v>
      </c>
      <c r="L719">
        <v>48.16</v>
      </c>
      <c r="M719" s="2">
        <v>46094</v>
      </c>
      <c r="N719" t="str">
        <f>IF(po_master[[#This Row],[Approved By]]="", "Missing Approval", "OK")</f>
        <v>OK</v>
      </c>
      <c r="O719" t="str">
        <f>IF(ISBLANK(po_master[[#This Row],[GR Quantity]]), "No GR - Not received", "OK")</f>
        <v>OK</v>
      </c>
      <c r="P719" s="1" t="str">
        <f>IF(po_master[[#This Row],[Promised Delivey Date]]&lt;po_master[[#This Row],[Order Date]], "Invalid", "OK")</f>
        <v>OK</v>
      </c>
      <c r="Q719" s="1" t="str">
        <f>IF(ISBLANK(po_master[[#This Row],[Invoice Number]]), "No Invoice", "OK")</f>
        <v>OK</v>
      </c>
      <c r="R719" s="1" t="str">
        <f>IF(AND(NOT(ISBLANK(po_master[[#This Row],[GR Quantity]])), po_master[[#This Row],[GR Quantity]]&lt;&gt;po_master[[#This Row],[PO Quantity]]), "Qty Variance", "OK")</f>
        <v>OK</v>
      </c>
      <c r="S719" s="1" t="str">
        <f>IF(po_master[[#This Row],[Invoice Unit Price]]&gt;po_master[[#This Row],[PO Unit Price]]*1.01, "Price Variance", "OK")</f>
        <v>OK</v>
      </c>
      <c r="T719" s="1" t="str">
        <f>IF(po_master[[#This Row],[Actual Delivery Date]]&gt;po_master[[#This Row],[Promised Delivey Date]], "Late Delivery", "OK")</f>
        <v>Late Delivery</v>
      </c>
      <c r="U719" s="1" t="str">
        <f>IF(COUNTIF(po_master[PO Number],po_master[[#This Row],[PO Number]])&gt;1, "Duplicate Invoice", "OK")</f>
        <v>OK</v>
      </c>
    </row>
    <row r="720" spans="1:21" x14ac:dyDescent="0.25">
      <c r="A720" s="1" t="s">
        <v>640</v>
      </c>
      <c r="B720" s="1" t="s">
        <v>1511</v>
      </c>
      <c r="C720" s="2">
        <v>46127</v>
      </c>
      <c r="D720">
        <v>272</v>
      </c>
      <c r="E720">
        <v>8.91</v>
      </c>
      <c r="F720" s="1" t="s">
        <v>1456</v>
      </c>
      <c r="G720" s="2">
        <v>46132</v>
      </c>
      <c r="H720">
        <v>272</v>
      </c>
      <c r="I720" s="2">
        <v>46131</v>
      </c>
      <c r="J720" s="1" t="s">
        <v>1424</v>
      </c>
      <c r="K720">
        <v>272</v>
      </c>
      <c r="L720">
        <v>8.91</v>
      </c>
      <c r="M720" s="2">
        <v>46142</v>
      </c>
      <c r="N720" t="str">
        <f>IF(po_master[[#This Row],[Approved By]]="", "Missing Approval", "OK")</f>
        <v>OK</v>
      </c>
      <c r="O720" t="str">
        <f>IF(ISBLANK(po_master[[#This Row],[GR Quantity]]), "No GR - Not received", "OK")</f>
        <v>OK</v>
      </c>
      <c r="P720" s="1" t="str">
        <f>IF(po_master[[#This Row],[Promised Delivey Date]]&lt;po_master[[#This Row],[Order Date]], "Invalid", "OK")</f>
        <v>OK</v>
      </c>
      <c r="Q720" s="1" t="str">
        <f>IF(ISBLANK(po_master[[#This Row],[Invoice Number]]), "No Invoice", "OK")</f>
        <v>OK</v>
      </c>
      <c r="R720" s="1" t="str">
        <f>IF(AND(NOT(ISBLANK(po_master[[#This Row],[GR Quantity]])), po_master[[#This Row],[GR Quantity]]&lt;&gt;po_master[[#This Row],[PO Quantity]]), "Qty Variance", "OK")</f>
        <v>OK</v>
      </c>
      <c r="S720" s="1" t="str">
        <f>IF(po_master[[#This Row],[Invoice Unit Price]]&gt;po_master[[#This Row],[PO Unit Price]]*1.01, "Price Variance", "OK")</f>
        <v>OK</v>
      </c>
      <c r="T720" s="1" t="str">
        <f>IF(po_master[[#This Row],[Actual Delivery Date]]&gt;po_master[[#This Row],[Promised Delivey Date]], "Late Delivery", "OK")</f>
        <v>OK</v>
      </c>
      <c r="U720" s="1" t="str">
        <f>IF(COUNTIF(po_master[PO Number],po_master[[#This Row],[PO Number]])&gt;1, "Duplicate Invoice", "OK")</f>
        <v>OK</v>
      </c>
    </row>
    <row r="721" spans="1:21" x14ac:dyDescent="0.25">
      <c r="A721" s="1" t="s">
        <v>641</v>
      </c>
      <c r="B721" s="1" t="s">
        <v>1510</v>
      </c>
      <c r="C721" s="2">
        <v>46056</v>
      </c>
      <c r="D721">
        <v>341</v>
      </c>
      <c r="E721">
        <v>38.770000000000003</v>
      </c>
      <c r="F721" s="1" t="s">
        <v>1448</v>
      </c>
      <c r="G721" s="2">
        <v>46068</v>
      </c>
      <c r="H721">
        <v>341</v>
      </c>
      <c r="I721" s="2">
        <v>46077</v>
      </c>
      <c r="J721" s="1" t="s">
        <v>1425</v>
      </c>
      <c r="K721">
        <v>341</v>
      </c>
      <c r="L721">
        <v>38.770000000000003</v>
      </c>
      <c r="M721" s="2">
        <v>46072</v>
      </c>
      <c r="N721" t="str">
        <f>IF(po_master[[#This Row],[Approved By]]="", "Missing Approval", "OK")</f>
        <v>OK</v>
      </c>
      <c r="O721" t="str">
        <f>IF(ISBLANK(po_master[[#This Row],[GR Quantity]]), "No GR - Not received", "OK")</f>
        <v>OK</v>
      </c>
      <c r="P721" s="1" t="str">
        <f>IF(po_master[[#This Row],[Promised Delivey Date]]&lt;po_master[[#This Row],[Order Date]], "Invalid", "OK")</f>
        <v>OK</v>
      </c>
      <c r="Q721" s="1" t="str">
        <f>IF(ISBLANK(po_master[[#This Row],[Invoice Number]]), "No Invoice", "OK")</f>
        <v>OK</v>
      </c>
      <c r="R721" s="1" t="str">
        <f>IF(AND(NOT(ISBLANK(po_master[[#This Row],[GR Quantity]])), po_master[[#This Row],[GR Quantity]]&lt;&gt;po_master[[#This Row],[PO Quantity]]), "Qty Variance", "OK")</f>
        <v>OK</v>
      </c>
      <c r="S721" s="1" t="str">
        <f>IF(po_master[[#This Row],[Invoice Unit Price]]&gt;po_master[[#This Row],[PO Unit Price]]*1.01, "Price Variance", "OK")</f>
        <v>OK</v>
      </c>
      <c r="T721" s="1" t="str">
        <f>IF(po_master[[#This Row],[Actual Delivery Date]]&gt;po_master[[#This Row],[Promised Delivey Date]], "Late Delivery", "OK")</f>
        <v>Late Delivery</v>
      </c>
      <c r="U721" s="1" t="str">
        <f>IF(COUNTIF(po_master[PO Number],po_master[[#This Row],[PO Number]])&gt;1, "Duplicate Invoice", "OK")</f>
        <v>OK</v>
      </c>
    </row>
    <row r="722" spans="1:21" x14ac:dyDescent="0.25">
      <c r="A722" s="1" t="s">
        <v>1426</v>
      </c>
      <c r="B722" s="1" t="s">
        <v>1470</v>
      </c>
      <c r="C722" s="2">
        <v>46101</v>
      </c>
      <c r="D722">
        <v>374</v>
      </c>
      <c r="E722">
        <v>193.57</v>
      </c>
      <c r="F722" s="1" t="s">
        <v>1446</v>
      </c>
      <c r="G722" s="2">
        <v>46114</v>
      </c>
      <c r="I722" s="2"/>
      <c r="J722" s="1" t="s">
        <v>1427</v>
      </c>
      <c r="K722">
        <v>374</v>
      </c>
      <c r="L722">
        <v>206.34</v>
      </c>
      <c r="M722" s="2">
        <v>46124</v>
      </c>
      <c r="N722" t="str">
        <f>IF(po_master[[#This Row],[Approved By]]="", "Missing Approval", "OK")</f>
        <v>OK</v>
      </c>
      <c r="O722" t="str">
        <f>IF(ISBLANK(po_master[[#This Row],[GR Quantity]]), "No GR - Not received", "OK")</f>
        <v>No GR - Not received</v>
      </c>
      <c r="P722" s="1" t="str">
        <f>IF(po_master[[#This Row],[Promised Delivey Date]]&lt;po_master[[#This Row],[Order Date]], "Invalid", "OK")</f>
        <v>OK</v>
      </c>
      <c r="Q722" s="1" t="str">
        <f>IF(ISBLANK(po_master[[#This Row],[Invoice Number]]), "No Invoice", "OK")</f>
        <v>OK</v>
      </c>
      <c r="R722" s="1" t="str">
        <f>IF(AND(NOT(ISBLANK(po_master[[#This Row],[GR Quantity]])), po_master[[#This Row],[GR Quantity]]&lt;&gt;po_master[[#This Row],[PO Quantity]]), "Qty Variance", "OK")</f>
        <v>OK</v>
      </c>
      <c r="S722" s="1" t="str">
        <f>IF(po_master[[#This Row],[Invoice Unit Price]]&gt;po_master[[#This Row],[PO Unit Price]]*1.01, "Price Variance", "OK")</f>
        <v>Price Variance</v>
      </c>
      <c r="T722" s="1" t="str">
        <f>IF(po_master[[#This Row],[Actual Delivery Date]]&gt;po_master[[#This Row],[Promised Delivey Date]], "Late Delivery", "OK")</f>
        <v>OK</v>
      </c>
      <c r="U722" s="1" t="str">
        <f>IF(COUNTIF(po_master[PO Number],po_master[[#This Row],[PO Number]])&gt;1, "Duplicate Invoice", "OK")</f>
        <v>OK</v>
      </c>
    </row>
    <row r="723" spans="1:21" x14ac:dyDescent="0.25">
      <c r="A723" s="1" t="s">
        <v>642</v>
      </c>
      <c r="B723" s="1" t="s">
        <v>1500</v>
      </c>
      <c r="C723" s="2">
        <v>46119</v>
      </c>
      <c r="D723">
        <v>446</v>
      </c>
      <c r="E723">
        <v>73</v>
      </c>
      <c r="F723" s="1" t="s">
        <v>1458</v>
      </c>
      <c r="G723" s="2">
        <v>46130</v>
      </c>
      <c r="H723">
        <v>446</v>
      </c>
      <c r="I723" s="2">
        <v>46129</v>
      </c>
      <c r="J723" s="1" t="s">
        <v>1428</v>
      </c>
      <c r="K723">
        <v>446</v>
      </c>
      <c r="L723">
        <v>73</v>
      </c>
      <c r="M723" s="2">
        <v>46134</v>
      </c>
      <c r="N723" t="str">
        <f>IF(po_master[[#This Row],[Approved By]]="", "Missing Approval", "OK")</f>
        <v>OK</v>
      </c>
      <c r="O723" t="str">
        <f>IF(ISBLANK(po_master[[#This Row],[GR Quantity]]), "No GR - Not received", "OK")</f>
        <v>OK</v>
      </c>
      <c r="P723" s="1" t="str">
        <f>IF(po_master[[#This Row],[Promised Delivey Date]]&lt;po_master[[#This Row],[Order Date]], "Invalid", "OK")</f>
        <v>OK</v>
      </c>
      <c r="Q723" s="1" t="str">
        <f>IF(ISBLANK(po_master[[#This Row],[Invoice Number]]), "No Invoice", "OK")</f>
        <v>OK</v>
      </c>
      <c r="R723" s="1" t="str">
        <f>IF(AND(NOT(ISBLANK(po_master[[#This Row],[GR Quantity]])), po_master[[#This Row],[GR Quantity]]&lt;&gt;po_master[[#This Row],[PO Quantity]]), "Qty Variance", "OK")</f>
        <v>OK</v>
      </c>
      <c r="S723" s="1" t="str">
        <f>IF(po_master[[#This Row],[Invoice Unit Price]]&gt;po_master[[#This Row],[PO Unit Price]]*1.01, "Price Variance", "OK")</f>
        <v>OK</v>
      </c>
      <c r="T723" s="1" t="str">
        <f>IF(po_master[[#This Row],[Actual Delivery Date]]&gt;po_master[[#This Row],[Promised Delivey Date]], "Late Delivery", "OK")</f>
        <v>OK</v>
      </c>
      <c r="U723" s="1" t="str">
        <f>IF(COUNTIF(po_master[PO Number],po_master[[#This Row],[PO Number]])&gt;1, "Duplicate Invoice", "OK")</f>
        <v>OK</v>
      </c>
    </row>
    <row r="724" spans="1:21" x14ac:dyDescent="0.25">
      <c r="A724" s="1" t="s">
        <v>643</v>
      </c>
      <c r="B724" s="1" t="s">
        <v>1489</v>
      </c>
      <c r="C724" s="2">
        <v>46100</v>
      </c>
      <c r="D724">
        <v>356</v>
      </c>
      <c r="E724">
        <v>106.52</v>
      </c>
      <c r="F724" s="1" t="s">
        <v>1459</v>
      </c>
      <c r="G724" s="2">
        <v>46117</v>
      </c>
      <c r="H724">
        <v>356</v>
      </c>
      <c r="I724" s="2">
        <v>46133</v>
      </c>
      <c r="J724" s="1" t="s">
        <v>1429</v>
      </c>
      <c r="K724">
        <v>356</v>
      </c>
      <c r="L724">
        <v>106.52</v>
      </c>
      <c r="M724" s="2">
        <v>46119</v>
      </c>
      <c r="N724" t="str">
        <f>IF(po_master[[#This Row],[Approved By]]="", "Missing Approval", "OK")</f>
        <v>Missing Approval</v>
      </c>
      <c r="O724" t="str">
        <f>IF(ISBLANK(po_master[[#This Row],[GR Quantity]]), "No GR - Not received", "OK")</f>
        <v>OK</v>
      </c>
      <c r="P724" s="1" t="str">
        <f>IF(po_master[[#This Row],[Promised Delivey Date]]&lt;po_master[[#This Row],[Order Date]], "Invalid", "OK")</f>
        <v>OK</v>
      </c>
      <c r="Q724" s="1" t="str">
        <f>IF(ISBLANK(po_master[[#This Row],[Invoice Number]]), "No Invoice", "OK")</f>
        <v>OK</v>
      </c>
      <c r="R724" s="1" t="str">
        <f>IF(AND(NOT(ISBLANK(po_master[[#This Row],[GR Quantity]])), po_master[[#This Row],[GR Quantity]]&lt;&gt;po_master[[#This Row],[PO Quantity]]), "Qty Variance", "OK")</f>
        <v>OK</v>
      </c>
      <c r="S724" s="1" t="str">
        <f>IF(po_master[[#This Row],[Invoice Unit Price]]&gt;po_master[[#This Row],[PO Unit Price]]*1.01, "Price Variance", "OK")</f>
        <v>OK</v>
      </c>
      <c r="T724" s="1" t="str">
        <f>IF(po_master[[#This Row],[Actual Delivery Date]]&gt;po_master[[#This Row],[Promised Delivey Date]], "Late Delivery", "OK")</f>
        <v>Late Delivery</v>
      </c>
      <c r="U724" s="1" t="str">
        <f>IF(COUNTIF(po_master[PO Number],po_master[[#This Row],[PO Number]])&gt;1, "Duplicate Invoice", "OK")</f>
        <v>OK</v>
      </c>
    </row>
    <row r="725" spans="1:21" x14ac:dyDescent="0.25">
      <c r="A725" s="1" t="s">
        <v>644</v>
      </c>
      <c r="B725" s="1" t="s">
        <v>1443</v>
      </c>
      <c r="C725" s="2">
        <v>46049</v>
      </c>
      <c r="D725">
        <v>13</v>
      </c>
      <c r="E725">
        <v>104.75</v>
      </c>
      <c r="F725" s="1" t="s">
        <v>1467</v>
      </c>
      <c r="G725" s="2">
        <v>46065</v>
      </c>
      <c r="H725">
        <v>13</v>
      </c>
      <c r="I725" s="2">
        <v>46066</v>
      </c>
      <c r="J725" s="1" t="s">
        <v>1430</v>
      </c>
      <c r="K725">
        <v>13</v>
      </c>
      <c r="L725">
        <v>104.75</v>
      </c>
      <c r="M725" s="2">
        <v>46071</v>
      </c>
      <c r="N725" t="str">
        <f>IF(po_master[[#This Row],[Approved By]]="", "Missing Approval", "OK")</f>
        <v>OK</v>
      </c>
      <c r="O725" t="str">
        <f>IF(ISBLANK(po_master[[#This Row],[GR Quantity]]), "No GR - Not received", "OK")</f>
        <v>OK</v>
      </c>
      <c r="P725" s="1" t="str">
        <f>IF(po_master[[#This Row],[Promised Delivey Date]]&lt;po_master[[#This Row],[Order Date]], "Invalid", "OK")</f>
        <v>OK</v>
      </c>
      <c r="Q725" s="1" t="str">
        <f>IF(ISBLANK(po_master[[#This Row],[Invoice Number]]), "No Invoice", "OK")</f>
        <v>OK</v>
      </c>
      <c r="R725" s="1" t="str">
        <f>IF(AND(NOT(ISBLANK(po_master[[#This Row],[GR Quantity]])), po_master[[#This Row],[GR Quantity]]&lt;&gt;po_master[[#This Row],[PO Quantity]]), "Qty Variance", "OK")</f>
        <v>OK</v>
      </c>
      <c r="S725" s="1" t="str">
        <f>IF(po_master[[#This Row],[Invoice Unit Price]]&gt;po_master[[#This Row],[PO Unit Price]]*1.01, "Price Variance", "OK")</f>
        <v>OK</v>
      </c>
      <c r="T725" s="1" t="str">
        <f>IF(po_master[[#This Row],[Actual Delivery Date]]&gt;po_master[[#This Row],[Promised Delivey Date]], "Late Delivery", "OK")</f>
        <v>Late Delivery</v>
      </c>
      <c r="U725" s="1" t="str">
        <f>IF(COUNTIF(po_master[PO Number],po_master[[#This Row],[PO Number]])&gt;1, "Duplicate Invoice", "OK")</f>
        <v>OK</v>
      </c>
    </row>
    <row r="726" spans="1:21" x14ac:dyDescent="0.25">
      <c r="A726" s="1" t="s">
        <v>645</v>
      </c>
      <c r="B726" s="1" t="s">
        <v>1454</v>
      </c>
      <c r="C726" s="2">
        <v>46095</v>
      </c>
      <c r="D726">
        <v>162</v>
      </c>
      <c r="E726">
        <v>138.46</v>
      </c>
      <c r="F726" s="1" t="s">
        <v>1487</v>
      </c>
      <c r="G726" s="2">
        <v>46102</v>
      </c>
      <c r="H726">
        <v>162</v>
      </c>
      <c r="I726" s="2">
        <v>46100</v>
      </c>
      <c r="J726" s="1" t="s">
        <v>1431</v>
      </c>
      <c r="K726">
        <v>162</v>
      </c>
      <c r="L726">
        <v>138.46</v>
      </c>
      <c r="M726" s="2">
        <v>46106</v>
      </c>
      <c r="N726" t="str">
        <f>IF(po_master[[#This Row],[Approved By]]="", "Missing Approval", "OK")</f>
        <v>OK</v>
      </c>
      <c r="O726" t="str">
        <f>IF(ISBLANK(po_master[[#This Row],[GR Quantity]]), "No GR - Not received", "OK")</f>
        <v>OK</v>
      </c>
      <c r="P726" s="1" t="str">
        <f>IF(po_master[[#This Row],[Promised Delivey Date]]&lt;po_master[[#This Row],[Order Date]], "Invalid", "OK")</f>
        <v>OK</v>
      </c>
      <c r="Q726" s="1" t="str">
        <f>IF(ISBLANK(po_master[[#This Row],[Invoice Number]]), "No Invoice", "OK")</f>
        <v>OK</v>
      </c>
      <c r="R726" s="1" t="str">
        <f>IF(AND(NOT(ISBLANK(po_master[[#This Row],[GR Quantity]])), po_master[[#This Row],[GR Quantity]]&lt;&gt;po_master[[#This Row],[PO Quantity]]), "Qty Variance", "OK")</f>
        <v>OK</v>
      </c>
      <c r="S726" s="1" t="str">
        <f>IF(po_master[[#This Row],[Invoice Unit Price]]&gt;po_master[[#This Row],[PO Unit Price]]*1.01, "Price Variance", "OK")</f>
        <v>OK</v>
      </c>
      <c r="T726" s="1" t="str">
        <f>IF(po_master[[#This Row],[Actual Delivery Date]]&gt;po_master[[#This Row],[Promised Delivey Date]], "Late Delivery", "OK")</f>
        <v>OK</v>
      </c>
      <c r="U726" s="1" t="str">
        <f>IF(COUNTIF(po_master[PO Number],po_master[[#This Row],[PO Number]])&gt;1, "Duplicate Invoice", "OK")</f>
        <v>OK</v>
      </c>
    </row>
    <row r="727" spans="1:21" x14ac:dyDescent="0.25">
      <c r="A727" s="1" t="s">
        <v>646</v>
      </c>
      <c r="B727" s="1" t="s">
        <v>1479</v>
      </c>
      <c r="C727" s="2">
        <v>46093</v>
      </c>
      <c r="D727">
        <v>337</v>
      </c>
      <c r="E727">
        <v>68.400000000000006</v>
      </c>
      <c r="F727" s="1" t="s">
        <v>1458</v>
      </c>
      <c r="G727" s="2">
        <v>46106</v>
      </c>
      <c r="H727">
        <v>337</v>
      </c>
      <c r="I727" s="2">
        <v>46105</v>
      </c>
      <c r="J727" s="1" t="s">
        <v>1432</v>
      </c>
      <c r="K727">
        <v>337</v>
      </c>
      <c r="L727">
        <v>68.400000000000006</v>
      </c>
      <c r="M727" s="2">
        <v>46109</v>
      </c>
      <c r="N727" t="str">
        <f>IF(po_master[[#This Row],[Approved By]]="", "Missing Approval", "OK")</f>
        <v>OK</v>
      </c>
      <c r="O727" t="str">
        <f>IF(ISBLANK(po_master[[#This Row],[GR Quantity]]), "No GR - Not received", "OK")</f>
        <v>OK</v>
      </c>
      <c r="P727" s="1" t="str">
        <f>IF(po_master[[#This Row],[Promised Delivey Date]]&lt;po_master[[#This Row],[Order Date]], "Invalid", "OK")</f>
        <v>OK</v>
      </c>
      <c r="Q727" s="1" t="str">
        <f>IF(ISBLANK(po_master[[#This Row],[Invoice Number]]), "No Invoice", "OK")</f>
        <v>OK</v>
      </c>
      <c r="R727" s="1" t="str">
        <f>IF(AND(NOT(ISBLANK(po_master[[#This Row],[GR Quantity]])), po_master[[#This Row],[GR Quantity]]&lt;&gt;po_master[[#This Row],[PO Quantity]]), "Qty Variance", "OK")</f>
        <v>OK</v>
      </c>
      <c r="S727" s="1" t="str">
        <f>IF(po_master[[#This Row],[Invoice Unit Price]]&gt;po_master[[#This Row],[PO Unit Price]]*1.01, "Price Variance", "OK")</f>
        <v>OK</v>
      </c>
      <c r="T727" s="1" t="str">
        <f>IF(po_master[[#This Row],[Actual Delivery Date]]&gt;po_master[[#This Row],[Promised Delivey Date]], "Late Delivery", "OK")</f>
        <v>OK</v>
      </c>
      <c r="U727" s="1" t="str">
        <f>IF(COUNTIF(po_master[PO Number],po_master[[#This Row],[PO Number]])&gt;1, "Duplicate Invoice", "OK")</f>
        <v>OK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B26E-BEBB-4E34-A384-74DD0D041A87}">
  <dimension ref="A1:G701"/>
  <sheetViews>
    <sheetView workbookViewId="0"/>
  </sheetViews>
  <sheetFormatPr defaultRowHeight="15" x14ac:dyDescent="0.25"/>
  <cols>
    <col min="1" max="1" width="13.5703125" bestFit="1" customWidth="1"/>
    <col min="2" max="2" width="23.42578125" bestFit="1" customWidth="1"/>
    <col min="3" max="3" width="13.140625" bestFit="1" customWidth="1"/>
    <col min="4" max="4" width="14" bestFit="1" customWidth="1"/>
    <col min="5" max="5" width="15" bestFit="1" customWidth="1"/>
    <col min="6" max="6" width="17.85546875" bestFit="1" customWidth="1"/>
    <col min="7" max="7" width="24.28515625" bestFit="1" customWidth="1"/>
  </cols>
  <sheetData>
    <row r="1" spans="1:7" x14ac:dyDescent="0.25">
      <c r="A1" t="s">
        <v>0</v>
      </c>
      <c r="B1" t="s">
        <v>1433</v>
      </c>
      <c r="C1" t="s">
        <v>1434</v>
      </c>
      <c r="D1" t="s">
        <v>1435</v>
      </c>
      <c r="E1" t="s">
        <v>1436</v>
      </c>
      <c r="F1" t="s">
        <v>1437</v>
      </c>
      <c r="G1" t="s">
        <v>1438</v>
      </c>
    </row>
    <row r="2" spans="1:7" x14ac:dyDescent="0.25">
      <c r="A2" s="1" t="s">
        <v>3</v>
      </c>
      <c r="B2" s="1" t="s">
        <v>1439</v>
      </c>
      <c r="C2" s="2">
        <v>46051</v>
      </c>
      <c r="D2">
        <v>22</v>
      </c>
      <c r="E2">
        <v>149.6</v>
      </c>
      <c r="F2" s="1" t="s">
        <v>1440</v>
      </c>
      <c r="G2" s="2">
        <v>46063</v>
      </c>
    </row>
    <row r="3" spans="1:7" x14ac:dyDescent="0.25">
      <c r="A3" s="1" t="s">
        <v>4</v>
      </c>
      <c r="B3" s="1" t="s">
        <v>1441</v>
      </c>
      <c r="C3" s="2">
        <v>46049</v>
      </c>
      <c r="D3">
        <v>356</v>
      </c>
      <c r="E3">
        <v>149.43</v>
      </c>
      <c r="F3" s="1" t="s">
        <v>1442</v>
      </c>
      <c r="G3" s="2">
        <v>46056</v>
      </c>
    </row>
    <row r="4" spans="1:7" x14ac:dyDescent="0.25">
      <c r="A4" s="1" t="s">
        <v>5</v>
      </c>
      <c r="B4" s="1" t="s">
        <v>1443</v>
      </c>
      <c r="C4" s="2">
        <v>46131</v>
      </c>
      <c r="D4">
        <v>26</v>
      </c>
      <c r="E4">
        <v>10.81</v>
      </c>
      <c r="F4" s="1" t="s">
        <v>1444</v>
      </c>
      <c r="G4" s="2">
        <v>46143</v>
      </c>
    </row>
    <row r="5" spans="1:7" x14ac:dyDescent="0.25">
      <c r="A5" s="1" t="s">
        <v>6</v>
      </c>
      <c r="B5" s="1" t="s">
        <v>1445</v>
      </c>
      <c r="C5" s="2">
        <v>46029</v>
      </c>
      <c r="D5">
        <v>297</v>
      </c>
      <c r="E5">
        <v>43.77</v>
      </c>
      <c r="F5" s="1" t="s">
        <v>1446</v>
      </c>
      <c r="G5" s="2">
        <v>46047</v>
      </c>
    </row>
    <row r="6" spans="1:7" x14ac:dyDescent="0.25">
      <c r="A6" s="1" t="s">
        <v>7</v>
      </c>
      <c r="B6" s="1" t="s">
        <v>1447</v>
      </c>
      <c r="C6" s="2">
        <v>46137</v>
      </c>
      <c r="D6">
        <v>311</v>
      </c>
      <c r="E6">
        <v>59.25</v>
      </c>
      <c r="F6" s="1" t="s">
        <v>1448</v>
      </c>
      <c r="G6" s="2">
        <v>46147</v>
      </c>
    </row>
    <row r="7" spans="1:7" x14ac:dyDescent="0.25">
      <c r="A7" s="1" t="s">
        <v>8</v>
      </c>
      <c r="B7" s="1" t="s">
        <v>1449</v>
      </c>
      <c r="C7" s="2">
        <v>46131</v>
      </c>
      <c r="D7">
        <v>184</v>
      </c>
      <c r="E7">
        <v>59.18</v>
      </c>
      <c r="F7" s="1" t="s">
        <v>1444</v>
      </c>
      <c r="G7" s="2">
        <v>46146</v>
      </c>
    </row>
    <row r="8" spans="1:7" x14ac:dyDescent="0.25">
      <c r="A8" s="1" t="s">
        <v>9</v>
      </c>
      <c r="B8" s="1" t="s">
        <v>1450</v>
      </c>
      <c r="C8" s="2">
        <v>46046</v>
      </c>
      <c r="D8">
        <v>204</v>
      </c>
      <c r="E8">
        <v>23.86</v>
      </c>
      <c r="F8" s="1" t="s">
        <v>1451</v>
      </c>
      <c r="G8" s="2">
        <v>46059</v>
      </c>
    </row>
    <row r="9" spans="1:7" x14ac:dyDescent="0.25">
      <c r="A9" s="1" t="s">
        <v>10</v>
      </c>
      <c r="B9" s="1" t="s">
        <v>1452</v>
      </c>
      <c r="C9" s="2">
        <v>46140</v>
      </c>
      <c r="D9">
        <v>284</v>
      </c>
      <c r="E9">
        <v>29.34</v>
      </c>
      <c r="F9" s="1" t="s">
        <v>1453</v>
      </c>
      <c r="G9" s="2">
        <v>46147</v>
      </c>
    </row>
    <row r="10" spans="1:7" x14ac:dyDescent="0.25">
      <c r="A10" s="1" t="s">
        <v>11</v>
      </c>
      <c r="B10" s="1" t="s">
        <v>1454</v>
      </c>
      <c r="C10" s="2">
        <v>46098</v>
      </c>
      <c r="D10">
        <v>434</v>
      </c>
      <c r="E10">
        <v>127.58</v>
      </c>
      <c r="F10" s="1" t="s">
        <v>1451</v>
      </c>
      <c r="G10" s="2">
        <v>46109</v>
      </c>
    </row>
    <row r="11" spans="1:7" x14ac:dyDescent="0.25">
      <c r="A11" s="1" t="s">
        <v>12</v>
      </c>
      <c r="B11" s="1" t="s">
        <v>1455</v>
      </c>
      <c r="C11" s="2">
        <v>46040</v>
      </c>
      <c r="D11">
        <v>33</v>
      </c>
      <c r="E11">
        <v>133.94999999999999</v>
      </c>
      <c r="F11" s="1" t="s">
        <v>1456</v>
      </c>
      <c r="G11" s="2">
        <v>46054</v>
      </c>
    </row>
    <row r="12" spans="1:7" x14ac:dyDescent="0.25">
      <c r="A12" s="1" t="s">
        <v>13</v>
      </c>
      <c r="B12" s="1" t="s">
        <v>1457</v>
      </c>
      <c r="C12" s="2">
        <v>46082</v>
      </c>
      <c r="D12">
        <v>453</v>
      </c>
      <c r="E12">
        <v>24.7</v>
      </c>
      <c r="F12" s="1" t="s">
        <v>1458</v>
      </c>
      <c r="G12" s="2">
        <v>46101</v>
      </c>
    </row>
    <row r="13" spans="1:7" x14ac:dyDescent="0.25">
      <c r="A13" s="1" t="s">
        <v>14</v>
      </c>
      <c r="B13" s="1" t="s">
        <v>1439</v>
      </c>
      <c r="C13" s="2">
        <v>46116</v>
      </c>
      <c r="D13">
        <v>93</v>
      </c>
      <c r="E13">
        <v>77.19</v>
      </c>
      <c r="F13" s="1" t="s">
        <v>1444</v>
      </c>
      <c r="G13" s="2">
        <v>46129</v>
      </c>
    </row>
    <row r="14" spans="1:7" x14ac:dyDescent="0.25">
      <c r="A14" s="1" t="s">
        <v>15</v>
      </c>
      <c r="B14" s="1" t="s">
        <v>1449</v>
      </c>
      <c r="C14" s="2">
        <v>46041</v>
      </c>
      <c r="D14">
        <v>321</v>
      </c>
      <c r="E14">
        <v>128.82</v>
      </c>
      <c r="F14" s="1" t="s">
        <v>1459</v>
      </c>
      <c r="G14" s="2">
        <v>46053</v>
      </c>
    </row>
    <row r="15" spans="1:7" x14ac:dyDescent="0.25">
      <c r="A15" s="1" t="s">
        <v>16</v>
      </c>
      <c r="B15" s="1" t="s">
        <v>1460</v>
      </c>
      <c r="C15" s="2">
        <v>46141</v>
      </c>
      <c r="D15">
        <v>204</v>
      </c>
      <c r="E15">
        <v>57.64</v>
      </c>
      <c r="F15" s="1" t="s">
        <v>1446</v>
      </c>
      <c r="G15" s="2">
        <v>46153</v>
      </c>
    </row>
    <row r="16" spans="1:7" x14ac:dyDescent="0.25">
      <c r="A16" s="1" t="s">
        <v>17</v>
      </c>
      <c r="B16" s="1" t="s">
        <v>1461</v>
      </c>
      <c r="C16" s="2">
        <v>46106</v>
      </c>
      <c r="D16">
        <v>441</v>
      </c>
      <c r="E16">
        <v>154.82</v>
      </c>
      <c r="F16" s="1" t="s">
        <v>1462</v>
      </c>
      <c r="G16" s="2">
        <v>46118</v>
      </c>
    </row>
    <row r="17" spans="1:7" x14ac:dyDescent="0.25">
      <c r="A17" s="1" t="s">
        <v>18</v>
      </c>
      <c r="B17" s="1" t="s">
        <v>1452</v>
      </c>
      <c r="C17" s="2">
        <v>46103</v>
      </c>
      <c r="D17">
        <v>215</v>
      </c>
      <c r="E17">
        <v>57.21</v>
      </c>
      <c r="F17" s="1" t="s">
        <v>1444</v>
      </c>
      <c r="G17" s="2">
        <v>46118</v>
      </c>
    </row>
    <row r="18" spans="1:7" x14ac:dyDescent="0.25">
      <c r="A18" s="1" t="s">
        <v>19</v>
      </c>
      <c r="B18" s="1" t="s">
        <v>1463</v>
      </c>
      <c r="C18" s="2">
        <v>46150</v>
      </c>
      <c r="D18">
        <v>212</v>
      </c>
      <c r="E18">
        <v>177.51</v>
      </c>
      <c r="F18" s="1" t="s">
        <v>1446</v>
      </c>
      <c r="G18" s="2">
        <v>46169</v>
      </c>
    </row>
    <row r="19" spans="1:7" x14ac:dyDescent="0.25">
      <c r="A19" s="1" t="s">
        <v>20</v>
      </c>
      <c r="B19" s="1" t="s">
        <v>1464</v>
      </c>
      <c r="C19" s="2">
        <v>46090</v>
      </c>
      <c r="D19">
        <v>81</v>
      </c>
      <c r="E19">
        <v>53.09</v>
      </c>
      <c r="F19" s="1" t="s">
        <v>1442</v>
      </c>
      <c r="G19" s="2">
        <v>46103</v>
      </c>
    </row>
    <row r="20" spans="1:7" x14ac:dyDescent="0.25">
      <c r="A20" s="1" t="s">
        <v>21</v>
      </c>
      <c r="B20" s="1" t="s">
        <v>1465</v>
      </c>
      <c r="C20" s="2">
        <v>46172</v>
      </c>
      <c r="D20">
        <v>229</v>
      </c>
      <c r="E20">
        <v>180.08</v>
      </c>
      <c r="F20" s="1" t="s">
        <v>1453</v>
      </c>
      <c r="G20" s="2">
        <v>46188</v>
      </c>
    </row>
    <row r="21" spans="1:7" x14ac:dyDescent="0.25">
      <c r="A21" s="1" t="s">
        <v>22</v>
      </c>
      <c r="B21" s="1" t="s">
        <v>1447</v>
      </c>
      <c r="C21" s="2">
        <v>46058</v>
      </c>
      <c r="D21">
        <v>270</v>
      </c>
      <c r="E21">
        <v>101.24</v>
      </c>
      <c r="F21" s="1" t="s">
        <v>1456</v>
      </c>
      <c r="G21" s="2">
        <v>46064</v>
      </c>
    </row>
    <row r="22" spans="1:7" x14ac:dyDescent="0.25">
      <c r="A22" s="1" t="s">
        <v>23</v>
      </c>
      <c r="B22" s="1" t="s">
        <v>1466</v>
      </c>
      <c r="C22" s="2">
        <v>46062</v>
      </c>
      <c r="D22">
        <v>331</v>
      </c>
      <c r="E22">
        <v>36.200000000000003</v>
      </c>
      <c r="F22" s="1" t="s">
        <v>1467</v>
      </c>
      <c r="G22" s="2">
        <v>46080</v>
      </c>
    </row>
    <row r="23" spans="1:7" x14ac:dyDescent="0.25">
      <c r="A23" s="1" t="s">
        <v>24</v>
      </c>
      <c r="B23" s="1" t="s">
        <v>1468</v>
      </c>
      <c r="C23" s="2">
        <v>46039</v>
      </c>
      <c r="D23">
        <v>207</v>
      </c>
      <c r="E23">
        <v>79.42</v>
      </c>
      <c r="F23" s="1" t="s">
        <v>1469</v>
      </c>
      <c r="G23" s="2">
        <v>46060</v>
      </c>
    </row>
    <row r="24" spans="1:7" x14ac:dyDescent="0.25">
      <c r="A24" s="1" t="s">
        <v>25</v>
      </c>
      <c r="B24" s="1" t="s">
        <v>1470</v>
      </c>
      <c r="C24" s="2">
        <v>46164</v>
      </c>
      <c r="D24">
        <v>450</v>
      </c>
      <c r="E24">
        <v>188.77</v>
      </c>
      <c r="F24" s="1" t="s">
        <v>1467</v>
      </c>
      <c r="G24" s="2">
        <v>46172</v>
      </c>
    </row>
    <row r="25" spans="1:7" x14ac:dyDescent="0.25">
      <c r="A25" s="1" t="s">
        <v>26</v>
      </c>
      <c r="B25" s="1" t="s">
        <v>1461</v>
      </c>
      <c r="C25" s="2">
        <v>46160</v>
      </c>
      <c r="D25">
        <v>394</v>
      </c>
      <c r="E25">
        <v>57.03</v>
      </c>
      <c r="F25" s="1" t="s">
        <v>1446</v>
      </c>
      <c r="G25" s="2">
        <v>46175</v>
      </c>
    </row>
    <row r="26" spans="1:7" x14ac:dyDescent="0.25">
      <c r="A26" s="1" t="s">
        <v>27</v>
      </c>
      <c r="B26" s="1" t="s">
        <v>1466</v>
      </c>
      <c r="C26" s="2">
        <v>46098</v>
      </c>
      <c r="D26">
        <v>232</v>
      </c>
      <c r="E26">
        <v>35.840000000000003</v>
      </c>
      <c r="F26" s="1" t="s">
        <v>1448</v>
      </c>
      <c r="G26" s="2">
        <v>46111</v>
      </c>
    </row>
    <row r="27" spans="1:7" x14ac:dyDescent="0.25">
      <c r="A27" s="1" t="s">
        <v>28</v>
      </c>
      <c r="B27" s="1" t="s">
        <v>1445</v>
      </c>
      <c r="C27" s="2">
        <v>46068</v>
      </c>
      <c r="D27">
        <v>269</v>
      </c>
      <c r="E27">
        <v>182.96</v>
      </c>
      <c r="F27" s="1" t="s">
        <v>1446</v>
      </c>
      <c r="G27" s="2">
        <v>46082</v>
      </c>
    </row>
    <row r="28" spans="1:7" x14ac:dyDescent="0.25">
      <c r="A28" s="1" t="s">
        <v>29</v>
      </c>
      <c r="B28" s="1" t="s">
        <v>1439</v>
      </c>
      <c r="C28" s="2">
        <v>46152</v>
      </c>
      <c r="D28">
        <v>321</v>
      </c>
      <c r="E28">
        <v>43.79</v>
      </c>
      <c r="F28" s="1" t="s">
        <v>1451</v>
      </c>
      <c r="G28" s="2">
        <v>46162</v>
      </c>
    </row>
    <row r="29" spans="1:7" x14ac:dyDescent="0.25">
      <c r="A29" s="1" t="s">
        <v>30</v>
      </c>
      <c r="B29" s="1" t="s">
        <v>1471</v>
      </c>
      <c r="C29" s="2">
        <v>46158</v>
      </c>
      <c r="D29">
        <v>480</v>
      </c>
      <c r="E29">
        <v>5.1100000000000003</v>
      </c>
      <c r="F29" s="1" t="s">
        <v>1472</v>
      </c>
      <c r="G29" s="2">
        <v>46178</v>
      </c>
    </row>
    <row r="30" spans="1:7" x14ac:dyDescent="0.25">
      <c r="A30" s="1" t="s">
        <v>31</v>
      </c>
      <c r="B30" s="1" t="s">
        <v>1473</v>
      </c>
      <c r="C30" s="2">
        <v>46051</v>
      </c>
      <c r="D30">
        <v>485</v>
      </c>
      <c r="E30">
        <v>75.78</v>
      </c>
      <c r="F30" s="1" t="s">
        <v>1474</v>
      </c>
      <c r="G30" s="2">
        <v>46063</v>
      </c>
    </row>
    <row r="31" spans="1:7" x14ac:dyDescent="0.25">
      <c r="A31" s="1" t="s">
        <v>32</v>
      </c>
      <c r="B31" s="1" t="s">
        <v>1475</v>
      </c>
      <c r="C31" s="2">
        <v>46084</v>
      </c>
      <c r="D31">
        <v>459</v>
      </c>
      <c r="E31">
        <v>115.63</v>
      </c>
      <c r="F31" s="1" t="s">
        <v>1476</v>
      </c>
      <c r="G31" s="2">
        <v>46091</v>
      </c>
    </row>
    <row r="32" spans="1:7" x14ac:dyDescent="0.25">
      <c r="A32" s="1" t="s">
        <v>33</v>
      </c>
      <c r="B32" s="1" t="s">
        <v>1477</v>
      </c>
      <c r="C32" s="2">
        <v>46147</v>
      </c>
      <c r="D32">
        <v>427</v>
      </c>
      <c r="E32">
        <v>18.5</v>
      </c>
      <c r="F32" s="1" t="s">
        <v>1456</v>
      </c>
      <c r="G32" s="2">
        <v>46156</v>
      </c>
    </row>
    <row r="33" spans="1:7" x14ac:dyDescent="0.25">
      <c r="A33" s="1" t="s">
        <v>34</v>
      </c>
      <c r="B33" s="1" t="s">
        <v>1441</v>
      </c>
      <c r="C33" s="2">
        <v>46144</v>
      </c>
      <c r="D33">
        <v>494</v>
      </c>
      <c r="E33">
        <v>112.21</v>
      </c>
      <c r="F33" s="1" t="s">
        <v>1458</v>
      </c>
      <c r="G33" s="2">
        <v>46165</v>
      </c>
    </row>
    <row r="34" spans="1:7" x14ac:dyDescent="0.25">
      <c r="A34" s="1" t="s">
        <v>35</v>
      </c>
      <c r="B34" s="1" t="s">
        <v>1468</v>
      </c>
      <c r="C34" s="2">
        <v>46131</v>
      </c>
      <c r="D34">
        <v>118</v>
      </c>
      <c r="E34">
        <v>186.14</v>
      </c>
      <c r="F34" s="1" t="s">
        <v>1456</v>
      </c>
      <c r="G34" s="2">
        <v>46142</v>
      </c>
    </row>
    <row r="35" spans="1:7" x14ac:dyDescent="0.25">
      <c r="A35" s="1" t="s">
        <v>36</v>
      </c>
      <c r="B35" s="1" t="s">
        <v>1455</v>
      </c>
      <c r="C35" s="2">
        <v>46102</v>
      </c>
      <c r="D35">
        <v>214</v>
      </c>
      <c r="E35">
        <v>199.05</v>
      </c>
      <c r="F35" s="1" t="s">
        <v>1446</v>
      </c>
      <c r="G35" s="2">
        <v>46118</v>
      </c>
    </row>
    <row r="36" spans="1:7" x14ac:dyDescent="0.25">
      <c r="A36" s="1" t="s">
        <v>37</v>
      </c>
      <c r="B36" s="1" t="s">
        <v>1478</v>
      </c>
      <c r="C36" s="2">
        <v>46155</v>
      </c>
      <c r="D36">
        <v>241</v>
      </c>
      <c r="E36">
        <v>28.6</v>
      </c>
      <c r="F36" s="1" t="s">
        <v>1440</v>
      </c>
      <c r="G36" s="2">
        <v>46162</v>
      </c>
    </row>
    <row r="37" spans="1:7" x14ac:dyDescent="0.25">
      <c r="A37" s="1" t="s">
        <v>686</v>
      </c>
      <c r="B37" s="1" t="s">
        <v>1479</v>
      </c>
      <c r="C37" s="2">
        <v>46028</v>
      </c>
      <c r="D37">
        <v>311</v>
      </c>
      <c r="E37">
        <v>113.01</v>
      </c>
      <c r="F37" s="1" t="s">
        <v>1480</v>
      </c>
      <c r="G37" s="2">
        <v>46040</v>
      </c>
    </row>
    <row r="38" spans="1:7" x14ac:dyDescent="0.25">
      <c r="A38" s="1" t="s">
        <v>38</v>
      </c>
      <c r="B38" s="1" t="s">
        <v>1481</v>
      </c>
      <c r="C38" s="2">
        <v>46041</v>
      </c>
      <c r="D38">
        <v>372</v>
      </c>
      <c r="E38">
        <v>128.07</v>
      </c>
      <c r="F38" s="1" t="s">
        <v>1440</v>
      </c>
      <c r="G38" s="2">
        <v>46048</v>
      </c>
    </row>
    <row r="39" spans="1:7" x14ac:dyDescent="0.25">
      <c r="A39" s="1" t="s">
        <v>39</v>
      </c>
      <c r="B39" s="1" t="s">
        <v>1452</v>
      </c>
      <c r="C39" s="2">
        <v>46107</v>
      </c>
      <c r="D39">
        <v>46</v>
      </c>
      <c r="E39">
        <v>105.26</v>
      </c>
      <c r="F39" s="1" t="s">
        <v>1458</v>
      </c>
      <c r="G39" s="2">
        <v>46127</v>
      </c>
    </row>
    <row r="40" spans="1:7" x14ac:dyDescent="0.25">
      <c r="A40" s="1" t="s">
        <v>40</v>
      </c>
      <c r="B40" s="1" t="s">
        <v>1463</v>
      </c>
      <c r="C40" s="2">
        <v>46161</v>
      </c>
      <c r="D40">
        <v>77</v>
      </c>
      <c r="E40">
        <v>146.05000000000001</v>
      </c>
      <c r="F40" s="1" t="s">
        <v>1480</v>
      </c>
      <c r="G40" s="2">
        <v>46181</v>
      </c>
    </row>
    <row r="41" spans="1:7" x14ac:dyDescent="0.25">
      <c r="A41" s="1" t="s">
        <v>41</v>
      </c>
      <c r="B41" s="1" t="s">
        <v>1482</v>
      </c>
      <c r="C41" s="2">
        <v>46144</v>
      </c>
      <c r="D41">
        <v>423</v>
      </c>
      <c r="E41">
        <v>84.38</v>
      </c>
      <c r="F41" s="1" t="s">
        <v>1483</v>
      </c>
      <c r="G41" s="2">
        <v>46152</v>
      </c>
    </row>
    <row r="42" spans="1:7" x14ac:dyDescent="0.25">
      <c r="A42" s="1" t="s">
        <v>42</v>
      </c>
      <c r="B42" s="1" t="s">
        <v>1484</v>
      </c>
      <c r="C42" s="2">
        <v>46133</v>
      </c>
      <c r="D42">
        <v>191</v>
      </c>
      <c r="E42">
        <v>87.6</v>
      </c>
      <c r="F42" s="1" t="s">
        <v>1469</v>
      </c>
      <c r="G42" s="2">
        <v>46139</v>
      </c>
    </row>
    <row r="43" spans="1:7" x14ac:dyDescent="0.25">
      <c r="A43" s="1" t="s">
        <v>43</v>
      </c>
      <c r="B43" s="1" t="s">
        <v>1461</v>
      </c>
      <c r="C43" s="2">
        <v>46048</v>
      </c>
      <c r="D43">
        <v>41</v>
      </c>
      <c r="E43">
        <v>83.51</v>
      </c>
      <c r="F43" s="1" t="s">
        <v>1472</v>
      </c>
      <c r="G43" s="2">
        <v>46056</v>
      </c>
    </row>
    <row r="44" spans="1:7" x14ac:dyDescent="0.25">
      <c r="A44" s="1" t="s">
        <v>44</v>
      </c>
      <c r="B44" s="1" t="s">
        <v>1482</v>
      </c>
      <c r="C44" s="2">
        <v>46072</v>
      </c>
      <c r="D44">
        <v>107</v>
      </c>
      <c r="E44">
        <v>109.58</v>
      </c>
      <c r="F44" s="1" t="s">
        <v>1485</v>
      </c>
      <c r="G44" s="2">
        <v>46090</v>
      </c>
    </row>
    <row r="45" spans="1:7" x14ac:dyDescent="0.25">
      <c r="A45" s="1" t="s">
        <v>45</v>
      </c>
      <c r="B45" s="1" t="s">
        <v>1486</v>
      </c>
      <c r="C45" s="2">
        <v>46094</v>
      </c>
      <c r="D45">
        <v>246</v>
      </c>
      <c r="E45">
        <v>53.71</v>
      </c>
      <c r="F45" s="1" t="s">
        <v>1476</v>
      </c>
      <c r="G45" s="2">
        <v>46113</v>
      </c>
    </row>
    <row r="46" spans="1:7" x14ac:dyDescent="0.25">
      <c r="A46" s="1" t="s">
        <v>46</v>
      </c>
      <c r="B46" s="1" t="s">
        <v>1454</v>
      </c>
      <c r="C46" s="2">
        <v>46048</v>
      </c>
      <c r="D46">
        <v>35</v>
      </c>
      <c r="E46">
        <v>132.16999999999999</v>
      </c>
      <c r="F46" s="1" t="s">
        <v>1442</v>
      </c>
      <c r="G46" s="2">
        <v>46053</v>
      </c>
    </row>
    <row r="47" spans="1:7" x14ac:dyDescent="0.25">
      <c r="A47" s="1" t="s">
        <v>47</v>
      </c>
      <c r="B47" s="1" t="s">
        <v>1457</v>
      </c>
      <c r="C47" s="2">
        <v>46083</v>
      </c>
      <c r="D47">
        <v>95</v>
      </c>
      <c r="E47">
        <v>84.25</v>
      </c>
      <c r="F47" s="1" t="s">
        <v>1487</v>
      </c>
      <c r="G47" s="2">
        <v>46094</v>
      </c>
    </row>
    <row r="48" spans="1:7" x14ac:dyDescent="0.25">
      <c r="A48" s="1" t="s">
        <v>48</v>
      </c>
      <c r="B48" s="1" t="s">
        <v>1488</v>
      </c>
      <c r="C48" s="2">
        <v>46038</v>
      </c>
      <c r="D48">
        <v>94</v>
      </c>
      <c r="E48">
        <v>78.900000000000006</v>
      </c>
      <c r="F48" s="1" t="s">
        <v>1453</v>
      </c>
      <c r="G48" s="2">
        <v>46051</v>
      </c>
    </row>
    <row r="49" spans="1:7" x14ac:dyDescent="0.25">
      <c r="A49" s="1" t="s">
        <v>49</v>
      </c>
      <c r="B49" s="1" t="s">
        <v>1489</v>
      </c>
      <c r="C49" s="2">
        <v>46096</v>
      </c>
      <c r="D49">
        <v>226</v>
      </c>
      <c r="E49">
        <v>140.84</v>
      </c>
      <c r="F49" s="1" t="s">
        <v>1490</v>
      </c>
      <c r="G49" s="2">
        <v>46116</v>
      </c>
    </row>
    <row r="50" spans="1:7" x14ac:dyDescent="0.25">
      <c r="A50" s="1" t="s">
        <v>50</v>
      </c>
      <c r="B50" s="1" t="s">
        <v>1464</v>
      </c>
      <c r="C50" s="2">
        <v>46071</v>
      </c>
      <c r="D50">
        <v>161</v>
      </c>
      <c r="E50">
        <v>47.45</v>
      </c>
      <c r="F50" s="1" t="s">
        <v>1462</v>
      </c>
      <c r="G50" s="2">
        <v>46077</v>
      </c>
    </row>
    <row r="51" spans="1:7" x14ac:dyDescent="0.25">
      <c r="A51" s="1" t="s">
        <v>51</v>
      </c>
      <c r="B51" s="1" t="s">
        <v>1465</v>
      </c>
      <c r="C51" s="2">
        <v>46103</v>
      </c>
      <c r="D51">
        <v>39</v>
      </c>
      <c r="E51">
        <v>14.78</v>
      </c>
      <c r="F51" s="1" t="s">
        <v>1487</v>
      </c>
      <c r="G51" s="2">
        <v>46124</v>
      </c>
    </row>
    <row r="52" spans="1:7" x14ac:dyDescent="0.25">
      <c r="A52" s="1" t="s">
        <v>52</v>
      </c>
      <c r="B52" s="1" t="s">
        <v>1491</v>
      </c>
      <c r="C52" s="2">
        <v>46063</v>
      </c>
      <c r="D52">
        <v>39</v>
      </c>
      <c r="E52">
        <v>192.35</v>
      </c>
      <c r="F52" s="1" t="s">
        <v>1476</v>
      </c>
      <c r="G52" s="2">
        <v>46073</v>
      </c>
    </row>
    <row r="53" spans="1:7" x14ac:dyDescent="0.25">
      <c r="A53" s="1" t="s">
        <v>53</v>
      </c>
      <c r="B53" s="1" t="s">
        <v>1492</v>
      </c>
      <c r="C53" s="2">
        <v>46040</v>
      </c>
      <c r="D53">
        <v>355</v>
      </c>
      <c r="E53">
        <v>173.05</v>
      </c>
      <c r="F53" s="1" t="s">
        <v>1453</v>
      </c>
      <c r="G53" s="2">
        <v>46048</v>
      </c>
    </row>
    <row r="54" spans="1:7" x14ac:dyDescent="0.25">
      <c r="A54" s="1" t="s">
        <v>54</v>
      </c>
      <c r="B54" s="1" t="s">
        <v>1493</v>
      </c>
      <c r="C54" s="2">
        <v>46086</v>
      </c>
      <c r="D54">
        <v>306</v>
      </c>
      <c r="E54">
        <v>120.93</v>
      </c>
      <c r="F54" s="1" t="s">
        <v>1494</v>
      </c>
      <c r="G54" s="2">
        <v>46093</v>
      </c>
    </row>
    <row r="55" spans="1:7" x14ac:dyDescent="0.25">
      <c r="A55" s="1" t="s">
        <v>55</v>
      </c>
      <c r="B55" s="1" t="s">
        <v>1495</v>
      </c>
      <c r="C55" s="2">
        <v>46172</v>
      </c>
      <c r="D55">
        <v>299</v>
      </c>
      <c r="E55">
        <v>106.94</v>
      </c>
      <c r="F55" s="1" t="s">
        <v>1458</v>
      </c>
      <c r="G55" s="2">
        <v>46183</v>
      </c>
    </row>
    <row r="56" spans="1:7" x14ac:dyDescent="0.25">
      <c r="A56" s="1" t="s">
        <v>707</v>
      </c>
      <c r="B56" s="1" t="s">
        <v>1484</v>
      </c>
      <c r="C56" s="2">
        <v>46103</v>
      </c>
      <c r="D56">
        <v>132</v>
      </c>
      <c r="E56">
        <v>56.79</v>
      </c>
      <c r="F56" s="1" t="s">
        <v>1485</v>
      </c>
      <c r="G56" s="2">
        <v>46117</v>
      </c>
    </row>
    <row r="57" spans="1:7" x14ac:dyDescent="0.25">
      <c r="A57" s="1" t="s">
        <v>56</v>
      </c>
      <c r="B57" s="1" t="s">
        <v>1489</v>
      </c>
      <c r="C57" s="2">
        <v>46103</v>
      </c>
      <c r="D57">
        <v>485</v>
      </c>
      <c r="E57">
        <v>151.61000000000001</v>
      </c>
      <c r="F57" s="1" t="s">
        <v>1476</v>
      </c>
      <c r="G57" s="2">
        <v>46108</v>
      </c>
    </row>
    <row r="58" spans="1:7" x14ac:dyDescent="0.25">
      <c r="A58" s="1" t="s">
        <v>57</v>
      </c>
      <c r="B58" s="1" t="s">
        <v>1489</v>
      </c>
      <c r="C58" s="2">
        <v>46167</v>
      </c>
      <c r="D58">
        <v>61</v>
      </c>
      <c r="E58">
        <v>19.29</v>
      </c>
      <c r="F58" s="1" t="s">
        <v>1444</v>
      </c>
      <c r="G58" s="2">
        <v>46188</v>
      </c>
    </row>
    <row r="59" spans="1:7" x14ac:dyDescent="0.25">
      <c r="A59" s="1" t="s">
        <v>58</v>
      </c>
      <c r="B59" s="1" t="s">
        <v>1470</v>
      </c>
      <c r="C59" s="2">
        <v>46056</v>
      </c>
      <c r="D59">
        <v>487</v>
      </c>
      <c r="E59">
        <v>73.06</v>
      </c>
      <c r="F59" s="1" t="s">
        <v>1476</v>
      </c>
      <c r="G59" s="2">
        <v>46068</v>
      </c>
    </row>
    <row r="60" spans="1:7" x14ac:dyDescent="0.25">
      <c r="A60" s="1" t="s">
        <v>59</v>
      </c>
      <c r="B60" s="1" t="s">
        <v>1496</v>
      </c>
      <c r="C60" s="2">
        <v>46095</v>
      </c>
      <c r="D60">
        <v>90</v>
      </c>
      <c r="E60">
        <v>90.45</v>
      </c>
      <c r="F60" s="1" t="s">
        <v>1442</v>
      </c>
      <c r="G60" s="2">
        <v>46109</v>
      </c>
    </row>
    <row r="61" spans="1:7" x14ac:dyDescent="0.25">
      <c r="A61" s="1" t="s">
        <v>60</v>
      </c>
      <c r="B61" s="1" t="s">
        <v>1497</v>
      </c>
      <c r="C61" s="2">
        <v>46158</v>
      </c>
      <c r="D61">
        <v>14</v>
      </c>
      <c r="E61">
        <v>135.22999999999999</v>
      </c>
      <c r="F61" s="1" t="s">
        <v>1442</v>
      </c>
      <c r="G61" s="2">
        <v>46172</v>
      </c>
    </row>
    <row r="62" spans="1:7" x14ac:dyDescent="0.25">
      <c r="A62" s="1" t="s">
        <v>61</v>
      </c>
      <c r="B62" s="1" t="s">
        <v>1484</v>
      </c>
      <c r="C62" s="2">
        <v>46049</v>
      </c>
      <c r="D62">
        <v>490</v>
      </c>
      <c r="E62">
        <v>176.23</v>
      </c>
      <c r="F62" s="1" t="s">
        <v>1458</v>
      </c>
      <c r="G62" s="2">
        <v>46057</v>
      </c>
    </row>
    <row r="63" spans="1:7" x14ac:dyDescent="0.25">
      <c r="A63" s="1" t="s">
        <v>62</v>
      </c>
      <c r="B63" s="1" t="s">
        <v>1450</v>
      </c>
      <c r="C63" s="2">
        <v>46164</v>
      </c>
      <c r="D63">
        <v>89</v>
      </c>
      <c r="E63">
        <v>58.11</v>
      </c>
      <c r="F63" s="1" t="s">
        <v>1494</v>
      </c>
      <c r="G63" s="2">
        <v>46175</v>
      </c>
    </row>
    <row r="64" spans="1:7" x14ac:dyDescent="0.25">
      <c r="A64" s="1" t="s">
        <v>63</v>
      </c>
      <c r="B64" s="1" t="s">
        <v>1455</v>
      </c>
      <c r="C64" s="2">
        <v>46110</v>
      </c>
      <c r="D64">
        <v>114</v>
      </c>
      <c r="E64">
        <v>139.06</v>
      </c>
      <c r="F64" s="1" t="s">
        <v>1458</v>
      </c>
      <c r="G64" s="2">
        <v>46131</v>
      </c>
    </row>
    <row r="65" spans="1:7" x14ac:dyDescent="0.25">
      <c r="A65" s="1" t="s">
        <v>64</v>
      </c>
      <c r="B65" s="1" t="s">
        <v>1498</v>
      </c>
      <c r="C65" s="2">
        <v>46087</v>
      </c>
      <c r="D65">
        <v>473</v>
      </c>
      <c r="E65">
        <v>182.09</v>
      </c>
      <c r="F65" s="1" t="s">
        <v>1462</v>
      </c>
      <c r="G65" s="2">
        <v>46094</v>
      </c>
    </row>
    <row r="66" spans="1:7" x14ac:dyDescent="0.25">
      <c r="A66" s="1" t="s">
        <v>65</v>
      </c>
      <c r="B66" s="1" t="s">
        <v>1439</v>
      </c>
      <c r="C66" s="2">
        <v>46131</v>
      </c>
      <c r="D66">
        <v>434</v>
      </c>
      <c r="E66">
        <v>58.95</v>
      </c>
      <c r="F66" s="1" t="s">
        <v>1448</v>
      </c>
      <c r="G66" s="2">
        <v>46146</v>
      </c>
    </row>
    <row r="67" spans="1:7" x14ac:dyDescent="0.25">
      <c r="A67" s="1" t="s">
        <v>66</v>
      </c>
      <c r="B67" s="1" t="s">
        <v>1441</v>
      </c>
      <c r="C67" s="2">
        <v>46090</v>
      </c>
      <c r="D67">
        <v>92</v>
      </c>
      <c r="E67">
        <v>149.54</v>
      </c>
      <c r="F67" s="1" t="s">
        <v>1442</v>
      </c>
      <c r="G67" s="2">
        <v>46108</v>
      </c>
    </row>
    <row r="68" spans="1:7" x14ac:dyDescent="0.25">
      <c r="A68" s="1" t="s">
        <v>67</v>
      </c>
      <c r="B68" s="1" t="s">
        <v>1454</v>
      </c>
      <c r="C68" s="2">
        <v>46025</v>
      </c>
      <c r="D68">
        <v>67</v>
      </c>
      <c r="E68">
        <v>19.670000000000002</v>
      </c>
      <c r="F68" s="1" t="s">
        <v>1499</v>
      </c>
      <c r="G68" s="2">
        <v>46034</v>
      </c>
    </row>
    <row r="69" spans="1:7" x14ac:dyDescent="0.25">
      <c r="A69" s="1" t="s">
        <v>68</v>
      </c>
      <c r="B69" s="1" t="s">
        <v>1471</v>
      </c>
      <c r="C69" s="2">
        <v>46032</v>
      </c>
      <c r="D69">
        <v>437</v>
      </c>
      <c r="E69">
        <v>77</v>
      </c>
      <c r="F69" s="1" t="s">
        <v>1442</v>
      </c>
      <c r="G69" s="2">
        <v>46041</v>
      </c>
    </row>
    <row r="70" spans="1:7" x14ac:dyDescent="0.25">
      <c r="A70" s="1" t="s">
        <v>69</v>
      </c>
      <c r="B70" s="1" t="s">
        <v>1500</v>
      </c>
      <c r="C70" s="2">
        <v>46055</v>
      </c>
      <c r="D70">
        <v>31</v>
      </c>
      <c r="E70">
        <v>65.11</v>
      </c>
      <c r="F70" s="1" t="s">
        <v>1462</v>
      </c>
      <c r="G70" s="2">
        <v>46071</v>
      </c>
    </row>
    <row r="71" spans="1:7" x14ac:dyDescent="0.25">
      <c r="A71" s="1" t="s">
        <v>70</v>
      </c>
      <c r="B71" s="1" t="s">
        <v>1463</v>
      </c>
      <c r="C71" s="2">
        <v>46086</v>
      </c>
      <c r="D71">
        <v>351</v>
      </c>
      <c r="E71">
        <v>25.04</v>
      </c>
      <c r="F71" s="1" t="s">
        <v>1456</v>
      </c>
      <c r="G71" s="2">
        <v>46104</v>
      </c>
    </row>
    <row r="72" spans="1:7" x14ac:dyDescent="0.25">
      <c r="A72" s="1" t="s">
        <v>71</v>
      </c>
      <c r="B72" s="1" t="s">
        <v>1497</v>
      </c>
      <c r="C72" s="2">
        <v>46062</v>
      </c>
      <c r="D72">
        <v>483</v>
      </c>
      <c r="E72">
        <v>186.33</v>
      </c>
      <c r="F72" s="1" t="s">
        <v>1501</v>
      </c>
      <c r="G72" s="2">
        <v>46072</v>
      </c>
    </row>
    <row r="73" spans="1:7" x14ac:dyDescent="0.25">
      <c r="A73" s="1" t="s">
        <v>72</v>
      </c>
      <c r="B73" s="1" t="s">
        <v>1495</v>
      </c>
      <c r="C73" s="2">
        <v>46029</v>
      </c>
      <c r="D73">
        <v>101</v>
      </c>
      <c r="E73">
        <v>148.63</v>
      </c>
      <c r="F73" s="1" t="s">
        <v>1472</v>
      </c>
      <c r="G73" s="2">
        <v>46047</v>
      </c>
    </row>
    <row r="74" spans="1:7" x14ac:dyDescent="0.25">
      <c r="A74" s="1" t="s">
        <v>73</v>
      </c>
      <c r="B74" s="1" t="s">
        <v>1484</v>
      </c>
      <c r="C74" s="2">
        <v>46086</v>
      </c>
      <c r="D74">
        <v>146</v>
      </c>
      <c r="E74">
        <v>36.04</v>
      </c>
      <c r="F74" s="1" t="s">
        <v>1499</v>
      </c>
      <c r="G74" s="2">
        <v>46094</v>
      </c>
    </row>
    <row r="75" spans="1:7" x14ac:dyDescent="0.25">
      <c r="A75" s="1" t="s">
        <v>74</v>
      </c>
      <c r="B75" s="1" t="s">
        <v>1502</v>
      </c>
      <c r="C75" s="2">
        <v>46032</v>
      </c>
      <c r="D75">
        <v>449</v>
      </c>
      <c r="E75">
        <v>96.78</v>
      </c>
      <c r="F75" s="1" t="s">
        <v>1444</v>
      </c>
      <c r="G75" s="2">
        <v>46051</v>
      </c>
    </row>
    <row r="76" spans="1:7" x14ac:dyDescent="0.25">
      <c r="A76" s="1" t="s">
        <v>75</v>
      </c>
      <c r="B76" s="1" t="s">
        <v>1503</v>
      </c>
      <c r="C76" s="2">
        <v>46101</v>
      </c>
      <c r="D76">
        <v>430</v>
      </c>
      <c r="E76">
        <v>160.09</v>
      </c>
      <c r="F76" s="1" t="s">
        <v>1440</v>
      </c>
      <c r="G76" s="2">
        <v>46113</v>
      </c>
    </row>
    <row r="77" spans="1:7" x14ac:dyDescent="0.25">
      <c r="A77" s="1" t="s">
        <v>76</v>
      </c>
      <c r="B77" s="1" t="s">
        <v>1473</v>
      </c>
      <c r="C77" s="2">
        <v>46072</v>
      </c>
      <c r="D77">
        <v>214</v>
      </c>
      <c r="E77">
        <v>69.010000000000005</v>
      </c>
      <c r="F77" s="1" t="s">
        <v>1476</v>
      </c>
      <c r="G77" s="2">
        <v>46085</v>
      </c>
    </row>
    <row r="78" spans="1:7" x14ac:dyDescent="0.25">
      <c r="A78" s="1" t="s">
        <v>77</v>
      </c>
      <c r="B78" s="1" t="s">
        <v>1503</v>
      </c>
      <c r="C78" s="2">
        <v>46153</v>
      </c>
      <c r="D78">
        <v>214</v>
      </c>
      <c r="E78">
        <v>137.51</v>
      </c>
      <c r="F78" s="1" t="s">
        <v>1442</v>
      </c>
      <c r="G78" s="2">
        <v>46168</v>
      </c>
    </row>
    <row r="79" spans="1:7" x14ac:dyDescent="0.25">
      <c r="A79" s="1" t="s">
        <v>733</v>
      </c>
      <c r="B79" s="1" t="s">
        <v>1473</v>
      </c>
      <c r="C79" s="2">
        <v>46052</v>
      </c>
      <c r="D79">
        <v>459</v>
      </c>
      <c r="E79">
        <v>194.23</v>
      </c>
      <c r="F79" s="1" t="s">
        <v>1501</v>
      </c>
      <c r="G79" s="2">
        <v>46065</v>
      </c>
    </row>
    <row r="80" spans="1:7" x14ac:dyDescent="0.25">
      <c r="A80" s="1" t="s">
        <v>78</v>
      </c>
      <c r="B80" s="1" t="s">
        <v>1452</v>
      </c>
      <c r="C80" s="2">
        <v>46050</v>
      </c>
      <c r="D80">
        <v>315</v>
      </c>
      <c r="E80">
        <v>89.74</v>
      </c>
      <c r="F80" s="1" t="s">
        <v>1490</v>
      </c>
      <c r="G80" s="2">
        <v>46065</v>
      </c>
    </row>
    <row r="81" spans="1:7" x14ac:dyDescent="0.25">
      <c r="A81" s="1" t="s">
        <v>79</v>
      </c>
      <c r="B81" s="1" t="s">
        <v>1500</v>
      </c>
      <c r="C81" s="2">
        <v>46153</v>
      </c>
      <c r="D81">
        <v>69</v>
      </c>
      <c r="E81">
        <v>80.11</v>
      </c>
      <c r="F81" s="1" t="s">
        <v>1480</v>
      </c>
      <c r="G81" s="2">
        <v>46164</v>
      </c>
    </row>
    <row r="82" spans="1:7" x14ac:dyDescent="0.25">
      <c r="A82" s="1" t="s">
        <v>80</v>
      </c>
      <c r="B82" s="1" t="s">
        <v>1470</v>
      </c>
      <c r="C82" s="2">
        <v>46034</v>
      </c>
      <c r="D82">
        <v>372</v>
      </c>
      <c r="E82">
        <v>90.03</v>
      </c>
      <c r="F82" s="1" t="s">
        <v>1504</v>
      </c>
      <c r="G82" s="2">
        <v>46045</v>
      </c>
    </row>
    <row r="83" spans="1:7" x14ac:dyDescent="0.25">
      <c r="A83" s="1" t="s">
        <v>81</v>
      </c>
      <c r="B83" s="1" t="s">
        <v>1496</v>
      </c>
      <c r="C83" s="2">
        <v>46133</v>
      </c>
      <c r="D83">
        <v>45</v>
      </c>
      <c r="E83">
        <v>190.03</v>
      </c>
      <c r="F83" s="1" t="s">
        <v>1472</v>
      </c>
      <c r="G83" s="2">
        <v>46148</v>
      </c>
    </row>
    <row r="84" spans="1:7" x14ac:dyDescent="0.25">
      <c r="A84" s="1" t="s">
        <v>82</v>
      </c>
      <c r="B84" s="1" t="s">
        <v>1484</v>
      </c>
      <c r="C84" s="2">
        <v>46054</v>
      </c>
      <c r="D84">
        <v>378</v>
      </c>
      <c r="E84">
        <v>180.51</v>
      </c>
      <c r="F84" s="1" t="s">
        <v>1504</v>
      </c>
      <c r="G84" s="2">
        <v>46068</v>
      </c>
    </row>
    <row r="85" spans="1:7" x14ac:dyDescent="0.25">
      <c r="A85" s="1" t="s">
        <v>83</v>
      </c>
      <c r="B85" s="1" t="s">
        <v>1484</v>
      </c>
      <c r="C85" s="2">
        <v>46127</v>
      </c>
      <c r="D85">
        <v>177</v>
      </c>
      <c r="E85">
        <v>83.47</v>
      </c>
      <c r="F85" s="1" t="s">
        <v>1474</v>
      </c>
      <c r="G85" s="2">
        <v>46136</v>
      </c>
    </row>
    <row r="86" spans="1:7" x14ac:dyDescent="0.25">
      <c r="A86" s="1" t="s">
        <v>84</v>
      </c>
      <c r="B86" s="1" t="s">
        <v>1505</v>
      </c>
      <c r="C86" s="2">
        <v>46130</v>
      </c>
      <c r="D86">
        <v>350</v>
      </c>
      <c r="E86">
        <v>188.37</v>
      </c>
      <c r="F86" s="1" t="s">
        <v>1467</v>
      </c>
      <c r="G86" s="2">
        <v>46140</v>
      </c>
    </row>
    <row r="87" spans="1:7" x14ac:dyDescent="0.25">
      <c r="A87" s="1" t="s">
        <v>85</v>
      </c>
      <c r="B87" s="1" t="s">
        <v>1497</v>
      </c>
      <c r="C87" s="2">
        <v>46168</v>
      </c>
      <c r="D87">
        <v>164</v>
      </c>
      <c r="E87">
        <v>84.18</v>
      </c>
      <c r="F87" s="1" t="s">
        <v>1448</v>
      </c>
      <c r="G87" s="2">
        <v>46182</v>
      </c>
    </row>
    <row r="88" spans="1:7" x14ac:dyDescent="0.25">
      <c r="A88" s="1" t="s">
        <v>86</v>
      </c>
      <c r="B88" s="1" t="s">
        <v>1506</v>
      </c>
      <c r="C88" s="2">
        <v>46076</v>
      </c>
      <c r="D88">
        <v>230</v>
      </c>
      <c r="E88">
        <v>158.22</v>
      </c>
      <c r="F88" s="1" t="s">
        <v>1494</v>
      </c>
      <c r="G88" s="2">
        <v>46091</v>
      </c>
    </row>
    <row r="89" spans="1:7" x14ac:dyDescent="0.25">
      <c r="A89" s="1" t="s">
        <v>87</v>
      </c>
      <c r="B89" s="1" t="s">
        <v>1489</v>
      </c>
      <c r="C89" s="2">
        <v>46136</v>
      </c>
      <c r="D89">
        <v>236</v>
      </c>
      <c r="E89">
        <v>136.75</v>
      </c>
      <c r="F89" s="1" t="s">
        <v>1459</v>
      </c>
      <c r="G89" s="2">
        <v>46156</v>
      </c>
    </row>
    <row r="90" spans="1:7" x14ac:dyDescent="0.25">
      <c r="A90" s="1" t="s">
        <v>88</v>
      </c>
      <c r="B90" s="1" t="s">
        <v>1465</v>
      </c>
      <c r="C90" s="2">
        <v>46066</v>
      </c>
      <c r="D90">
        <v>347</v>
      </c>
      <c r="E90">
        <v>21.54</v>
      </c>
      <c r="F90" s="1" t="s">
        <v>1504</v>
      </c>
      <c r="G90" s="2">
        <v>46081</v>
      </c>
    </row>
    <row r="91" spans="1:7" x14ac:dyDescent="0.25">
      <c r="A91" s="1" t="s">
        <v>89</v>
      </c>
      <c r="B91" s="1" t="s">
        <v>1457</v>
      </c>
      <c r="C91" s="2">
        <v>46083</v>
      </c>
      <c r="D91">
        <v>354</v>
      </c>
      <c r="E91">
        <v>65.53</v>
      </c>
      <c r="F91" s="1" t="s">
        <v>1444</v>
      </c>
      <c r="G91" s="2">
        <v>46092</v>
      </c>
    </row>
    <row r="92" spans="1:7" x14ac:dyDescent="0.25">
      <c r="A92" s="1" t="s">
        <v>90</v>
      </c>
      <c r="B92" s="1" t="s">
        <v>1473</v>
      </c>
      <c r="C92" s="2">
        <v>46034</v>
      </c>
      <c r="D92">
        <v>135</v>
      </c>
      <c r="E92">
        <v>196.87</v>
      </c>
      <c r="F92" s="1" t="s">
        <v>1494</v>
      </c>
      <c r="G92" s="2">
        <v>46041</v>
      </c>
    </row>
    <row r="93" spans="1:7" x14ac:dyDescent="0.25">
      <c r="A93" s="1" t="s">
        <v>91</v>
      </c>
      <c r="B93" s="1" t="s">
        <v>1489</v>
      </c>
      <c r="C93" s="2">
        <v>46129</v>
      </c>
      <c r="D93">
        <v>463</v>
      </c>
      <c r="E93">
        <v>127.8</v>
      </c>
      <c r="F93" s="1" t="s">
        <v>1444</v>
      </c>
      <c r="G93" s="2">
        <v>46146</v>
      </c>
    </row>
    <row r="94" spans="1:7" x14ac:dyDescent="0.25">
      <c r="A94" s="1" t="s">
        <v>92</v>
      </c>
      <c r="B94" s="1" t="s">
        <v>1498</v>
      </c>
      <c r="C94" s="2">
        <v>46125</v>
      </c>
      <c r="D94">
        <v>134</v>
      </c>
      <c r="E94">
        <v>33.78</v>
      </c>
      <c r="F94" s="1" t="s">
        <v>1499</v>
      </c>
      <c r="G94" s="2">
        <v>46130</v>
      </c>
    </row>
    <row r="95" spans="1:7" x14ac:dyDescent="0.25">
      <c r="A95" s="1" t="s">
        <v>751</v>
      </c>
      <c r="B95" s="1" t="s">
        <v>1450</v>
      </c>
      <c r="C95" s="2">
        <v>46131</v>
      </c>
      <c r="D95">
        <v>122</v>
      </c>
      <c r="E95">
        <v>39.299999999999997</v>
      </c>
      <c r="F95" s="1" t="s">
        <v>1499</v>
      </c>
      <c r="G95" s="2">
        <v>46152</v>
      </c>
    </row>
    <row r="96" spans="1:7" x14ac:dyDescent="0.25">
      <c r="A96" s="1" t="s">
        <v>93</v>
      </c>
      <c r="B96" s="1" t="s">
        <v>1489</v>
      </c>
      <c r="C96" s="2">
        <v>46035</v>
      </c>
      <c r="D96">
        <v>295</v>
      </c>
      <c r="E96">
        <v>53.59</v>
      </c>
      <c r="F96" s="1" t="s">
        <v>1459</v>
      </c>
      <c r="G96" s="2">
        <v>46054</v>
      </c>
    </row>
    <row r="97" spans="1:7" x14ac:dyDescent="0.25">
      <c r="A97" s="1" t="s">
        <v>94</v>
      </c>
      <c r="B97" s="1" t="s">
        <v>1441</v>
      </c>
      <c r="C97" s="2">
        <v>46141</v>
      </c>
      <c r="D97">
        <v>351</v>
      </c>
      <c r="E97">
        <v>108.57</v>
      </c>
      <c r="F97" s="1" t="s">
        <v>1459</v>
      </c>
      <c r="G97" s="2">
        <v>46156</v>
      </c>
    </row>
    <row r="98" spans="1:7" x14ac:dyDescent="0.25">
      <c r="A98" s="1" t="s">
        <v>755</v>
      </c>
      <c r="B98" s="1" t="s">
        <v>1478</v>
      </c>
      <c r="C98" s="2">
        <v>46152</v>
      </c>
      <c r="D98">
        <v>228</v>
      </c>
      <c r="E98">
        <v>166.96</v>
      </c>
      <c r="F98" s="1" t="s">
        <v>1442</v>
      </c>
      <c r="G98" s="2">
        <v>46171</v>
      </c>
    </row>
    <row r="99" spans="1:7" x14ac:dyDescent="0.25">
      <c r="A99" s="1" t="s">
        <v>95</v>
      </c>
      <c r="B99" s="1" t="s">
        <v>1460</v>
      </c>
      <c r="C99" s="2">
        <v>46144</v>
      </c>
      <c r="D99">
        <v>240</v>
      </c>
      <c r="E99">
        <v>55.54</v>
      </c>
      <c r="F99" s="1" t="s">
        <v>1440</v>
      </c>
      <c r="G99" s="2">
        <v>46157</v>
      </c>
    </row>
    <row r="100" spans="1:7" x14ac:dyDescent="0.25">
      <c r="A100" s="1" t="s">
        <v>96</v>
      </c>
      <c r="B100" s="1" t="s">
        <v>1491</v>
      </c>
      <c r="C100" s="2">
        <v>46147</v>
      </c>
      <c r="D100">
        <v>330</v>
      </c>
      <c r="E100">
        <v>51.65</v>
      </c>
      <c r="F100" s="1" t="s">
        <v>1469</v>
      </c>
      <c r="G100" s="2">
        <v>46154</v>
      </c>
    </row>
    <row r="101" spans="1:7" x14ac:dyDescent="0.25">
      <c r="A101" s="1" t="s">
        <v>97</v>
      </c>
      <c r="B101" s="1" t="s">
        <v>1455</v>
      </c>
      <c r="C101" s="2">
        <v>46096</v>
      </c>
      <c r="D101">
        <v>130</v>
      </c>
      <c r="E101">
        <v>57.98</v>
      </c>
      <c r="F101" s="1" t="s">
        <v>1472</v>
      </c>
      <c r="G101" s="2">
        <v>46103</v>
      </c>
    </row>
    <row r="102" spans="1:7" x14ac:dyDescent="0.25">
      <c r="A102" s="1" t="s">
        <v>760</v>
      </c>
      <c r="B102" s="1" t="s">
        <v>1441</v>
      </c>
      <c r="C102" s="2">
        <v>46061</v>
      </c>
      <c r="D102">
        <v>128</v>
      </c>
      <c r="E102">
        <v>79.69</v>
      </c>
      <c r="F102" s="1" t="s">
        <v>1485</v>
      </c>
      <c r="G102" s="2">
        <v>46072</v>
      </c>
    </row>
    <row r="103" spans="1:7" x14ac:dyDescent="0.25">
      <c r="A103" s="1" t="s">
        <v>98</v>
      </c>
      <c r="B103" s="1" t="s">
        <v>1492</v>
      </c>
      <c r="C103" s="2">
        <v>46129</v>
      </c>
      <c r="D103">
        <v>218</v>
      </c>
      <c r="E103">
        <v>69.52</v>
      </c>
      <c r="F103" s="1" t="s">
        <v>1469</v>
      </c>
      <c r="G103" s="2">
        <v>46147</v>
      </c>
    </row>
    <row r="104" spans="1:7" x14ac:dyDescent="0.25">
      <c r="A104" s="1" t="s">
        <v>99</v>
      </c>
      <c r="B104" s="1" t="s">
        <v>1475</v>
      </c>
      <c r="C104" s="2">
        <v>46075</v>
      </c>
      <c r="D104">
        <v>436</v>
      </c>
      <c r="E104">
        <v>86.93</v>
      </c>
      <c r="F104" s="1" t="s">
        <v>1456</v>
      </c>
      <c r="G104" s="2">
        <v>46080</v>
      </c>
    </row>
    <row r="105" spans="1:7" x14ac:dyDescent="0.25">
      <c r="A105" s="1" t="s">
        <v>100</v>
      </c>
      <c r="B105" s="1" t="s">
        <v>1493</v>
      </c>
      <c r="C105" s="2">
        <v>46120</v>
      </c>
      <c r="D105">
        <v>254</v>
      </c>
      <c r="E105">
        <v>6.15</v>
      </c>
      <c r="F105" s="1" t="s">
        <v>1451</v>
      </c>
      <c r="G105" s="2">
        <v>46134</v>
      </c>
    </row>
    <row r="106" spans="1:7" x14ac:dyDescent="0.25">
      <c r="A106" s="1" t="s">
        <v>101</v>
      </c>
      <c r="B106" s="1" t="s">
        <v>1502</v>
      </c>
      <c r="C106" s="2">
        <v>46130</v>
      </c>
      <c r="D106">
        <v>285</v>
      </c>
      <c r="E106">
        <v>150.77000000000001</v>
      </c>
      <c r="F106" s="1" t="s">
        <v>1459</v>
      </c>
      <c r="G106" s="2">
        <v>46142</v>
      </c>
    </row>
    <row r="107" spans="1:7" x14ac:dyDescent="0.25">
      <c r="A107" s="1" t="s">
        <v>102</v>
      </c>
      <c r="B107" s="1" t="s">
        <v>1498</v>
      </c>
      <c r="C107" s="2">
        <v>46079</v>
      </c>
      <c r="D107">
        <v>149</v>
      </c>
      <c r="E107">
        <v>89.99</v>
      </c>
      <c r="F107" s="1" t="s">
        <v>1448</v>
      </c>
      <c r="G107" s="2">
        <v>46096</v>
      </c>
    </row>
    <row r="108" spans="1:7" x14ac:dyDescent="0.25">
      <c r="A108" s="1" t="s">
        <v>103</v>
      </c>
      <c r="B108" s="1" t="s">
        <v>1479</v>
      </c>
      <c r="C108" s="2">
        <v>46126</v>
      </c>
      <c r="D108">
        <v>380</v>
      </c>
      <c r="E108">
        <v>37.18</v>
      </c>
      <c r="F108" s="1" t="s">
        <v>1469</v>
      </c>
      <c r="G108" s="2">
        <v>46135</v>
      </c>
    </row>
    <row r="109" spans="1:7" x14ac:dyDescent="0.25">
      <c r="A109" s="1" t="s">
        <v>104</v>
      </c>
      <c r="B109" s="1" t="s">
        <v>1497</v>
      </c>
      <c r="C109" s="2">
        <v>46159</v>
      </c>
      <c r="D109">
        <v>23</v>
      </c>
      <c r="E109">
        <v>181.85</v>
      </c>
      <c r="F109" s="1" t="s">
        <v>1480</v>
      </c>
      <c r="G109" s="2">
        <v>46164</v>
      </c>
    </row>
    <row r="110" spans="1:7" x14ac:dyDescent="0.25">
      <c r="A110" s="1" t="s">
        <v>105</v>
      </c>
      <c r="B110" s="1" t="s">
        <v>1457</v>
      </c>
      <c r="C110" s="2">
        <v>46132</v>
      </c>
      <c r="D110">
        <v>79</v>
      </c>
      <c r="E110">
        <v>174.04</v>
      </c>
      <c r="F110" s="1" t="s">
        <v>1501</v>
      </c>
      <c r="G110" s="2">
        <v>46138</v>
      </c>
    </row>
    <row r="111" spans="1:7" x14ac:dyDescent="0.25">
      <c r="A111" s="1" t="s">
        <v>770</v>
      </c>
      <c r="B111" s="1" t="s">
        <v>1470</v>
      </c>
      <c r="C111" s="2">
        <v>46120</v>
      </c>
      <c r="D111">
        <v>177</v>
      </c>
      <c r="E111">
        <v>46.27</v>
      </c>
      <c r="F111" s="1" t="s">
        <v>1472</v>
      </c>
      <c r="G111" s="2">
        <v>46135</v>
      </c>
    </row>
    <row r="112" spans="1:7" x14ac:dyDescent="0.25">
      <c r="A112" s="1" t="s">
        <v>106</v>
      </c>
      <c r="B112" s="1" t="s">
        <v>1502</v>
      </c>
      <c r="C112" s="2">
        <v>46094</v>
      </c>
      <c r="D112">
        <v>395</v>
      </c>
      <c r="E112">
        <v>190.48</v>
      </c>
      <c r="F112" s="1" t="s">
        <v>1507</v>
      </c>
      <c r="G112" s="2">
        <v>46107</v>
      </c>
    </row>
    <row r="113" spans="1:7" x14ac:dyDescent="0.25">
      <c r="A113" s="1" t="s">
        <v>107</v>
      </c>
      <c r="B113" s="1" t="s">
        <v>1457</v>
      </c>
      <c r="C113" s="2">
        <v>46143</v>
      </c>
      <c r="D113">
        <v>19</v>
      </c>
      <c r="E113">
        <v>151.06</v>
      </c>
      <c r="F113" s="1" t="s">
        <v>1462</v>
      </c>
      <c r="G113" s="2">
        <v>46159</v>
      </c>
    </row>
    <row r="114" spans="1:7" x14ac:dyDescent="0.25">
      <c r="A114" s="1" t="s">
        <v>774</v>
      </c>
      <c r="B114" s="1" t="s">
        <v>1447</v>
      </c>
      <c r="C114" s="2">
        <v>46040</v>
      </c>
      <c r="D114">
        <v>409</v>
      </c>
      <c r="E114">
        <v>191.67</v>
      </c>
      <c r="F114" s="1" t="s">
        <v>1462</v>
      </c>
      <c r="G114" s="2">
        <v>46045</v>
      </c>
    </row>
    <row r="115" spans="1:7" x14ac:dyDescent="0.25">
      <c r="A115" s="1" t="s">
        <v>108</v>
      </c>
      <c r="B115" s="1" t="s">
        <v>1482</v>
      </c>
      <c r="C115" s="2">
        <v>46074</v>
      </c>
      <c r="D115">
        <v>439</v>
      </c>
      <c r="E115">
        <v>8.9700000000000006</v>
      </c>
      <c r="F115" s="1" t="s">
        <v>1485</v>
      </c>
      <c r="G115" s="2">
        <v>46086</v>
      </c>
    </row>
    <row r="116" spans="1:7" x14ac:dyDescent="0.25">
      <c r="A116" s="1" t="s">
        <v>109</v>
      </c>
      <c r="B116" s="1" t="s">
        <v>1441</v>
      </c>
      <c r="C116" s="2">
        <v>46144</v>
      </c>
      <c r="D116">
        <v>352</v>
      </c>
      <c r="E116">
        <v>27.31</v>
      </c>
      <c r="F116" s="1" t="s">
        <v>1444</v>
      </c>
      <c r="G116" s="2">
        <v>46163</v>
      </c>
    </row>
    <row r="117" spans="1:7" x14ac:dyDescent="0.25">
      <c r="A117" s="1" t="s">
        <v>110</v>
      </c>
      <c r="B117" s="1" t="s">
        <v>1449</v>
      </c>
      <c r="C117" s="2">
        <v>46088</v>
      </c>
      <c r="D117">
        <v>402</v>
      </c>
      <c r="E117">
        <v>76.930000000000007</v>
      </c>
      <c r="F117" s="1" t="s">
        <v>1494</v>
      </c>
      <c r="G117" s="2">
        <v>46096</v>
      </c>
    </row>
    <row r="118" spans="1:7" x14ac:dyDescent="0.25">
      <c r="A118" s="1" t="s">
        <v>111</v>
      </c>
      <c r="B118" s="1" t="s">
        <v>1460</v>
      </c>
      <c r="C118" s="2">
        <v>46102</v>
      </c>
      <c r="D118">
        <v>65</v>
      </c>
      <c r="E118">
        <v>117.84</v>
      </c>
      <c r="F118" s="1" t="s">
        <v>1474</v>
      </c>
      <c r="G118" s="2">
        <v>46119</v>
      </c>
    </row>
    <row r="119" spans="1:7" x14ac:dyDescent="0.25">
      <c r="A119" s="1" t="s">
        <v>112</v>
      </c>
      <c r="B119" s="1" t="s">
        <v>1488</v>
      </c>
      <c r="C119" s="2">
        <v>46073</v>
      </c>
      <c r="D119">
        <v>48</v>
      </c>
      <c r="E119">
        <v>120.46</v>
      </c>
      <c r="F119" s="1" t="s">
        <v>1446</v>
      </c>
      <c r="G119" s="2">
        <v>46085</v>
      </c>
    </row>
    <row r="120" spans="1:7" x14ac:dyDescent="0.25">
      <c r="A120" s="1" t="s">
        <v>113</v>
      </c>
      <c r="B120" s="1" t="s">
        <v>1450</v>
      </c>
      <c r="C120" s="2">
        <v>46100</v>
      </c>
      <c r="D120">
        <v>445</v>
      </c>
      <c r="E120">
        <v>138.43</v>
      </c>
      <c r="F120" s="1" t="s">
        <v>1459</v>
      </c>
      <c r="G120" s="2">
        <v>46106</v>
      </c>
    </row>
    <row r="121" spans="1:7" x14ac:dyDescent="0.25">
      <c r="A121" s="1" t="s">
        <v>114</v>
      </c>
      <c r="B121" s="1" t="s">
        <v>1503</v>
      </c>
      <c r="C121" s="2">
        <v>46159</v>
      </c>
      <c r="D121">
        <v>229</v>
      </c>
      <c r="E121">
        <v>134</v>
      </c>
      <c r="F121" s="1" t="s">
        <v>1476</v>
      </c>
      <c r="G121" s="2">
        <v>46180</v>
      </c>
    </row>
    <row r="122" spans="1:7" x14ac:dyDescent="0.25">
      <c r="A122" s="1" t="s">
        <v>115</v>
      </c>
      <c r="B122" s="1" t="s">
        <v>1508</v>
      </c>
      <c r="C122" s="2">
        <v>46110</v>
      </c>
      <c r="D122">
        <v>16</v>
      </c>
      <c r="E122">
        <v>170.67</v>
      </c>
      <c r="F122" s="1" t="s">
        <v>1487</v>
      </c>
      <c r="G122" s="2">
        <v>46118</v>
      </c>
    </row>
    <row r="123" spans="1:7" x14ac:dyDescent="0.25">
      <c r="A123" s="1" t="s">
        <v>116</v>
      </c>
      <c r="B123" s="1" t="s">
        <v>1500</v>
      </c>
      <c r="C123" s="2">
        <v>46115</v>
      </c>
      <c r="D123">
        <v>335</v>
      </c>
      <c r="E123">
        <v>178.86</v>
      </c>
      <c r="F123" s="1" t="s">
        <v>1469</v>
      </c>
      <c r="G123" s="2">
        <v>46124</v>
      </c>
    </row>
    <row r="124" spans="1:7" x14ac:dyDescent="0.25">
      <c r="A124" s="1" t="s">
        <v>117</v>
      </c>
      <c r="B124" s="1" t="s">
        <v>1500</v>
      </c>
      <c r="C124" s="2">
        <v>46068</v>
      </c>
      <c r="D124">
        <v>385</v>
      </c>
      <c r="E124">
        <v>106.74</v>
      </c>
      <c r="F124" s="1" t="s">
        <v>1459</v>
      </c>
      <c r="G124" s="2">
        <v>46081</v>
      </c>
    </row>
    <row r="125" spans="1:7" x14ac:dyDescent="0.25">
      <c r="A125" s="1" t="s">
        <v>118</v>
      </c>
      <c r="B125" s="1" t="s">
        <v>1497</v>
      </c>
      <c r="C125" s="2">
        <v>46160</v>
      </c>
      <c r="D125">
        <v>406</v>
      </c>
      <c r="E125">
        <v>99.28</v>
      </c>
      <c r="F125" s="1" t="s">
        <v>1507</v>
      </c>
      <c r="G125" s="2">
        <v>46173</v>
      </c>
    </row>
    <row r="126" spans="1:7" x14ac:dyDescent="0.25">
      <c r="A126" s="1" t="s">
        <v>789</v>
      </c>
      <c r="B126" s="1" t="s">
        <v>1509</v>
      </c>
      <c r="C126" s="2">
        <v>46085</v>
      </c>
      <c r="D126">
        <v>435</v>
      </c>
      <c r="E126">
        <v>187.25</v>
      </c>
      <c r="F126" s="1" t="s">
        <v>1458</v>
      </c>
      <c r="G126" s="2">
        <v>46104</v>
      </c>
    </row>
    <row r="127" spans="1:7" x14ac:dyDescent="0.25">
      <c r="A127" s="1" t="s">
        <v>119</v>
      </c>
      <c r="B127" s="1" t="s">
        <v>1482</v>
      </c>
      <c r="C127" s="2">
        <v>46141</v>
      </c>
      <c r="D127">
        <v>301</v>
      </c>
      <c r="E127">
        <v>124.01</v>
      </c>
      <c r="F127" s="1" t="s">
        <v>1453</v>
      </c>
      <c r="G127" s="2">
        <v>46156</v>
      </c>
    </row>
    <row r="128" spans="1:7" x14ac:dyDescent="0.25">
      <c r="A128" s="1" t="s">
        <v>120</v>
      </c>
      <c r="B128" s="1" t="s">
        <v>1473</v>
      </c>
      <c r="C128" s="2">
        <v>46149</v>
      </c>
      <c r="D128">
        <v>445</v>
      </c>
      <c r="E128">
        <v>68.38</v>
      </c>
      <c r="F128" s="1" t="s">
        <v>1487</v>
      </c>
      <c r="G128" s="2">
        <v>46160</v>
      </c>
    </row>
    <row r="129" spans="1:7" x14ac:dyDescent="0.25">
      <c r="A129" s="1" t="s">
        <v>121</v>
      </c>
      <c r="B129" s="1" t="s">
        <v>1503</v>
      </c>
      <c r="C129" s="2">
        <v>46089</v>
      </c>
      <c r="D129">
        <v>184</v>
      </c>
      <c r="E129">
        <v>59.53</v>
      </c>
      <c r="F129" s="1" t="s">
        <v>1494</v>
      </c>
      <c r="G129" s="2">
        <v>46102</v>
      </c>
    </row>
    <row r="130" spans="1:7" x14ac:dyDescent="0.25">
      <c r="A130" s="1" t="s">
        <v>794</v>
      </c>
      <c r="B130" s="1" t="s">
        <v>1454</v>
      </c>
      <c r="C130" s="2">
        <v>46025</v>
      </c>
      <c r="D130">
        <v>274</v>
      </c>
      <c r="E130">
        <v>189.87</v>
      </c>
      <c r="F130" s="1" t="s">
        <v>1476</v>
      </c>
      <c r="G130" s="2">
        <v>46037</v>
      </c>
    </row>
    <row r="131" spans="1:7" x14ac:dyDescent="0.25">
      <c r="A131" s="1" t="s">
        <v>122</v>
      </c>
      <c r="B131" s="1" t="s">
        <v>1477</v>
      </c>
      <c r="C131" s="2">
        <v>46127</v>
      </c>
      <c r="D131">
        <v>260</v>
      </c>
      <c r="E131">
        <v>113.26</v>
      </c>
      <c r="F131" s="1" t="s">
        <v>1440</v>
      </c>
      <c r="G131" s="2">
        <v>46147</v>
      </c>
    </row>
    <row r="132" spans="1:7" x14ac:dyDescent="0.25">
      <c r="A132" s="1" t="s">
        <v>123</v>
      </c>
      <c r="B132" s="1" t="s">
        <v>1508</v>
      </c>
      <c r="C132" s="2">
        <v>46148</v>
      </c>
      <c r="D132">
        <v>239</v>
      </c>
      <c r="E132">
        <v>159.62</v>
      </c>
      <c r="F132" s="1" t="s">
        <v>1476</v>
      </c>
      <c r="G132" s="2">
        <v>46162</v>
      </c>
    </row>
    <row r="133" spans="1:7" x14ac:dyDescent="0.25">
      <c r="A133" s="1" t="s">
        <v>124</v>
      </c>
      <c r="B133" s="1" t="s">
        <v>1447</v>
      </c>
      <c r="C133" s="2">
        <v>46126</v>
      </c>
      <c r="D133">
        <v>364</v>
      </c>
      <c r="E133">
        <v>52.44</v>
      </c>
      <c r="F133" s="1" t="s">
        <v>1467</v>
      </c>
      <c r="G133" s="2">
        <v>46142</v>
      </c>
    </row>
    <row r="134" spans="1:7" x14ac:dyDescent="0.25">
      <c r="A134" s="1" t="s">
        <v>125</v>
      </c>
      <c r="B134" s="1" t="s">
        <v>1510</v>
      </c>
      <c r="C134" s="2">
        <v>46164</v>
      </c>
      <c r="D134">
        <v>281</v>
      </c>
      <c r="E134">
        <v>72.03</v>
      </c>
      <c r="F134" s="1" t="s">
        <v>1459</v>
      </c>
      <c r="G134" s="2">
        <v>46179</v>
      </c>
    </row>
    <row r="135" spans="1:7" x14ac:dyDescent="0.25">
      <c r="A135" s="1" t="s">
        <v>800</v>
      </c>
      <c r="B135" s="1" t="s">
        <v>1503</v>
      </c>
      <c r="C135" s="2">
        <v>46139</v>
      </c>
      <c r="D135">
        <v>148</v>
      </c>
      <c r="E135">
        <v>64.790000000000006</v>
      </c>
      <c r="F135" s="1" t="s">
        <v>1440</v>
      </c>
      <c r="G135" s="2">
        <v>46147</v>
      </c>
    </row>
    <row r="136" spans="1:7" x14ac:dyDescent="0.25">
      <c r="A136" s="1" t="s">
        <v>126</v>
      </c>
      <c r="B136" s="1" t="s">
        <v>1477</v>
      </c>
      <c r="C136" s="2">
        <v>46072</v>
      </c>
      <c r="D136">
        <v>171</v>
      </c>
      <c r="E136">
        <v>28.31</v>
      </c>
      <c r="F136" s="1" t="s">
        <v>1442</v>
      </c>
      <c r="G136" s="2">
        <v>46082</v>
      </c>
    </row>
    <row r="137" spans="1:7" x14ac:dyDescent="0.25">
      <c r="A137" s="1" t="s">
        <v>127</v>
      </c>
      <c r="B137" s="1" t="s">
        <v>1505</v>
      </c>
      <c r="C137" s="2">
        <v>46078</v>
      </c>
      <c r="D137">
        <v>388</v>
      </c>
      <c r="E137">
        <v>99.42</v>
      </c>
      <c r="F137" s="1" t="s">
        <v>1459</v>
      </c>
      <c r="G137" s="2">
        <v>46099</v>
      </c>
    </row>
    <row r="138" spans="1:7" x14ac:dyDescent="0.25">
      <c r="A138" s="1" t="s">
        <v>128</v>
      </c>
      <c r="B138" s="1" t="s">
        <v>1468</v>
      </c>
      <c r="C138" s="2">
        <v>46095</v>
      </c>
      <c r="D138">
        <v>61</v>
      </c>
      <c r="E138">
        <v>167.36</v>
      </c>
      <c r="F138" s="1" t="s">
        <v>1474</v>
      </c>
      <c r="G138" s="2">
        <v>46107</v>
      </c>
    </row>
    <row r="139" spans="1:7" x14ac:dyDescent="0.25">
      <c r="A139" s="1" t="s">
        <v>129</v>
      </c>
      <c r="B139" s="1" t="s">
        <v>1496</v>
      </c>
      <c r="C139" s="2">
        <v>46068</v>
      </c>
      <c r="D139">
        <v>164</v>
      </c>
      <c r="E139">
        <v>7.76</v>
      </c>
      <c r="F139" s="1" t="s">
        <v>1442</v>
      </c>
      <c r="G139" s="2">
        <v>46077</v>
      </c>
    </row>
    <row r="140" spans="1:7" x14ac:dyDescent="0.25">
      <c r="A140" s="1" t="s">
        <v>130</v>
      </c>
      <c r="B140" s="1" t="s">
        <v>1511</v>
      </c>
      <c r="C140" s="2">
        <v>46034</v>
      </c>
      <c r="D140">
        <v>37</v>
      </c>
      <c r="E140">
        <v>112.9</v>
      </c>
      <c r="F140" s="1" t="s">
        <v>1499</v>
      </c>
      <c r="G140" s="2">
        <v>46043</v>
      </c>
    </row>
    <row r="141" spans="1:7" x14ac:dyDescent="0.25">
      <c r="A141" s="1" t="s">
        <v>131</v>
      </c>
      <c r="B141" s="1" t="s">
        <v>1439</v>
      </c>
      <c r="C141" s="2">
        <v>46148</v>
      </c>
      <c r="D141">
        <v>62</v>
      </c>
      <c r="E141">
        <v>175.18</v>
      </c>
      <c r="F141" s="1" t="s">
        <v>1480</v>
      </c>
      <c r="G141" s="2">
        <v>46162</v>
      </c>
    </row>
    <row r="142" spans="1:7" x14ac:dyDescent="0.25">
      <c r="A142" s="1" t="s">
        <v>132</v>
      </c>
      <c r="B142" s="1" t="s">
        <v>1510</v>
      </c>
      <c r="C142" s="2">
        <v>46145</v>
      </c>
      <c r="D142">
        <v>235</v>
      </c>
      <c r="E142">
        <v>71.44</v>
      </c>
      <c r="F142" s="1" t="s">
        <v>1462</v>
      </c>
      <c r="G142" s="2">
        <v>46158</v>
      </c>
    </row>
    <row r="143" spans="1:7" x14ac:dyDescent="0.25">
      <c r="A143" s="1" t="s">
        <v>133</v>
      </c>
      <c r="B143" s="1" t="s">
        <v>1510</v>
      </c>
      <c r="C143" s="2">
        <v>46052</v>
      </c>
      <c r="D143">
        <v>430</v>
      </c>
      <c r="E143">
        <v>17.739999999999998</v>
      </c>
      <c r="F143" s="1" t="s">
        <v>1487</v>
      </c>
      <c r="G143" s="2">
        <v>46059</v>
      </c>
    </row>
    <row r="144" spans="1:7" x14ac:dyDescent="0.25">
      <c r="A144" s="1" t="s">
        <v>134</v>
      </c>
      <c r="B144" s="1" t="s">
        <v>1493</v>
      </c>
      <c r="C144" s="2">
        <v>46036</v>
      </c>
      <c r="D144">
        <v>87</v>
      </c>
      <c r="E144">
        <v>34.090000000000003</v>
      </c>
      <c r="F144" s="1" t="s">
        <v>1480</v>
      </c>
      <c r="G144" s="2">
        <v>46050</v>
      </c>
    </row>
    <row r="145" spans="1:7" x14ac:dyDescent="0.25">
      <c r="A145" s="1" t="s">
        <v>135</v>
      </c>
      <c r="B145" s="1" t="s">
        <v>1457</v>
      </c>
      <c r="C145" s="2">
        <v>46086</v>
      </c>
      <c r="D145">
        <v>70</v>
      </c>
      <c r="E145">
        <v>113.82</v>
      </c>
      <c r="F145" s="1" t="s">
        <v>1459</v>
      </c>
      <c r="G145" s="2">
        <v>46098</v>
      </c>
    </row>
    <row r="146" spans="1:7" x14ac:dyDescent="0.25">
      <c r="A146" s="1" t="s">
        <v>136</v>
      </c>
      <c r="B146" s="1" t="s">
        <v>1491</v>
      </c>
      <c r="C146" s="2">
        <v>46120</v>
      </c>
      <c r="D146">
        <v>240</v>
      </c>
      <c r="E146">
        <v>182.16</v>
      </c>
      <c r="F146" s="1" t="s">
        <v>1474</v>
      </c>
      <c r="G146" s="2">
        <v>46138</v>
      </c>
    </row>
    <row r="147" spans="1:7" x14ac:dyDescent="0.25">
      <c r="A147" s="1" t="s">
        <v>137</v>
      </c>
      <c r="B147" s="1" t="s">
        <v>1512</v>
      </c>
      <c r="C147" s="2">
        <v>46168</v>
      </c>
      <c r="D147">
        <v>327</v>
      </c>
      <c r="E147">
        <v>16.739999999999998</v>
      </c>
      <c r="F147" s="1" t="s">
        <v>1490</v>
      </c>
      <c r="G147" s="2">
        <v>46176</v>
      </c>
    </row>
    <row r="148" spans="1:7" x14ac:dyDescent="0.25">
      <c r="A148" s="1" t="s">
        <v>138</v>
      </c>
      <c r="B148" s="1" t="s">
        <v>1463</v>
      </c>
      <c r="C148" s="2">
        <v>46077</v>
      </c>
      <c r="D148">
        <v>145</v>
      </c>
      <c r="E148">
        <v>133.78</v>
      </c>
      <c r="F148" s="1" t="s">
        <v>1501</v>
      </c>
      <c r="G148" s="2">
        <v>46089</v>
      </c>
    </row>
    <row r="149" spans="1:7" x14ac:dyDescent="0.25">
      <c r="A149" s="1" t="s">
        <v>139</v>
      </c>
      <c r="B149" s="1" t="s">
        <v>1486</v>
      </c>
      <c r="C149" s="2">
        <v>46164</v>
      </c>
      <c r="D149">
        <v>48</v>
      </c>
      <c r="E149">
        <v>35.520000000000003</v>
      </c>
      <c r="F149" s="1" t="s">
        <v>1507</v>
      </c>
      <c r="G149" s="2">
        <v>46183</v>
      </c>
    </row>
    <row r="150" spans="1:7" x14ac:dyDescent="0.25">
      <c r="A150" s="1" t="s">
        <v>140</v>
      </c>
      <c r="B150" s="1" t="s">
        <v>1449</v>
      </c>
      <c r="C150" s="2">
        <v>46143</v>
      </c>
      <c r="D150">
        <v>159</v>
      </c>
      <c r="E150">
        <v>11.36</v>
      </c>
      <c r="F150" s="1" t="s">
        <v>1474</v>
      </c>
      <c r="G150" s="2">
        <v>46157</v>
      </c>
    </row>
    <row r="151" spans="1:7" x14ac:dyDescent="0.25">
      <c r="A151" s="1" t="s">
        <v>141</v>
      </c>
      <c r="B151" s="1" t="s">
        <v>1449</v>
      </c>
      <c r="C151" s="2">
        <v>46139</v>
      </c>
      <c r="D151">
        <v>46</v>
      </c>
      <c r="E151">
        <v>139.04</v>
      </c>
      <c r="F151" s="1" t="s">
        <v>1458</v>
      </c>
      <c r="G151" s="2">
        <v>46150</v>
      </c>
    </row>
    <row r="152" spans="1:7" x14ac:dyDescent="0.25">
      <c r="A152" s="1" t="s">
        <v>819</v>
      </c>
      <c r="B152" s="1" t="s">
        <v>1500</v>
      </c>
      <c r="C152" s="2">
        <v>46052</v>
      </c>
      <c r="D152">
        <v>288</v>
      </c>
      <c r="E152">
        <v>48.84</v>
      </c>
      <c r="F152" s="1" t="s">
        <v>1485</v>
      </c>
      <c r="G152" s="2">
        <v>46065</v>
      </c>
    </row>
    <row r="153" spans="1:7" x14ac:dyDescent="0.25">
      <c r="A153" s="1" t="s">
        <v>142</v>
      </c>
      <c r="B153" s="1" t="s">
        <v>1464</v>
      </c>
      <c r="C153" s="2">
        <v>46041</v>
      </c>
      <c r="D153">
        <v>40</v>
      </c>
      <c r="E153">
        <v>37.35</v>
      </c>
      <c r="F153" s="1" t="s">
        <v>1474</v>
      </c>
      <c r="G153" s="2">
        <v>46055</v>
      </c>
    </row>
    <row r="154" spans="1:7" x14ac:dyDescent="0.25">
      <c r="A154" s="1" t="s">
        <v>143</v>
      </c>
      <c r="B154" s="1" t="s">
        <v>1478</v>
      </c>
      <c r="C154" s="2">
        <v>46054</v>
      </c>
      <c r="D154">
        <v>249</v>
      </c>
      <c r="E154">
        <v>139.29</v>
      </c>
      <c r="F154" s="1" t="s">
        <v>1499</v>
      </c>
      <c r="G154" s="2">
        <v>46071</v>
      </c>
    </row>
    <row r="155" spans="1:7" x14ac:dyDescent="0.25">
      <c r="A155" s="1" t="s">
        <v>144</v>
      </c>
      <c r="B155" s="1" t="s">
        <v>1511</v>
      </c>
      <c r="C155" s="2">
        <v>46151</v>
      </c>
      <c r="D155">
        <v>286</v>
      </c>
      <c r="E155">
        <v>101.29</v>
      </c>
      <c r="F155" s="1" t="s">
        <v>1476</v>
      </c>
      <c r="G155" s="2">
        <v>46157</v>
      </c>
    </row>
    <row r="156" spans="1:7" x14ac:dyDescent="0.25">
      <c r="A156" s="1" t="s">
        <v>824</v>
      </c>
      <c r="B156" s="1" t="s">
        <v>1500</v>
      </c>
      <c r="C156" s="2">
        <v>46105</v>
      </c>
      <c r="D156">
        <v>319</v>
      </c>
      <c r="E156">
        <v>53.82</v>
      </c>
      <c r="F156" s="1" t="s">
        <v>1476</v>
      </c>
      <c r="G156" s="2">
        <v>46117</v>
      </c>
    </row>
    <row r="157" spans="1:7" x14ac:dyDescent="0.25">
      <c r="A157" s="1" t="s">
        <v>145</v>
      </c>
      <c r="B157" s="1" t="s">
        <v>1461</v>
      </c>
      <c r="C157" s="2">
        <v>46170</v>
      </c>
      <c r="D157">
        <v>310</v>
      </c>
      <c r="E157">
        <v>190.4</v>
      </c>
      <c r="F157" s="1" t="s">
        <v>1456</v>
      </c>
      <c r="G157" s="2">
        <v>46183</v>
      </c>
    </row>
    <row r="158" spans="1:7" x14ac:dyDescent="0.25">
      <c r="A158" s="1" t="s">
        <v>146</v>
      </c>
      <c r="B158" s="1" t="s">
        <v>1493</v>
      </c>
      <c r="C158" s="2">
        <v>46033</v>
      </c>
      <c r="D158">
        <v>400</v>
      </c>
      <c r="E158">
        <v>152.47</v>
      </c>
      <c r="F158" s="1" t="s">
        <v>1487</v>
      </c>
      <c r="G158" s="2">
        <v>46054</v>
      </c>
    </row>
    <row r="159" spans="1:7" x14ac:dyDescent="0.25">
      <c r="A159" s="1" t="s">
        <v>147</v>
      </c>
      <c r="B159" s="1" t="s">
        <v>1508</v>
      </c>
      <c r="C159" s="2">
        <v>46136</v>
      </c>
      <c r="D159">
        <v>479</v>
      </c>
      <c r="E159">
        <v>59.24</v>
      </c>
      <c r="F159" s="1" t="s">
        <v>1480</v>
      </c>
      <c r="G159" s="2">
        <v>46154</v>
      </c>
    </row>
    <row r="160" spans="1:7" x14ac:dyDescent="0.25">
      <c r="A160" s="1" t="s">
        <v>148</v>
      </c>
      <c r="B160" s="1" t="s">
        <v>1439</v>
      </c>
      <c r="C160" s="2">
        <v>46148</v>
      </c>
      <c r="D160">
        <v>56</v>
      </c>
      <c r="E160">
        <v>96.65</v>
      </c>
      <c r="F160" s="1" t="s">
        <v>1507</v>
      </c>
      <c r="G160" s="2">
        <v>46163</v>
      </c>
    </row>
    <row r="161" spans="1:7" x14ac:dyDescent="0.25">
      <c r="A161" s="1" t="s">
        <v>830</v>
      </c>
      <c r="B161" s="1" t="s">
        <v>1509</v>
      </c>
      <c r="C161" s="2">
        <v>46049</v>
      </c>
      <c r="D161">
        <v>449</v>
      </c>
      <c r="E161">
        <v>36.36</v>
      </c>
      <c r="F161" s="1" t="s">
        <v>1507</v>
      </c>
      <c r="G161" s="2">
        <v>46069</v>
      </c>
    </row>
    <row r="162" spans="1:7" x14ac:dyDescent="0.25">
      <c r="A162" s="1" t="s">
        <v>149</v>
      </c>
      <c r="B162" s="1" t="s">
        <v>1506</v>
      </c>
      <c r="C162" s="2">
        <v>46125</v>
      </c>
      <c r="D162">
        <v>426</v>
      </c>
      <c r="E162">
        <v>153.30000000000001</v>
      </c>
      <c r="F162" s="1" t="s">
        <v>1462</v>
      </c>
      <c r="G162" s="2">
        <v>46144</v>
      </c>
    </row>
    <row r="163" spans="1:7" x14ac:dyDescent="0.25">
      <c r="A163" s="1" t="s">
        <v>150</v>
      </c>
      <c r="B163" s="1" t="s">
        <v>1457</v>
      </c>
      <c r="C163" s="2">
        <v>46103</v>
      </c>
      <c r="D163">
        <v>139</v>
      </c>
      <c r="E163">
        <v>68.040000000000006</v>
      </c>
      <c r="F163" s="1" t="s">
        <v>1456</v>
      </c>
      <c r="G163" s="2">
        <v>46120</v>
      </c>
    </row>
    <row r="164" spans="1:7" x14ac:dyDescent="0.25">
      <c r="A164" s="1" t="s">
        <v>151</v>
      </c>
      <c r="B164" s="1" t="s">
        <v>1445</v>
      </c>
      <c r="C164" s="2">
        <v>46023</v>
      </c>
      <c r="D164">
        <v>346</v>
      </c>
      <c r="E164">
        <v>174.53</v>
      </c>
      <c r="F164" s="1" t="s">
        <v>1469</v>
      </c>
      <c r="G164" s="2">
        <v>46041</v>
      </c>
    </row>
    <row r="165" spans="1:7" x14ac:dyDescent="0.25">
      <c r="A165" s="1" t="s">
        <v>152</v>
      </c>
      <c r="B165" s="1" t="s">
        <v>1475</v>
      </c>
      <c r="C165" s="2">
        <v>46071</v>
      </c>
      <c r="D165">
        <v>275</v>
      </c>
      <c r="E165">
        <v>75.55</v>
      </c>
      <c r="F165" s="1" t="s">
        <v>1456</v>
      </c>
      <c r="G165" s="2">
        <v>46091</v>
      </c>
    </row>
    <row r="166" spans="1:7" x14ac:dyDescent="0.25">
      <c r="A166" s="1" t="s">
        <v>153</v>
      </c>
      <c r="B166" s="1" t="s">
        <v>1439</v>
      </c>
      <c r="C166" s="2">
        <v>46136</v>
      </c>
      <c r="D166">
        <v>399</v>
      </c>
      <c r="E166">
        <v>15.06</v>
      </c>
      <c r="F166" s="1" t="s">
        <v>1458</v>
      </c>
      <c r="G166" s="2">
        <v>46145</v>
      </c>
    </row>
    <row r="167" spans="1:7" x14ac:dyDescent="0.25">
      <c r="A167" s="1" t="s">
        <v>154</v>
      </c>
      <c r="B167" s="1" t="s">
        <v>1506</v>
      </c>
      <c r="C167" s="2">
        <v>46135</v>
      </c>
      <c r="D167">
        <v>460</v>
      </c>
      <c r="E167">
        <v>141.16</v>
      </c>
      <c r="F167" s="1" t="s">
        <v>1483</v>
      </c>
      <c r="G167" s="2">
        <v>46140</v>
      </c>
    </row>
    <row r="168" spans="1:7" x14ac:dyDescent="0.25">
      <c r="A168" s="1" t="s">
        <v>155</v>
      </c>
      <c r="B168" s="1" t="s">
        <v>1439</v>
      </c>
      <c r="C168" s="2">
        <v>46084</v>
      </c>
      <c r="D168">
        <v>373</v>
      </c>
      <c r="E168">
        <v>35.880000000000003</v>
      </c>
      <c r="F168" s="1" t="s">
        <v>1442</v>
      </c>
      <c r="G168" s="2">
        <v>46089</v>
      </c>
    </row>
    <row r="169" spans="1:7" x14ac:dyDescent="0.25">
      <c r="A169" s="1" t="s">
        <v>156</v>
      </c>
      <c r="B169" s="1" t="s">
        <v>1454</v>
      </c>
      <c r="C169" s="2">
        <v>46127</v>
      </c>
      <c r="D169">
        <v>57</v>
      </c>
      <c r="E169">
        <v>48.82</v>
      </c>
      <c r="F169" s="1" t="s">
        <v>1483</v>
      </c>
      <c r="G169" s="2">
        <v>46146</v>
      </c>
    </row>
    <row r="170" spans="1:7" x14ac:dyDescent="0.25">
      <c r="A170" s="1" t="s">
        <v>157</v>
      </c>
      <c r="B170" s="1" t="s">
        <v>1466</v>
      </c>
      <c r="C170" s="2">
        <v>46062</v>
      </c>
      <c r="D170">
        <v>265</v>
      </c>
      <c r="E170">
        <v>186.87</v>
      </c>
      <c r="F170" s="1" t="s">
        <v>1459</v>
      </c>
      <c r="G170" s="2">
        <v>46083</v>
      </c>
    </row>
    <row r="171" spans="1:7" x14ac:dyDescent="0.25">
      <c r="A171" s="1" t="s">
        <v>158</v>
      </c>
      <c r="B171" s="1" t="s">
        <v>1455</v>
      </c>
      <c r="C171" s="2">
        <v>46092</v>
      </c>
      <c r="D171">
        <v>222</v>
      </c>
      <c r="E171">
        <v>167.77</v>
      </c>
      <c r="F171" s="1" t="s">
        <v>1487</v>
      </c>
      <c r="G171" s="2">
        <v>46104</v>
      </c>
    </row>
    <row r="172" spans="1:7" x14ac:dyDescent="0.25">
      <c r="A172" s="1" t="s">
        <v>159</v>
      </c>
      <c r="B172" s="1" t="s">
        <v>1489</v>
      </c>
      <c r="C172" s="2">
        <v>46164</v>
      </c>
      <c r="D172">
        <v>84</v>
      </c>
      <c r="E172">
        <v>79.8</v>
      </c>
      <c r="F172" s="1" t="s">
        <v>1494</v>
      </c>
      <c r="G172" s="2">
        <v>46185</v>
      </c>
    </row>
    <row r="173" spans="1:7" x14ac:dyDescent="0.25">
      <c r="A173" s="1" t="s">
        <v>160</v>
      </c>
      <c r="B173" s="1" t="s">
        <v>1465</v>
      </c>
      <c r="C173" s="2">
        <v>46057</v>
      </c>
      <c r="D173">
        <v>452</v>
      </c>
      <c r="E173">
        <v>18.61</v>
      </c>
      <c r="F173" s="1" t="s">
        <v>1456</v>
      </c>
      <c r="G173" s="2">
        <v>46075</v>
      </c>
    </row>
    <row r="174" spans="1:7" x14ac:dyDescent="0.25">
      <c r="A174" s="1" t="s">
        <v>161</v>
      </c>
      <c r="B174" s="1" t="s">
        <v>1479</v>
      </c>
      <c r="C174" s="2">
        <v>46152</v>
      </c>
      <c r="D174">
        <v>146</v>
      </c>
      <c r="E174">
        <v>165.01</v>
      </c>
      <c r="F174" s="1" t="s">
        <v>1474</v>
      </c>
      <c r="G174" s="2">
        <v>46166</v>
      </c>
    </row>
    <row r="175" spans="1:7" x14ac:dyDescent="0.25">
      <c r="A175" s="1" t="s">
        <v>162</v>
      </c>
      <c r="B175" s="1" t="s">
        <v>1443</v>
      </c>
      <c r="C175" s="2">
        <v>46171</v>
      </c>
      <c r="D175">
        <v>347</v>
      </c>
      <c r="E175">
        <v>100.48</v>
      </c>
      <c r="F175" s="1" t="s">
        <v>1485</v>
      </c>
      <c r="G175" s="2">
        <v>46190</v>
      </c>
    </row>
    <row r="176" spans="1:7" x14ac:dyDescent="0.25">
      <c r="A176" s="1" t="s">
        <v>847</v>
      </c>
      <c r="B176" s="1" t="s">
        <v>1471</v>
      </c>
      <c r="C176" s="2">
        <v>46146</v>
      </c>
      <c r="D176">
        <v>186</v>
      </c>
      <c r="E176">
        <v>69.83</v>
      </c>
      <c r="F176" s="1" t="s">
        <v>1456</v>
      </c>
      <c r="G176" s="2">
        <v>46163</v>
      </c>
    </row>
    <row r="177" spans="1:7" x14ac:dyDescent="0.25">
      <c r="A177" s="1" t="s">
        <v>849</v>
      </c>
      <c r="B177" s="1" t="s">
        <v>1489</v>
      </c>
      <c r="C177" s="2">
        <v>46105</v>
      </c>
      <c r="D177">
        <v>455</v>
      </c>
      <c r="E177">
        <v>41.79</v>
      </c>
      <c r="F177" s="1" t="s">
        <v>1499</v>
      </c>
      <c r="G177" s="2">
        <v>46117</v>
      </c>
    </row>
    <row r="178" spans="1:7" x14ac:dyDescent="0.25">
      <c r="A178" s="1" t="s">
        <v>163</v>
      </c>
      <c r="B178" s="1" t="s">
        <v>1493</v>
      </c>
      <c r="C178" s="2">
        <v>46121</v>
      </c>
      <c r="D178">
        <v>129</v>
      </c>
      <c r="E178">
        <v>171.92</v>
      </c>
      <c r="F178" s="1" t="s">
        <v>1507</v>
      </c>
      <c r="G178" s="2">
        <v>46127</v>
      </c>
    </row>
    <row r="179" spans="1:7" x14ac:dyDescent="0.25">
      <c r="A179" s="1" t="s">
        <v>164</v>
      </c>
      <c r="B179" s="1" t="s">
        <v>1509</v>
      </c>
      <c r="C179" s="2">
        <v>46144</v>
      </c>
      <c r="D179">
        <v>371</v>
      </c>
      <c r="E179">
        <v>183.12</v>
      </c>
      <c r="F179" s="1" t="s">
        <v>1453</v>
      </c>
      <c r="G179" s="2">
        <v>46161</v>
      </c>
    </row>
    <row r="180" spans="1:7" x14ac:dyDescent="0.25">
      <c r="A180" s="1" t="s">
        <v>165</v>
      </c>
      <c r="B180" s="1" t="s">
        <v>1484</v>
      </c>
      <c r="C180" s="2">
        <v>46061</v>
      </c>
      <c r="D180">
        <v>263</v>
      </c>
      <c r="E180">
        <v>193.14</v>
      </c>
      <c r="F180" s="1" t="s">
        <v>1485</v>
      </c>
      <c r="G180" s="2">
        <v>46082</v>
      </c>
    </row>
    <row r="181" spans="1:7" x14ac:dyDescent="0.25">
      <c r="A181" s="1" t="s">
        <v>166</v>
      </c>
      <c r="B181" s="1" t="s">
        <v>1443</v>
      </c>
      <c r="C181" s="2">
        <v>46107</v>
      </c>
      <c r="D181">
        <v>455</v>
      </c>
      <c r="E181">
        <v>24.57</v>
      </c>
      <c r="F181" s="1" t="s">
        <v>1469</v>
      </c>
      <c r="G181" s="2">
        <v>46115</v>
      </c>
    </row>
    <row r="182" spans="1:7" x14ac:dyDescent="0.25">
      <c r="A182" s="1" t="s">
        <v>167</v>
      </c>
      <c r="B182" s="1" t="s">
        <v>1491</v>
      </c>
      <c r="C182" s="2">
        <v>46139</v>
      </c>
      <c r="D182">
        <v>17</v>
      </c>
      <c r="E182">
        <v>145.88</v>
      </c>
      <c r="F182" s="1" t="s">
        <v>1507</v>
      </c>
      <c r="G182" s="2">
        <v>46148</v>
      </c>
    </row>
    <row r="183" spans="1:7" x14ac:dyDescent="0.25">
      <c r="A183" s="1" t="s">
        <v>168</v>
      </c>
      <c r="B183" s="1" t="s">
        <v>1492</v>
      </c>
      <c r="C183" s="2">
        <v>46143</v>
      </c>
      <c r="D183">
        <v>410</v>
      </c>
      <c r="E183">
        <v>193.99</v>
      </c>
      <c r="F183" s="1" t="s">
        <v>1472</v>
      </c>
      <c r="G183" s="2">
        <v>46160</v>
      </c>
    </row>
    <row r="184" spans="1:7" x14ac:dyDescent="0.25">
      <c r="A184" s="1" t="s">
        <v>169</v>
      </c>
      <c r="B184" s="1" t="s">
        <v>1508</v>
      </c>
      <c r="C184" s="2">
        <v>46043</v>
      </c>
      <c r="D184">
        <v>446</v>
      </c>
      <c r="E184">
        <v>69.069999999999993</v>
      </c>
      <c r="F184" s="1" t="s">
        <v>1467</v>
      </c>
      <c r="G184" s="2">
        <v>46060</v>
      </c>
    </row>
    <row r="185" spans="1:7" x14ac:dyDescent="0.25">
      <c r="A185" s="1" t="s">
        <v>170</v>
      </c>
      <c r="B185" s="1" t="s">
        <v>1509</v>
      </c>
      <c r="C185" s="2">
        <v>46147</v>
      </c>
      <c r="D185">
        <v>456</v>
      </c>
      <c r="E185">
        <v>110.5</v>
      </c>
      <c r="F185" s="1" t="s">
        <v>1494</v>
      </c>
      <c r="G185" s="2">
        <v>46154</v>
      </c>
    </row>
    <row r="186" spans="1:7" x14ac:dyDescent="0.25">
      <c r="A186" s="1" t="s">
        <v>171</v>
      </c>
      <c r="B186" s="1" t="s">
        <v>1482</v>
      </c>
      <c r="C186" s="2">
        <v>46096</v>
      </c>
      <c r="D186">
        <v>126</v>
      </c>
      <c r="E186">
        <v>150.62</v>
      </c>
      <c r="F186" s="1" t="s">
        <v>1507</v>
      </c>
      <c r="G186" s="2">
        <v>46104</v>
      </c>
    </row>
    <row r="187" spans="1:7" x14ac:dyDescent="0.25">
      <c r="A187" s="1" t="s">
        <v>172</v>
      </c>
      <c r="B187" s="1" t="s">
        <v>1439</v>
      </c>
      <c r="C187" s="2">
        <v>46048</v>
      </c>
      <c r="D187">
        <v>237</v>
      </c>
      <c r="E187">
        <v>37.44</v>
      </c>
      <c r="F187" s="1" t="s">
        <v>1474</v>
      </c>
      <c r="G187" s="2">
        <v>46053</v>
      </c>
    </row>
    <row r="188" spans="1:7" x14ac:dyDescent="0.25">
      <c r="A188" s="1" t="s">
        <v>173</v>
      </c>
      <c r="B188" s="1" t="s">
        <v>1452</v>
      </c>
      <c r="C188" s="2">
        <v>46106</v>
      </c>
      <c r="D188">
        <v>417</v>
      </c>
      <c r="E188">
        <v>15.94</v>
      </c>
      <c r="F188" s="1" t="s">
        <v>1451</v>
      </c>
      <c r="G188" s="2">
        <v>46122</v>
      </c>
    </row>
    <row r="189" spans="1:7" x14ac:dyDescent="0.25">
      <c r="A189" s="1" t="s">
        <v>174</v>
      </c>
      <c r="B189" s="1" t="s">
        <v>1500</v>
      </c>
      <c r="C189" s="2">
        <v>46060</v>
      </c>
      <c r="D189">
        <v>135</v>
      </c>
      <c r="E189">
        <v>108.58</v>
      </c>
      <c r="F189" s="1" t="s">
        <v>1480</v>
      </c>
      <c r="G189" s="2">
        <v>46070</v>
      </c>
    </row>
    <row r="190" spans="1:7" x14ac:dyDescent="0.25">
      <c r="A190" s="1" t="s">
        <v>175</v>
      </c>
      <c r="B190" s="1" t="s">
        <v>1460</v>
      </c>
      <c r="C190" s="2">
        <v>46067</v>
      </c>
      <c r="D190">
        <v>50</v>
      </c>
      <c r="E190">
        <v>123.85</v>
      </c>
      <c r="F190" s="1" t="s">
        <v>1453</v>
      </c>
      <c r="G190" s="2">
        <v>46079</v>
      </c>
    </row>
    <row r="191" spans="1:7" x14ac:dyDescent="0.25">
      <c r="A191" s="1" t="s">
        <v>865</v>
      </c>
      <c r="B191" s="1" t="s">
        <v>1498</v>
      </c>
      <c r="C191" s="2">
        <v>46172</v>
      </c>
      <c r="D191">
        <v>83</v>
      </c>
      <c r="E191">
        <v>50.28</v>
      </c>
      <c r="F191" s="1" t="s">
        <v>1446</v>
      </c>
      <c r="G191" s="2">
        <v>46185</v>
      </c>
    </row>
    <row r="192" spans="1:7" x14ac:dyDescent="0.25">
      <c r="A192" s="1" t="s">
        <v>176</v>
      </c>
      <c r="B192" s="1" t="s">
        <v>1489</v>
      </c>
      <c r="C192" s="2">
        <v>46088</v>
      </c>
      <c r="D192">
        <v>351</v>
      </c>
      <c r="E192">
        <v>6.83</v>
      </c>
      <c r="F192" s="1" t="s">
        <v>1469</v>
      </c>
      <c r="G192" s="2">
        <v>46102</v>
      </c>
    </row>
    <row r="193" spans="1:7" x14ac:dyDescent="0.25">
      <c r="A193" s="1" t="s">
        <v>177</v>
      </c>
      <c r="B193" s="1" t="s">
        <v>1461</v>
      </c>
      <c r="C193" s="2">
        <v>46162</v>
      </c>
      <c r="D193">
        <v>90</v>
      </c>
      <c r="E193">
        <v>19.399999999999999</v>
      </c>
      <c r="F193" s="1" t="s">
        <v>1451</v>
      </c>
      <c r="G193" s="2">
        <v>46176</v>
      </c>
    </row>
    <row r="194" spans="1:7" x14ac:dyDescent="0.25">
      <c r="A194" s="1" t="s">
        <v>178</v>
      </c>
      <c r="B194" s="1" t="s">
        <v>1439</v>
      </c>
      <c r="C194" s="2">
        <v>46131</v>
      </c>
      <c r="D194">
        <v>363</v>
      </c>
      <c r="E194">
        <v>53.77</v>
      </c>
      <c r="F194" s="1" t="s">
        <v>1459</v>
      </c>
      <c r="G194" s="2">
        <v>46142</v>
      </c>
    </row>
    <row r="195" spans="1:7" x14ac:dyDescent="0.25">
      <c r="A195" s="1" t="s">
        <v>179</v>
      </c>
      <c r="B195" s="1" t="s">
        <v>1502</v>
      </c>
      <c r="C195" s="2">
        <v>46146</v>
      </c>
      <c r="D195">
        <v>64</v>
      </c>
      <c r="E195">
        <v>51.26</v>
      </c>
      <c r="F195" s="1" t="s">
        <v>1480</v>
      </c>
      <c r="G195" s="2">
        <v>46162</v>
      </c>
    </row>
    <row r="196" spans="1:7" x14ac:dyDescent="0.25">
      <c r="A196" s="1" t="s">
        <v>180</v>
      </c>
      <c r="B196" s="1" t="s">
        <v>1493</v>
      </c>
      <c r="C196" s="2">
        <v>46098</v>
      </c>
      <c r="D196">
        <v>368</v>
      </c>
      <c r="E196">
        <v>62.57</v>
      </c>
      <c r="F196" s="1" t="s">
        <v>1467</v>
      </c>
      <c r="G196" s="2">
        <v>46115</v>
      </c>
    </row>
    <row r="197" spans="1:7" x14ac:dyDescent="0.25">
      <c r="A197" s="1" t="s">
        <v>181</v>
      </c>
      <c r="B197" s="1" t="s">
        <v>1511</v>
      </c>
      <c r="C197" s="2">
        <v>46025</v>
      </c>
      <c r="D197">
        <v>299</v>
      </c>
      <c r="E197">
        <v>173.69</v>
      </c>
      <c r="F197" s="1" t="s">
        <v>1456</v>
      </c>
      <c r="G197" s="2">
        <v>46031</v>
      </c>
    </row>
    <row r="198" spans="1:7" x14ac:dyDescent="0.25">
      <c r="A198" s="1" t="s">
        <v>182</v>
      </c>
      <c r="B198" s="1" t="s">
        <v>1468</v>
      </c>
      <c r="C198" s="2">
        <v>46150</v>
      </c>
      <c r="D198">
        <v>436</v>
      </c>
      <c r="E198">
        <v>181.31</v>
      </c>
      <c r="F198" s="1" t="s">
        <v>1474</v>
      </c>
      <c r="G198" s="2">
        <v>46162</v>
      </c>
    </row>
    <row r="199" spans="1:7" x14ac:dyDescent="0.25">
      <c r="A199" s="1" t="s">
        <v>183</v>
      </c>
      <c r="B199" s="1" t="s">
        <v>1468</v>
      </c>
      <c r="C199" s="2">
        <v>46113</v>
      </c>
      <c r="D199">
        <v>122</v>
      </c>
      <c r="E199">
        <v>129.13999999999999</v>
      </c>
      <c r="F199" s="1" t="s">
        <v>1494</v>
      </c>
      <c r="G199" s="2">
        <v>46126</v>
      </c>
    </row>
    <row r="200" spans="1:7" x14ac:dyDescent="0.25">
      <c r="A200" s="1" t="s">
        <v>875</v>
      </c>
      <c r="B200" s="1" t="s">
        <v>1461</v>
      </c>
      <c r="C200" s="2">
        <v>46058</v>
      </c>
      <c r="D200">
        <v>331</v>
      </c>
      <c r="E200">
        <v>23.95</v>
      </c>
      <c r="F200" s="1" t="s">
        <v>1446</v>
      </c>
      <c r="G200" s="2">
        <v>46064</v>
      </c>
    </row>
    <row r="201" spans="1:7" x14ac:dyDescent="0.25">
      <c r="A201" s="1" t="s">
        <v>184</v>
      </c>
      <c r="B201" s="1" t="s">
        <v>1512</v>
      </c>
      <c r="C201" s="2">
        <v>46135</v>
      </c>
      <c r="D201">
        <v>27</v>
      </c>
      <c r="E201">
        <v>118.02</v>
      </c>
      <c r="F201" s="1" t="s">
        <v>1490</v>
      </c>
      <c r="G201" s="2">
        <v>46144</v>
      </c>
    </row>
    <row r="202" spans="1:7" x14ac:dyDescent="0.25">
      <c r="A202" s="1" t="s">
        <v>185</v>
      </c>
      <c r="B202" s="1" t="s">
        <v>1457</v>
      </c>
      <c r="C202" s="2">
        <v>46098</v>
      </c>
      <c r="D202">
        <v>177</v>
      </c>
      <c r="E202">
        <v>150.76</v>
      </c>
      <c r="F202" s="1" t="s">
        <v>1501</v>
      </c>
      <c r="G202" s="2">
        <v>46109</v>
      </c>
    </row>
    <row r="203" spans="1:7" x14ac:dyDescent="0.25">
      <c r="A203" s="1" t="s">
        <v>186</v>
      </c>
      <c r="B203" s="1" t="s">
        <v>1441</v>
      </c>
      <c r="C203" s="2">
        <v>46161</v>
      </c>
      <c r="D203">
        <v>458</v>
      </c>
      <c r="E203">
        <v>194.44</v>
      </c>
      <c r="F203" s="1" t="s">
        <v>1504</v>
      </c>
      <c r="G203" s="2">
        <v>46182</v>
      </c>
    </row>
    <row r="204" spans="1:7" x14ac:dyDescent="0.25">
      <c r="A204" s="1" t="s">
        <v>187</v>
      </c>
      <c r="B204" s="1" t="s">
        <v>1511</v>
      </c>
      <c r="C204" s="2">
        <v>46065</v>
      </c>
      <c r="D204">
        <v>141</v>
      </c>
      <c r="E204">
        <v>183.24</v>
      </c>
      <c r="F204" s="1" t="s">
        <v>1487</v>
      </c>
      <c r="G204" s="2">
        <v>46079</v>
      </c>
    </row>
    <row r="205" spans="1:7" x14ac:dyDescent="0.25">
      <c r="A205" s="1" t="s">
        <v>188</v>
      </c>
      <c r="B205" s="1" t="s">
        <v>1465</v>
      </c>
      <c r="C205" s="2">
        <v>46109</v>
      </c>
      <c r="D205">
        <v>421</v>
      </c>
      <c r="E205">
        <v>27.46</v>
      </c>
      <c r="F205" s="1" t="s">
        <v>1476</v>
      </c>
      <c r="G205" s="2">
        <v>46118</v>
      </c>
    </row>
    <row r="206" spans="1:7" x14ac:dyDescent="0.25">
      <c r="A206" s="1" t="s">
        <v>189</v>
      </c>
      <c r="B206" s="1" t="s">
        <v>1447</v>
      </c>
      <c r="C206" s="2">
        <v>46124</v>
      </c>
      <c r="D206">
        <v>443</v>
      </c>
      <c r="E206">
        <v>161.88999999999999</v>
      </c>
      <c r="F206" s="1" t="s">
        <v>1451</v>
      </c>
      <c r="G206" s="2">
        <v>46131</v>
      </c>
    </row>
    <row r="207" spans="1:7" x14ac:dyDescent="0.25">
      <c r="A207" s="1" t="s">
        <v>190</v>
      </c>
      <c r="B207" s="1" t="s">
        <v>1488</v>
      </c>
      <c r="C207" s="2">
        <v>46026</v>
      </c>
      <c r="D207">
        <v>145</v>
      </c>
      <c r="E207">
        <v>109.63</v>
      </c>
      <c r="F207" s="1" t="s">
        <v>1469</v>
      </c>
      <c r="G207" s="2">
        <v>46042</v>
      </c>
    </row>
    <row r="208" spans="1:7" x14ac:dyDescent="0.25">
      <c r="A208" s="1" t="s">
        <v>191</v>
      </c>
      <c r="B208" s="1" t="s">
        <v>1461</v>
      </c>
      <c r="C208" s="2">
        <v>46090</v>
      </c>
      <c r="D208">
        <v>309</v>
      </c>
      <c r="E208">
        <v>79.3</v>
      </c>
      <c r="F208" s="1" t="s">
        <v>1446</v>
      </c>
      <c r="G208" s="2">
        <v>46106</v>
      </c>
    </row>
    <row r="209" spans="1:7" x14ac:dyDescent="0.25">
      <c r="A209" s="1" t="s">
        <v>192</v>
      </c>
      <c r="B209" s="1" t="s">
        <v>1450</v>
      </c>
      <c r="C209" s="2">
        <v>46082</v>
      </c>
      <c r="D209">
        <v>251</v>
      </c>
      <c r="E209">
        <v>9.8800000000000008</v>
      </c>
      <c r="F209" s="1" t="s">
        <v>1442</v>
      </c>
      <c r="G209" s="2">
        <v>46097</v>
      </c>
    </row>
    <row r="210" spans="1:7" x14ac:dyDescent="0.25">
      <c r="A210" s="1" t="s">
        <v>193</v>
      </c>
      <c r="B210" s="1" t="s">
        <v>1497</v>
      </c>
      <c r="C210" s="2">
        <v>46079</v>
      </c>
      <c r="D210">
        <v>341</v>
      </c>
      <c r="E210">
        <v>17.329999999999998</v>
      </c>
      <c r="F210" s="1" t="s">
        <v>1469</v>
      </c>
      <c r="G210" s="2">
        <v>46093</v>
      </c>
    </row>
    <row r="211" spans="1:7" x14ac:dyDescent="0.25">
      <c r="A211" s="1" t="s">
        <v>194</v>
      </c>
      <c r="B211" s="1" t="s">
        <v>1508</v>
      </c>
      <c r="C211" s="2">
        <v>46127</v>
      </c>
      <c r="D211">
        <v>69</v>
      </c>
      <c r="E211">
        <v>32.26</v>
      </c>
      <c r="F211" s="1" t="s">
        <v>1462</v>
      </c>
      <c r="G211" s="2">
        <v>46141</v>
      </c>
    </row>
    <row r="212" spans="1:7" x14ac:dyDescent="0.25">
      <c r="A212" s="1" t="s">
        <v>195</v>
      </c>
      <c r="B212" s="1" t="s">
        <v>1498</v>
      </c>
      <c r="C212" s="2">
        <v>46052</v>
      </c>
      <c r="D212">
        <v>59</v>
      </c>
      <c r="E212">
        <v>50.79</v>
      </c>
      <c r="F212" s="1" t="s">
        <v>1442</v>
      </c>
      <c r="G212" s="2">
        <v>46061</v>
      </c>
    </row>
    <row r="213" spans="1:7" x14ac:dyDescent="0.25">
      <c r="A213" s="1" t="s">
        <v>196</v>
      </c>
      <c r="B213" s="1" t="s">
        <v>1502</v>
      </c>
      <c r="C213" s="2">
        <v>46139</v>
      </c>
      <c r="D213">
        <v>199</v>
      </c>
      <c r="E213">
        <v>135.74</v>
      </c>
      <c r="F213" s="1" t="s">
        <v>1490</v>
      </c>
      <c r="G213" s="2">
        <v>46157</v>
      </c>
    </row>
    <row r="214" spans="1:7" x14ac:dyDescent="0.25">
      <c r="A214" s="1" t="s">
        <v>197</v>
      </c>
      <c r="B214" s="1" t="s">
        <v>1443</v>
      </c>
      <c r="C214" s="2">
        <v>46062</v>
      </c>
      <c r="D214">
        <v>463</v>
      </c>
      <c r="E214">
        <v>85.9</v>
      </c>
      <c r="F214" s="1" t="s">
        <v>1483</v>
      </c>
      <c r="G214" s="2">
        <v>46082</v>
      </c>
    </row>
    <row r="215" spans="1:7" x14ac:dyDescent="0.25">
      <c r="A215" s="1" t="s">
        <v>198</v>
      </c>
      <c r="B215" s="1" t="s">
        <v>1497</v>
      </c>
      <c r="C215" s="2">
        <v>46127</v>
      </c>
      <c r="D215">
        <v>490</v>
      </c>
      <c r="E215">
        <v>190.55</v>
      </c>
      <c r="F215" s="1" t="s">
        <v>1462</v>
      </c>
      <c r="G215" s="2">
        <v>46143</v>
      </c>
    </row>
    <row r="216" spans="1:7" x14ac:dyDescent="0.25">
      <c r="A216" s="1" t="s">
        <v>892</v>
      </c>
      <c r="B216" s="1" t="s">
        <v>1463</v>
      </c>
      <c r="C216" s="2">
        <v>46136</v>
      </c>
      <c r="D216">
        <v>237</v>
      </c>
      <c r="E216">
        <v>190.36</v>
      </c>
      <c r="F216" s="1" t="s">
        <v>1451</v>
      </c>
      <c r="G216" s="2">
        <v>46144</v>
      </c>
    </row>
    <row r="217" spans="1:7" x14ac:dyDescent="0.25">
      <c r="A217" s="1" t="s">
        <v>199</v>
      </c>
      <c r="B217" s="1" t="s">
        <v>1461</v>
      </c>
      <c r="C217" s="2">
        <v>46117</v>
      </c>
      <c r="D217">
        <v>288</v>
      </c>
      <c r="E217">
        <v>180.83</v>
      </c>
      <c r="F217" s="1" t="s">
        <v>1446</v>
      </c>
      <c r="G217" s="2">
        <v>46133</v>
      </c>
    </row>
    <row r="218" spans="1:7" x14ac:dyDescent="0.25">
      <c r="A218" s="1" t="s">
        <v>200</v>
      </c>
      <c r="B218" s="1" t="s">
        <v>1475</v>
      </c>
      <c r="C218" s="2">
        <v>46124</v>
      </c>
      <c r="D218">
        <v>151</v>
      </c>
      <c r="E218">
        <v>42.01</v>
      </c>
      <c r="F218" s="1" t="s">
        <v>1483</v>
      </c>
      <c r="G218" s="2">
        <v>46143</v>
      </c>
    </row>
    <row r="219" spans="1:7" x14ac:dyDescent="0.25">
      <c r="A219" s="1" t="s">
        <v>201</v>
      </c>
      <c r="B219" s="1" t="s">
        <v>1457</v>
      </c>
      <c r="C219" s="2">
        <v>46077</v>
      </c>
      <c r="D219">
        <v>338</v>
      </c>
      <c r="E219">
        <v>129.69999999999999</v>
      </c>
      <c r="F219" s="1" t="s">
        <v>1448</v>
      </c>
      <c r="G219" s="2">
        <v>46083</v>
      </c>
    </row>
    <row r="220" spans="1:7" x14ac:dyDescent="0.25">
      <c r="A220" s="1" t="s">
        <v>202</v>
      </c>
      <c r="B220" s="1" t="s">
        <v>1479</v>
      </c>
      <c r="C220" s="2">
        <v>46085</v>
      </c>
      <c r="D220">
        <v>74</v>
      </c>
      <c r="E220">
        <v>158.46</v>
      </c>
      <c r="F220" s="1" t="s">
        <v>1444</v>
      </c>
      <c r="G220" s="2">
        <v>46092</v>
      </c>
    </row>
    <row r="221" spans="1:7" x14ac:dyDescent="0.25">
      <c r="A221" s="1" t="s">
        <v>203</v>
      </c>
      <c r="B221" s="1" t="s">
        <v>1454</v>
      </c>
      <c r="C221" s="2">
        <v>46076</v>
      </c>
      <c r="D221">
        <v>310</v>
      </c>
      <c r="E221">
        <v>47.11</v>
      </c>
      <c r="F221" s="1" t="s">
        <v>1440</v>
      </c>
      <c r="G221" s="2">
        <v>46091</v>
      </c>
    </row>
    <row r="222" spans="1:7" x14ac:dyDescent="0.25">
      <c r="A222" s="1" t="s">
        <v>204</v>
      </c>
      <c r="B222" s="1" t="s">
        <v>1464</v>
      </c>
      <c r="C222" s="2">
        <v>46023</v>
      </c>
      <c r="D222">
        <v>151</v>
      </c>
      <c r="E222">
        <v>172.39</v>
      </c>
      <c r="F222" s="1" t="s">
        <v>1485</v>
      </c>
      <c r="G222" s="2">
        <v>46032</v>
      </c>
    </row>
    <row r="223" spans="1:7" x14ac:dyDescent="0.25">
      <c r="A223" s="1" t="s">
        <v>900</v>
      </c>
      <c r="B223" s="1" t="s">
        <v>1471</v>
      </c>
      <c r="C223" s="2">
        <v>46087</v>
      </c>
      <c r="D223">
        <v>418</v>
      </c>
      <c r="E223">
        <v>39.03</v>
      </c>
      <c r="F223" s="1" t="s">
        <v>1467</v>
      </c>
      <c r="G223" s="2">
        <v>46092</v>
      </c>
    </row>
    <row r="224" spans="1:7" x14ac:dyDescent="0.25">
      <c r="A224" s="1" t="s">
        <v>205</v>
      </c>
      <c r="B224" s="1" t="s">
        <v>1441</v>
      </c>
      <c r="C224" s="2">
        <v>46026</v>
      </c>
      <c r="D224">
        <v>193</v>
      </c>
      <c r="E224">
        <v>159.05000000000001</v>
      </c>
      <c r="F224" s="1" t="s">
        <v>1440</v>
      </c>
      <c r="G224" s="2">
        <v>46041</v>
      </c>
    </row>
    <row r="225" spans="1:7" x14ac:dyDescent="0.25">
      <c r="A225" s="1" t="s">
        <v>206</v>
      </c>
      <c r="B225" s="1" t="s">
        <v>1473</v>
      </c>
      <c r="C225" s="2">
        <v>46067</v>
      </c>
      <c r="D225">
        <v>145</v>
      </c>
      <c r="E225">
        <v>15.22</v>
      </c>
      <c r="F225" s="1" t="s">
        <v>1490</v>
      </c>
      <c r="G225" s="2">
        <v>46085</v>
      </c>
    </row>
    <row r="226" spans="1:7" x14ac:dyDescent="0.25">
      <c r="A226" s="1" t="s">
        <v>207</v>
      </c>
      <c r="B226" s="1" t="s">
        <v>1491</v>
      </c>
      <c r="C226" s="2">
        <v>46052</v>
      </c>
      <c r="D226">
        <v>391</v>
      </c>
      <c r="E226">
        <v>17.39</v>
      </c>
      <c r="F226" s="1" t="s">
        <v>1469</v>
      </c>
      <c r="G226" s="2">
        <v>46068</v>
      </c>
    </row>
    <row r="227" spans="1:7" x14ac:dyDescent="0.25">
      <c r="A227" s="1" t="s">
        <v>208</v>
      </c>
      <c r="B227" s="1" t="s">
        <v>1445</v>
      </c>
      <c r="C227" s="2">
        <v>46050</v>
      </c>
      <c r="D227">
        <v>241</v>
      </c>
      <c r="E227">
        <v>103.25</v>
      </c>
      <c r="F227" s="1" t="s">
        <v>1494</v>
      </c>
      <c r="G227" s="2">
        <v>46056</v>
      </c>
    </row>
    <row r="228" spans="1:7" x14ac:dyDescent="0.25">
      <c r="A228" s="1" t="s">
        <v>209</v>
      </c>
      <c r="B228" s="1" t="s">
        <v>1477</v>
      </c>
      <c r="C228" s="2">
        <v>46156</v>
      </c>
      <c r="D228">
        <v>164</v>
      </c>
      <c r="E228">
        <v>94.32</v>
      </c>
      <c r="F228" s="1" t="s">
        <v>1448</v>
      </c>
      <c r="G228" s="2">
        <v>46162</v>
      </c>
    </row>
    <row r="229" spans="1:7" x14ac:dyDescent="0.25">
      <c r="A229" s="1" t="s">
        <v>210</v>
      </c>
      <c r="B229" s="1" t="s">
        <v>1510</v>
      </c>
      <c r="C229" s="2">
        <v>46125</v>
      </c>
      <c r="D229">
        <v>228</v>
      </c>
      <c r="E229">
        <v>138.79</v>
      </c>
      <c r="F229" s="1" t="s">
        <v>1487</v>
      </c>
      <c r="G229" s="2">
        <v>46144</v>
      </c>
    </row>
    <row r="230" spans="1:7" x14ac:dyDescent="0.25">
      <c r="A230" s="1" t="s">
        <v>211</v>
      </c>
      <c r="B230" s="1" t="s">
        <v>1492</v>
      </c>
      <c r="C230" s="2">
        <v>46043</v>
      </c>
      <c r="D230">
        <v>174</v>
      </c>
      <c r="E230">
        <v>123.62</v>
      </c>
      <c r="F230" s="1" t="s">
        <v>1476</v>
      </c>
      <c r="G230" s="2">
        <v>46052</v>
      </c>
    </row>
    <row r="231" spans="1:7" x14ac:dyDescent="0.25">
      <c r="A231" s="1" t="s">
        <v>212</v>
      </c>
      <c r="B231" s="1" t="s">
        <v>1511</v>
      </c>
      <c r="C231" s="2">
        <v>46172</v>
      </c>
      <c r="D231">
        <v>290</v>
      </c>
      <c r="E231">
        <v>143.87</v>
      </c>
      <c r="F231" s="1" t="s">
        <v>1453</v>
      </c>
      <c r="G231" s="2">
        <v>46193</v>
      </c>
    </row>
    <row r="232" spans="1:7" x14ac:dyDescent="0.25">
      <c r="A232" s="1" t="s">
        <v>213</v>
      </c>
      <c r="B232" s="1" t="s">
        <v>1506</v>
      </c>
      <c r="C232" s="2">
        <v>46139</v>
      </c>
      <c r="D232">
        <v>268</v>
      </c>
      <c r="E232">
        <v>123.06</v>
      </c>
      <c r="F232" s="1" t="s">
        <v>1483</v>
      </c>
      <c r="G232" s="2">
        <v>46147</v>
      </c>
    </row>
    <row r="233" spans="1:7" x14ac:dyDescent="0.25">
      <c r="A233" s="1" t="s">
        <v>214</v>
      </c>
      <c r="B233" s="1" t="s">
        <v>1508</v>
      </c>
      <c r="C233" s="2">
        <v>46164</v>
      </c>
      <c r="D233">
        <v>379</v>
      </c>
      <c r="E233">
        <v>173.77</v>
      </c>
      <c r="F233" s="1" t="s">
        <v>1507</v>
      </c>
      <c r="G233" s="2">
        <v>46183</v>
      </c>
    </row>
    <row r="234" spans="1:7" x14ac:dyDescent="0.25">
      <c r="A234" s="1" t="s">
        <v>215</v>
      </c>
      <c r="B234" s="1" t="s">
        <v>1447</v>
      </c>
      <c r="C234" s="2">
        <v>46128</v>
      </c>
      <c r="D234">
        <v>183</v>
      </c>
      <c r="E234">
        <v>166.35</v>
      </c>
      <c r="F234" s="1" t="s">
        <v>1453</v>
      </c>
      <c r="G234" s="2">
        <v>46146</v>
      </c>
    </row>
    <row r="235" spans="1:7" x14ac:dyDescent="0.25">
      <c r="A235" s="1" t="s">
        <v>216</v>
      </c>
      <c r="B235" s="1" t="s">
        <v>1477</v>
      </c>
      <c r="C235" s="2">
        <v>46047</v>
      </c>
      <c r="D235">
        <v>170</v>
      </c>
      <c r="E235">
        <v>88.22</v>
      </c>
      <c r="F235" s="1" t="s">
        <v>1459</v>
      </c>
      <c r="G235" s="2">
        <v>46060</v>
      </c>
    </row>
    <row r="236" spans="1:7" x14ac:dyDescent="0.25">
      <c r="A236" s="1" t="s">
        <v>217</v>
      </c>
      <c r="B236" s="1" t="s">
        <v>1496</v>
      </c>
      <c r="C236" s="2">
        <v>46062</v>
      </c>
      <c r="D236">
        <v>361</v>
      </c>
      <c r="E236">
        <v>184.98</v>
      </c>
      <c r="F236" s="1" t="s">
        <v>1476</v>
      </c>
      <c r="G236" s="2">
        <v>46069</v>
      </c>
    </row>
    <row r="237" spans="1:7" x14ac:dyDescent="0.25">
      <c r="A237" s="1" t="s">
        <v>218</v>
      </c>
      <c r="B237" s="1" t="s">
        <v>1457</v>
      </c>
      <c r="C237" s="2">
        <v>46046</v>
      </c>
      <c r="D237">
        <v>231</v>
      </c>
      <c r="E237">
        <v>23.83</v>
      </c>
      <c r="F237" s="1" t="s">
        <v>1490</v>
      </c>
      <c r="G237" s="2">
        <v>46062</v>
      </c>
    </row>
    <row r="238" spans="1:7" x14ac:dyDescent="0.25">
      <c r="A238" s="1" t="s">
        <v>219</v>
      </c>
      <c r="B238" s="1" t="s">
        <v>1441</v>
      </c>
      <c r="C238" s="2">
        <v>46165</v>
      </c>
      <c r="D238">
        <v>40</v>
      </c>
      <c r="E238">
        <v>119.36</v>
      </c>
      <c r="F238" s="1" t="s">
        <v>1442</v>
      </c>
      <c r="G238" s="2">
        <v>46180</v>
      </c>
    </row>
    <row r="239" spans="1:7" x14ac:dyDescent="0.25">
      <c r="A239" s="1" t="s">
        <v>220</v>
      </c>
      <c r="B239" s="1" t="s">
        <v>1484</v>
      </c>
      <c r="C239" s="2">
        <v>46054</v>
      </c>
      <c r="D239">
        <v>220</v>
      </c>
      <c r="E239">
        <v>73.95</v>
      </c>
      <c r="F239" s="1" t="s">
        <v>1467</v>
      </c>
      <c r="G239" s="2">
        <v>46072</v>
      </c>
    </row>
    <row r="240" spans="1:7" x14ac:dyDescent="0.25">
      <c r="A240" s="1" t="s">
        <v>221</v>
      </c>
      <c r="B240" s="1" t="s">
        <v>1477</v>
      </c>
      <c r="C240" s="2">
        <v>46036</v>
      </c>
      <c r="D240">
        <v>157</v>
      </c>
      <c r="E240">
        <v>122.08</v>
      </c>
      <c r="F240" s="1" t="s">
        <v>1451</v>
      </c>
      <c r="G240" s="2">
        <v>46044</v>
      </c>
    </row>
    <row r="241" spans="1:7" x14ac:dyDescent="0.25">
      <c r="A241" s="1" t="s">
        <v>222</v>
      </c>
      <c r="B241" s="1" t="s">
        <v>1493</v>
      </c>
      <c r="C241" s="2">
        <v>46152</v>
      </c>
      <c r="D241">
        <v>118</v>
      </c>
      <c r="E241">
        <v>35.17</v>
      </c>
      <c r="F241" s="1" t="s">
        <v>1487</v>
      </c>
      <c r="G241" s="2">
        <v>46164</v>
      </c>
    </row>
    <row r="242" spans="1:7" x14ac:dyDescent="0.25">
      <c r="A242" s="1" t="s">
        <v>223</v>
      </c>
      <c r="B242" s="1" t="s">
        <v>1450</v>
      </c>
      <c r="C242" s="2">
        <v>46112</v>
      </c>
      <c r="D242">
        <v>442</v>
      </c>
      <c r="E242">
        <v>113.47</v>
      </c>
      <c r="F242" s="1" t="s">
        <v>1483</v>
      </c>
      <c r="G242" s="2">
        <v>46125</v>
      </c>
    </row>
    <row r="243" spans="1:7" x14ac:dyDescent="0.25">
      <c r="A243" s="1" t="s">
        <v>224</v>
      </c>
      <c r="B243" s="1" t="s">
        <v>1493</v>
      </c>
      <c r="C243" s="2">
        <v>46080</v>
      </c>
      <c r="D243">
        <v>423</v>
      </c>
      <c r="E243">
        <v>88.68</v>
      </c>
      <c r="F243" s="1" t="s">
        <v>1442</v>
      </c>
      <c r="G243" s="2">
        <v>46085</v>
      </c>
    </row>
    <row r="244" spans="1:7" x14ac:dyDescent="0.25">
      <c r="A244" s="1" t="s">
        <v>225</v>
      </c>
      <c r="B244" s="1" t="s">
        <v>1468</v>
      </c>
      <c r="C244" s="2">
        <v>46091</v>
      </c>
      <c r="D244">
        <v>24</v>
      </c>
      <c r="E244">
        <v>40.18</v>
      </c>
      <c r="F244" s="1" t="s">
        <v>1499</v>
      </c>
      <c r="G244" s="2">
        <v>46105</v>
      </c>
    </row>
    <row r="245" spans="1:7" x14ac:dyDescent="0.25">
      <c r="A245" s="1" t="s">
        <v>926</v>
      </c>
      <c r="B245" s="1" t="s">
        <v>1479</v>
      </c>
      <c r="C245" s="2">
        <v>46112</v>
      </c>
      <c r="D245">
        <v>13</v>
      </c>
      <c r="E245">
        <v>40.369999999999997</v>
      </c>
      <c r="F245" s="1" t="s">
        <v>1485</v>
      </c>
      <c r="G245" s="2">
        <v>46129</v>
      </c>
    </row>
    <row r="246" spans="1:7" x14ac:dyDescent="0.25">
      <c r="A246" s="1" t="s">
        <v>226</v>
      </c>
      <c r="B246" s="1" t="s">
        <v>1492</v>
      </c>
      <c r="C246" s="2">
        <v>46059</v>
      </c>
      <c r="D246">
        <v>389</v>
      </c>
      <c r="E246">
        <v>128.47</v>
      </c>
      <c r="F246" s="1" t="s">
        <v>1448</v>
      </c>
      <c r="G246" s="2">
        <v>46066</v>
      </c>
    </row>
    <row r="247" spans="1:7" x14ac:dyDescent="0.25">
      <c r="A247" s="1" t="s">
        <v>227</v>
      </c>
      <c r="B247" s="1" t="s">
        <v>1465</v>
      </c>
      <c r="C247" s="2">
        <v>46158</v>
      </c>
      <c r="D247">
        <v>120</v>
      </c>
      <c r="E247">
        <v>78.36</v>
      </c>
      <c r="F247" s="1" t="s">
        <v>1469</v>
      </c>
      <c r="G247" s="2">
        <v>46173</v>
      </c>
    </row>
    <row r="248" spans="1:7" x14ac:dyDescent="0.25">
      <c r="A248" s="1" t="s">
        <v>228</v>
      </c>
      <c r="B248" s="1" t="s">
        <v>1460</v>
      </c>
      <c r="C248" s="2">
        <v>46117</v>
      </c>
      <c r="D248">
        <v>169</v>
      </c>
      <c r="E248">
        <v>145.71</v>
      </c>
      <c r="F248" s="1" t="s">
        <v>1456</v>
      </c>
      <c r="G248" s="2">
        <v>46124</v>
      </c>
    </row>
    <row r="249" spans="1:7" x14ac:dyDescent="0.25">
      <c r="A249" s="1" t="s">
        <v>229</v>
      </c>
      <c r="B249" s="1" t="s">
        <v>1475</v>
      </c>
      <c r="C249" s="2">
        <v>46062</v>
      </c>
      <c r="D249">
        <v>90</v>
      </c>
      <c r="E249">
        <v>152.11000000000001</v>
      </c>
      <c r="F249" s="1" t="s">
        <v>1462</v>
      </c>
      <c r="G249" s="2">
        <v>46069</v>
      </c>
    </row>
    <row r="250" spans="1:7" x14ac:dyDescent="0.25">
      <c r="A250" s="1" t="s">
        <v>230</v>
      </c>
      <c r="B250" s="1" t="s">
        <v>1511</v>
      </c>
      <c r="C250" s="2">
        <v>46136</v>
      </c>
      <c r="D250">
        <v>348</v>
      </c>
      <c r="E250">
        <v>87.68</v>
      </c>
      <c r="F250" s="1" t="s">
        <v>1494</v>
      </c>
      <c r="G250" s="2">
        <v>46155</v>
      </c>
    </row>
    <row r="251" spans="1:7" x14ac:dyDescent="0.25">
      <c r="A251" s="1" t="s">
        <v>231</v>
      </c>
      <c r="B251" s="1" t="s">
        <v>1495</v>
      </c>
      <c r="C251" s="2">
        <v>46092</v>
      </c>
      <c r="D251">
        <v>120</v>
      </c>
      <c r="E251">
        <v>152.21</v>
      </c>
      <c r="F251" s="1" t="s">
        <v>1483</v>
      </c>
      <c r="G251" s="2">
        <v>46108</v>
      </c>
    </row>
    <row r="252" spans="1:7" x14ac:dyDescent="0.25">
      <c r="A252" s="1" t="s">
        <v>232</v>
      </c>
      <c r="B252" s="1" t="s">
        <v>1500</v>
      </c>
      <c r="C252" s="2">
        <v>46051</v>
      </c>
      <c r="D252">
        <v>155</v>
      </c>
      <c r="E252">
        <v>137.25</v>
      </c>
      <c r="F252" s="1" t="s">
        <v>1480</v>
      </c>
      <c r="G252" s="2">
        <v>46071</v>
      </c>
    </row>
    <row r="253" spans="1:7" x14ac:dyDescent="0.25">
      <c r="A253" s="1" t="s">
        <v>233</v>
      </c>
      <c r="B253" s="1" t="s">
        <v>1491</v>
      </c>
      <c r="C253" s="2">
        <v>46101</v>
      </c>
      <c r="D253">
        <v>33</v>
      </c>
      <c r="E253">
        <v>48</v>
      </c>
      <c r="F253" s="1" t="s">
        <v>1494</v>
      </c>
      <c r="G253" s="2">
        <v>46107</v>
      </c>
    </row>
    <row r="254" spans="1:7" x14ac:dyDescent="0.25">
      <c r="A254" s="1" t="s">
        <v>234</v>
      </c>
      <c r="B254" s="1" t="s">
        <v>1481</v>
      </c>
      <c r="C254" s="2">
        <v>46075</v>
      </c>
      <c r="D254">
        <v>164</v>
      </c>
      <c r="E254">
        <v>189.34</v>
      </c>
      <c r="F254" s="1" t="s">
        <v>1456</v>
      </c>
      <c r="G254" s="2">
        <v>46084</v>
      </c>
    </row>
    <row r="255" spans="1:7" x14ac:dyDescent="0.25">
      <c r="A255" s="1" t="s">
        <v>235</v>
      </c>
      <c r="B255" s="1" t="s">
        <v>1470</v>
      </c>
      <c r="C255" s="2">
        <v>46097</v>
      </c>
      <c r="D255">
        <v>177</v>
      </c>
      <c r="E255">
        <v>28.4</v>
      </c>
      <c r="F255" s="1" t="s">
        <v>1459</v>
      </c>
      <c r="G255" s="2">
        <v>46115</v>
      </c>
    </row>
    <row r="256" spans="1:7" x14ac:dyDescent="0.25">
      <c r="A256" s="1" t="s">
        <v>236</v>
      </c>
      <c r="B256" s="1" t="s">
        <v>1486</v>
      </c>
      <c r="C256" s="2">
        <v>46056</v>
      </c>
      <c r="D256">
        <v>204</v>
      </c>
      <c r="E256">
        <v>108.85</v>
      </c>
      <c r="F256" s="1" t="s">
        <v>1440</v>
      </c>
      <c r="G256" s="2">
        <v>46077</v>
      </c>
    </row>
    <row r="257" spans="1:7" x14ac:dyDescent="0.25">
      <c r="A257" s="1" t="s">
        <v>237</v>
      </c>
      <c r="B257" s="1" t="s">
        <v>1454</v>
      </c>
      <c r="C257" s="2">
        <v>46113</v>
      </c>
      <c r="D257">
        <v>46</v>
      </c>
      <c r="E257">
        <v>82.43</v>
      </c>
      <c r="F257" s="1" t="s">
        <v>1490</v>
      </c>
      <c r="G257" s="2">
        <v>46119</v>
      </c>
    </row>
    <row r="258" spans="1:7" x14ac:dyDescent="0.25">
      <c r="A258" s="1" t="s">
        <v>238</v>
      </c>
      <c r="B258" s="1" t="s">
        <v>1500</v>
      </c>
      <c r="C258" s="2">
        <v>46027</v>
      </c>
      <c r="D258">
        <v>245</v>
      </c>
      <c r="E258">
        <v>184.63</v>
      </c>
      <c r="F258" s="1" t="s">
        <v>1472</v>
      </c>
      <c r="G258" s="2">
        <v>46045</v>
      </c>
    </row>
    <row r="259" spans="1:7" x14ac:dyDescent="0.25">
      <c r="A259" s="1" t="s">
        <v>239</v>
      </c>
      <c r="B259" s="1" t="s">
        <v>1493</v>
      </c>
      <c r="C259" s="2">
        <v>46126</v>
      </c>
      <c r="D259">
        <v>373</v>
      </c>
      <c r="E259">
        <v>129.83000000000001</v>
      </c>
      <c r="F259" s="1" t="s">
        <v>1474</v>
      </c>
      <c r="G259" s="2">
        <v>46134</v>
      </c>
    </row>
    <row r="260" spans="1:7" x14ac:dyDescent="0.25">
      <c r="A260" s="1" t="s">
        <v>240</v>
      </c>
      <c r="B260" s="1" t="s">
        <v>1488</v>
      </c>
      <c r="C260" s="2">
        <v>46028</v>
      </c>
      <c r="D260">
        <v>176</v>
      </c>
      <c r="E260">
        <v>38.520000000000003</v>
      </c>
      <c r="F260" s="1" t="s">
        <v>1494</v>
      </c>
      <c r="G260" s="2">
        <v>46047</v>
      </c>
    </row>
    <row r="261" spans="1:7" x14ac:dyDescent="0.25">
      <c r="A261" s="1" t="s">
        <v>241</v>
      </c>
      <c r="B261" s="1" t="s">
        <v>1449</v>
      </c>
      <c r="C261" s="2">
        <v>46115</v>
      </c>
      <c r="D261">
        <v>55</v>
      </c>
      <c r="E261">
        <v>90.16</v>
      </c>
      <c r="F261" s="1" t="s">
        <v>1483</v>
      </c>
      <c r="G261" s="2">
        <v>46127</v>
      </c>
    </row>
    <row r="262" spans="1:7" x14ac:dyDescent="0.25">
      <c r="A262" s="1" t="s">
        <v>242</v>
      </c>
      <c r="B262" s="1" t="s">
        <v>1500</v>
      </c>
      <c r="C262" s="2">
        <v>46173</v>
      </c>
      <c r="D262">
        <v>215</v>
      </c>
      <c r="E262">
        <v>107.17</v>
      </c>
      <c r="F262" s="1" t="s">
        <v>1453</v>
      </c>
      <c r="G262" s="2">
        <v>46187</v>
      </c>
    </row>
    <row r="263" spans="1:7" x14ac:dyDescent="0.25">
      <c r="A263" s="1" t="s">
        <v>243</v>
      </c>
      <c r="B263" s="1" t="s">
        <v>1465</v>
      </c>
      <c r="C263" s="2">
        <v>46109</v>
      </c>
      <c r="D263">
        <v>123</v>
      </c>
      <c r="E263">
        <v>69.95</v>
      </c>
      <c r="F263" s="1" t="s">
        <v>1501</v>
      </c>
      <c r="G263" s="2">
        <v>46116</v>
      </c>
    </row>
    <row r="264" spans="1:7" x14ac:dyDescent="0.25">
      <c r="A264" s="1" t="s">
        <v>244</v>
      </c>
      <c r="B264" s="1" t="s">
        <v>1445</v>
      </c>
      <c r="C264" s="2">
        <v>46052</v>
      </c>
      <c r="D264">
        <v>281</v>
      </c>
      <c r="E264">
        <v>104.44</v>
      </c>
      <c r="F264" s="1" t="s">
        <v>1456</v>
      </c>
      <c r="G264" s="2">
        <v>46068</v>
      </c>
    </row>
    <row r="265" spans="1:7" x14ac:dyDescent="0.25">
      <c r="A265" s="1" t="s">
        <v>245</v>
      </c>
      <c r="B265" s="1" t="s">
        <v>1503</v>
      </c>
      <c r="C265" s="2">
        <v>46060</v>
      </c>
      <c r="D265">
        <v>130</v>
      </c>
      <c r="E265">
        <v>25.05</v>
      </c>
      <c r="F265" s="1" t="s">
        <v>1458</v>
      </c>
      <c r="G265" s="2">
        <v>46071</v>
      </c>
    </row>
    <row r="266" spans="1:7" x14ac:dyDescent="0.25">
      <c r="A266" s="1" t="s">
        <v>246</v>
      </c>
      <c r="B266" s="1" t="s">
        <v>1486</v>
      </c>
      <c r="C266" s="2">
        <v>46062</v>
      </c>
      <c r="D266">
        <v>399</v>
      </c>
      <c r="E266">
        <v>153.03</v>
      </c>
      <c r="F266" s="1" t="s">
        <v>1476</v>
      </c>
      <c r="G266" s="2">
        <v>46072</v>
      </c>
    </row>
    <row r="267" spans="1:7" x14ac:dyDescent="0.25">
      <c r="A267" s="1" t="s">
        <v>950</v>
      </c>
      <c r="B267" s="1" t="s">
        <v>1439</v>
      </c>
      <c r="C267" s="2">
        <v>46149</v>
      </c>
      <c r="D267">
        <v>247</v>
      </c>
      <c r="E267">
        <v>152.12</v>
      </c>
      <c r="F267" s="1" t="s">
        <v>1456</v>
      </c>
      <c r="G267" s="2">
        <v>46168</v>
      </c>
    </row>
    <row r="268" spans="1:7" x14ac:dyDescent="0.25">
      <c r="A268" s="1" t="s">
        <v>247</v>
      </c>
      <c r="B268" s="1" t="s">
        <v>1461</v>
      </c>
      <c r="C268" s="2">
        <v>46167</v>
      </c>
      <c r="D268">
        <v>339</v>
      </c>
      <c r="E268">
        <v>128.88</v>
      </c>
      <c r="F268" s="1" t="s">
        <v>1494</v>
      </c>
      <c r="G268" s="2">
        <v>46182</v>
      </c>
    </row>
    <row r="269" spans="1:7" x14ac:dyDescent="0.25">
      <c r="A269" s="1" t="s">
        <v>248</v>
      </c>
      <c r="B269" s="1" t="s">
        <v>1439</v>
      </c>
      <c r="C269" s="2">
        <v>46103</v>
      </c>
      <c r="D269">
        <v>87</v>
      </c>
      <c r="E269">
        <v>90.75</v>
      </c>
      <c r="F269" s="1" t="s">
        <v>1487</v>
      </c>
      <c r="G269" s="2">
        <v>46122</v>
      </c>
    </row>
    <row r="270" spans="1:7" x14ac:dyDescent="0.25">
      <c r="A270" s="1" t="s">
        <v>249</v>
      </c>
      <c r="B270" s="1" t="s">
        <v>1439</v>
      </c>
      <c r="C270" s="2">
        <v>46100</v>
      </c>
      <c r="D270">
        <v>417</v>
      </c>
      <c r="E270">
        <v>58.56</v>
      </c>
      <c r="F270" s="1" t="s">
        <v>1462</v>
      </c>
      <c r="G270" s="2">
        <v>46116</v>
      </c>
    </row>
    <row r="271" spans="1:7" x14ac:dyDescent="0.25">
      <c r="A271" s="1" t="s">
        <v>250</v>
      </c>
      <c r="B271" s="1" t="s">
        <v>1445</v>
      </c>
      <c r="C271" s="2">
        <v>46041</v>
      </c>
      <c r="D271">
        <v>168</v>
      </c>
      <c r="E271">
        <v>95.04</v>
      </c>
      <c r="F271" s="1" t="s">
        <v>1462</v>
      </c>
      <c r="G271" s="2">
        <v>46047</v>
      </c>
    </row>
    <row r="272" spans="1:7" x14ac:dyDescent="0.25">
      <c r="A272" s="1" t="s">
        <v>251</v>
      </c>
      <c r="B272" s="1" t="s">
        <v>1496</v>
      </c>
      <c r="C272" s="2">
        <v>46096</v>
      </c>
      <c r="D272">
        <v>49</v>
      </c>
      <c r="E272">
        <v>130.71</v>
      </c>
      <c r="F272" s="1" t="s">
        <v>1476</v>
      </c>
      <c r="G272" s="2">
        <v>46117</v>
      </c>
    </row>
    <row r="273" spans="1:7" x14ac:dyDescent="0.25">
      <c r="A273" s="1" t="s">
        <v>957</v>
      </c>
      <c r="B273" s="1" t="s">
        <v>1502</v>
      </c>
      <c r="C273" s="2">
        <v>46141</v>
      </c>
      <c r="D273">
        <v>307</v>
      </c>
      <c r="E273">
        <v>113.09</v>
      </c>
      <c r="F273" s="1" t="s">
        <v>1490</v>
      </c>
      <c r="G273" s="2">
        <v>46147</v>
      </c>
    </row>
    <row r="274" spans="1:7" x14ac:dyDescent="0.25">
      <c r="A274" s="1" t="s">
        <v>252</v>
      </c>
      <c r="B274" s="1" t="s">
        <v>1478</v>
      </c>
      <c r="C274" s="2">
        <v>46169</v>
      </c>
      <c r="D274">
        <v>343</v>
      </c>
      <c r="E274">
        <v>41.71</v>
      </c>
      <c r="F274" s="1" t="s">
        <v>1494</v>
      </c>
      <c r="G274" s="2">
        <v>46189</v>
      </c>
    </row>
    <row r="275" spans="1:7" x14ac:dyDescent="0.25">
      <c r="A275" s="1" t="s">
        <v>253</v>
      </c>
      <c r="B275" s="1" t="s">
        <v>1445</v>
      </c>
      <c r="C275" s="2">
        <v>46061</v>
      </c>
      <c r="D275">
        <v>500</v>
      </c>
      <c r="E275">
        <v>17.07</v>
      </c>
      <c r="F275" s="1" t="s">
        <v>1483</v>
      </c>
      <c r="G275" s="2">
        <v>46076</v>
      </c>
    </row>
    <row r="276" spans="1:7" x14ac:dyDescent="0.25">
      <c r="A276" s="1" t="s">
        <v>254</v>
      </c>
      <c r="B276" s="1" t="s">
        <v>1455</v>
      </c>
      <c r="C276" s="2">
        <v>46044</v>
      </c>
      <c r="D276">
        <v>268</v>
      </c>
      <c r="E276">
        <v>130.99</v>
      </c>
      <c r="F276" s="1" t="s">
        <v>1462</v>
      </c>
      <c r="G276" s="2">
        <v>46056</v>
      </c>
    </row>
    <row r="277" spans="1:7" x14ac:dyDescent="0.25">
      <c r="A277" s="1" t="s">
        <v>255</v>
      </c>
      <c r="B277" s="1" t="s">
        <v>1455</v>
      </c>
      <c r="C277" s="2">
        <v>46135</v>
      </c>
      <c r="D277">
        <v>234</v>
      </c>
      <c r="E277">
        <v>107.19</v>
      </c>
      <c r="F277" s="1" t="s">
        <v>1459</v>
      </c>
      <c r="G277" s="2">
        <v>46145</v>
      </c>
    </row>
    <row r="278" spans="1:7" x14ac:dyDescent="0.25">
      <c r="A278" s="1" t="s">
        <v>963</v>
      </c>
      <c r="B278" s="1" t="s">
        <v>1496</v>
      </c>
      <c r="C278" s="2">
        <v>46118</v>
      </c>
      <c r="D278">
        <v>479</v>
      </c>
      <c r="E278">
        <v>60.16</v>
      </c>
      <c r="F278" s="1" t="s">
        <v>1507</v>
      </c>
      <c r="G278" s="2">
        <v>46133</v>
      </c>
    </row>
    <row r="279" spans="1:7" x14ac:dyDescent="0.25">
      <c r="A279" s="1" t="s">
        <v>256</v>
      </c>
      <c r="B279" s="1" t="s">
        <v>1461</v>
      </c>
      <c r="C279" s="2">
        <v>46036</v>
      </c>
      <c r="D279">
        <v>414</v>
      </c>
      <c r="E279">
        <v>128.02000000000001</v>
      </c>
      <c r="F279" s="1" t="s">
        <v>1459</v>
      </c>
      <c r="G279" s="2">
        <v>46043</v>
      </c>
    </row>
    <row r="280" spans="1:7" x14ac:dyDescent="0.25">
      <c r="A280" s="1" t="s">
        <v>257</v>
      </c>
      <c r="B280" s="1" t="s">
        <v>1479</v>
      </c>
      <c r="C280" s="2">
        <v>46047</v>
      </c>
      <c r="D280">
        <v>295</v>
      </c>
      <c r="E280">
        <v>137.28</v>
      </c>
      <c r="F280" s="1" t="s">
        <v>1474</v>
      </c>
      <c r="G280" s="2">
        <v>46060</v>
      </c>
    </row>
    <row r="281" spans="1:7" x14ac:dyDescent="0.25">
      <c r="A281" s="1" t="s">
        <v>258</v>
      </c>
      <c r="B281" s="1" t="s">
        <v>1477</v>
      </c>
      <c r="C281" s="2">
        <v>46061</v>
      </c>
      <c r="D281">
        <v>180</v>
      </c>
      <c r="E281">
        <v>20.89</v>
      </c>
      <c r="F281" s="1" t="s">
        <v>1467</v>
      </c>
      <c r="G281" s="2">
        <v>46070</v>
      </c>
    </row>
    <row r="282" spans="1:7" x14ac:dyDescent="0.25">
      <c r="A282" s="1" t="s">
        <v>259</v>
      </c>
      <c r="B282" s="1" t="s">
        <v>1503</v>
      </c>
      <c r="C282" s="2">
        <v>46102</v>
      </c>
      <c r="D282">
        <v>345</v>
      </c>
      <c r="E282">
        <v>141.19999999999999</v>
      </c>
      <c r="F282" s="1" t="s">
        <v>1453</v>
      </c>
      <c r="G282" s="2">
        <v>46111</v>
      </c>
    </row>
    <row r="283" spans="1:7" x14ac:dyDescent="0.25">
      <c r="A283" s="1" t="s">
        <v>260</v>
      </c>
      <c r="B283" s="1" t="s">
        <v>1468</v>
      </c>
      <c r="C283" s="2">
        <v>46044</v>
      </c>
      <c r="D283">
        <v>168</v>
      </c>
      <c r="E283">
        <v>113.99</v>
      </c>
      <c r="F283" s="1" t="s">
        <v>1446</v>
      </c>
      <c r="G283" s="2">
        <v>46059</v>
      </c>
    </row>
    <row r="284" spans="1:7" x14ac:dyDescent="0.25">
      <c r="A284" s="1" t="s">
        <v>261</v>
      </c>
      <c r="B284" s="1" t="s">
        <v>1441</v>
      </c>
      <c r="C284" s="2">
        <v>46157</v>
      </c>
      <c r="D284">
        <v>57</v>
      </c>
      <c r="E284">
        <v>130.97</v>
      </c>
      <c r="F284" s="1" t="s">
        <v>1507</v>
      </c>
      <c r="G284" s="2">
        <v>46178</v>
      </c>
    </row>
    <row r="285" spans="1:7" x14ac:dyDescent="0.25">
      <c r="A285" s="1" t="s">
        <v>262</v>
      </c>
      <c r="B285" s="1" t="s">
        <v>1496</v>
      </c>
      <c r="C285" s="2">
        <v>46027</v>
      </c>
      <c r="D285">
        <v>195</v>
      </c>
      <c r="E285">
        <v>65.23</v>
      </c>
      <c r="F285" s="1" t="s">
        <v>1444</v>
      </c>
      <c r="G285" s="2">
        <v>46042</v>
      </c>
    </row>
    <row r="286" spans="1:7" x14ac:dyDescent="0.25">
      <c r="A286" s="1" t="s">
        <v>263</v>
      </c>
      <c r="B286" s="1" t="s">
        <v>1498</v>
      </c>
      <c r="C286" s="2">
        <v>46072</v>
      </c>
      <c r="D286">
        <v>125</v>
      </c>
      <c r="E286">
        <v>200</v>
      </c>
      <c r="F286" s="1" t="s">
        <v>1485</v>
      </c>
      <c r="G286" s="2">
        <v>46079</v>
      </c>
    </row>
    <row r="287" spans="1:7" x14ac:dyDescent="0.25">
      <c r="A287" s="1" t="s">
        <v>264</v>
      </c>
      <c r="B287" s="1" t="s">
        <v>1506</v>
      </c>
      <c r="C287" s="2">
        <v>46048</v>
      </c>
      <c r="D287">
        <v>269</v>
      </c>
      <c r="E287">
        <v>155.32</v>
      </c>
      <c r="F287" s="1" t="s">
        <v>1490</v>
      </c>
      <c r="G287" s="2">
        <v>46069</v>
      </c>
    </row>
    <row r="288" spans="1:7" x14ac:dyDescent="0.25">
      <c r="A288" s="1" t="s">
        <v>265</v>
      </c>
      <c r="B288" s="1" t="s">
        <v>1452</v>
      </c>
      <c r="C288" s="2">
        <v>46109</v>
      </c>
      <c r="D288">
        <v>458</v>
      </c>
      <c r="E288">
        <v>154.43</v>
      </c>
      <c r="F288" s="1" t="s">
        <v>1485</v>
      </c>
      <c r="G288" s="2">
        <v>46126</v>
      </c>
    </row>
    <row r="289" spans="1:7" x14ac:dyDescent="0.25">
      <c r="A289" s="1" t="s">
        <v>266</v>
      </c>
      <c r="B289" s="1" t="s">
        <v>1464</v>
      </c>
      <c r="C289" s="2">
        <v>46064</v>
      </c>
      <c r="D289">
        <v>102</v>
      </c>
      <c r="E289">
        <v>167.11</v>
      </c>
      <c r="F289" s="1" t="s">
        <v>1456</v>
      </c>
      <c r="G289" s="2">
        <v>46074</v>
      </c>
    </row>
    <row r="290" spans="1:7" x14ac:dyDescent="0.25">
      <c r="A290" s="1" t="s">
        <v>267</v>
      </c>
      <c r="B290" s="1" t="s">
        <v>1477</v>
      </c>
      <c r="C290" s="2">
        <v>46135</v>
      </c>
      <c r="D290">
        <v>32</v>
      </c>
      <c r="E290">
        <v>85.12</v>
      </c>
      <c r="F290" s="1" t="s">
        <v>1467</v>
      </c>
      <c r="G290" s="2">
        <v>46147</v>
      </c>
    </row>
    <row r="291" spans="1:7" x14ac:dyDescent="0.25">
      <c r="A291" s="1" t="s">
        <v>268</v>
      </c>
      <c r="B291" s="1" t="s">
        <v>1478</v>
      </c>
      <c r="C291" s="2">
        <v>46095</v>
      </c>
      <c r="D291">
        <v>395</v>
      </c>
      <c r="E291">
        <v>150.96</v>
      </c>
      <c r="F291" s="1" t="s">
        <v>1469</v>
      </c>
      <c r="G291" s="2">
        <v>46107</v>
      </c>
    </row>
    <row r="292" spans="1:7" x14ac:dyDescent="0.25">
      <c r="A292" s="1" t="s">
        <v>269</v>
      </c>
      <c r="B292" s="1" t="s">
        <v>1471</v>
      </c>
      <c r="C292" s="2">
        <v>46084</v>
      </c>
      <c r="D292">
        <v>168</v>
      </c>
      <c r="E292">
        <v>193.29</v>
      </c>
      <c r="F292" s="1" t="s">
        <v>1487</v>
      </c>
      <c r="G292" s="2">
        <v>46095</v>
      </c>
    </row>
    <row r="293" spans="1:7" x14ac:dyDescent="0.25">
      <c r="A293" s="1" t="s">
        <v>980</v>
      </c>
      <c r="B293" s="1" t="s">
        <v>1496</v>
      </c>
      <c r="C293" s="2">
        <v>46169</v>
      </c>
      <c r="D293">
        <v>235</v>
      </c>
      <c r="E293">
        <v>95.03</v>
      </c>
      <c r="F293" s="1" t="s">
        <v>1474</v>
      </c>
      <c r="G293" s="2">
        <v>46186</v>
      </c>
    </row>
    <row r="294" spans="1:7" x14ac:dyDescent="0.25">
      <c r="A294" s="1" t="s">
        <v>270</v>
      </c>
      <c r="B294" s="1" t="s">
        <v>1445</v>
      </c>
      <c r="C294" s="2">
        <v>46158</v>
      </c>
      <c r="D294">
        <v>224</v>
      </c>
      <c r="E294">
        <v>193.42</v>
      </c>
      <c r="F294" s="1" t="s">
        <v>1444</v>
      </c>
      <c r="G294" s="2">
        <v>46167</v>
      </c>
    </row>
    <row r="295" spans="1:7" x14ac:dyDescent="0.25">
      <c r="A295" s="1" t="s">
        <v>983</v>
      </c>
      <c r="B295" s="1" t="s">
        <v>1470</v>
      </c>
      <c r="C295" s="2">
        <v>46036</v>
      </c>
      <c r="D295">
        <v>338</v>
      </c>
      <c r="E295">
        <v>98.72</v>
      </c>
      <c r="F295" s="1" t="s">
        <v>1451</v>
      </c>
      <c r="G295" s="2">
        <v>46044</v>
      </c>
    </row>
    <row r="296" spans="1:7" x14ac:dyDescent="0.25">
      <c r="A296" s="1" t="s">
        <v>271</v>
      </c>
      <c r="B296" s="1" t="s">
        <v>1455</v>
      </c>
      <c r="C296" s="2">
        <v>46155</v>
      </c>
      <c r="D296">
        <v>445</v>
      </c>
      <c r="E296">
        <v>29.31</v>
      </c>
      <c r="F296" s="1" t="s">
        <v>1476</v>
      </c>
      <c r="G296" s="2">
        <v>46165</v>
      </c>
    </row>
    <row r="297" spans="1:7" x14ac:dyDescent="0.25">
      <c r="A297" s="1" t="s">
        <v>272</v>
      </c>
      <c r="B297" s="1" t="s">
        <v>1511</v>
      </c>
      <c r="C297" s="2">
        <v>46138</v>
      </c>
      <c r="D297">
        <v>473</v>
      </c>
      <c r="E297">
        <v>105.1</v>
      </c>
      <c r="F297" s="1" t="s">
        <v>1507</v>
      </c>
      <c r="G297" s="2">
        <v>46145</v>
      </c>
    </row>
    <row r="298" spans="1:7" x14ac:dyDescent="0.25">
      <c r="A298" s="1" t="s">
        <v>273</v>
      </c>
      <c r="B298" s="1" t="s">
        <v>1447</v>
      </c>
      <c r="C298" s="2">
        <v>46138</v>
      </c>
      <c r="D298">
        <v>462</v>
      </c>
      <c r="E298">
        <v>73.17</v>
      </c>
      <c r="F298" s="1" t="s">
        <v>1448</v>
      </c>
      <c r="G298" s="2">
        <v>46156</v>
      </c>
    </row>
    <row r="299" spans="1:7" x14ac:dyDescent="0.25">
      <c r="A299" s="1" t="s">
        <v>274</v>
      </c>
      <c r="B299" s="1" t="s">
        <v>1475</v>
      </c>
      <c r="C299" s="2">
        <v>46124</v>
      </c>
      <c r="D299">
        <v>267</v>
      </c>
      <c r="E299">
        <v>77.92</v>
      </c>
      <c r="F299" s="1" t="s">
        <v>1453</v>
      </c>
      <c r="G299" s="2">
        <v>46131</v>
      </c>
    </row>
    <row r="300" spans="1:7" x14ac:dyDescent="0.25">
      <c r="A300" s="1" t="s">
        <v>275</v>
      </c>
      <c r="B300" s="1" t="s">
        <v>1496</v>
      </c>
      <c r="C300" s="2">
        <v>46080</v>
      </c>
      <c r="D300">
        <v>24</v>
      </c>
      <c r="E300">
        <v>67.14</v>
      </c>
      <c r="F300" s="1" t="s">
        <v>1483</v>
      </c>
      <c r="G300" s="2">
        <v>46095</v>
      </c>
    </row>
    <row r="301" spans="1:7" x14ac:dyDescent="0.25">
      <c r="A301" s="1" t="s">
        <v>990</v>
      </c>
      <c r="B301" s="1" t="s">
        <v>1464</v>
      </c>
      <c r="C301" s="2">
        <v>46058</v>
      </c>
      <c r="D301">
        <v>29</v>
      </c>
      <c r="E301">
        <v>60.94</v>
      </c>
      <c r="F301" s="1" t="s">
        <v>1459</v>
      </c>
      <c r="G301" s="2">
        <v>46067</v>
      </c>
    </row>
    <row r="302" spans="1:7" x14ac:dyDescent="0.25">
      <c r="A302" s="1" t="s">
        <v>276</v>
      </c>
      <c r="B302" s="1" t="s">
        <v>1455</v>
      </c>
      <c r="C302" s="2">
        <v>46143</v>
      </c>
      <c r="D302">
        <v>239</v>
      </c>
      <c r="E302">
        <v>124.99</v>
      </c>
      <c r="F302" s="1" t="s">
        <v>1476</v>
      </c>
      <c r="G302" s="2">
        <v>46148</v>
      </c>
    </row>
    <row r="303" spans="1:7" x14ac:dyDescent="0.25">
      <c r="A303" s="1" t="s">
        <v>277</v>
      </c>
      <c r="B303" s="1" t="s">
        <v>1470</v>
      </c>
      <c r="C303" s="2">
        <v>46078</v>
      </c>
      <c r="D303">
        <v>437</v>
      </c>
      <c r="E303">
        <v>34.159999999999997</v>
      </c>
      <c r="F303" s="1" t="s">
        <v>1490</v>
      </c>
      <c r="G303" s="2">
        <v>46099</v>
      </c>
    </row>
    <row r="304" spans="1:7" x14ac:dyDescent="0.25">
      <c r="A304" s="1" t="s">
        <v>278</v>
      </c>
      <c r="B304" s="1" t="s">
        <v>1500</v>
      </c>
      <c r="C304" s="2">
        <v>46051</v>
      </c>
      <c r="D304">
        <v>407</v>
      </c>
      <c r="E304">
        <v>61.18</v>
      </c>
      <c r="F304" s="1" t="s">
        <v>1474</v>
      </c>
      <c r="G304" s="2">
        <v>46059</v>
      </c>
    </row>
    <row r="305" spans="1:7" x14ac:dyDescent="0.25">
      <c r="A305" s="1" t="s">
        <v>279</v>
      </c>
      <c r="B305" s="1" t="s">
        <v>1475</v>
      </c>
      <c r="C305" s="2">
        <v>46084</v>
      </c>
      <c r="D305">
        <v>224</v>
      </c>
      <c r="E305">
        <v>129.6</v>
      </c>
      <c r="F305" s="1" t="s">
        <v>1494</v>
      </c>
      <c r="G305" s="2">
        <v>46103</v>
      </c>
    </row>
    <row r="306" spans="1:7" x14ac:dyDescent="0.25">
      <c r="A306" s="1" t="s">
        <v>280</v>
      </c>
      <c r="B306" s="1" t="s">
        <v>1492</v>
      </c>
      <c r="C306" s="2">
        <v>46051</v>
      </c>
      <c r="D306">
        <v>438</v>
      </c>
      <c r="E306">
        <v>181.5</v>
      </c>
      <c r="F306" s="1" t="s">
        <v>1494</v>
      </c>
      <c r="G306" s="2">
        <v>46056</v>
      </c>
    </row>
    <row r="307" spans="1:7" x14ac:dyDescent="0.25">
      <c r="A307" s="1" t="s">
        <v>281</v>
      </c>
      <c r="B307" s="1" t="s">
        <v>1439</v>
      </c>
      <c r="C307" s="2">
        <v>46154</v>
      </c>
      <c r="D307">
        <v>304</v>
      </c>
      <c r="E307">
        <v>52.18</v>
      </c>
      <c r="F307" s="1" t="s">
        <v>1485</v>
      </c>
      <c r="G307" s="2">
        <v>46168</v>
      </c>
    </row>
    <row r="308" spans="1:7" x14ac:dyDescent="0.25">
      <c r="A308" s="1" t="s">
        <v>282</v>
      </c>
      <c r="B308" s="1" t="s">
        <v>1500</v>
      </c>
      <c r="C308" s="2">
        <v>46023</v>
      </c>
      <c r="D308">
        <v>324</v>
      </c>
      <c r="E308">
        <v>73.8</v>
      </c>
      <c r="F308" s="1" t="s">
        <v>1480</v>
      </c>
      <c r="G308" s="2">
        <v>46041</v>
      </c>
    </row>
    <row r="309" spans="1:7" x14ac:dyDescent="0.25">
      <c r="A309" s="1" t="s">
        <v>283</v>
      </c>
      <c r="B309" s="1" t="s">
        <v>1486</v>
      </c>
      <c r="C309" s="2">
        <v>46044</v>
      </c>
      <c r="D309">
        <v>278</v>
      </c>
      <c r="E309">
        <v>195.06</v>
      </c>
      <c r="F309" s="1" t="s">
        <v>1476</v>
      </c>
      <c r="G309" s="2">
        <v>46065</v>
      </c>
    </row>
    <row r="310" spans="1:7" x14ac:dyDescent="0.25">
      <c r="A310" s="1" t="s">
        <v>284</v>
      </c>
      <c r="B310" s="1" t="s">
        <v>1471</v>
      </c>
      <c r="C310" s="2">
        <v>46152</v>
      </c>
      <c r="D310">
        <v>412</v>
      </c>
      <c r="E310">
        <v>197.72</v>
      </c>
      <c r="F310" s="1" t="s">
        <v>1442</v>
      </c>
      <c r="G310" s="2">
        <v>46157</v>
      </c>
    </row>
    <row r="311" spans="1:7" x14ac:dyDescent="0.25">
      <c r="A311" s="1" t="s">
        <v>285</v>
      </c>
      <c r="B311" s="1" t="s">
        <v>1502</v>
      </c>
      <c r="C311" s="2">
        <v>46143</v>
      </c>
      <c r="D311">
        <v>32</v>
      </c>
      <c r="E311">
        <v>128.96</v>
      </c>
      <c r="F311" s="1" t="s">
        <v>1451</v>
      </c>
      <c r="G311" s="2">
        <v>46156</v>
      </c>
    </row>
    <row r="312" spans="1:7" x14ac:dyDescent="0.25">
      <c r="A312" s="1" t="s">
        <v>1002</v>
      </c>
      <c r="B312" s="1" t="s">
        <v>1465</v>
      </c>
      <c r="C312" s="2">
        <v>46027</v>
      </c>
      <c r="D312">
        <v>192</v>
      </c>
      <c r="E312">
        <v>158.76</v>
      </c>
      <c r="F312" s="1" t="s">
        <v>1451</v>
      </c>
      <c r="G312" s="2">
        <v>46039</v>
      </c>
    </row>
    <row r="313" spans="1:7" x14ac:dyDescent="0.25">
      <c r="A313" s="1" t="s">
        <v>286</v>
      </c>
      <c r="B313" s="1" t="s">
        <v>1477</v>
      </c>
      <c r="C313" s="2">
        <v>46049</v>
      </c>
      <c r="D313">
        <v>405</v>
      </c>
      <c r="E313">
        <v>118.47</v>
      </c>
      <c r="F313" s="1" t="s">
        <v>1456</v>
      </c>
      <c r="G313" s="2">
        <v>46064</v>
      </c>
    </row>
    <row r="314" spans="1:7" x14ac:dyDescent="0.25">
      <c r="A314" s="1" t="s">
        <v>287</v>
      </c>
      <c r="B314" s="1" t="s">
        <v>1441</v>
      </c>
      <c r="C314" s="2">
        <v>46034</v>
      </c>
      <c r="D314">
        <v>190</v>
      </c>
      <c r="E314">
        <v>111.47</v>
      </c>
      <c r="F314" s="1" t="s">
        <v>1446</v>
      </c>
      <c r="G314" s="2">
        <v>46044</v>
      </c>
    </row>
    <row r="315" spans="1:7" x14ac:dyDescent="0.25">
      <c r="A315" s="1" t="s">
        <v>288</v>
      </c>
      <c r="B315" s="1" t="s">
        <v>1461</v>
      </c>
      <c r="C315" s="2">
        <v>46141</v>
      </c>
      <c r="D315">
        <v>366</v>
      </c>
      <c r="E315">
        <v>98.31</v>
      </c>
      <c r="F315" s="1" t="s">
        <v>1501</v>
      </c>
      <c r="G315" s="2">
        <v>46150</v>
      </c>
    </row>
    <row r="316" spans="1:7" x14ac:dyDescent="0.25">
      <c r="A316" s="1" t="s">
        <v>289</v>
      </c>
      <c r="B316" s="1" t="s">
        <v>1492</v>
      </c>
      <c r="C316" s="2">
        <v>46140</v>
      </c>
      <c r="D316">
        <v>28</v>
      </c>
      <c r="E316">
        <v>62.22</v>
      </c>
      <c r="F316" s="1" t="s">
        <v>1462</v>
      </c>
      <c r="G316" s="2">
        <v>46151</v>
      </c>
    </row>
    <row r="317" spans="1:7" x14ac:dyDescent="0.25">
      <c r="A317" s="1" t="s">
        <v>290</v>
      </c>
      <c r="B317" s="1" t="s">
        <v>1452</v>
      </c>
      <c r="C317" s="2">
        <v>46103</v>
      </c>
      <c r="D317">
        <v>487</v>
      </c>
      <c r="E317">
        <v>65.459999999999994</v>
      </c>
      <c r="F317" s="1" t="s">
        <v>1453</v>
      </c>
      <c r="G317" s="2">
        <v>46123</v>
      </c>
    </row>
    <row r="318" spans="1:7" x14ac:dyDescent="0.25">
      <c r="A318" s="1" t="s">
        <v>291</v>
      </c>
      <c r="B318" s="1" t="s">
        <v>1470</v>
      </c>
      <c r="C318" s="2">
        <v>46032</v>
      </c>
      <c r="D318">
        <v>395</v>
      </c>
      <c r="E318">
        <v>131.15</v>
      </c>
      <c r="F318" s="1" t="s">
        <v>1474</v>
      </c>
      <c r="G318" s="2">
        <v>46048</v>
      </c>
    </row>
    <row r="319" spans="1:7" x14ac:dyDescent="0.25">
      <c r="A319" s="1" t="s">
        <v>292</v>
      </c>
      <c r="B319" s="1" t="s">
        <v>1475</v>
      </c>
      <c r="C319" s="2">
        <v>46107</v>
      </c>
      <c r="D319">
        <v>149</v>
      </c>
      <c r="E319">
        <v>29.27</v>
      </c>
      <c r="F319" s="1" t="s">
        <v>1451</v>
      </c>
      <c r="G319" s="2">
        <v>46125</v>
      </c>
    </row>
    <row r="320" spans="1:7" x14ac:dyDescent="0.25">
      <c r="A320" s="1" t="s">
        <v>293</v>
      </c>
      <c r="B320" s="1" t="s">
        <v>1488</v>
      </c>
      <c r="C320" s="2">
        <v>46135</v>
      </c>
      <c r="D320">
        <v>468</v>
      </c>
      <c r="E320">
        <v>191.51</v>
      </c>
      <c r="F320" s="1" t="s">
        <v>1472</v>
      </c>
      <c r="G320" s="2">
        <v>46145</v>
      </c>
    </row>
    <row r="321" spans="1:7" x14ac:dyDescent="0.25">
      <c r="A321" s="1" t="s">
        <v>1012</v>
      </c>
      <c r="B321" s="1" t="s">
        <v>1498</v>
      </c>
      <c r="C321" s="2">
        <v>46150</v>
      </c>
      <c r="D321">
        <v>198</v>
      </c>
      <c r="E321">
        <v>185.24</v>
      </c>
      <c r="F321" s="1" t="s">
        <v>1504</v>
      </c>
      <c r="G321" s="2">
        <v>46163</v>
      </c>
    </row>
    <row r="322" spans="1:7" x14ac:dyDescent="0.25">
      <c r="A322" s="1" t="s">
        <v>294</v>
      </c>
      <c r="B322" s="1" t="s">
        <v>1457</v>
      </c>
      <c r="C322" s="2">
        <v>46131</v>
      </c>
      <c r="D322">
        <v>50</v>
      </c>
      <c r="E322">
        <v>88.97</v>
      </c>
      <c r="F322" s="1" t="s">
        <v>1459</v>
      </c>
      <c r="G322" s="2">
        <v>46145</v>
      </c>
    </row>
    <row r="323" spans="1:7" x14ac:dyDescent="0.25">
      <c r="A323" s="1" t="s">
        <v>295</v>
      </c>
      <c r="B323" s="1" t="s">
        <v>1509</v>
      </c>
      <c r="C323" s="2">
        <v>46049</v>
      </c>
      <c r="D323">
        <v>50</v>
      </c>
      <c r="E323">
        <v>68.94</v>
      </c>
      <c r="F323" s="1" t="s">
        <v>1474</v>
      </c>
      <c r="G323" s="2">
        <v>46063</v>
      </c>
    </row>
    <row r="324" spans="1:7" x14ac:dyDescent="0.25">
      <c r="A324" s="1" t="s">
        <v>296</v>
      </c>
      <c r="B324" s="1" t="s">
        <v>1478</v>
      </c>
      <c r="C324" s="2">
        <v>46132</v>
      </c>
      <c r="D324">
        <v>95</v>
      </c>
      <c r="E324">
        <v>139.5</v>
      </c>
      <c r="F324" s="1" t="s">
        <v>1451</v>
      </c>
      <c r="G324" s="2">
        <v>46151</v>
      </c>
    </row>
    <row r="325" spans="1:7" x14ac:dyDescent="0.25">
      <c r="A325" s="1" t="s">
        <v>297</v>
      </c>
      <c r="B325" s="1" t="s">
        <v>1452</v>
      </c>
      <c r="C325" s="2">
        <v>46113</v>
      </c>
      <c r="D325">
        <v>324</v>
      </c>
      <c r="E325">
        <v>199.64</v>
      </c>
      <c r="F325" s="1" t="s">
        <v>1458</v>
      </c>
      <c r="G325" s="2">
        <v>46119</v>
      </c>
    </row>
    <row r="326" spans="1:7" x14ac:dyDescent="0.25">
      <c r="A326" s="1" t="s">
        <v>298</v>
      </c>
      <c r="B326" s="1" t="s">
        <v>1492</v>
      </c>
      <c r="C326" s="2">
        <v>46126</v>
      </c>
      <c r="D326">
        <v>196</v>
      </c>
      <c r="E326">
        <v>105.05</v>
      </c>
      <c r="F326" s="1" t="s">
        <v>1490</v>
      </c>
      <c r="G326" s="2">
        <v>46136</v>
      </c>
    </row>
    <row r="327" spans="1:7" x14ac:dyDescent="0.25">
      <c r="A327" s="1" t="s">
        <v>299</v>
      </c>
      <c r="B327" s="1" t="s">
        <v>1473</v>
      </c>
      <c r="C327" s="2">
        <v>46059</v>
      </c>
      <c r="D327">
        <v>444</v>
      </c>
      <c r="E327">
        <v>123.48</v>
      </c>
      <c r="F327" s="1" t="s">
        <v>1469</v>
      </c>
      <c r="G327" s="2">
        <v>46065</v>
      </c>
    </row>
    <row r="328" spans="1:7" x14ac:dyDescent="0.25">
      <c r="A328" s="1" t="s">
        <v>300</v>
      </c>
      <c r="B328" s="1" t="s">
        <v>1441</v>
      </c>
      <c r="C328" s="2">
        <v>46040</v>
      </c>
      <c r="D328">
        <v>130</v>
      </c>
      <c r="E328">
        <v>156.81</v>
      </c>
      <c r="F328" s="1" t="s">
        <v>1451</v>
      </c>
      <c r="G328" s="2">
        <v>46056</v>
      </c>
    </row>
    <row r="329" spans="1:7" x14ac:dyDescent="0.25">
      <c r="A329" s="1" t="s">
        <v>301</v>
      </c>
      <c r="B329" s="1" t="s">
        <v>1502</v>
      </c>
      <c r="C329" s="2">
        <v>46168</v>
      </c>
      <c r="D329">
        <v>26</v>
      </c>
      <c r="E329">
        <v>122.99</v>
      </c>
      <c r="F329" s="1" t="s">
        <v>1467</v>
      </c>
      <c r="G329" s="2">
        <v>46187</v>
      </c>
    </row>
    <row r="330" spans="1:7" x14ac:dyDescent="0.25">
      <c r="A330" s="1" t="s">
        <v>302</v>
      </c>
      <c r="B330" s="1" t="s">
        <v>1496</v>
      </c>
      <c r="C330" s="2">
        <v>46118</v>
      </c>
      <c r="D330">
        <v>237</v>
      </c>
      <c r="E330">
        <v>153.80000000000001</v>
      </c>
      <c r="F330" s="1" t="s">
        <v>1480</v>
      </c>
      <c r="G330" s="2">
        <v>46127</v>
      </c>
    </row>
    <row r="331" spans="1:7" x14ac:dyDescent="0.25">
      <c r="A331" s="1" t="s">
        <v>303</v>
      </c>
      <c r="B331" s="1" t="s">
        <v>1491</v>
      </c>
      <c r="C331" s="2">
        <v>46116</v>
      </c>
      <c r="D331">
        <v>213</v>
      </c>
      <c r="E331">
        <v>66.31</v>
      </c>
      <c r="F331" s="1" t="s">
        <v>1459</v>
      </c>
      <c r="G331" s="2">
        <v>46128</v>
      </c>
    </row>
    <row r="332" spans="1:7" x14ac:dyDescent="0.25">
      <c r="A332" s="1" t="s">
        <v>304</v>
      </c>
      <c r="B332" s="1" t="s">
        <v>1466</v>
      </c>
      <c r="C332" s="2">
        <v>46029</v>
      </c>
      <c r="D332">
        <v>386</v>
      </c>
      <c r="E332">
        <v>41.28</v>
      </c>
      <c r="F332" s="1" t="s">
        <v>1504</v>
      </c>
      <c r="G332" s="2">
        <v>46046</v>
      </c>
    </row>
    <row r="333" spans="1:7" x14ac:dyDescent="0.25">
      <c r="A333" s="1" t="s">
        <v>305</v>
      </c>
      <c r="B333" s="1" t="s">
        <v>1454</v>
      </c>
      <c r="C333" s="2">
        <v>46053</v>
      </c>
      <c r="D333">
        <v>144</v>
      </c>
      <c r="E333">
        <v>156.12</v>
      </c>
      <c r="F333" s="1" t="s">
        <v>1499</v>
      </c>
      <c r="G333" s="2">
        <v>46072</v>
      </c>
    </row>
    <row r="334" spans="1:7" x14ac:dyDescent="0.25">
      <c r="A334" s="1" t="s">
        <v>306</v>
      </c>
      <c r="B334" s="1" t="s">
        <v>1463</v>
      </c>
      <c r="C334" s="2">
        <v>46096</v>
      </c>
      <c r="D334">
        <v>365</v>
      </c>
      <c r="E334">
        <v>183.71</v>
      </c>
      <c r="F334" s="1" t="s">
        <v>1487</v>
      </c>
      <c r="G334" s="2">
        <v>46107</v>
      </c>
    </row>
    <row r="335" spans="1:7" x14ac:dyDescent="0.25">
      <c r="A335" s="1" t="s">
        <v>307</v>
      </c>
      <c r="B335" s="1" t="s">
        <v>1466</v>
      </c>
      <c r="C335" s="2">
        <v>46057</v>
      </c>
      <c r="D335">
        <v>446</v>
      </c>
      <c r="E335">
        <v>19.440000000000001</v>
      </c>
      <c r="F335" s="1" t="s">
        <v>1501</v>
      </c>
      <c r="G335" s="2">
        <v>46076</v>
      </c>
    </row>
    <row r="336" spans="1:7" x14ac:dyDescent="0.25">
      <c r="A336" s="1" t="s">
        <v>308</v>
      </c>
      <c r="B336" s="1" t="s">
        <v>1457</v>
      </c>
      <c r="C336" s="2">
        <v>46104</v>
      </c>
      <c r="D336">
        <v>351</v>
      </c>
      <c r="E336">
        <v>72.75</v>
      </c>
      <c r="F336" s="1" t="s">
        <v>1476</v>
      </c>
      <c r="G336" s="2">
        <v>46118</v>
      </c>
    </row>
    <row r="337" spans="1:7" x14ac:dyDescent="0.25">
      <c r="A337" s="1" t="s">
        <v>309</v>
      </c>
      <c r="B337" s="1" t="s">
        <v>1512</v>
      </c>
      <c r="C337" s="2">
        <v>46063</v>
      </c>
      <c r="D337">
        <v>374</v>
      </c>
      <c r="E337">
        <v>143.36000000000001</v>
      </c>
      <c r="F337" s="1" t="s">
        <v>1499</v>
      </c>
      <c r="G337" s="2">
        <v>46073</v>
      </c>
    </row>
    <row r="338" spans="1:7" x14ac:dyDescent="0.25">
      <c r="A338" s="1" t="s">
        <v>310</v>
      </c>
      <c r="B338" s="1" t="s">
        <v>1496</v>
      </c>
      <c r="C338" s="2">
        <v>46153</v>
      </c>
      <c r="D338">
        <v>124</v>
      </c>
      <c r="E338">
        <v>28.67</v>
      </c>
      <c r="F338" s="1" t="s">
        <v>1444</v>
      </c>
      <c r="G338" s="2">
        <v>46162</v>
      </c>
    </row>
    <row r="339" spans="1:7" x14ac:dyDescent="0.25">
      <c r="A339" s="1" t="s">
        <v>1031</v>
      </c>
      <c r="B339" s="1" t="s">
        <v>1482</v>
      </c>
      <c r="C339" s="2">
        <v>46149</v>
      </c>
      <c r="D339">
        <v>23</v>
      </c>
      <c r="E339">
        <v>75.37</v>
      </c>
      <c r="F339" s="1" t="s">
        <v>1480</v>
      </c>
      <c r="G339" s="2">
        <v>46165</v>
      </c>
    </row>
    <row r="340" spans="1:7" x14ac:dyDescent="0.25">
      <c r="A340" s="1" t="s">
        <v>311</v>
      </c>
      <c r="B340" s="1" t="s">
        <v>1489</v>
      </c>
      <c r="C340" s="2">
        <v>46164</v>
      </c>
      <c r="D340">
        <v>76</v>
      </c>
      <c r="E340">
        <v>124.33</v>
      </c>
      <c r="F340" s="1" t="s">
        <v>1476</v>
      </c>
      <c r="G340" s="2">
        <v>46171</v>
      </c>
    </row>
    <row r="341" spans="1:7" x14ac:dyDescent="0.25">
      <c r="A341" s="1" t="s">
        <v>312</v>
      </c>
      <c r="B341" s="1" t="s">
        <v>1512</v>
      </c>
      <c r="C341" s="2">
        <v>46124</v>
      </c>
      <c r="D341">
        <v>377</v>
      </c>
      <c r="E341">
        <v>145.18</v>
      </c>
      <c r="F341" s="1" t="s">
        <v>1504</v>
      </c>
      <c r="G341" s="2">
        <v>46142</v>
      </c>
    </row>
    <row r="342" spans="1:7" x14ac:dyDescent="0.25">
      <c r="A342" s="1" t="s">
        <v>313</v>
      </c>
      <c r="B342" s="1" t="s">
        <v>1495</v>
      </c>
      <c r="C342" s="2">
        <v>46170</v>
      </c>
      <c r="D342">
        <v>47</v>
      </c>
      <c r="E342">
        <v>29.44</v>
      </c>
      <c r="F342" s="1" t="s">
        <v>1472</v>
      </c>
      <c r="G342" s="2">
        <v>46177</v>
      </c>
    </row>
    <row r="343" spans="1:7" x14ac:dyDescent="0.25">
      <c r="A343" s="1" t="s">
        <v>314</v>
      </c>
      <c r="B343" s="1" t="s">
        <v>1478</v>
      </c>
      <c r="C343" s="2">
        <v>46142</v>
      </c>
      <c r="D343">
        <v>358</v>
      </c>
      <c r="E343">
        <v>105.89</v>
      </c>
      <c r="F343" s="1" t="s">
        <v>1485</v>
      </c>
      <c r="G343" s="2">
        <v>46152</v>
      </c>
    </row>
    <row r="344" spans="1:7" x14ac:dyDescent="0.25">
      <c r="A344" s="1" t="s">
        <v>315</v>
      </c>
      <c r="B344" s="1" t="s">
        <v>1441</v>
      </c>
      <c r="C344" s="2">
        <v>46133</v>
      </c>
      <c r="D344">
        <v>267</v>
      </c>
      <c r="E344">
        <v>182.59</v>
      </c>
      <c r="F344" s="1" t="s">
        <v>1462</v>
      </c>
      <c r="G344" s="2">
        <v>46141</v>
      </c>
    </row>
    <row r="345" spans="1:7" x14ac:dyDescent="0.25">
      <c r="A345" s="1" t="s">
        <v>316</v>
      </c>
      <c r="B345" s="1" t="s">
        <v>1491</v>
      </c>
      <c r="C345" s="2">
        <v>46062</v>
      </c>
      <c r="D345">
        <v>165</v>
      </c>
      <c r="E345">
        <v>37.11</v>
      </c>
      <c r="F345" s="1" t="s">
        <v>1472</v>
      </c>
      <c r="G345" s="2">
        <v>46074</v>
      </c>
    </row>
    <row r="346" spans="1:7" x14ac:dyDescent="0.25">
      <c r="A346" s="1" t="s">
        <v>317</v>
      </c>
      <c r="B346" s="1" t="s">
        <v>1503</v>
      </c>
      <c r="C346" s="2">
        <v>46155</v>
      </c>
      <c r="D346">
        <v>468</v>
      </c>
      <c r="E346">
        <v>60.39</v>
      </c>
      <c r="F346" s="1" t="s">
        <v>1476</v>
      </c>
      <c r="G346" s="2">
        <v>46168</v>
      </c>
    </row>
    <row r="347" spans="1:7" x14ac:dyDescent="0.25">
      <c r="A347" s="1" t="s">
        <v>318</v>
      </c>
      <c r="B347" s="1" t="s">
        <v>1505</v>
      </c>
      <c r="C347" s="2">
        <v>46164</v>
      </c>
      <c r="D347">
        <v>150</v>
      </c>
      <c r="E347">
        <v>29.41</v>
      </c>
      <c r="F347" s="1" t="s">
        <v>1474</v>
      </c>
      <c r="G347" s="2">
        <v>46171</v>
      </c>
    </row>
    <row r="348" spans="1:7" x14ac:dyDescent="0.25">
      <c r="A348" s="1" t="s">
        <v>319</v>
      </c>
      <c r="B348" s="1" t="s">
        <v>1445</v>
      </c>
      <c r="C348" s="2">
        <v>46066</v>
      </c>
      <c r="D348">
        <v>313</v>
      </c>
      <c r="E348">
        <v>188.61</v>
      </c>
      <c r="F348" s="1" t="s">
        <v>1485</v>
      </c>
      <c r="G348" s="2">
        <v>46076</v>
      </c>
    </row>
    <row r="349" spans="1:7" x14ac:dyDescent="0.25">
      <c r="A349" s="1" t="s">
        <v>320</v>
      </c>
      <c r="B349" s="1" t="s">
        <v>1484</v>
      </c>
      <c r="C349" s="2">
        <v>46109</v>
      </c>
      <c r="D349">
        <v>441</v>
      </c>
      <c r="E349">
        <v>185.17</v>
      </c>
      <c r="F349" s="1" t="s">
        <v>1462</v>
      </c>
      <c r="G349" s="2">
        <v>46114</v>
      </c>
    </row>
    <row r="350" spans="1:7" x14ac:dyDescent="0.25">
      <c r="A350" s="1" t="s">
        <v>321</v>
      </c>
      <c r="B350" s="1" t="s">
        <v>1457</v>
      </c>
      <c r="C350" s="2">
        <v>46034</v>
      </c>
      <c r="D350">
        <v>495</v>
      </c>
      <c r="E350">
        <v>130.08000000000001</v>
      </c>
      <c r="F350" s="1" t="s">
        <v>1480</v>
      </c>
      <c r="G350" s="2">
        <v>46047</v>
      </c>
    </row>
    <row r="351" spans="1:7" x14ac:dyDescent="0.25">
      <c r="A351" s="1" t="s">
        <v>322</v>
      </c>
      <c r="B351" s="1" t="s">
        <v>1508</v>
      </c>
      <c r="C351" s="2">
        <v>46076</v>
      </c>
      <c r="D351">
        <v>402</v>
      </c>
      <c r="E351">
        <v>116.57</v>
      </c>
      <c r="F351" s="1" t="s">
        <v>1494</v>
      </c>
      <c r="G351" s="2">
        <v>46081</v>
      </c>
    </row>
    <row r="352" spans="1:7" x14ac:dyDescent="0.25">
      <c r="A352" s="1" t="s">
        <v>323</v>
      </c>
      <c r="B352" s="1" t="s">
        <v>1498</v>
      </c>
      <c r="C352" s="2">
        <v>46162</v>
      </c>
      <c r="D352">
        <v>158</v>
      </c>
      <c r="E352">
        <v>130.16999999999999</v>
      </c>
      <c r="F352" s="1" t="s">
        <v>1474</v>
      </c>
      <c r="G352" s="2">
        <v>46182</v>
      </c>
    </row>
    <row r="353" spans="1:7" x14ac:dyDescent="0.25">
      <c r="A353" s="1" t="s">
        <v>324</v>
      </c>
      <c r="B353" s="1" t="s">
        <v>1482</v>
      </c>
      <c r="C353" s="2">
        <v>46126</v>
      </c>
      <c r="D353">
        <v>162</v>
      </c>
      <c r="E353">
        <v>93.44</v>
      </c>
      <c r="F353" s="1" t="s">
        <v>1499</v>
      </c>
      <c r="G353" s="2">
        <v>46132</v>
      </c>
    </row>
    <row r="354" spans="1:7" x14ac:dyDescent="0.25">
      <c r="A354" s="1" t="s">
        <v>325</v>
      </c>
      <c r="B354" s="1" t="s">
        <v>1460</v>
      </c>
      <c r="C354" s="2">
        <v>46135</v>
      </c>
      <c r="D354">
        <v>222</v>
      </c>
      <c r="E354">
        <v>99.43</v>
      </c>
      <c r="F354" s="1" t="s">
        <v>1444</v>
      </c>
      <c r="G354" s="2">
        <v>46150</v>
      </c>
    </row>
    <row r="355" spans="1:7" x14ac:dyDescent="0.25">
      <c r="A355" s="1" t="s">
        <v>326</v>
      </c>
      <c r="B355" s="1" t="s">
        <v>1468</v>
      </c>
      <c r="C355" s="2">
        <v>46059</v>
      </c>
      <c r="D355">
        <v>170</v>
      </c>
      <c r="E355">
        <v>172.99</v>
      </c>
      <c r="F355" s="1" t="s">
        <v>1472</v>
      </c>
      <c r="G355" s="2">
        <v>46075</v>
      </c>
    </row>
    <row r="356" spans="1:7" x14ac:dyDescent="0.25">
      <c r="A356" s="1" t="s">
        <v>327</v>
      </c>
      <c r="B356" s="1" t="s">
        <v>1488</v>
      </c>
      <c r="C356" s="2">
        <v>46056</v>
      </c>
      <c r="D356">
        <v>399</v>
      </c>
      <c r="E356">
        <v>77.260000000000005</v>
      </c>
      <c r="F356" s="1" t="s">
        <v>1442</v>
      </c>
      <c r="G356" s="2">
        <v>46064</v>
      </c>
    </row>
    <row r="357" spans="1:7" x14ac:dyDescent="0.25">
      <c r="A357" s="1" t="s">
        <v>328</v>
      </c>
      <c r="B357" s="1" t="s">
        <v>1509</v>
      </c>
      <c r="C357" s="2">
        <v>46084</v>
      </c>
      <c r="D357">
        <v>248</v>
      </c>
      <c r="E357">
        <v>28.89</v>
      </c>
      <c r="F357" s="1" t="s">
        <v>1469</v>
      </c>
      <c r="G357" s="2">
        <v>46096</v>
      </c>
    </row>
    <row r="358" spans="1:7" x14ac:dyDescent="0.25">
      <c r="A358" s="1" t="s">
        <v>329</v>
      </c>
      <c r="B358" s="1" t="s">
        <v>1464</v>
      </c>
      <c r="C358" s="2">
        <v>46047</v>
      </c>
      <c r="D358">
        <v>35</v>
      </c>
      <c r="E358">
        <v>61.59</v>
      </c>
      <c r="F358" s="1" t="s">
        <v>1453</v>
      </c>
      <c r="G358" s="2">
        <v>46065</v>
      </c>
    </row>
    <row r="359" spans="1:7" x14ac:dyDescent="0.25">
      <c r="A359" s="1" t="s">
        <v>330</v>
      </c>
      <c r="B359" s="1" t="s">
        <v>1482</v>
      </c>
      <c r="C359" s="2">
        <v>46063</v>
      </c>
      <c r="D359">
        <v>426</v>
      </c>
      <c r="E359">
        <v>68.849999999999994</v>
      </c>
      <c r="F359" s="1" t="s">
        <v>1480</v>
      </c>
      <c r="G359" s="2">
        <v>46078</v>
      </c>
    </row>
    <row r="360" spans="1:7" x14ac:dyDescent="0.25">
      <c r="A360" s="1" t="s">
        <v>331</v>
      </c>
      <c r="B360" s="1" t="s">
        <v>1505</v>
      </c>
      <c r="C360" s="2">
        <v>46063</v>
      </c>
      <c r="D360">
        <v>265</v>
      </c>
      <c r="E360">
        <v>199.21</v>
      </c>
      <c r="F360" s="1" t="s">
        <v>1469</v>
      </c>
      <c r="G360" s="2">
        <v>46083</v>
      </c>
    </row>
    <row r="361" spans="1:7" x14ac:dyDescent="0.25">
      <c r="A361" s="1" t="s">
        <v>332</v>
      </c>
      <c r="B361" s="1" t="s">
        <v>1512</v>
      </c>
      <c r="C361" s="2">
        <v>46150</v>
      </c>
      <c r="D361">
        <v>21</v>
      </c>
      <c r="E361">
        <v>22.56</v>
      </c>
      <c r="F361" s="1" t="s">
        <v>1453</v>
      </c>
      <c r="G361" s="2">
        <v>46171</v>
      </c>
    </row>
    <row r="362" spans="1:7" x14ac:dyDescent="0.25">
      <c r="A362" s="1" t="s">
        <v>333</v>
      </c>
      <c r="B362" s="1" t="s">
        <v>1489</v>
      </c>
      <c r="C362" s="2">
        <v>46084</v>
      </c>
      <c r="D362">
        <v>120</v>
      </c>
      <c r="E362">
        <v>118.75</v>
      </c>
      <c r="F362" s="1" t="s">
        <v>1462</v>
      </c>
      <c r="G362" s="2">
        <v>46090</v>
      </c>
    </row>
    <row r="363" spans="1:7" x14ac:dyDescent="0.25">
      <c r="A363" s="1" t="s">
        <v>334</v>
      </c>
      <c r="B363" s="1" t="s">
        <v>1506</v>
      </c>
      <c r="C363" s="2">
        <v>46149</v>
      </c>
      <c r="D363">
        <v>315</v>
      </c>
      <c r="E363">
        <v>177.06</v>
      </c>
      <c r="F363" s="1" t="s">
        <v>1446</v>
      </c>
      <c r="G363" s="2">
        <v>46169</v>
      </c>
    </row>
    <row r="364" spans="1:7" x14ac:dyDescent="0.25">
      <c r="A364" s="1" t="s">
        <v>335</v>
      </c>
      <c r="B364" s="1" t="s">
        <v>1506</v>
      </c>
      <c r="C364" s="2">
        <v>46160</v>
      </c>
      <c r="D364">
        <v>14</v>
      </c>
      <c r="E364">
        <v>170.2</v>
      </c>
      <c r="F364" s="1" t="s">
        <v>1507</v>
      </c>
      <c r="G364" s="2">
        <v>46169</v>
      </c>
    </row>
    <row r="365" spans="1:7" x14ac:dyDescent="0.25">
      <c r="A365" s="1" t="s">
        <v>336</v>
      </c>
      <c r="B365" s="1" t="s">
        <v>1470</v>
      </c>
      <c r="C365" s="2">
        <v>46116</v>
      </c>
      <c r="D365">
        <v>401</v>
      </c>
      <c r="E365">
        <v>83.63</v>
      </c>
      <c r="F365" s="1" t="s">
        <v>1462</v>
      </c>
      <c r="G365" s="2">
        <v>46133</v>
      </c>
    </row>
    <row r="366" spans="1:7" x14ac:dyDescent="0.25">
      <c r="A366" s="1" t="s">
        <v>337</v>
      </c>
      <c r="B366" s="1" t="s">
        <v>1475</v>
      </c>
      <c r="C366" s="2">
        <v>46168</v>
      </c>
      <c r="D366">
        <v>297</v>
      </c>
      <c r="E366">
        <v>42.96</v>
      </c>
      <c r="F366" s="1" t="s">
        <v>1442</v>
      </c>
      <c r="G366" s="2">
        <v>46182</v>
      </c>
    </row>
    <row r="367" spans="1:7" x14ac:dyDescent="0.25">
      <c r="A367" s="1" t="s">
        <v>338</v>
      </c>
      <c r="B367" s="1" t="s">
        <v>1492</v>
      </c>
      <c r="C367" s="2">
        <v>46121</v>
      </c>
      <c r="D367">
        <v>268</v>
      </c>
      <c r="E367">
        <v>92.82</v>
      </c>
      <c r="F367" s="1" t="s">
        <v>1442</v>
      </c>
      <c r="G367" s="2">
        <v>46134</v>
      </c>
    </row>
    <row r="368" spans="1:7" x14ac:dyDescent="0.25">
      <c r="A368" s="1" t="s">
        <v>339</v>
      </c>
      <c r="B368" s="1" t="s">
        <v>1497</v>
      </c>
      <c r="C368" s="2">
        <v>46053</v>
      </c>
      <c r="D368">
        <v>75</v>
      </c>
      <c r="E368">
        <v>195.14</v>
      </c>
      <c r="F368" s="1" t="s">
        <v>1453</v>
      </c>
      <c r="G368" s="2">
        <v>46069</v>
      </c>
    </row>
    <row r="369" spans="1:7" x14ac:dyDescent="0.25">
      <c r="A369" s="1" t="s">
        <v>340</v>
      </c>
      <c r="B369" s="1" t="s">
        <v>1479</v>
      </c>
      <c r="C369" s="2">
        <v>46165</v>
      </c>
      <c r="D369">
        <v>490</v>
      </c>
      <c r="E369">
        <v>76.290000000000006</v>
      </c>
      <c r="F369" s="1" t="s">
        <v>1485</v>
      </c>
      <c r="G369" s="2">
        <v>46176</v>
      </c>
    </row>
    <row r="370" spans="1:7" x14ac:dyDescent="0.25">
      <c r="A370" s="1" t="s">
        <v>341</v>
      </c>
      <c r="B370" s="1" t="s">
        <v>1468</v>
      </c>
      <c r="C370" s="2">
        <v>46153</v>
      </c>
      <c r="D370">
        <v>215</v>
      </c>
      <c r="E370">
        <v>102.52</v>
      </c>
      <c r="F370" s="1" t="s">
        <v>1462</v>
      </c>
      <c r="G370" s="2">
        <v>46159</v>
      </c>
    </row>
    <row r="371" spans="1:7" x14ac:dyDescent="0.25">
      <c r="A371" s="1" t="s">
        <v>1064</v>
      </c>
      <c r="B371" s="1" t="s">
        <v>1441</v>
      </c>
      <c r="C371" s="2">
        <v>46108</v>
      </c>
      <c r="D371">
        <v>421</v>
      </c>
      <c r="E371">
        <v>97.38</v>
      </c>
      <c r="F371" s="1" t="s">
        <v>1469</v>
      </c>
      <c r="G371" s="2">
        <v>46117</v>
      </c>
    </row>
    <row r="372" spans="1:7" x14ac:dyDescent="0.25">
      <c r="A372" s="1" t="s">
        <v>342</v>
      </c>
      <c r="B372" s="1" t="s">
        <v>1468</v>
      </c>
      <c r="C372" s="2">
        <v>46154</v>
      </c>
      <c r="D372">
        <v>81</v>
      </c>
      <c r="E372">
        <v>68.95</v>
      </c>
      <c r="F372" s="1" t="s">
        <v>1494</v>
      </c>
      <c r="G372" s="2">
        <v>46169</v>
      </c>
    </row>
    <row r="373" spans="1:7" x14ac:dyDescent="0.25">
      <c r="A373" s="1" t="s">
        <v>343</v>
      </c>
      <c r="B373" s="1" t="s">
        <v>1460</v>
      </c>
      <c r="C373" s="2">
        <v>46123</v>
      </c>
      <c r="D373">
        <v>325</v>
      </c>
      <c r="E373">
        <v>149.16999999999999</v>
      </c>
      <c r="F373" s="1" t="s">
        <v>1474</v>
      </c>
      <c r="G373" s="2">
        <v>46138</v>
      </c>
    </row>
    <row r="374" spans="1:7" x14ac:dyDescent="0.25">
      <c r="A374" s="1" t="s">
        <v>344</v>
      </c>
      <c r="B374" s="1" t="s">
        <v>1445</v>
      </c>
      <c r="C374" s="2">
        <v>46153</v>
      </c>
      <c r="D374">
        <v>282</v>
      </c>
      <c r="E374">
        <v>100.52</v>
      </c>
      <c r="F374" s="1" t="s">
        <v>1480</v>
      </c>
      <c r="G374" s="2">
        <v>46167</v>
      </c>
    </row>
    <row r="375" spans="1:7" x14ac:dyDescent="0.25">
      <c r="A375" s="1" t="s">
        <v>345</v>
      </c>
      <c r="B375" s="1" t="s">
        <v>1510</v>
      </c>
      <c r="C375" s="2">
        <v>46027</v>
      </c>
      <c r="D375">
        <v>198</v>
      </c>
      <c r="E375">
        <v>69.59</v>
      </c>
      <c r="F375" s="1" t="s">
        <v>1483</v>
      </c>
      <c r="G375" s="2">
        <v>46045</v>
      </c>
    </row>
    <row r="376" spans="1:7" x14ac:dyDescent="0.25">
      <c r="A376" s="1" t="s">
        <v>346</v>
      </c>
      <c r="B376" s="1" t="s">
        <v>1443</v>
      </c>
      <c r="C376" s="2">
        <v>46101</v>
      </c>
      <c r="D376">
        <v>417</v>
      </c>
      <c r="E376">
        <v>180.26</v>
      </c>
      <c r="F376" s="1" t="s">
        <v>1499</v>
      </c>
      <c r="G376" s="2">
        <v>46106</v>
      </c>
    </row>
    <row r="377" spans="1:7" x14ac:dyDescent="0.25">
      <c r="A377" s="1" t="s">
        <v>347</v>
      </c>
      <c r="B377" s="1" t="s">
        <v>1468</v>
      </c>
      <c r="C377" s="2">
        <v>46144</v>
      </c>
      <c r="D377">
        <v>145</v>
      </c>
      <c r="E377">
        <v>193.58</v>
      </c>
      <c r="F377" s="1" t="s">
        <v>1456</v>
      </c>
      <c r="G377" s="2">
        <v>46156</v>
      </c>
    </row>
    <row r="378" spans="1:7" x14ac:dyDescent="0.25">
      <c r="A378" s="1" t="s">
        <v>348</v>
      </c>
      <c r="B378" s="1" t="s">
        <v>1477</v>
      </c>
      <c r="C378" s="2">
        <v>46036</v>
      </c>
      <c r="D378">
        <v>308</v>
      </c>
      <c r="E378">
        <v>98.69</v>
      </c>
      <c r="F378" s="1" t="s">
        <v>1504</v>
      </c>
      <c r="G378" s="2">
        <v>46053</v>
      </c>
    </row>
    <row r="379" spans="1:7" x14ac:dyDescent="0.25">
      <c r="A379" s="1" t="s">
        <v>349</v>
      </c>
      <c r="B379" s="1" t="s">
        <v>1464</v>
      </c>
      <c r="C379" s="2">
        <v>46085</v>
      </c>
      <c r="D379">
        <v>26</v>
      </c>
      <c r="E379">
        <v>116.65</v>
      </c>
      <c r="F379" s="1" t="s">
        <v>1499</v>
      </c>
      <c r="G379" s="2">
        <v>46093</v>
      </c>
    </row>
    <row r="380" spans="1:7" x14ac:dyDescent="0.25">
      <c r="A380" s="1" t="s">
        <v>350</v>
      </c>
      <c r="B380" s="1" t="s">
        <v>1505</v>
      </c>
      <c r="C380" s="2">
        <v>46027</v>
      </c>
      <c r="D380">
        <v>235</v>
      </c>
      <c r="E380">
        <v>66.17</v>
      </c>
      <c r="F380" s="1" t="s">
        <v>1485</v>
      </c>
      <c r="G380" s="2">
        <v>46045</v>
      </c>
    </row>
    <row r="381" spans="1:7" x14ac:dyDescent="0.25">
      <c r="A381" s="1" t="s">
        <v>351</v>
      </c>
      <c r="B381" s="1" t="s">
        <v>1449</v>
      </c>
      <c r="C381" s="2">
        <v>46075</v>
      </c>
      <c r="D381">
        <v>220</v>
      </c>
      <c r="E381">
        <v>102.85</v>
      </c>
      <c r="F381" s="1" t="s">
        <v>1494</v>
      </c>
      <c r="G381" s="2">
        <v>46095</v>
      </c>
    </row>
    <row r="382" spans="1:7" x14ac:dyDescent="0.25">
      <c r="A382" s="1" t="s">
        <v>352</v>
      </c>
      <c r="B382" s="1" t="s">
        <v>1465</v>
      </c>
      <c r="C382" s="2">
        <v>46038</v>
      </c>
      <c r="D382">
        <v>371</v>
      </c>
      <c r="E382">
        <v>31.93</v>
      </c>
      <c r="F382" s="1" t="s">
        <v>1444</v>
      </c>
      <c r="G382" s="2">
        <v>46053</v>
      </c>
    </row>
    <row r="383" spans="1:7" x14ac:dyDescent="0.25">
      <c r="A383" s="1" t="s">
        <v>353</v>
      </c>
      <c r="B383" s="1" t="s">
        <v>1484</v>
      </c>
      <c r="C383" s="2">
        <v>46145</v>
      </c>
      <c r="D383">
        <v>279</v>
      </c>
      <c r="E383">
        <v>78.48</v>
      </c>
      <c r="F383" s="1" t="s">
        <v>1501</v>
      </c>
      <c r="G383" s="2">
        <v>46164</v>
      </c>
    </row>
    <row r="384" spans="1:7" x14ac:dyDescent="0.25">
      <c r="A384" s="1" t="s">
        <v>354</v>
      </c>
      <c r="B384" s="1" t="s">
        <v>1471</v>
      </c>
      <c r="C384" s="2">
        <v>46110</v>
      </c>
      <c r="D384">
        <v>289</v>
      </c>
      <c r="E384">
        <v>74.09</v>
      </c>
      <c r="F384" s="1" t="s">
        <v>1456</v>
      </c>
      <c r="G384" s="2">
        <v>46123</v>
      </c>
    </row>
    <row r="385" spans="1:7" x14ac:dyDescent="0.25">
      <c r="A385" s="1" t="s">
        <v>355</v>
      </c>
      <c r="B385" s="1" t="s">
        <v>1497</v>
      </c>
      <c r="C385" s="2">
        <v>46146</v>
      </c>
      <c r="D385">
        <v>108</v>
      </c>
      <c r="E385">
        <v>191.68</v>
      </c>
      <c r="F385" s="1" t="s">
        <v>1458</v>
      </c>
      <c r="G385" s="2">
        <v>46160</v>
      </c>
    </row>
    <row r="386" spans="1:7" x14ac:dyDescent="0.25">
      <c r="A386" s="1" t="s">
        <v>1080</v>
      </c>
      <c r="B386" s="1" t="s">
        <v>1447</v>
      </c>
      <c r="C386" s="2">
        <v>46099</v>
      </c>
      <c r="D386">
        <v>404</v>
      </c>
      <c r="E386">
        <v>61.36</v>
      </c>
      <c r="F386" s="1" t="s">
        <v>1459</v>
      </c>
      <c r="G386" s="2">
        <v>46119</v>
      </c>
    </row>
    <row r="387" spans="1:7" x14ac:dyDescent="0.25">
      <c r="A387" s="1" t="s">
        <v>356</v>
      </c>
      <c r="B387" s="1" t="s">
        <v>1509</v>
      </c>
      <c r="C387" s="2">
        <v>46145</v>
      </c>
      <c r="D387">
        <v>188</v>
      </c>
      <c r="E387">
        <v>114.3</v>
      </c>
      <c r="F387" s="1" t="s">
        <v>1490</v>
      </c>
      <c r="G387" s="2">
        <v>46158</v>
      </c>
    </row>
    <row r="388" spans="1:7" x14ac:dyDescent="0.25">
      <c r="A388" s="1" t="s">
        <v>357</v>
      </c>
      <c r="B388" s="1" t="s">
        <v>1506</v>
      </c>
      <c r="C388" s="2">
        <v>46054</v>
      </c>
      <c r="D388">
        <v>303</v>
      </c>
      <c r="E388">
        <v>136.94</v>
      </c>
      <c r="F388" s="1" t="s">
        <v>1453</v>
      </c>
      <c r="G388" s="2">
        <v>46071</v>
      </c>
    </row>
    <row r="389" spans="1:7" x14ac:dyDescent="0.25">
      <c r="A389" s="1" t="s">
        <v>358</v>
      </c>
      <c r="B389" s="1" t="s">
        <v>1503</v>
      </c>
      <c r="C389" s="2">
        <v>46060</v>
      </c>
      <c r="D389">
        <v>158</v>
      </c>
      <c r="E389">
        <v>13.2</v>
      </c>
      <c r="F389" s="1" t="s">
        <v>1499</v>
      </c>
      <c r="G389" s="2">
        <v>46067</v>
      </c>
    </row>
    <row r="390" spans="1:7" x14ac:dyDescent="0.25">
      <c r="A390" s="1" t="s">
        <v>359</v>
      </c>
      <c r="B390" s="1" t="s">
        <v>1503</v>
      </c>
      <c r="C390" s="2">
        <v>46136</v>
      </c>
      <c r="D390">
        <v>345</v>
      </c>
      <c r="E390">
        <v>55.01</v>
      </c>
      <c r="F390" s="1" t="s">
        <v>1487</v>
      </c>
      <c r="G390" s="2">
        <v>46147</v>
      </c>
    </row>
    <row r="391" spans="1:7" x14ac:dyDescent="0.25">
      <c r="A391" s="1" t="s">
        <v>360</v>
      </c>
      <c r="B391" s="1" t="s">
        <v>1505</v>
      </c>
      <c r="C391" s="2">
        <v>46160</v>
      </c>
      <c r="D391">
        <v>148</v>
      </c>
      <c r="E391">
        <v>186.94</v>
      </c>
      <c r="F391" s="1" t="s">
        <v>1499</v>
      </c>
      <c r="G391" s="2">
        <v>46173</v>
      </c>
    </row>
    <row r="392" spans="1:7" x14ac:dyDescent="0.25">
      <c r="A392" s="1" t="s">
        <v>361</v>
      </c>
      <c r="B392" s="1" t="s">
        <v>1441</v>
      </c>
      <c r="C392" s="2">
        <v>46050</v>
      </c>
      <c r="D392">
        <v>325</v>
      </c>
      <c r="E392">
        <v>149.47</v>
      </c>
      <c r="F392" s="1" t="s">
        <v>1440</v>
      </c>
      <c r="G392" s="2">
        <v>46062</v>
      </c>
    </row>
    <row r="393" spans="1:7" x14ac:dyDescent="0.25">
      <c r="A393" s="1" t="s">
        <v>1088</v>
      </c>
      <c r="B393" s="1" t="s">
        <v>1475</v>
      </c>
      <c r="C393" s="2">
        <v>46158</v>
      </c>
      <c r="D393">
        <v>125</v>
      </c>
      <c r="E393">
        <v>129.4</v>
      </c>
      <c r="F393" s="1" t="s">
        <v>1462</v>
      </c>
      <c r="G393" s="2">
        <v>46166</v>
      </c>
    </row>
    <row r="394" spans="1:7" x14ac:dyDescent="0.25">
      <c r="A394" s="1" t="s">
        <v>1090</v>
      </c>
      <c r="B394" s="1" t="s">
        <v>1495</v>
      </c>
      <c r="C394" s="2">
        <v>46107</v>
      </c>
      <c r="D394">
        <v>377</v>
      </c>
      <c r="E394">
        <v>97.12</v>
      </c>
      <c r="F394" s="1" t="s">
        <v>1467</v>
      </c>
      <c r="G394" s="2">
        <v>46116</v>
      </c>
    </row>
    <row r="395" spans="1:7" x14ac:dyDescent="0.25">
      <c r="A395" s="1" t="s">
        <v>1092</v>
      </c>
      <c r="B395" s="1" t="s">
        <v>1481</v>
      </c>
      <c r="C395" s="2">
        <v>46163</v>
      </c>
      <c r="D395">
        <v>485</v>
      </c>
      <c r="E395">
        <v>35.799999999999997</v>
      </c>
      <c r="F395" s="1" t="s">
        <v>1446</v>
      </c>
      <c r="G395" s="2">
        <v>46183</v>
      </c>
    </row>
    <row r="396" spans="1:7" x14ac:dyDescent="0.25">
      <c r="A396" s="1" t="s">
        <v>362</v>
      </c>
      <c r="B396" s="1" t="s">
        <v>1510</v>
      </c>
      <c r="C396" s="2">
        <v>46074</v>
      </c>
      <c r="D396">
        <v>397</v>
      </c>
      <c r="E396">
        <v>192.96</v>
      </c>
      <c r="F396" s="1" t="s">
        <v>1472</v>
      </c>
      <c r="G396" s="2">
        <v>46088</v>
      </c>
    </row>
    <row r="397" spans="1:7" x14ac:dyDescent="0.25">
      <c r="A397" s="1" t="s">
        <v>363</v>
      </c>
      <c r="B397" s="1" t="s">
        <v>1508</v>
      </c>
      <c r="C397" s="2">
        <v>46038</v>
      </c>
      <c r="D397">
        <v>474</v>
      </c>
      <c r="E397">
        <v>154.9</v>
      </c>
      <c r="F397" s="1" t="s">
        <v>1446</v>
      </c>
      <c r="G397" s="2">
        <v>46050</v>
      </c>
    </row>
    <row r="398" spans="1:7" x14ac:dyDescent="0.25">
      <c r="A398" s="1" t="s">
        <v>1096</v>
      </c>
      <c r="B398" s="1" t="s">
        <v>1471</v>
      </c>
      <c r="C398" s="2">
        <v>46032</v>
      </c>
      <c r="D398">
        <v>477</v>
      </c>
      <c r="E398">
        <v>184.69</v>
      </c>
      <c r="F398" s="1" t="s">
        <v>1507</v>
      </c>
      <c r="G398" s="2">
        <v>46042</v>
      </c>
    </row>
    <row r="399" spans="1:7" x14ac:dyDescent="0.25">
      <c r="A399" s="1" t="s">
        <v>364</v>
      </c>
      <c r="B399" s="1" t="s">
        <v>1452</v>
      </c>
      <c r="C399" s="2">
        <v>46124</v>
      </c>
      <c r="D399">
        <v>413</v>
      </c>
      <c r="E399">
        <v>101.6</v>
      </c>
      <c r="F399" s="1" t="s">
        <v>1490</v>
      </c>
      <c r="G399" s="2">
        <v>46138</v>
      </c>
    </row>
    <row r="400" spans="1:7" x14ac:dyDescent="0.25">
      <c r="A400" s="1" t="s">
        <v>365</v>
      </c>
      <c r="B400" s="1" t="s">
        <v>1452</v>
      </c>
      <c r="C400" s="2">
        <v>46025</v>
      </c>
      <c r="D400">
        <v>162</v>
      </c>
      <c r="E400">
        <v>115.75</v>
      </c>
      <c r="F400" s="1" t="s">
        <v>1483</v>
      </c>
      <c r="G400" s="2">
        <v>46040</v>
      </c>
    </row>
    <row r="401" spans="1:7" x14ac:dyDescent="0.25">
      <c r="A401" s="1" t="s">
        <v>366</v>
      </c>
      <c r="B401" s="1" t="s">
        <v>1506</v>
      </c>
      <c r="C401" s="2">
        <v>46139</v>
      </c>
      <c r="D401">
        <v>338</v>
      </c>
      <c r="E401">
        <v>110.94</v>
      </c>
      <c r="F401" s="1" t="s">
        <v>1487</v>
      </c>
      <c r="G401" s="2">
        <v>46148</v>
      </c>
    </row>
    <row r="402" spans="1:7" x14ac:dyDescent="0.25">
      <c r="A402" s="1" t="s">
        <v>367</v>
      </c>
      <c r="B402" s="1" t="s">
        <v>1445</v>
      </c>
      <c r="C402" s="2">
        <v>46142</v>
      </c>
      <c r="D402">
        <v>149</v>
      </c>
      <c r="E402">
        <v>42.6</v>
      </c>
      <c r="F402" s="1" t="s">
        <v>1483</v>
      </c>
      <c r="G402" s="2">
        <v>46157</v>
      </c>
    </row>
    <row r="403" spans="1:7" x14ac:dyDescent="0.25">
      <c r="A403" s="1" t="s">
        <v>368</v>
      </c>
      <c r="B403" s="1" t="s">
        <v>1460</v>
      </c>
      <c r="C403" s="2">
        <v>46140</v>
      </c>
      <c r="D403">
        <v>341</v>
      </c>
      <c r="E403">
        <v>55.17</v>
      </c>
      <c r="F403" s="1" t="s">
        <v>1501</v>
      </c>
      <c r="G403" s="2">
        <v>46145</v>
      </c>
    </row>
    <row r="404" spans="1:7" x14ac:dyDescent="0.25">
      <c r="A404" s="1" t="s">
        <v>369</v>
      </c>
      <c r="B404" s="1" t="s">
        <v>1465</v>
      </c>
      <c r="C404" s="2">
        <v>46109</v>
      </c>
      <c r="D404">
        <v>414</v>
      </c>
      <c r="E404">
        <v>62.53</v>
      </c>
      <c r="F404" s="1" t="s">
        <v>1467</v>
      </c>
      <c r="G404" s="2">
        <v>46120</v>
      </c>
    </row>
    <row r="405" spans="1:7" x14ac:dyDescent="0.25">
      <c r="A405" s="1" t="s">
        <v>370</v>
      </c>
      <c r="B405" s="1" t="s">
        <v>1486</v>
      </c>
      <c r="C405" s="2">
        <v>46126</v>
      </c>
      <c r="D405">
        <v>433</v>
      </c>
      <c r="E405">
        <v>88.4</v>
      </c>
      <c r="F405" s="1" t="s">
        <v>1472</v>
      </c>
      <c r="G405" s="2">
        <v>46133</v>
      </c>
    </row>
    <row r="406" spans="1:7" x14ac:dyDescent="0.25">
      <c r="A406" s="1" t="s">
        <v>371</v>
      </c>
      <c r="B406" s="1" t="s">
        <v>1488</v>
      </c>
      <c r="C406" s="2">
        <v>46047</v>
      </c>
      <c r="D406">
        <v>104</v>
      </c>
      <c r="E406">
        <v>196.43</v>
      </c>
      <c r="F406" s="1" t="s">
        <v>1487</v>
      </c>
      <c r="G406" s="2">
        <v>46062</v>
      </c>
    </row>
    <row r="407" spans="1:7" x14ac:dyDescent="0.25">
      <c r="A407" s="1" t="s">
        <v>372</v>
      </c>
      <c r="B407" s="1" t="s">
        <v>1482</v>
      </c>
      <c r="C407" s="2">
        <v>46024</v>
      </c>
      <c r="D407">
        <v>143</v>
      </c>
      <c r="E407">
        <v>79.8</v>
      </c>
      <c r="F407" s="1" t="s">
        <v>1469</v>
      </c>
      <c r="G407" s="2">
        <v>46037</v>
      </c>
    </row>
    <row r="408" spans="1:7" x14ac:dyDescent="0.25">
      <c r="A408" s="1" t="s">
        <v>373</v>
      </c>
      <c r="B408" s="1" t="s">
        <v>1479</v>
      </c>
      <c r="C408" s="2">
        <v>46100</v>
      </c>
      <c r="D408">
        <v>308</v>
      </c>
      <c r="E408">
        <v>145.96</v>
      </c>
      <c r="F408" s="1" t="s">
        <v>1448</v>
      </c>
      <c r="G408" s="2">
        <v>46113</v>
      </c>
    </row>
    <row r="409" spans="1:7" x14ac:dyDescent="0.25">
      <c r="A409" s="1" t="s">
        <v>374</v>
      </c>
      <c r="B409" s="1" t="s">
        <v>1508</v>
      </c>
      <c r="C409" s="2">
        <v>46115</v>
      </c>
      <c r="D409">
        <v>364</v>
      </c>
      <c r="E409">
        <v>51.08</v>
      </c>
      <c r="F409" s="1" t="s">
        <v>1467</v>
      </c>
      <c r="G409" s="2">
        <v>46123</v>
      </c>
    </row>
    <row r="410" spans="1:7" x14ac:dyDescent="0.25">
      <c r="A410" s="1" t="s">
        <v>375</v>
      </c>
      <c r="B410" s="1" t="s">
        <v>1489</v>
      </c>
      <c r="C410" s="2">
        <v>46101</v>
      </c>
      <c r="D410">
        <v>91</v>
      </c>
      <c r="E410">
        <v>84.06</v>
      </c>
      <c r="F410" s="1" t="s">
        <v>1504</v>
      </c>
      <c r="G410" s="2">
        <v>46115</v>
      </c>
    </row>
    <row r="411" spans="1:7" x14ac:dyDescent="0.25">
      <c r="A411" s="1" t="s">
        <v>376</v>
      </c>
      <c r="B411" s="1" t="s">
        <v>1449</v>
      </c>
      <c r="C411" s="2">
        <v>46053</v>
      </c>
      <c r="D411">
        <v>337</v>
      </c>
      <c r="E411">
        <v>183.65</v>
      </c>
      <c r="F411" s="1" t="s">
        <v>1474</v>
      </c>
      <c r="G411" s="2">
        <v>46069</v>
      </c>
    </row>
    <row r="412" spans="1:7" x14ac:dyDescent="0.25">
      <c r="A412" s="1" t="s">
        <v>377</v>
      </c>
      <c r="B412" s="1" t="s">
        <v>1497</v>
      </c>
      <c r="C412" s="2">
        <v>46079</v>
      </c>
      <c r="D412">
        <v>122</v>
      </c>
      <c r="E412">
        <v>191.69</v>
      </c>
      <c r="F412" s="1" t="s">
        <v>1459</v>
      </c>
      <c r="G412" s="2">
        <v>46088</v>
      </c>
    </row>
    <row r="413" spans="1:7" x14ac:dyDescent="0.25">
      <c r="A413" s="1" t="s">
        <v>378</v>
      </c>
      <c r="B413" s="1" t="s">
        <v>1489</v>
      </c>
      <c r="C413" s="2">
        <v>46118</v>
      </c>
      <c r="D413">
        <v>222</v>
      </c>
      <c r="E413">
        <v>141.88</v>
      </c>
      <c r="F413" s="1" t="s">
        <v>1487</v>
      </c>
      <c r="G413" s="2">
        <v>46129</v>
      </c>
    </row>
    <row r="414" spans="1:7" x14ac:dyDescent="0.25">
      <c r="A414" s="1" t="s">
        <v>1113</v>
      </c>
      <c r="B414" s="1" t="s">
        <v>1482</v>
      </c>
      <c r="C414" s="2">
        <v>46043</v>
      </c>
      <c r="D414">
        <v>279</v>
      </c>
      <c r="E414">
        <v>92.12</v>
      </c>
      <c r="F414" s="1" t="s">
        <v>1499</v>
      </c>
      <c r="G414" s="2">
        <v>46059</v>
      </c>
    </row>
    <row r="415" spans="1:7" x14ac:dyDescent="0.25">
      <c r="A415" s="1" t="s">
        <v>379</v>
      </c>
      <c r="B415" s="1" t="s">
        <v>1492</v>
      </c>
      <c r="C415" s="2">
        <v>46167</v>
      </c>
      <c r="D415">
        <v>67</v>
      </c>
      <c r="E415">
        <v>17.04</v>
      </c>
      <c r="F415" s="1" t="s">
        <v>1442</v>
      </c>
      <c r="G415" s="2">
        <v>46188</v>
      </c>
    </row>
    <row r="416" spans="1:7" x14ac:dyDescent="0.25">
      <c r="A416" s="1" t="s">
        <v>380</v>
      </c>
      <c r="B416" s="1" t="s">
        <v>1505</v>
      </c>
      <c r="C416" s="2">
        <v>46169</v>
      </c>
      <c r="D416">
        <v>284</v>
      </c>
      <c r="E416">
        <v>34.22</v>
      </c>
      <c r="F416" s="1" t="s">
        <v>1472</v>
      </c>
      <c r="G416" s="2">
        <v>46190</v>
      </c>
    </row>
    <row r="417" spans="1:7" x14ac:dyDescent="0.25">
      <c r="A417" s="1" t="s">
        <v>381</v>
      </c>
      <c r="B417" s="1" t="s">
        <v>1478</v>
      </c>
      <c r="C417" s="2">
        <v>46052</v>
      </c>
      <c r="D417">
        <v>358</v>
      </c>
      <c r="E417">
        <v>45.05</v>
      </c>
      <c r="F417" s="1" t="s">
        <v>1480</v>
      </c>
      <c r="G417" s="2">
        <v>46072</v>
      </c>
    </row>
    <row r="418" spans="1:7" x14ac:dyDescent="0.25">
      <c r="A418" s="1" t="s">
        <v>382</v>
      </c>
      <c r="B418" s="1" t="s">
        <v>1457</v>
      </c>
      <c r="C418" s="2">
        <v>46153</v>
      </c>
      <c r="D418">
        <v>238</v>
      </c>
      <c r="E418">
        <v>162.69</v>
      </c>
      <c r="F418" s="1" t="s">
        <v>1469</v>
      </c>
      <c r="G418" s="2">
        <v>46162</v>
      </c>
    </row>
    <row r="419" spans="1:7" x14ac:dyDescent="0.25">
      <c r="A419" s="1" t="s">
        <v>383</v>
      </c>
      <c r="B419" s="1" t="s">
        <v>1445</v>
      </c>
      <c r="C419" s="2">
        <v>46129</v>
      </c>
      <c r="D419">
        <v>243</v>
      </c>
      <c r="E419">
        <v>114.96</v>
      </c>
      <c r="F419" s="1" t="s">
        <v>1442</v>
      </c>
      <c r="G419" s="2">
        <v>46148</v>
      </c>
    </row>
    <row r="420" spans="1:7" x14ac:dyDescent="0.25">
      <c r="A420" s="1" t="s">
        <v>384</v>
      </c>
      <c r="B420" s="1" t="s">
        <v>1461</v>
      </c>
      <c r="C420" s="2">
        <v>46101</v>
      </c>
      <c r="D420">
        <v>380</v>
      </c>
      <c r="E420">
        <v>9.25</v>
      </c>
      <c r="F420" s="1" t="s">
        <v>1458</v>
      </c>
      <c r="G420" s="2">
        <v>46106</v>
      </c>
    </row>
    <row r="421" spans="1:7" x14ac:dyDescent="0.25">
      <c r="A421" s="1" t="s">
        <v>385</v>
      </c>
      <c r="B421" s="1" t="s">
        <v>1465</v>
      </c>
      <c r="C421" s="2">
        <v>46078</v>
      </c>
      <c r="D421">
        <v>306</v>
      </c>
      <c r="E421">
        <v>19.239999999999998</v>
      </c>
      <c r="F421" s="1" t="s">
        <v>1507</v>
      </c>
      <c r="G421" s="2">
        <v>46094</v>
      </c>
    </row>
    <row r="422" spans="1:7" x14ac:dyDescent="0.25">
      <c r="A422" s="1" t="s">
        <v>1122</v>
      </c>
      <c r="B422" s="1" t="s">
        <v>1449</v>
      </c>
      <c r="C422" s="2">
        <v>46039</v>
      </c>
      <c r="D422">
        <v>287</v>
      </c>
      <c r="E422">
        <v>198.85</v>
      </c>
      <c r="F422" s="1" t="s">
        <v>1476</v>
      </c>
      <c r="G422" s="2">
        <v>46059</v>
      </c>
    </row>
    <row r="423" spans="1:7" x14ac:dyDescent="0.25">
      <c r="A423" s="1" t="s">
        <v>386</v>
      </c>
      <c r="B423" s="1" t="s">
        <v>1452</v>
      </c>
      <c r="C423" s="2">
        <v>46096</v>
      </c>
      <c r="D423">
        <v>219</v>
      </c>
      <c r="E423">
        <v>40.1</v>
      </c>
      <c r="F423" s="1" t="s">
        <v>1485</v>
      </c>
      <c r="G423" s="2">
        <v>46114</v>
      </c>
    </row>
    <row r="424" spans="1:7" x14ac:dyDescent="0.25">
      <c r="A424" s="1" t="s">
        <v>387</v>
      </c>
      <c r="B424" s="1" t="s">
        <v>1496</v>
      </c>
      <c r="C424" s="2">
        <v>46120</v>
      </c>
      <c r="D424">
        <v>239</v>
      </c>
      <c r="E424">
        <v>174.58</v>
      </c>
      <c r="F424" s="1" t="s">
        <v>1453</v>
      </c>
      <c r="G424" s="2">
        <v>46137</v>
      </c>
    </row>
    <row r="425" spans="1:7" x14ac:dyDescent="0.25">
      <c r="A425" s="1" t="s">
        <v>1126</v>
      </c>
      <c r="B425" s="1" t="s">
        <v>1457</v>
      </c>
      <c r="C425" s="2">
        <v>46161</v>
      </c>
      <c r="D425">
        <v>78</v>
      </c>
      <c r="E425">
        <v>132.44</v>
      </c>
      <c r="F425" s="1" t="s">
        <v>1451</v>
      </c>
      <c r="G425" s="2">
        <v>46169</v>
      </c>
    </row>
    <row r="426" spans="1:7" x14ac:dyDescent="0.25">
      <c r="A426" s="1" t="s">
        <v>388</v>
      </c>
      <c r="B426" s="1" t="s">
        <v>1486</v>
      </c>
      <c r="C426" s="2">
        <v>46160</v>
      </c>
      <c r="D426">
        <v>211</v>
      </c>
      <c r="E426">
        <v>108.12</v>
      </c>
      <c r="F426" s="1" t="s">
        <v>1490</v>
      </c>
      <c r="G426" s="2">
        <v>46172</v>
      </c>
    </row>
    <row r="427" spans="1:7" x14ac:dyDescent="0.25">
      <c r="A427" s="1" t="s">
        <v>389</v>
      </c>
      <c r="B427" s="1" t="s">
        <v>1481</v>
      </c>
      <c r="C427" s="2">
        <v>46028</v>
      </c>
      <c r="D427">
        <v>162</v>
      </c>
      <c r="E427">
        <v>95.29</v>
      </c>
      <c r="F427" s="1" t="s">
        <v>1490</v>
      </c>
      <c r="G427" s="2">
        <v>46046</v>
      </c>
    </row>
    <row r="428" spans="1:7" x14ac:dyDescent="0.25">
      <c r="A428" s="1" t="s">
        <v>390</v>
      </c>
      <c r="B428" s="1" t="s">
        <v>1471</v>
      </c>
      <c r="C428" s="2">
        <v>46120</v>
      </c>
      <c r="D428">
        <v>431</v>
      </c>
      <c r="E428">
        <v>49.78</v>
      </c>
      <c r="F428" s="1" t="s">
        <v>1469</v>
      </c>
      <c r="G428" s="2">
        <v>46136</v>
      </c>
    </row>
    <row r="429" spans="1:7" x14ac:dyDescent="0.25">
      <c r="A429" s="1" t="s">
        <v>391</v>
      </c>
      <c r="B429" s="1" t="s">
        <v>1464</v>
      </c>
      <c r="C429" s="2">
        <v>46093</v>
      </c>
      <c r="D429">
        <v>106</v>
      </c>
      <c r="E429">
        <v>187.8</v>
      </c>
      <c r="F429" s="1" t="s">
        <v>1490</v>
      </c>
      <c r="G429" s="2">
        <v>46101</v>
      </c>
    </row>
    <row r="430" spans="1:7" x14ac:dyDescent="0.25">
      <c r="A430" s="1" t="s">
        <v>392</v>
      </c>
      <c r="B430" s="1" t="s">
        <v>1452</v>
      </c>
      <c r="C430" s="2">
        <v>46130</v>
      </c>
      <c r="D430">
        <v>324</v>
      </c>
      <c r="E430">
        <v>154.38</v>
      </c>
      <c r="F430" s="1" t="s">
        <v>1448</v>
      </c>
      <c r="G430" s="2">
        <v>46142</v>
      </c>
    </row>
    <row r="431" spans="1:7" x14ac:dyDescent="0.25">
      <c r="A431" s="1" t="s">
        <v>393</v>
      </c>
      <c r="B431" s="1" t="s">
        <v>1463</v>
      </c>
      <c r="C431" s="2">
        <v>46040</v>
      </c>
      <c r="D431">
        <v>61</v>
      </c>
      <c r="E431">
        <v>120.82</v>
      </c>
      <c r="F431" s="1" t="s">
        <v>1469</v>
      </c>
      <c r="G431" s="2">
        <v>46046</v>
      </c>
    </row>
    <row r="432" spans="1:7" x14ac:dyDescent="0.25">
      <c r="A432" s="1" t="s">
        <v>394</v>
      </c>
      <c r="B432" s="1" t="s">
        <v>1482</v>
      </c>
      <c r="C432" s="2">
        <v>46034</v>
      </c>
      <c r="D432">
        <v>215</v>
      </c>
      <c r="E432">
        <v>90.6</v>
      </c>
      <c r="F432" s="1" t="s">
        <v>1442</v>
      </c>
      <c r="G432" s="2">
        <v>46045</v>
      </c>
    </row>
    <row r="433" spans="1:7" x14ac:dyDescent="0.25">
      <c r="A433" s="1" t="s">
        <v>1135</v>
      </c>
      <c r="B433" s="1" t="s">
        <v>1475</v>
      </c>
      <c r="C433" s="2">
        <v>46058</v>
      </c>
      <c r="D433">
        <v>267</v>
      </c>
      <c r="E433">
        <v>198.73</v>
      </c>
      <c r="F433" s="1" t="s">
        <v>1440</v>
      </c>
      <c r="G433" s="2">
        <v>46073</v>
      </c>
    </row>
    <row r="434" spans="1:7" x14ac:dyDescent="0.25">
      <c r="A434" s="1" t="s">
        <v>395</v>
      </c>
      <c r="B434" s="1" t="s">
        <v>1493</v>
      </c>
      <c r="C434" s="2">
        <v>46105</v>
      </c>
      <c r="D434">
        <v>131</v>
      </c>
      <c r="E434">
        <v>63.84</v>
      </c>
      <c r="F434" s="1" t="s">
        <v>1485</v>
      </c>
      <c r="G434" s="2">
        <v>46126</v>
      </c>
    </row>
    <row r="435" spans="1:7" x14ac:dyDescent="0.25">
      <c r="A435" s="1" t="s">
        <v>396</v>
      </c>
      <c r="B435" s="1" t="s">
        <v>1447</v>
      </c>
      <c r="C435" s="2">
        <v>46128</v>
      </c>
      <c r="D435">
        <v>163</v>
      </c>
      <c r="E435">
        <v>58.66</v>
      </c>
      <c r="F435" s="1" t="s">
        <v>1442</v>
      </c>
      <c r="G435" s="2">
        <v>46138</v>
      </c>
    </row>
    <row r="436" spans="1:7" x14ac:dyDescent="0.25">
      <c r="A436" s="1" t="s">
        <v>397</v>
      </c>
      <c r="B436" s="1" t="s">
        <v>1439</v>
      </c>
      <c r="C436" s="2">
        <v>46132</v>
      </c>
      <c r="D436">
        <v>294</v>
      </c>
      <c r="E436">
        <v>101.65</v>
      </c>
      <c r="F436" s="1" t="s">
        <v>1451</v>
      </c>
      <c r="G436" s="2">
        <v>46149</v>
      </c>
    </row>
    <row r="437" spans="1:7" x14ac:dyDescent="0.25">
      <c r="A437" s="1" t="s">
        <v>398</v>
      </c>
      <c r="B437" s="1" t="s">
        <v>1491</v>
      </c>
      <c r="C437" s="2">
        <v>46104</v>
      </c>
      <c r="D437">
        <v>366</v>
      </c>
      <c r="E437">
        <v>86.18</v>
      </c>
      <c r="F437" s="1" t="s">
        <v>1485</v>
      </c>
      <c r="G437" s="2">
        <v>46118</v>
      </c>
    </row>
    <row r="438" spans="1:7" x14ac:dyDescent="0.25">
      <c r="A438" s="1" t="s">
        <v>399</v>
      </c>
      <c r="B438" s="1" t="s">
        <v>1502</v>
      </c>
      <c r="C438" s="2">
        <v>46070</v>
      </c>
      <c r="D438">
        <v>396</v>
      </c>
      <c r="E438">
        <v>109.9</v>
      </c>
      <c r="F438" s="1" t="s">
        <v>1440</v>
      </c>
      <c r="G438" s="2">
        <v>46082</v>
      </c>
    </row>
    <row r="439" spans="1:7" x14ac:dyDescent="0.25">
      <c r="A439" s="1" t="s">
        <v>400</v>
      </c>
      <c r="B439" s="1" t="s">
        <v>1512</v>
      </c>
      <c r="C439" s="2">
        <v>46059</v>
      </c>
      <c r="D439">
        <v>422</v>
      </c>
      <c r="E439">
        <v>95.29</v>
      </c>
      <c r="F439" s="1" t="s">
        <v>1459</v>
      </c>
      <c r="G439" s="2">
        <v>46077</v>
      </c>
    </row>
    <row r="440" spans="1:7" x14ac:dyDescent="0.25">
      <c r="A440" s="1" t="s">
        <v>1143</v>
      </c>
      <c r="B440" s="1" t="s">
        <v>1495</v>
      </c>
      <c r="C440" s="2">
        <v>46165</v>
      </c>
      <c r="D440">
        <v>281</v>
      </c>
      <c r="E440">
        <v>31.15</v>
      </c>
      <c r="F440" s="1" t="s">
        <v>1440</v>
      </c>
      <c r="G440" s="2">
        <v>46178</v>
      </c>
    </row>
    <row r="441" spans="1:7" x14ac:dyDescent="0.25">
      <c r="A441" s="1" t="s">
        <v>401</v>
      </c>
      <c r="B441" s="1" t="s">
        <v>1463</v>
      </c>
      <c r="C441" s="2">
        <v>46107</v>
      </c>
      <c r="D441">
        <v>341</v>
      </c>
      <c r="E441">
        <v>20.420000000000002</v>
      </c>
      <c r="F441" s="1" t="s">
        <v>1469</v>
      </c>
      <c r="G441" s="2">
        <v>46123</v>
      </c>
    </row>
    <row r="442" spans="1:7" x14ac:dyDescent="0.25">
      <c r="A442" s="1" t="s">
        <v>402</v>
      </c>
      <c r="B442" s="1" t="s">
        <v>1457</v>
      </c>
      <c r="C442" s="2">
        <v>46160</v>
      </c>
      <c r="D442">
        <v>380</v>
      </c>
      <c r="E442">
        <v>166.73</v>
      </c>
      <c r="F442" s="1" t="s">
        <v>1462</v>
      </c>
      <c r="G442" s="2">
        <v>46173</v>
      </c>
    </row>
    <row r="443" spans="1:7" x14ac:dyDescent="0.25">
      <c r="A443" s="1" t="s">
        <v>403</v>
      </c>
      <c r="B443" s="1" t="s">
        <v>1502</v>
      </c>
      <c r="C443" s="2">
        <v>46033</v>
      </c>
      <c r="D443">
        <v>457</v>
      </c>
      <c r="E443">
        <v>19.190000000000001</v>
      </c>
      <c r="F443" s="1" t="s">
        <v>1456</v>
      </c>
      <c r="G443" s="2">
        <v>46044</v>
      </c>
    </row>
    <row r="444" spans="1:7" x14ac:dyDescent="0.25">
      <c r="A444" s="1" t="s">
        <v>404</v>
      </c>
      <c r="B444" s="1" t="s">
        <v>1510</v>
      </c>
      <c r="C444" s="2">
        <v>46076</v>
      </c>
      <c r="D444">
        <v>455</v>
      </c>
      <c r="E444">
        <v>181.87</v>
      </c>
      <c r="F444" s="1" t="s">
        <v>1459</v>
      </c>
      <c r="G444" s="2">
        <v>46081</v>
      </c>
    </row>
    <row r="445" spans="1:7" x14ac:dyDescent="0.25">
      <c r="A445" s="1" t="s">
        <v>405</v>
      </c>
      <c r="B445" s="1" t="s">
        <v>1463</v>
      </c>
      <c r="C445" s="2">
        <v>46071</v>
      </c>
      <c r="D445">
        <v>389</v>
      </c>
      <c r="E445">
        <v>27.88</v>
      </c>
      <c r="F445" s="1" t="s">
        <v>1456</v>
      </c>
      <c r="G445" s="2">
        <v>46091</v>
      </c>
    </row>
    <row r="446" spans="1:7" x14ac:dyDescent="0.25">
      <c r="A446" s="1" t="s">
        <v>406</v>
      </c>
      <c r="B446" s="1" t="s">
        <v>1482</v>
      </c>
      <c r="C446" s="2">
        <v>46075</v>
      </c>
      <c r="D446">
        <v>213</v>
      </c>
      <c r="E446">
        <v>183.45</v>
      </c>
      <c r="F446" s="1" t="s">
        <v>1442</v>
      </c>
      <c r="G446" s="2">
        <v>46090</v>
      </c>
    </row>
    <row r="447" spans="1:7" x14ac:dyDescent="0.25">
      <c r="A447" s="1" t="s">
        <v>407</v>
      </c>
      <c r="B447" s="1" t="s">
        <v>1506</v>
      </c>
      <c r="C447" s="2">
        <v>46120</v>
      </c>
      <c r="D447">
        <v>248</v>
      </c>
      <c r="E447">
        <v>109.06</v>
      </c>
      <c r="F447" s="1" t="s">
        <v>1459</v>
      </c>
      <c r="G447" s="2">
        <v>46134</v>
      </c>
    </row>
    <row r="448" spans="1:7" x14ac:dyDescent="0.25">
      <c r="A448" s="1" t="s">
        <v>408</v>
      </c>
      <c r="B448" s="1" t="s">
        <v>1470</v>
      </c>
      <c r="C448" s="2">
        <v>46115</v>
      </c>
      <c r="D448">
        <v>272</v>
      </c>
      <c r="E448">
        <v>177.15</v>
      </c>
      <c r="F448" s="1" t="s">
        <v>1469</v>
      </c>
      <c r="G448" s="2">
        <v>46123</v>
      </c>
    </row>
    <row r="449" spans="1:7" x14ac:dyDescent="0.25">
      <c r="A449" s="1" t="s">
        <v>409</v>
      </c>
      <c r="B449" s="1" t="s">
        <v>1477</v>
      </c>
      <c r="C449" s="2">
        <v>46143</v>
      </c>
      <c r="D449">
        <v>399</v>
      </c>
      <c r="E449">
        <v>168.75</v>
      </c>
      <c r="F449" s="1" t="s">
        <v>1444</v>
      </c>
      <c r="G449" s="2">
        <v>46159</v>
      </c>
    </row>
    <row r="450" spans="1:7" x14ac:dyDescent="0.25">
      <c r="A450" s="1" t="s">
        <v>410</v>
      </c>
      <c r="B450" s="1" t="s">
        <v>1509</v>
      </c>
      <c r="C450" s="2">
        <v>46128</v>
      </c>
      <c r="D450">
        <v>33</v>
      </c>
      <c r="E450">
        <v>114.69</v>
      </c>
      <c r="F450" s="1" t="s">
        <v>1440</v>
      </c>
      <c r="G450" s="2">
        <v>46137</v>
      </c>
    </row>
    <row r="451" spans="1:7" x14ac:dyDescent="0.25">
      <c r="A451" s="1" t="s">
        <v>411</v>
      </c>
      <c r="B451" s="1" t="s">
        <v>1473</v>
      </c>
      <c r="C451" s="2">
        <v>46089</v>
      </c>
      <c r="D451">
        <v>293</v>
      </c>
      <c r="E451">
        <v>187.28</v>
      </c>
      <c r="F451" s="1" t="s">
        <v>1480</v>
      </c>
      <c r="G451" s="2">
        <v>46107</v>
      </c>
    </row>
    <row r="452" spans="1:7" x14ac:dyDescent="0.25">
      <c r="A452" s="1" t="s">
        <v>412</v>
      </c>
      <c r="B452" s="1" t="s">
        <v>1506</v>
      </c>
      <c r="C452" s="2">
        <v>46062</v>
      </c>
      <c r="D452">
        <v>110</v>
      </c>
      <c r="E452">
        <v>69.319999999999993</v>
      </c>
      <c r="F452" s="1" t="s">
        <v>1453</v>
      </c>
      <c r="G452" s="2">
        <v>46074</v>
      </c>
    </row>
    <row r="453" spans="1:7" x14ac:dyDescent="0.25">
      <c r="A453" s="1" t="s">
        <v>413</v>
      </c>
      <c r="B453" s="1" t="s">
        <v>1498</v>
      </c>
      <c r="C453" s="2">
        <v>46163</v>
      </c>
      <c r="D453">
        <v>345</v>
      </c>
      <c r="E453">
        <v>188.98</v>
      </c>
      <c r="F453" s="1" t="s">
        <v>1472</v>
      </c>
      <c r="G453" s="2">
        <v>46176</v>
      </c>
    </row>
    <row r="454" spans="1:7" x14ac:dyDescent="0.25">
      <c r="A454" s="1" t="s">
        <v>414</v>
      </c>
      <c r="B454" s="1" t="s">
        <v>1498</v>
      </c>
      <c r="C454" s="2">
        <v>46148</v>
      </c>
      <c r="D454">
        <v>245</v>
      </c>
      <c r="E454">
        <v>37.81</v>
      </c>
      <c r="F454" s="1" t="s">
        <v>1451</v>
      </c>
      <c r="G454" s="2">
        <v>46158</v>
      </c>
    </row>
    <row r="455" spans="1:7" x14ac:dyDescent="0.25">
      <c r="A455" s="1" t="s">
        <v>415</v>
      </c>
      <c r="B455" s="1" t="s">
        <v>1441</v>
      </c>
      <c r="C455" s="2">
        <v>46162</v>
      </c>
      <c r="D455">
        <v>260</v>
      </c>
      <c r="E455">
        <v>40.89</v>
      </c>
      <c r="F455" s="1" t="s">
        <v>1442</v>
      </c>
      <c r="G455" s="2">
        <v>46168</v>
      </c>
    </row>
    <row r="456" spans="1:7" x14ac:dyDescent="0.25">
      <c r="A456" s="1" t="s">
        <v>416</v>
      </c>
      <c r="B456" s="1" t="s">
        <v>1491</v>
      </c>
      <c r="C456" s="2">
        <v>46031</v>
      </c>
      <c r="D456">
        <v>439</v>
      </c>
      <c r="E456">
        <v>170.11</v>
      </c>
      <c r="F456" s="1" t="s">
        <v>1467</v>
      </c>
      <c r="G456" s="2">
        <v>46037</v>
      </c>
    </row>
    <row r="457" spans="1:7" x14ac:dyDescent="0.25">
      <c r="A457" s="1" t="s">
        <v>417</v>
      </c>
      <c r="B457" s="1" t="s">
        <v>1481</v>
      </c>
      <c r="C457" s="2">
        <v>46128</v>
      </c>
      <c r="D457">
        <v>80</v>
      </c>
      <c r="E457">
        <v>169.3</v>
      </c>
      <c r="F457" s="1" t="s">
        <v>1440</v>
      </c>
      <c r="G457" s="2">
        <v>46135</v>
      </c>
    </row>
    <row r="458" spans="1:7" x14ac:dyDescent="0.25">
      <c r="A458" s="1" t="s">
        <v>418</v>
      </c>
      <c r="B458" s="1" t="s">
        <v>1455</v>
      </c>
      <c r="C458" s="2">
        <v>46061</v>
      </c>
      <c r="D458">
        <v>14</v>
      </c>
      <c r="E458">
        <v>47.65</v>
      </c>
      <c r="F458" s="1" t="s">
        <v>1469</v>
      </c>
      <c r="G458" s="2">
        <v>46077</v>
      </c>
    </row>
    <row r="459" spans="1:7" x14ac:dyDescent="0.25">
      <c r="A459" s="1" t="s">
        <v>1164</v>
      </c>
      <c r="B459" s="1" t="s">
        <v>1475</v>
      </c>
      <c r="C459" s="2">
        <v>46146</v>
      </c>
      <c r="D459">
        <v>347</v>
      </c>
      <c r="E459">
        <v>100.13</v>
      </c>
      <c r="F459" s="1" t="s">
        <v>1448</v>
      </c>
      <c r="G459" s="2">
        <v>46164</v>
      </c>
    </row>
    <row r="460" spans="1:7" x14ac:dyDescent="0.25">
      <c r="A460" s="1" t="s">
        <v>419</v>
      </c>
      <c r="B460" s="1" t="s">
        <v>1481</v>
      </c>
      <c r="C460" s="2">
        <v>46027</v>
      </c>
      <c r="D460">
        <v>281</v>
      </c>
      <c r="E460">
        <v>145.83000000000001</v>
      </c>
      <c r="F460" s="1" t="s">
        <v>1442</v>
      </c>
      <c r="G460" s="2">
        <v>46041</v>
      </c>
    </row>
    <row r="461" spans="1:7" x14ac:dyDescent="0.25">
      <c r="A461" s="1" t="s">
        <v>420</v>
      </c>
      <c r="B461" s="1" t="s">
        <v>1473</v>
      </c>
      <c r="C461" s="2">
        <v>46151</v>
      </c>
      <c r="D461">
        <v>426</v>
      </c>
      <c r="E461">
        <v>141.08000000000001</v>
      </c>
      <c r="F461" s="1" t="s">
        <v>1507</v>
      </c>
      <c r="G461" s="2">
        <v>46161</v>
      </c>
    </row>
    <row r="462" spans="1:7" x14ac:dyDescent="0.25">
      <c r="A462" s="1" t="s">
        <v>421</v>
      </c>
      <c r="B462" s="1" t="s">
        <v>1450</v>
      </c>
      <c r="C462" s="2">
        <v>46047</v>
      </c>
      <c r="D462">
        <v>278</v>
      </c>
      <c r="E462">
        <v>34.04</v>
      </c>
      <c r="F462" s="1" t="s">
        <v>1444</v>
      </c>
      <c r="G462" s="2">
        <v>46068</v>
      </c>
    </row>
    <row r="463" spans="1:7" x14ac:dyDescent="0.25">
      <c r="A463" s="1" t="s">
        <v>422</v>
      </c>
      <c r="B463" s="1" t="s">
        <v>1470</v>
      </c>
      <c r="C463" s="2">
        <v>46113</v>
      </c>
      <c r="D463">
        <v>146</v>
      </c>
      <c r="E463">
        <v>160.01</v>
      </c>
      <c r="F463" s="1" t="s">
        <v>1476</v>
      </c>
      <c r="G463" s="2">
        <v>46129</v>
      </c>
    </row>
    <row r="464" spans="1:7" x14ac:dyDescent="0.25">
      <c r="A464" s="1" t="s">
        <v>423</v>
      </c>
      <c r="B464" s="1" t="s">
        <v>1488</v>
      </c>
      <c r="C464" s="2">
        <v>46140</v>
      </c>
      <c r="D464">
        <v>299</v>
      </c>
      <c r="E464">
        <v>52.43</v>
      </c>
      <c r="F464" s="1" t="s">
        <v>1499</v>
      </c>
      <c r="G464" s="2">
        <v>46152</v>
      </c>
    </row>
    <row r="465" spans="1:7" x14ac:dyDescent="0.25">
      <c r="A465" s="1" t="s">
        <v>424</v>
      </c>
      <c r="B465" s="1" t="s">
        <v>1512</v>
      </c>
      <c r="C465" s="2">
        <v>46043</v>
      </c>
      <c r="D465">
        <v>344</v>
      </c>
      <c r="E465">
        <v>198.38</v>
      </c>
      <c r="F465" s="1" t="s">
        <v>1446</v>
      </c>
      <c r="G465" s="2">
        <v>46049</v>
      </c>
    </row>
    <row r="466" spans="1:7" x14ac:dyDescent="0.25">
      <c r="A466" s="1" t="s">
        <v>425</v>
      </c>
      <c r="B466" s="1" t="s">
        <v>1457</v>
      </c>
      <c r="C466" s="2">
        <v>46126</v>
      </c>
      <c r="D466">
        <v>204</v>
      </c>
      <c r="E466">
        <v>78.55</v>
      </c>
      <c r="F466" s="1" t="s">
        <v>1487</v>
      </c>
      <c r="G466" s="2">
        <v>46132</v>
      </c>
    </row>
    <row r="467" spans="1:7" x14ac:dyDescent="0.25">
      <c r="A467" s="1" t="s">
        <v>426</v>
      </c>
      <c r="B467" s="1" t="s">
        <v>1439</v>
      </c>
      <c r="C467" s="2">
        <v>46025</v>
      </c>
      <c r="D467">
        <v>369</v>
      </c>
      <c r="E467">
        <v>38.42</v>
      </c>
      <c r="F467" s="1" t="s">
        <v>1487</v>
      </c>
      <c r="G467" s="2">
        <v>46043</v>
      </c>
    </row>
    <row r="468" spans="1:7" x14ac:dyDescent="0.25">
      <c r="A468" s="1" t="s">
        <v>427</v>
      </c>
      <c r="B468" s="1" t="s">
        <v>1508</v>
      </c>
      <c r="C468" s="2">
        <v>46107</v>
      </c>
      <c r="D468">
        <v>299</v>
      </c>
      <c r="E468">
        <v>195.58</v>
      </c>
      <c r="F468" s="1" t="s">
        <v>1483</v>
      </c>
      <c r="G468" s="2">
        <v>46128</v>
      </c>
    </row>
    <row r="469" spans="1:7" x14ac:dyDescent="0.25">
      <c r="A469" s="1" t="s">
        <v>428</v>
      </c>
      <c r="B469" s="1" t="s">
        <v>1452</v>
      </c>
      <c r="C469" s="2">
        <v>46081</v>
      </c>
      <c r="D469">
        <v>118</v>
      </c>
      <c r="E469">
        <v>180.75</v>
      </c>
      <c r="F469" s="1" t="s">
        <v>1499</v>
      </c>
      <c r="G469" s="2">
        <v>46101</v>
      </c>
    </row>
    <row r="470" spans="1:7" x14ac:dyDescent="0.25">
      <c r="A470" s="1" t="s">
        <v>429</v>
      </c>
      <c r="B470" s="1" t="s">
        <v>1511</v>
      </c>
      <c r="C470" s="2">
        <v>46034</v>
      </c>
      <c r="D470">
        <v>483</v>
      </c>
      <c r="E470">
        <v>19.5</v>
      </c>
      <c r="F470" s="1" t="s">
        <v>1458</v>
      </c>
      <c r="G470" s="2">
        <v>46040</v>
      </c>
    </row>
    <row r="471" spans="1:7" x14ac:dyDescent="0.25">
      <c r="A471" s="1" t="s">
        <v>1178</v>
      </c>
      <c r="B471" s="1" t="s">
        <v>1486</v>
      </c>
      <c r="C471" s="2">
        <v>46103</v>
      </c>
      <c r="D471">
        <v>18</v>
      </c>
      <c r="E471">
        <v>192.49</v>
      </c>
      <c r="F471" s="1" t="s">
        <v>1480</v>
      </c>
      <c r="G471" s="2">
        <v>46112</v>
      </c>
    </row>
    <row r="472" spans="1:7" x14ac:dyDescent="0.25">
      <c r="A472" s="1" t="s">
        <v>430</v>
      </c>
      <c r="B472" s="1" t="s">
        <v>1455</v>
      </c>
      <c r="C472" s="2">
        <v>46124</v>
      </c>
      <c r="D472">
        <v>485</v>
      </c>
      <c r="E472">
        <v>20</v>
      </c>
      <c r="F472" s="1" t="s">
        <v>1501</v>
      </c>
      <c r="G472" s="2">
        <v>46136</v>
      </c>
    </row>
    <row r="473" spans="1:7" x14ac:dyDescent="0.25">
      <c r="A473" s="1" t="s">
        <v>431</v>
      </c>
      <c r="B473" s="1" t="s">
        <v>1493</v>
      </c>
      <c r="C473" s="2">
        <v>46122</v>
      </c>
      <c r="D473">
        <v>356</v>
      </c>
      <c r="E473">
        <v>179.82</v>
      </c>
      <c r="F473" s="1" t="s">
        <v>1472</v>
      </c>
      <c r="G473" s="2">
        <v>46139</v>
      </c>
    </row>
    <row r="474" spans="1:7" x14ac:dyDescent="0.25">
      <c r="A474" s="1" t="s">
        <v>432</v>
      </c>
      <c r="B474" s="1" t="s">
        <v>1465</v>
      </c>
      <c r="C474" s="2">
        <v>46058</v>
      </c>
      <c r="D474">
        <v>414</v>
      </c>
      <c r="E474">
        <v>197.75</v>
      </c>
      <c r="F474" s="1" t="s">
        <v>1490</v>
      </c>
      <c r="G474" s="2">
        <v>46065</v>
      </c>
    </row>
    <row r="475" spans="1:7" x14ac:dyDescent="0.25">
      <c r="A475" s="1" t="s">
        <v>433</v>
      </c>
      <c r="B475" s="1" t="s">
        <v>1445</v>
      </c>
      <c r="C475" s="2">
        <v>46111</v>
      </c>
      <c r="D475">
        <v>37</v>
      </c>
      <c r="E475">
        <v>24.05</v>
      </c>
      <c r="F475" s="1" t="s">
        <v>1440</v>
      </c>
      <c r="G475" s="2">
        <v>46118</v>
      </c>
    </row>
    <row r="476" spans="1:7" x14ac:dyDescent="0.25">
      <c r="A476" s="1" t="s">
        <v>434</v>
      </c>
      <c r="B476" s="1" t="s">
        <v>1479</v>
      </c>
      <c r="C476" s="2">
        <v>46124</v>
      </c>
      <c r="D476">
        <v>406</v>
      </c>
      <c r="E476">
        <v>68.64</v>
      </c>
      <c r="F476" s="1" t="s">
        <v>1446</v>
      </c>
      <c r="G476" s="2">
        <v>46137</v>
      </c>
    </row>
    <row r="477" spans="1:7" x14ac:dyDescent="0.25">
      <c r="A477" s="1" t="s">
        <v>435</v>
      </c>
      <c r="B477" s="1" t="s">
        <v>1478</v>
      </c>
      <c r="C477" s="2">
        <v>46148</v>
      </c>
      <c r="D477">
        <v>126</v>
      </c>
      <c r="E477">
        <v>74.38</v>
      </c>
      <c r="F477" s="1" t="s">
        <v>1453</v>
      </c>
      <c r="G477" s="2">
        <v>46166</v>
      </c>
    </row>
    <row r="478" spans="1:7" x14ac:dyDescent="0.25">
      <c r="A478" s="1" t="s">
        <v>1187</v>
      </c>
      <c r="B478" s="1" t="s">
        <v>1486</v>
      </c>
      <c r="C478" s="2">
        <v>46172</v>
      </c>
      <c r="D478">
        <v>348</v>
      </c>
      <c r="E478">
        <v>79.11</v>
      </c>
      <c r="F478" s="1" t="s">
        <v>1456</v>
      </c>
      <c r="G478" s="2">
        <v>46186</v>
      </c>
    </row>
    <row r="479" spans="1:7" x14ac:dyDescent="0.25">
      <c r="A479" s="1" t="s">
        <v>436</v>
      </c>
      <c r="B479" s="1" t="s">
        <v>1482</v>
      </c>
      <c r="C479" s="2">
        <v>46041</v>
      </c>
      <c r="D479">
        <v>52</v>
      </c>
      <c r="E479">
        <v>57.25</v>
      </c>
      <c r="F479" s="1" t="s">
        <v>1453</v>
      </c>
      <c r="G479" s="2">
        <v>46050</v>
      </c>
    </row>
    <row r="480" spans="1:7" x14ac:dyDescent="0.25">
      <c r="A480" s="1" t="s">
        <v>437</v>
      </c>
      <c r="B480" s="1" t="s">
        <v>1465</v>
      </c>
      <c r="C480" s="2">
        <v>46122</v>
      </c>
      <c r="D480">
        <v>172</v>
      </c>
      <c r="E480">
        <v>75.34</v>
      </c>
      <c r="F480" s="1" t="s">
        <v>1476</v>
      </c>
      <c r="G480" s="2">
        <v>46127</v>
      </c>
    </row>
    <row r="481" spans="1:7" x14ac:dyDescent="0.25">
      <c r="A481" s="1" t="s">
        <v>1191</v>
      </c>
      <c r="B481" s="1" t="s">
        <v>1512</v>
      </c>
      <c r="C481" s="2">
        <v>46136</v>
      </c>
      <c r="D481">
        <v>194</v>
      </c>
      <c r="E481">
        <v>153.46</v>
      </c>
      <c r="F481" s="1" t="s">
        <v>1483</v>
      </c>
      <c r="G481" s="2">
        <v>46145</v>
      </c>
    </row>
    <row r="482" spans="1:7" x14ac:dyDescent="0.25">
      <c r="A482" s="1" t="s">
        <v>438</v>
      </c>
      <c r="B482" s="1" t="s">
        <v>1457</v>
      </c>
      <c r="C482" s="2">
        <v>46070</v>
      </c>
      <c r="D482">
        <v>230</v>
      </c>
      <c r="E482">
        <v>92.52</v>
      </c>
      <c r="F482" s="1" t="s">
        <v>1459</v>
      </c>
      <c r="G482" s="2">
        <v>46091</v>
      </c>
    </row>
    <row r="483" spans="1:7" x14ac:dyDescent="0.25">
      <c r="A483" s="1" t="s">
        <v>439</v>
      </c>
      <c r="B483" s="1" t="s">
        <v>1495</v>
      </c>
      <c r="C483" s="2">
        <v>46049</v>
      </c>
      <c r="D483">
        <v>23</v>
      </c>
      <c r="E483">
        <v>22.48</v>
      </c>
      <c r="F483" s="1" t="s">
        <v>1442</v>
      </c>
      <c r="G483" s="2">
        <v>46056</v>
      </c>
    </row>
    <row r="484" spans="1:7" x14ac:dyDescent="0.25">
      <c r="A484" s="1" t="s">
        <v>440</v>
      </c>
      <c r="B484" s="1" t="s">
        <v>1468</v>
      </c>
      <c r="C484" s="2">
        <v>46106</v>
      </c>
      <c r="D484">
        <v>452</v>
      </c>
      <c r="E484">
        <v>80.12</v>
      </c>
      <c r="F484" s="1" t="s">
        <v>1474</v>
      </c>
      <c r="G484" s="2">
        <v>46124</v>
      </c>
    </row>
    <row r="485" spans="1:7" x14ac:dyDescent="0.25">
      <c r="A485" s="1" t="s">
        <v>441</v>
      </c>
      <c r="B485" s="1" t="s">
        <v>1502</v>
      </c>
      <c r="C485" s="2">
        <v>46044</v>
      </c>
      <c r="D485">
        <v>381</v>
      </c>
      <c r="E485">
        <v>180.72</v>
      </c>
      <c r="F485" s="1" t="s">
        <v>1440</v>
      </c>
      <c r="G485" s="2">
        <v>46065</v>
      </c>
    </row>
    <row r="486" spans="1:7" x14ac:dyDescent="0.25">
      <c r="A486" s="1" t="s">
        <v>442</v>
      </c>
      <c r="B486" s="1" t="s">
        <v>1460</v>
      </c>
      <c r="C486" s="2">
        <v>46120</v>
      </c>
      <c r="D486">
        <v>96</v>
      </c>
      <c r="E486">
        <v>32.07</v>
      </c>
      <c r="F486" s="1" t="s">
        <v>1474</v>
      </c>
      <c r="G486" s="2">
        <v>46133</v>
      </c>
    </row>
    <row r="487" spans="1:7" x14ac:dyDescent="0.25">
      <c r="A487" s="1" t="s">
        <v>443</v>
      </c>
      <c r="B487" s="1" t="s">
        <v>1498</v>
      </c>
      <c r="C487" s="2">
        <v>46060</v>
      </c>
      <c r="D487">
        <v>42</v>
      </c>
      <c r="E487">
        <v>37.61</v>
      </c>
      <c r="F487" s="1" t="s">
        <v>1458</v>
      </c>
      <c r="G487" s="2">
        <v>46078</v>
      </c>
    </row>
    <row r="488" spans="1:7" x14ac:dyDescent="0.25">
      <c r="A488" s="1" t="s">
        <v>444</v>
      </c>
      <c r="B488" s="1" t="s">
        <v>1512</v>
      </c>
      <c r="C488" s="2">
        <v>46146</v>
      </c>
      <c r="D488">
        <v>410</v>
      </c>
      <c r="E488">
        <v>20</v>
      </c>
      <c r="F488" s="1" t="s">
        <v>1458</v>
      </c>
      <c r="G488" s="2">
        <v>46158</v>
      </c>
    </row>
    <row r="489" spans="1:7" x14ac:dyDescent="0.25">
      <c r="A489" s="1" t="s">
        <v>445</v>
      </c>
      <c r="B489" s="1" t="s">
        <v>1477</v>
      </c>
      <c r="C489" s="2">
        <v>46149</v>
      </c>
      <c r="D489">
        <v>314</v>
      </c>
      <c r="E489">
        <v>125.25</v>
      </c>
      <c r="F489" s="1" t="s">
        <v>1459</v>
      </c>
      <c r="G489" s="2">
        <v>46157</v>
      </c>
    </row>
    <row r="490" spans="1:7" x14ac:dyDescent="0.25">
      <c r="A490" s="1" t="s">
        <v>446</v>
      </c>
      <c r="B490" s="1" t="s">
        <v>1441</v>
      </c>
      <c r="C490" s="2">
        <v>46100</v>
      </c>
      <c r="D490">
        <v>13</v>
      </c>
      <c r="E490">
        <v>190.02</v>
      </c>
      <c r="F490" s="1" t="s">
        <v>1472</v>
      </c>
      <c r="G490" s="2">
        <v>46117</v>
      </c>
    </row>
    <row r="491" spans="1:7" x14ac:dyDescent="0.25">
      <c r="A491" s="1" t="s">
        <v>447</v>
      </c>
      <c r="B491" s="1" t="s">
        <v>1479</v>
      </c>
      <c r="C491" s="2">
        <v>46135</v>
      </c>
      <c r="D491">
        <v>181</v>
      </c>
      <c r="E491">
        <v>88.97</v>
      </c>
      <c r="F491" s="1" t="s">
        <v>1446</v>
      </c>
      <c r="G491" s="2">
        <v>46144</v>
      </c>
    </row>
    <row r="492" spans="1:7" x14ac:dyDescent="0.25">
      <c r="A492" s="1" t="s">
        <v>448</v>
      </c>
      <c r="B492" s="1" t="s">
        <v>1512</v>
      </c>
      <c r="C492" s="2">
        <v>46105</v>
      </c>
      <c r="D492">
        <v>318</v>
      </c>
      <c r="E492">
        <v>189.72</v>
      </c>
      <c r="F492" s="1" t="s">
        <v>1444</v>
      </c>
      <c r="G492" s="2">
        <v>46125</v>
      </c>
    </row>
    <row r="493" spans="1:7" x14ac:dyDescent="0.25">
      <c r="A493" s="1" t="s">
        <v>449</v>
      </c>
      <c r="B493" s="1" t="s">
        <v>1509</v>
      </c>
      <c r="C493" s="2">
        <v>46068</v>
      </c>
      <c r="D493">
        <v>213</v>
      </c>
      <c r="E493">
        <v>193.9</v>
      </c>
      <c r="F493" s="1" t="s">
        <v>1474</v>
      </c>
      <c r="G493" s="2">
        <v>46088</v>
      </c>
    </row>
    <row r="494" spans="1:7" x14ac:dyDescent="0.25">
      <c r="A494" s="1" t="s">
        <v>450</v>
      </c>
      <c r="B494" s="1" t="s">
        <v>1493</v>
      </c>
      <c r="C494" s="2">
        <v>46085</v>
      </c>
      <c r="D494">
        <v>176</v>
      </c>
      <c r="E494">
        <v>78.33</v>
      </c>
      <c r="F494" s="1" t="s">
        <v>1453</v>
      </c>
      <c r="G494" s="2">
        <v>46101</v>
      </c>
    </row>
    <row r="495" spans="1:7" x14ac:dyDescent="0.25">
      <c r="A495" s="1" t="s">
        <v>451</v>
      </c>
      <c r="B495" s="1" t="s">
        <v>1466</v>
      </c>
      <c r="C495" s="2">
        <v>46167</v>
      </c>
      <c r="D495">
        <v>112</v>
      </c>
      <c r="E495">
        <v>120.48</v>
      </c>
      <c r="F495" s="1" t="s">
        <v>1442</v>
      </c>
      <c r="G495" s="2">
        <v>46177</v>
      </c>
    </row>
    <row r="496" spans="1:7" x14ac:dyDescent="0.25">
      <c r="A496" s="1" t="s">
        <v>452</v>
      </c>
      <c r="B496" s="1" t="s">
        <v>1461</v>
      </c>
      <c r="C496" s="2">
        <v>46163</v>
      </c>
      <c r="D496">
        <v>23</v>
      </c>
      <c r="E496">
        <v>190.84</v>
      </c>
      <c r="F496" s="1" t="s">
        <v>1469</v>
      </c>
      <c r="G496" s="2">
        <v>46174</v>
      </c>
    </row>
    <row r="497" spans="1:7" x14ac:dyDescent="0.25">
      <c r="A497" s="1" t="s">
        <v>453</v>
      </c>
      <c r="B497" s="1" t="s">
        <v>1478</v>
      </c>
      <c r="C497" s="2">
        <v>46097</v>
      </c>
      <c r="D497">
        <v>435</v>
      </c>
      <c r="E497">
        <v>140.1</v>
      </c>
      <c r="F497" s="1" t="s">
        <v>1507</v>
      </c>
      <c r="G497" s="2">
        <v>46117</v>
      </c>
    </row>
    <row r="498" spans="1:7" x14ac:dyDescent="0.25">
      <c r="A498" s="1" t="s">
        <v>454</v>
      </c>
      <c r="B498" s="1" t="s">
        <v>1441</v>
      </c>
      <c r="C498" s="2">
        <v>46100</v>
      </c>
      <c r="D498">
        <v>133</v>
      </c>
      <c r="E498">
        <v>54.27</v>
      </c>
      <c r="F498" s="1" t="s">
        <v>1485</v>
      </c>
      <c r="G498" s="2">
        <v>46118</v>
      </c>
    </row>
    <row r="499" spans="1:7" x14ac:dyDescent="0.25">
      <c r="A499" s="1" t="s">
        <v>455</v>
      </c>
      <c r="B499" s="1" t="s">
        <v>1502</v>
      </c>
      <c r="C499" s="2">
        <v>46041</v>
      </c>
      <c r="D499">
        <v>239</v>
      </c>
      <c r="E499">
        <v>198.19</v>
      </c>
      <c r="F499" s="1" t="s">
        <v>1487</v>
      </c>
      <c r="G499" s="2">
        <v>46058</v>
      </c>
    </row>
    <row r="500" spans="1:7" x14ac:dyDescent="0.25">
      <c r="A500" s="1" t="s">
        <v>456</v>
      </c>
      <c r="B500" s="1" t="s">
        <v>1471</v>
      </c>
      <c r="C500" s="2">
        <v>46152</v>
      </c>
      <c r="D500">
        <v>482</v>
      </c>
      <c r="E500">
        <v>184.48</v>
      </c>
      <c r="F500" s="1" t="s">
        <v>1499</v>
      </c>
      <c r="G500" s="2">
        <v>46170</v>
      </c>
    </row>
    <row r="501" spans="1:7" x14ac:dyDescent="0.25">
      <c r="A501" s="1" t="s">
        <v>457</v>
      </c>
      <c r="B501" s="1" t="s">
        <v>1471</v>
      </c>
      <c r="C501" s="2">
        <v>46032</v>
      </c>
      <c r="D501">
        <v>414</v>
      </c>
      <c r="E501">
        <v>193.84</v>
      </c>
      <c r="F501" s="1" t="s">
        <v>1499</v>
      </c>
      <c r="G501" s="2">
        <v>46039</v>
      </c>
    </row>
    <row r="502" spans="1:7" x14ac:dyDescent="0.25">
      <c r="A502" s="1" t="s">
        <v>1216</v>
      </c>
      <c r="B502" s="1" t="s">
        <v>1450</v>
      </c>
      <c r="C502" s="2">
        <v>46086</v>
      </c>
      <c r="D502">
        <v>346</v>
      </c>
      <c r="E502">
        <v>134.62</v>
      </c>
      <c r="F502" s="1" t="s">
        <v>1501</v>
      </c>
      <c r="G502" s="2">
        <v>46092</v>
      </c>
    </row>
    <row r="503" spans="1:7" x14ac:dyDescent="0.25">
      <c r="A503" s="1" t="s">
        <v>458</v>
      </c>
      <c r="B503" s="1" t="s">
        <v>1493</v>
      </c>
      <c r="C503" s="2">
        <v>46125</v>
      </c>
      <c r="D503">
        <v>395</v>
      </c>
      <c r="E503">
        <v>69.66</v>
      </c>
      <c r="F503" s="1" t="s">
        <v>1507</v>
      </c>
      <c r="G503" s="2">
        <v>46133</v>
      </c>
    </row>
    <row r="504" spans="1:7" x14ac:dyDescent="0.25">
      <c r="A504" s="1" t="s">
        <v>459</v>
      </c>
      <c r="B504" s="1" t="s">
        <v>1481</v>
      </c>
      <c r="C504" s="2">
        <v>46048</v>
      </c>
      <c r="D504">
        <v>142</v>
      </c>
      <c r="E504">
        <v>48.29</v>
      </c>
      <c r="F504" s="1" t="s">
        <v>1490</v>
      </c>
      <c r="G504" s="2">
        <v>46069</v>
      </c>
    </row>
    <row r="505" spans="1:7" x14ac:dyDescent="0.25">
      <c r="A505" s="1" t="s">
        <v>460</v>
      </c>
      <c r="B505" s="1" t="s">
        <v>1454</v>
      </c>
      <c r="C505" s="2">
        <v>46171</v>
      </c>
      <c r="D505">
        <v>362</v>
      </c>
      <c r="E505">
        <v>117.17</v>
      </c>
      <c r="F505" s="1" t="s">
        <v>1469</v>
      </c>
      <c r="G505" s="2">
        <v>46187</v>
      </c>
    </row>
    <row r="506" spans="1:7" x14ac:dyDescent="0.25">
      <c r="A506" s="1" t="s">
        <v>461</v>
      </c>
      <c r="B506" s="1" t="s">
        <v>1488</v>
      </c>
      <c r="C506" s="2">
        <v>46141</v>
      </c>
      <c r="D506">
        <v>405</v>
      </c>
      <c r="E506">
        <v>137.51</v>
      </c>
      <c r="F506" s="1" t="s">
        <v>1499</v>
      </c>
      <c r="G506" s="2">
        <v>46162</v>
      </c>
    </row>
    <row r="507" spans="1:7" x14ac:dyDescent="0.25">
      <c r="A507" s="1" t="s">
        <v>462</v>
      </c>
      <c r="B507" s="1" t="s">
        <v>1464</v>
      </c>
      <c r="C507" s="2">
        <v>46111</v>
      </c>
      <c r="D507">
        <v>22</v>
      </c>
      <c r="E507">
        <v>99.14</v>
      </c>
      <c r="F507" s="1" t="s">
        <v>1474</v>
      </c>
      <c r="G507" s="2">
        <v>46129</v>
      </c>
    </row>
    <row r="508" spans="1:7" x14ac:dyDescent="0.25">
      <c r="A508" s="1" t="s">
        <v>1223</v>
      </c>
      <c r="B508" s="1" t="s">
        <v>1457</v>
      </c>
      <c r="C508" s="2">
        <v>46052</v>
      </c>
      <c r="D508">
        <v>435</v>
      </c>
      <c r="E508">
        <v>188.43</v>
      </c>
      <c r="F508" s="1" t="s">
        <v>1485</v>
      </c>
      <c r="G508" s="2">
        <v>46068</v>
      </c>
    </row>
    <row r="509" spans="1:7" x14ac:dyDescent="0.25">
      <c r="A509" s="1" t="s">
        <v>463</v>
      </c>
      <c r="B509" s="1" t="s">
        <v>1512</v>
      </c>
      <c r="C509" s="2">
        <v>46110</v>
      </c>
      <c r="D509">
        <v>243</v>
      </c>
      <c r="E509">
        <v>157.93</v>
      </c>
      <c r="F509" s="1" t="s">
        <v>1504</v>
      </c>
      <c r="G509" s="2">
        <v>46130</v>
      </c>
    </row>
    <row r="510" spans="1:7" x14ac:dyDescent="0.25">
      <c r="A510" s="1" t="s">
        <v>464</v>
      </c>
      <c r="B510" s="1" t="s">
        <v>1503</v>
      </c>
      <c r="C510" s="2">
        <v>46144</v>
      </c>
      <c r="D510">
        <v>59</v>
      </c>
      <c r="E510">
        <v>90.44</v>
      </c>
      <c r="F510" s="1" t="s">
        <v>1499</v>
      </c>
      <c r="G510" s="2">
        <v>46163</v>
      </c>
    </row>
    <row r="511" spans="1:7" x14ac:dyDescent="0.25">
      <c r="A511" s="1" t="s">
        <v>465</v>
      </c>
      <c r="B511" s="1" t="s">
        <v>1509</v>
      </c>
      <c r="C511" s="2">
        <v>46040</v>
      </c>
      <c r="D511">
        <v>163</v>
      </c>
      <c r="E511">
        <v>13.71</v>
      </c>
      <c r="F511" s="1" t="s">
        <v>1499</v>
      </c>
      <c r="G511" s="2">
        <v>46048</v>
      </c>
    </row>
    <row r="512" spans="1:7" x14ac:dyDescent="0.25">
      <c r="A512" s="1" t="s">
        <v>466</v>
      </c>
      <c r="B512" s="1" t="s">
        <v>1473</v>
      </c>
      <c r="C512" s="2">
        <v>46110</v>
      </c>
      <c r="D512">
        <v>341</v>
      </c>
      <c r="E512">
        <v>26.33</v>
      </c>
      <c r="F512" s="1" t="s">
        <v>1501</v>
      </c>
      <c r="G512" s="2">
        <v>46122</v>
      </c>
    </row>
    <row r="513" spans="1:7" x14ac:dyDescent="0.25">
      <c r="A513" s="1" t="s">
        <v>467</v>
      </c>
      <c r="B513" s="1" t="s">
        <v>1491</v>
      </c>
      <c r="C513" s="2">
        <v>46067</v>
      </c>
      <c r="D513">
        <v>292</v>
      </c>
      <c r="E513">
        <v>36.229999999999997</v>
      </c>
      <c r="F513" s="1" t="s">
        <v>1442</v>
      </c>
      <c r="G513" s="2">
        <v>46085</v>
      </c>
    </row>
    <row r="514" spans="1:7" x14ac:dyDescent="0.25">
      <c r="A514" s="1" t="s">
        <v>468</v>
      </c>
      <c r="B514" s="1" t="s">
        <v>1489</v>
      </c>
      <c r="C514" s="2">
        <v>46082</v>
      </c>
      <c r="D514">
        <v>418</v>
      </c>
      <c r="E514">
        <v>83.98</v>
      </c>
      <c r="F514" s="1" t="s">
        <v>1501</v>
      </c>
      <c r="G514" s="2">
        <v>46092</v>
      </c>
    </row>
    <row r="515" spans="1:7" x14ac:dyDescent="0.25">
      <c r="A515" s="1" t="s">
        <v>469</v>
      </c>
      <c r="B515" s="1" t="s">
        <v>1439</v>
      </c>
      <c r="C515" s="2">
        <v>46133</v>
      </c>
      <c r="D515">
        <v>212</v>
      </c>
      <c r="E515">
        <v>10.69</v>
      </c>
      <c r="F515" s="1" t="s">
        <v>1494</v>
      </c>
      <c r="G515" s="2">
        <v>46144</v>
      </c>
    </row>
    <row r="516" spans="1:7" x14ac:dyDescent="0.25">
      <c r="A516" s="1" t="s">
        <v>470</v>
      </c>
      <c r="B516" s="1" t="s">
        <v>1478</v>
      </c>
      <c r="C516" s="2">
        <v>46132</v>
      </c>
      <c r="D516">
        <v>209</v>
      </c>
      <c r="E516">
        <v>5.87</v>
      </c>
      <c r="F516" s="1" t="s">
        <v>1444</v>
      </c>
      <c r="G516" s="2">
        <v>46143</v>
      </c>
    </row>
    <row r="517" spans="1:7" x14ac:dyDescent="0.25">
      <c r="A517" s="1" t="s">
        <v>471</v>
      </c>
      <c r="B517" s="1" t="s">
        <v>1511</v>
      </c>
      <c r="C517" s="2">
        <v>46039</v>
      </c>
      <c r="D517">
        <v>305</v>
      </c>
      <c r="E517">
        <v>24.84</v>
      </c>
      <c r="F517" s="1" t="s">
        <v>1459</v>
      </c>
      <c r="G517" s="2">
        <v>46049</v>
      </c>
    </row>
    <row r="518" spans="1:7" x14ac:dyDescent="0.25">
      <c r="A518" s="1" t="s">
        <v>472</v>
      </c>
      <c r="B518" s="1" t="s">
        <v>1496</v>
      </c>
      <c r="C518" s="2">
        <v>46106</v>
      </c>
      <c r="D518">
        <v>110</v>
      </c>
      <c r="E518">
        <v>94.22</v>
      </c>
      <c r="F518" s="1" t="s">
        <v>1458</v>
      </c>
      <c r="G518" s="2">
        <v>46126</v>
      </c>
    </row>
    <row r="519" spans="1:7" x14ac:dyDescent="0.25">
      <c r="A519" s="1" t="s">
        <v>473</v>
      </c>
      <c r="B519" s="1" t="s">
        <v>1491</v>
      </c>
      <c r="C519" s="2">
        <v>46103</v>
      </c>
      <c r="D519">
        <v>315</v>
      </c>
      <c r="E519">
        <v>80.78</v>
      </c>
      <c r="F519" s="1" t="s">
        <v>1459</v>
      </c>
      <c r="G519" s="2">
        <v>46111</v>
      </c>
    </row>
    <row r="520" spans="1:7" x14ac:dyDescent="0.25">
      <c r="A520" s="1" t="s">
        <v>474</v>
      </c>
      <c r="B520" s="1" t="s">
        <v>1503</v>
      </c>
      <c r="C520" s="2">
        <v>46113</v>
      </c>
      <c r="D520">
        <v>442</v>
      </c>
      <c r="E520">
        <v>94.28</v>
      </c>
      <c r="F520" s="1" t="s">
        <v>1501</v>
      </c>
      <c r="G520" s="2">
        <v>46127</v>
      </c>
    </row>
    <row r="521" spans="1:7" x14ac:dyDescent="0.25">
      <c r="A521" s="1" t="s">
        <v>475</v>
      </c>
      <c r="B521" s="1" t="s">
        <v>1497</v>
      </c>
      <c r="C521" s="2">
        <v>46044</v>
      </c>
      <c r="D521">
        <v>354</v>
      </c>
      <c r="E521">
        <v>31.12</v>
      </c>
      <c r="F521" s="1" t="s">
        <v>1483</v>
      </c>
      <c r="G521" s="2">
        <v>46056</v>
      </c>
    </row>
    <row r="522" spans="1:7" x14ac:dyDescent="0.25">
      <c r="A522" s="1" t="s">
        <v>476</v>
      </c>
      <c r="B522" s="1" t="s">
        <v>1512</v>
      </c>
      <c r="C522" s="2">
        <v>46052</v>
      </c>
      <c r="D522">
        <v>103</v>
      </c>
      <c r="E522">
        <v>77.790000000000006</v>
      </c>
      <c r="F522" s="1" t="s">
        <v>1485</v>
      </c>
      <c r="G522" s="2">
        <v>46073</v>
      </c>
    </row>
    <row r="523" spans="1:7" x14ac:dyDescent="0.25">
      <c r="A523" s="1" t="s">
        <v>477</v>
      </c>
      <c r="B523" s="1" t="s">
        <v>1502</v>
      </c>
      <c r="C523" s="2">
        <v>46130</v>
      </c>
      <c r="D523">
        <v>315</v>
      </c>
      <c r="E523">
        <v>31.88</v>
      </c>
      <c r="F523" s="1" t="s">
        <v>1453</v>
      </c>
      <c r="G523" s="2">
        <v>46148</v>
      </c>
    </row>
    <row r="524" spans="1:7" x14ac:dyDescent="0.25">
      <c r="A524" s="1" t="s">
        <v>478</v>
      </c>
      <c r="B524" s="1" t="s">
        <v>1486</v>
      </c>
      <c r="C524" s="2">
        <v>46147</v>
      </c>
      <c r="D524">
        <v>335</v>
      </c>
      <c r="E524">
        <v>109.79</v>
      </c>
      <c r="F524" s="1" t="s">
        <v>1446</v>
      </c>
      <c r="G524" s="2">
        <v>46157</v>
      </c>
    </row>
    <row r="525" spans="1:7" x14ac:dyDescent="0.25">
      <c r="A525" s="1" t="s">
        <v>479</v>
      </c>
      <c r="B525" s="1" t="s">
        <v>1454</v>
      </c>
      <c r="C525" s="2">
        <v>46065</v>
      </c>
      <c r="D525">
        <v>260</v>
      </c>
      <c r="E525">
        <v>61.32</v>
      </c>
      <c r="F525" s="1" t="s">
        <v>1501</v>
      </c>
      <c r="G525" s="2">
        <v>46080</v>
      </c>
    </row>
    <row r="526" spans="1:7" x14ac:dyDescent="0.25">
      <c r="A526" s="1" t="s">
        <v>480</v>
      </c>
      <c r="B526" s="1" t="s">
        <v>1478</v>
      </c>
      <c r="C526" s="2">
        <v>46036</v>
      </c>
      <c r="D526">
        <v>453</v>
      </c>
      <c r="E526">
        <v>75.010000000000005</v>
      </c>
      <c r="F526" s="1" t="s">
        <v>1448</v>
      </c>
      <c r="G526" s="2">
        <v>46056</v>
      </c>
    </row>
    <row r="527" spans="1:7" x14ac:dyDescent="0.25">
      <c r="A527" s="1" t="s">
        <v>481</v>
      </c>
      <c r="B527" s="1" t="s">
        <v>1441</v>
      </c>
      <c r="C527" s="2">
        <v>46072</v>
      </c>
      <c r="D527">
        <v>427</v>
      </c>
      <c r="E527">
        <v>79.87</v>
      </c>
      <c r="F527" s="1" t="s">
        <v>1442</v>
      </c>
      <c r="G527" s="2">
        <v>46093</v>
      </c>
    </row>
    <row r="528" spans="1:7" x14ac:dyDescent="0.25">
      <c r="A528" s="1" t="s">
        <v>482</v>
      </c>
      <c r="B528" s="1" t="s">
        <v>1508</v>
      </c>
      <c r="C528" s="2">
        <v>46149</v>
      </c>
      <c r="D528">
        <v>219</v>
      </c>
      <c r="E528">
        <v>138.52000000000001</v>
      </c>
      <c r="F528" s="1" t="s">
        <v>1507</v>
      </c>
      <c r="G528" s="2">
        <v>46168</v>
      </c>
    </row>
    <row r="529" spans="1:7" x14ac:dyDescent="0.25">
      <c r="A529" s="1" t="s">
        <v>483</v>
      </c>
      <c r="B529" s="1" t="s">
        <v>1498</v>
      </c>
      <c r="C529" s="2">
        <v>46065</v>
      </c>
      <c r="D529">
        <v>52</v>
      </c>
      <c r="E529">
        <v>115.25</v>
      </c>
      <c r="F529" s="1" t="s">
        <v>1456</v>
      </c>
      <c r="G529" s="2">
        <v>46077</v>
      </c>
    </row>
    <row r="530" spans="1:7" x14ac:dyDescent="0.25">
      <c r="A530" s="1" t="s">
        <v>484</v>
      </c>
      <c r="B530" s="1" t="s">
        <v>1506</v>
      </c>
      <c r="C530" s="2">
        <v>46031</v>
      </c>
      <c r="D530">
        <v>150</v>
      </c>
      <c r="E530">
        <v>48.84</v>
      </c>
      <c r="F530" s="1" t="s">
        <v>1474</v>
      </c>
      <c r="G530" s="2">
        <v>46041</v>
      </c>
    </row>
    <row r="531" spans="1:7" x14ac:dyDescent="0.25">
      <c r="A531" s="1" t="s">
        <v>485</v>
      </c>
      <c r="B531" s="1" t="s">
        <v>1489</v>
      </c>
      <c r="C531" s="2">
        <v>46167</v>
      </c>
      <c r="D531">
        <v>390</v>
      </c>
      <c r="E531">
        <v>155.65</v>
      </c>
      <c r="F531" s="1" t="s">
        <v>1487</v>
      </c>
      <c r="G531" s="2">
        <v>46188</v>
      </c>
    </row>
    <row r="532" spans="1:7" x14ac:dyDescent="0.25">
      <c r="A532" s="1" t="s">
        <v>486</v>
      </c>
      <c r="B532" s="1" t="s">
        <v>1466</v>
      </c>
      <c r="C532" s="2">
        <v>46169</v>
      </c>
      <c r="D532">
        <v>68</v>
      </c>
      <c r="E532">
        <v>57.24</v>
      </c>
      <c r="F532" s="1" t="s">
        <v>1459</v>
      </c>
      <c r="G532" s="2">
        <v>46185</v>
      </c>
    </row>
    <row r="533" spans="1:7" x14ac:dyDescent="0.25">
      <c r="A533" s="1" t="s">
        <v>487</v>
      </c>
      <c r="B533" s="1" t="s">
        <v>1471</v>
      </c>
      <c r="C533" s="2">
        <v>46033</v>
      </c>
      <c r="D533">
        <v>399</v>
      </c>
      <c r="E533">
        <v>145.19999999999999</v>
      </c>
      <c r="F533" s="1" t="s">
        <v>1442</v>
      </c>
      <c r="G533" s="2">
        <v>46044</v>
      </c>
    </row>
    <row r="534" spans="1:7" x14ac:dyDescent="0.25">
      <c r="A534" s="1" t="s">
        <v>1250</v>
      </c>
      <c r="B534" s="1" t="s">
        <v>1500</v>
      </c>
      <c r="C534" s="2">
        <v>46049</v>
      </c>
      <c r="D534">
        <v>386</v>
      </c>
      <c r="E534">
        <v>166.86</v>
      </c>
      <c r="F534" s="1" t="s">
        <v>1456</v>
      </c>
      <c r="G534" s="2">
        <v>46061</v>
      </c>
    </row>
    <row r="535" spans="1:7" x14ac:dyDescent="0.25">
      <c r="A535" s="1" t="s">
        <v>488</v>
      </c>
      <c r="B535" s="1" t="s">
        <v>1512</v>
      </c>
      <c r="C535" s="2">
        <v>46031</v>
      </c>
      <c r="D535">
        <v>240</v>
      </c>
      <c r="E535">
        <v>56.25</v>
      </c>
      <c r="F535" s="1" t="s">
        <v>1476</v>
      </c>
      <c r="G535" s="2">
        <v>46050</v>
      </c>
    </row>
    <row r="536" spans="1:7" x14ac:dyDescent="0.25">
      <c r="A536" s="1" t="s">
        <v>489</v>
      </c>
      <c r="B536" s="1" t="s">
        <v>1466</v>
      </c>
      <c r="C536" s="2">
        <v>46083</v>
      </c>
      <c r="D536">
        <v>117</v>
      </c>
      <c r="E536">
        <v>163.09</v>
      </c>
      <c r="F536" s="1" t="s">
        <v>1459</v>
      </c>
      <c r="G536" s="2">
        <v>46099</v>
      </c>
    </row>
    <row r="537" spans="1:7" x14ac:dyDescent="0.25">
      <c r="A537" s="1" t="s">
        <v>490</v>
      </c>
      <c r="B537" s="1" t="s">
        <v>1455</v>
      </c>
      <c r="C537" s="2">
        <v>46132</v>
      </c>
      <c r="D537">
        <v>94</v>
      </c>
      <c r="E537">
        <v>125.15</v>
      </c>
      <c r="F537" s="1" t="s">
        <v>1444</v>
      </c>
      <c r="G537" s="2">
        <v>46143</v>
      </c>
    </row>
    <row r="538" spans="1:7" x14ac:dyDescent="0.25">
      <c r="A538" s="1" t="s">
        <v>491</v>
      </c>
      <c r="B538" s="1" t="s">
        <v>1475</v>
      </c>
      <c r="C538" s="2">
        <v>46168</v>
      </c>
      <c r="D538">
        <v>189</v>
      </c>
      <c r="E538">
        <v>108.79</v>
      </c>
      <c r="F538" s="1" t="s">
        <v>1494</v>
      </c>
      <c r="G538" s="2">
        <v>46178</v>
      </c>
    </row>
    <row r="539" spans="1:7" x14ac:dyDescent="0.25">
      <c r="A539" s="1" t="s">
        <v>492</v>
      </c>
      <c r="B539" s="1" t="s">
        <v>1509</v>
      </c>
      <c r="C539" s="2">
        <v>46097</v>
      </c>
      <c r="D539">
        <v>158</v>
      </c>
      <c r="E539">
        <v>116.68</v>
      </c>
      <c r="F539" s="1" t="s">
        <v>1504</v>
      </c>
      <c r="G539" s="2">
        <v>46105</v>
      </c>
    </row>
    <row r="540" spans="1:7" x14ac:dyDescent="0.25">
      <c r="A540" s="1" t="s">
        <v>493</v>
      </c>
      <c r="B540" s="1" t="s">
        <v>1441</v>
      </c>
      <c r="C540" s="2">
        <v>46128</v>
      </c>
      <c r="D540">
        <v>480</v>
      </c>
      <c r="E540">
        <v>16.559999999999999</v>
      </c>
      <c r="F540" s="1" t="s">
        <v>1458</v>
      </c>
      <c r="G540" s="2">
        <v>46137</v>
      </c>
    </row>
    <row r="541" spans="1:7" x14ac:dyDescent="0.25">
      <c r="A541" s="1" t="s">
        <v>494</v>
      </c>
      <c r="B541" s="1" t="s">
        <v>1449</v>
      </c>
      <c r="C541" s="2">
        <v>46056</v>
      </c>
      <c r="D541">
        <v>137</v>
      </c>
      <c r="E541">
        <v>33.520000000000003</v>
      </c>
      <c r="F541" s="1" t="s">
        <v>1472</v>
      </c>
      <c r="G541" s="2">
        <v>46068</v>
      </c>
    </row>
    <row r="542" spans="1:7" x14ac:dyDescent="0.25">
      <c r="A542" s="1" t="s">
        <v>495</v>
      </c>
      <c r="B542" s="1" t="s">
        <v>1461</v>
      </c>
      <c r="C542" s="2">
        <v>46123</v>
      </c>
      <c r="D542">
        <v>260</v>
      </c>
      <c r="E542">
        <v>32.72</v>
      </c>
      <c r="F542" s="1" t="s">
        <v>1446</v>
      </c>
      <c r="G542" s="2">
        <v>46136</v>
      </c>
    </row>
    <row r="543" spans="1:7" x14ac:dyDescent="0.25">
      <c r="A543" s="1" t="s">
        <v>496</v>
      </c>
      <c r="B543" s="1" t="s">
        <v>1439</v>
      </c>
      <c r="C543" s="2">
        <v>46129</v>
      </c>
      <c r="D543">
        <v>202</v>
      </c>
      <c r="E543">
        <v>93.14</v>
      </c>
      <c r="F543" s="1" t="s">
        <v>1446</v>
      </c>
      <c r="G543" s="2">
        <v>46136</v>
      </c>
    </row>
    <row r="544" spans="1:7" x14ac:dyDescent="0.25">
      <c r="A544" s="1" t="s">
        <v>497</v>
      </c>
      <c r="B544" s="1" t="s">
        <v>1488</v>
      </c>
      <c r="C544" s="2">
        <v>46154</v>
      </c>
      <c r="D544">
        <v>393</v>
      </c>
      <c r="E544">
        <v>59.25</v>
      </c>
      <c r="F544" s="1" t="s">
        <v>1451</v>
      </c>
      <c r="G544" s="2">
        <v>46173</v>
      </c>
    </row>
    <row r="545" spans="1:7" x14ac:dyDescent="0.25">
      <c r="A545" s="1" t="s">
        <v>498</v>
      </c>
      <c r="B545" s="1" t="s">
        <v>1498</v>
      </c>
      <c r="C545" s="2">
        <v>46106</v>
      </c>
      <c r="D545">
        <v>307</v>
      </c>
      <c r="E545">
        <v>5.48</v>
      </c>
      <c r="F545" s="1" t="s">
        <v>1456</v>
      </c>
      <c r="G545" s="2">
        <v>46113</v>
      </c>
    </row>
    <row r="546" spans="1:7" x14ac:dyDescent="0.25">
      <c r="A546" s="1" t="s">
        <v>499</v>
      </c>
      <c r="B546" s="1" t="s">
        <v>1477</v>
      </c>
      <c r="C546" s="2">
        <v>46140</v>
      </c>
      <c r="D546">
        <v>335</v>
      </c>
      <c r="E546">
        <v>134.51</v>
      </c>
      <c r="F546" s="1" t="s">
        <v>1451</v>
      </c>
      <c r="G546" s="2">
        <v>46147</v>
      </c>
    </row>
    <row r="547" spans="1:7" x14ac:dyDescent="0.25">
      <c r="A547" s="1" t="s">
        <v>500</v>
      </c>
      <c r="B547" s="1" t="s">
        <v>1471</v>
      </c>
      <c r="C547" s="2">
        <v>46124</v>
      </c>
      <c r="D547">
        <v>121</v>
      </c>
      <c r="E547">
        <v>193.79</v>
      </c>
      <c r="F547" s="1" t="s">
        <v>1459</v>
      </c>
      <c r="G547" s="2">
        <v>46144</v>
      </c>
    </row>
    <row r="548" spans="1:7" x14ac:dyDescent="0.25">
      <c r="A548" s="1" t="s">
        <v>501</v>
      </c>
      <c r="B548" s="1" t="s">
        <v>1511</v>
      </c>
      <c r="C548" s="2">
        <v>46105</v>
      </c>
      <c r="D548">
        <v>434</v>
      </c>
      <c r="E548">
        <v>60.3</v>
      </c>
      <c r="F548" s="1" t="s">
        <v>1442</v>
      </c>
      <c r="G548" s="2">
        <v>46114</v>
      </c>
    </row>
    <row r="549" spans="1:7" x14ac:dyDescent="0.25">
      <c r="A549" s="1" t="s">
        <v>502</v>
      </c>
      <c r="B549" s="1" t="s">
        <v>1493</v>
      </c>
      <c r="C549" s="2">
        <v>46147</v>
      </c>
      <c r="D549">
        <v>413</v>
      </c>
      <c r="E549">
        <v>72.03</v>
      </c>
      <c r="F549" s="1" t="s">
        <v>1467</v>
      </c>
      <c r="G549" s="2">
        <v>46153</v>
      </c>
    </row>
    <row r="550" spans="1:7" x14ac:dyDescent="0.25">
      <c r="A550" s="1" t="s">
        <v>503</v>
      </c>
      <c r="B550" s="1" t="s">
        <v>1452</v>
      </c>
      <c r="C550" s="2">
        <v>46048</v>
      </c>
      <c r="D550">
        <v>330</v>
      </c>
      <c r="E550">
        <v>157.86000000000001</v>
      </c>
      <c r="F550" s="1" t="s">
        <v>1469</v>
      </c>
      <c r="G550" s="2">
        <v>46053</v>
      </c>
    </row>
    <row r="551" spans="1:7" x14ac:dyDescent="0.25">
      <c r="A551" s="1" t="s">
        <v>504</v>
      </c>
      <c r="B551" s="1" t="s">
        <v>1466</v>
      </c>
      <c r="C551" s="2">
        <v>46063</v>
      </c>
      <c r="D551">
        <v>235</v>
      </c>
      <c r="E551">
        <v>94.02</v>
      </c>
      <c r="F551" s="1" t="s">
        <v>1507</v>
      </c>
      <c r="G551" s="2">
        <v>46074</v>
      </c>
    </row>
    <row r="552" spans="1:7" x14ac:dyDescent="0.25">
      <c r="A552" s="1" t="s">
        <v>505</v>
      </c>
      <c r="B552" s="1" t="s">
        <v>1449</v>
      </c>
      <c r="C552" s="2">
        <v>46056</v>
      </c>
      <c r="D552">
        <v>461</v>
      </c>
      <c r="E552">
        <v>131.75</v>
      </c>
      <c r="F552" s="1" t="s">
        <v>1501</v>
      </c>
      <c r="G552" s="2">
        <v>46069</v>
      </c>
    </row>
    <row r="553" spans="1:7" x14ac:dyDescent="0.25">
      <c r="A553" s="1" t="s">
        <v>506</v>
      </c>
      <c r="B553" s="1" t="s">
        <v>1457</v>
      </c>
      <c r="C553" s="2">
        <v>46115</v>
      </c>
      <c r="D553">
        <v>138</v>
      </c>
      <c r="E553">
        <v>21.07</v>
      </c>
      <c r="F553" s="1" t="s">
        <v>1467</v>
      </c>
      <c r="G553" s="2">
        <v>46125</v>
      </c>
    </row>
    <row r="554" spans="1:7" x14ac:dyDescent="0.25">
      <c r="A554" s="1" t="s">
        <v>507</v>
      </c>
      <c r="B554" s="1" t="s">
        <v>1475</v>
      </c>
      <c r="C554" s="2">
        <v>46124</v>
      </c>
      <c r="D554">
        <v>330</v>
      </c>
      <c r="E554">
        <v>64.569999999999993</v>
      </c>
      <c r="F554" s="1" t="s">
        <v>1499</v>
      </c>
      <c r="G554" s="2">
        <v>46136</v>
      </c>
    </row>
    <row r="555" spans="1:7" x14ac:dyDescent="0.25">
      <c r="A555" s="1" t="s">
        <v>508</v>
      </c>
      <c r="B555" s="1" t="s">
        <v>1500</v>
      </c>
      <c r="C555" s="2">
        <v>46046</v>
      </c>
      <c r="D555">
        <v>370</v>
      </c>
      <c r="E555">
        <v>23.56</v>
      </c>
      <c r="F555" s="1" t="s">
        <v>1444</v>
      </c>
      <c r="G555" s="2">
        <v>46066</v>
      </c>
    </row>
    <row r="556" spans="1:7" x14ac:dyDescent="0.25">
      <c r="A556" s="1" t="s">
        <v>509</v>
      </c>
      <c r="B556" s="1" t="s">
        <v>1492</v>
      </c>
      <c r="C556" s="2">
        <v>46056</v>
      </c>
      <c r="D556">
        <v>313</v>
      </c>
      <c r="E556">
        <v>49.11</v>
      </c>
      <c r="F556" s="1" t="s">
        <v>1467</v>
      </c>
      <c r="G556" s="2">
        <v>46075</v>
      </c>
    </row>
    <row r="557" spans="1:7" x14ac:dyDescent="0.25">
      <c r="A557" s="1" t="s">
        <v>510</v>
      </c>
      <c r="B557" s="1" t="s">
        <v>1481</v>
      </c>
      <c r="C557" s="2">
        <v>46025</v>
      </c>
      <c r="D557">
        <v>366</v>
      </c>
      <c r="E557">
        <v>72</v>
      </c>
      <c r="F557" s="1" t="s">
        <v>1483</v>
      </c>
      <c r="G557" s="2">
        <v>46043</v>
      </c>
    </row>
    <row r="558" spans="1:7" x14ac:dyDescent="0.25">
      <c r="A558" s="1" t="s">
        <v>1275</v>
      </c>
      <c r="B558" s="1" t="s">
        <v>1449</v>
      </c>
      <c r="C558" s="2">
        <v>46056</v>
      </c>
      <c r="D558">
        <v>254</v>
      </c>
      <c r="E558">
        <v>18.809999999999999</v>
      </c>
      <c r="F558" s="1" t="s">
        <v>1453</v>
      </c>
      <c r="G558" s="2">
        <v>46063</v>
      </c>
    </row>
    <row r="559" spans="1:7" x14ac:dyDescent="0.25">
      <c r="A559" s="1" t="s">
        <v>511</v>
      </c>
      <c r="B559" s="1" t="s">
        <v>1477</v>
      </c>
      <c r="C559" s="2">
        <v>46049</v>
      </c>
      <c r="D559">
        <v>62</v>
      </c>
      <c r="E559">
        <v>66.099999999999994</v>
      </c>
      <c r="F559" s="1" t="s">
        <v>1474</v>
      </c>
      <c r="G559" s="2">
        <v>46058</v>
      </c>
    </row>
    <row r="560" spans="1:7" x14ac:dyDescent="0.25">
      <c r="A560" s="1" t="s">
        <v>512</v>
      </c>
      <c r="B560" s="1" t="s">
        <v>1502</v>
      </c>
      <c r="C560" s="2">
        <v>46057</v>
      </c>
      <c r="D560">
        <v>338</v>
      </c>
      <c r="E560">
        <v>198.62</v>
      </c>
      <c r="F560" s="1" t="s">
        <v>1485</v>
      </c>
      <c r="G560" s="2">
        <v>46064</v>
      </c>
    </row>
    <row r="561" spans="1:7" x14ac:dyDescent="0.25">
      <c r="A561" s="1" t="s">
        <v>513</v>
      </c>
      <c r="B561" s="1" t="s">
        <v>1491</v>
      </c>
      <c r="C561" s="2">
        <v>46167</v>
      </c>
      <c r="D561">
        <v>14</v>
      </c>
      <c r="E561">
        <v>124.01</v>
      </c>
      <c r="F561" s="1" t="s">
        <v>1459</v>
      </c>
      <c r="G561" s="2">
        <v>46186</v>
      </c>
    </row>
    <row r="562" spans="1:7" x14ac:dyDescent="0.25">
      <c r="A562" s="1" t="s">
        <v>514</v>
      </c>
      <c r="B562" s="1" t="s">
        <v>1503</v>
      </c>
      <c r="C562" s="2">
        <v>46077</v>
      </c>
      <c r="D562">
        <v>331</v>
      </c>
      <c r="E562">
        <v>150.91</v>
      </c>
      <c r="F562" s="1" t="s">
        <v>1507</v>
      </c>
      <c r="G562" s="2">
        <v>46096</v>
      </c>
    </row>
    <row r="563" spans="1:7" x14ac:dyDescent="0.25">
      <c r="A563" s="1" t="s">
        <v>515</v>
      </c>
      <c r="B563" s="1" t="s">
        <v>1463</v>
      </c>
      <c r="C563" s="2">
        <v>46045</v>
      </c>
      <c r="D563">
        <v>469</v>
      </c>
      <c r="E563">
        <v>24.59</v>
      </c>
      <c r="F563" s="1" t="s">
        <v>1456</v>
      </c>
      <c r="G563" s="2">
        <v>46053</v>
      </c>
    </row>
    <row r="564" spans="1:7" x14ac:dyDescent="0.25">
      <c r="A564" s="1" t="s">
        <v>516</v>
      </c>
      <c r="B564" s="1" t="s">
        <v>1443</v>
      </c>
      <c r="C564" s="2">
        <v>46121</v>
      </c>
      <c r="D564">
        <v>189</v>
      </c>
      <c r="E564">
        <v>192.83</v>
      </c>
      <c r="F564" s="1" t="s">
        <v>1459</v>
      </c>
      <c r="G564" s="2">
        <v>46130</v>
      </c>
    </row>
    <row r="565" spans="1:7" x14ac:dyDescent="0.25">
      <c r="A565" s="1" t="s">
        <v>517</v>
      </c>
      <c r="B565" s="1" t="s">
        <v>1482</v>
      </c>
      <c r="C565" s="2">
        <v>46093</v>
      </c>
      <c r="D565">
        <v>340</v>
      </c>
      <c r="E565">
        <v>21.43</v>
      </c>
      <c r="F565" s="1" t="s">
        <v>1442</v>
      </c>
      <c r="G565" s="2">
        <v>46107</v>
      </c>
    </row>
    <row r="566" spans="1:7" x14ac:dyDescent="0.25">
      <c r="A566" s="1" t="s">
        <v>1284</v>
      </c>
      <c r="B566" s="1" t="s">
        <v>1449</v>
      </c>
      <c r="C566" s="2">
        <v>46029</v>
      </c>
      <c r="D566">
        <v>444</v>
      </c>
      <c r="E566">
        <v>170.18</v>
      </c>
      <c r="F566" s="1" t="s">
        <v>1474</v>
      </c>
      <c r="G566" s="2">
        <v>46040</v>
      </c>
    </row>
    <row r="567" spans="1:7" x14ac:dyDescent="0.25">
      <c r="A567" s="1" t="s">
        <v>518</v>
      </c>
      <c r="B567" s="1" t="s">
        <v>1491</v>
      </c>
      <c r="C567" s="2">
        <v>46153</v>
      </c>
      <c r="D567">
        <v>106</v>
      </c>
      <c r="E567">
        <v>150.83000000000001</v>
      </c>
      <c r="F567" s="1" t="s">
        <v>1474</v>
      </c>
      <c r="G567" s="2">
        <v>46159</v>
      </c>
    </row>
    <row r="568" spans="1:7" x14ac:dyDescent="0.25">
      <c r="A568" s="1" t="s">
        <v>1288</v>
      </c>
      <c r="B568" s="1" t="s">
        <v>1482</v>
      </c>
      <c r="C568" s="2">
        <v>46149</v>
      </c>
      <c r="D568">
        <v>207</v>
      </c>
      <c r="E568">
        <v>26.99</v>
      </c>
      <c r="F568" s="1" t="s">
        <v>1487</v>
      </c>
      <c r="G568" s="2">
        <v>46156</v>
      </c>
    </row>
    <row r="569" spans="1:7" x14ac:dyDescent="0.25">
      <c r="A569" s="1" t="s">
        <v>519</v>
      </c>
      <c r="B569" s="1" t="s">
        <v>1491</v>
      </c>
      <c r="C569" s="2">
        <v>46026</v>
      </c>
      <c r="D569">
        <v>194</v>
      </c>
      <c r="E569">
        <v>187.12</v>
      </c>
      <c r="F569" s="1" t="s">
        <v>1485</v>
      </c>
      <c r="G569" s="2">
        <v>46043</v>
      </c>
    </row>
    <row r="570" spans="1:7" x14ac:dyDescent="0.25">
      <c r="A570" s="1" t="s">
        <v>520</v>
      </c>
      <c r="B570" s="1" t="s">
        <v>1493</v>
      </c>
      <c r="C570" s="2">
        <v>46130</v>
      </c>
      <c r="D570">
        <v>197</v>
      </c>
      <c r="E570">
        <v>111.54</v>
      </c>
      <c r="F570" s="1" t="s">
        <v>1501</v>
      </c>
      <c r="G570" s="2">
        <v>46150</v>
      </c>
    </row>
    <row r="571" spans="1:7" x14ac:dyDescent="0.25">
      <c r="A571" s="1" t="s">
        <v>521</v>
      </c>
      <c r="B571" s="1" t="s">
        <v>1492</v>
      </c>
      <c r="C571" s="2">
        <v>46027</v>
      </c>
      <c r="D571">
        <v>310</v>
      </c>
      <c r="E571">
        <v>18.170000000000002</v>
      </c>
      <c r="F571" s="1" t="s">
        <v>1458</v>
      </c>
      <c r="G571" s="2">
        <v>46038</v>
      </c>
    </row>
    <row r="572" spans="1:7" x14ac:dyDescent="0.25">
      <c r="A572" s="1" t="s">
        <v>522</v>
      </c>
      <c r="B572" s="1" t="s">
        <v>1452</v>
      </c>
      <c r="C572" s="2">
        <v>46038</v>
      </c>
      <c r="D572">
        <v>495</v>
      </c>
      <c r="E572">
        <v>158.91</v>
      </c>
      <c r="F572" s="1" t="s">
        <v>1504</v>
      </c>
      <c r="G572" s="2">
        <v>46052</v>
      </c>
    </row>
    <row r="573" spans="1:7" x14ac:dyDescent="0.25">
      <c r="A573" s="1" t="s">
        <v>523</v>
      </c>
      <c r="B573" s="1" t="s">
        <v>1439</v>
      </c>
      <c r="C573" s="2">
        <v>46151</v>
      </c>
      <c r="D573">
        <v>402</v>
      </c>
      <c r="E573">
        <v>86.01</v>
      </c>
      <c r="F573" s="1" t="s">
        <v>1499</v>
      </c>
      <c r="G573" s="2">
        <v>46168</v>
      </c>
    </row>
    <row r="574" spans="1:7" x14ac:dyDescent="0.25">
      <c r="A574" s="1" t="s">
        <v>524</v>
      </c>
      <c r="B574" s="1" t="s">
        <v>1457</v>
      </c>
      <c r="C574" s="2">
        <v>46160</v>
      </c>
      <c r="D574">
        <v>285</v>
      </c>
      <c r="E574">
        <v>125.13</v>
      </c>
      <c r="F574" s="1" t="s">
        <v>1458</v>
      </c>
      <c r="G574" s="2">
        <v>46167</v>
      </c>
    </row>
    <row r="575" spans="1:7" x14ac:dyDescent="0.25">
      <c r="A575" s="1" t="s">
        <v>525</v>
      </c>
      <c r="B575" s="1" t="s">
        <v>1512</v>
      </c>
      <c r="C575" s="2">
        <v>46043</v>
      </c>
      <c r="D575">
        <v>271</v>
      </c>
      <c r="E575">
        <v>184.58</v>
      </c>
      <c r="F575" s="1" t="s">
        <v>1485</v>
      </c>
      <c r="G575" s="2">
        <v>46058</v>
      </c>
    </row>
    <row r="576" spans="1:7" x14ac:dyDescent="0.25">
      <c r="A576" s="1" t="s">
        <v>526</v>
      </c>
      <c r="B576" s="1" t="s">
        <v>1488</v>
      </c>
      <c r="C576" s="2">
        <v>46173</v>
      </c>
      <c r="D576">
        <v>334</v>
      </c>
      <c r="E576">
        <v>153.83000000000001</v>
      </c>
      <c r="F576" s="1" t="s">
        <v>1446</v>
      </c>
      <c r="G576" s="2">
        <v>46180</v>
      </c>
    </row>
    <row r="577" spans="1:7" x14ac:dyDescent="0.25">
      <c r="A577" s="1" t="s">
        <v>527</v>
      </c>
      <c r="B577" s="1" t="s">
        <v>1512</v>
      </c>
      <c r="C577" s="2">
        <v>46134</v>
      </c>
      <c r="D577">
        <v>383</v>
      </c>
      <c r="E577">
        <v>190.92</v>
      </c>
      <c r="F577" s="1" t="s">
        <v>1440</v>
      </c>
      <c r="G577" s="2">
        <v>46140</v>
      </c>
    </row>
    <row r="578" spans="1:7" x14ac:dyDescent="0.25">
      <c r="A578" s="1" t="s">
        <v>528</v>
      </c>
      <c r="B578" s="1" t="s">
        <v>1482</v>
      </c>
      <c r="C578" s="2">
        <v>46045</v>
      </c>
      <c r="D578">
        <v>483</v>
      </c>
      <c r="E578">
        <v>89.72</v>
      </c>
      <c r="F578" s="1" t="s">
        <v>1469</v>
      </c>
      <c r="G578" s="2">
        <v>46051</v>
      </c>
    </row>
    <row r="579" spans="1:7" x14ac:dyDescent="0.25">
      <c r="A579" s="1" t="s">
        <v>529</v>
      </c>
      <c r="B579" s="1" t="s">
        <v>1512</v>
      </c>
      <c r="C579" s="2">
        <v>46067</v>
      </c>
      <c r="D579">
        <v>71</v>
      </c>
      <c r="E579">
        <v>7.47</v>
      </c>
      <c r="F579" s="1" t="s">
        <v>1485</v>
      </c>
      <c r="G579" s="2">
        <v>46072</v>
      </c>
    </row>
    <row r="580" spans="1:7" x14ac:dyDescent="0.25">
      <c r="A580" s="1" t="s">
        <v>530</v>
      </c>
      <c r="B580" s="1" t="s">
        <v>1460</v>
      </c>
      <c r="C580" s="2">
        <v>46150</v>
      </c>
      <c r="D580">
        <v>497</v>
      </c>
      <c r="E580">
        <v>72.61</v>
      </c>
      <c r="F580" s="1" t="s">
        <v>1504</v>
      </c>
      <c r="G580" s="2">
        <v>46163</v>
      </c>
    </row>
    <row r="581" spans="1:7" x14ac:dyDescent="0.25">
      <c r="A581" s="1" t="s">
        <v>531</v>
      </c>
      <c r="B581" s="1" t="s">
        <v>1460</v>
      </c>
      <c r="C581" s="2">
        <v>46118</v>
      </c>
      <c r="D581">
        <v>74</v>
      </c>
      <c r="E581">
        <v>151.21</v>
      </c>
      <c r="F581" s="1" t="s">
        <v>1458</v>
      </c>
      <c r="G581" s="2">
        <v>46126</v>
      </c>
    </row>
    <row r="582" spans="1:7" x14ac:dyDescent="0.25">
      <c r="A582" s="1" t="s">
        <v>532</v>
      </c>
      <c r="B582" s="1" t="s">
        <v>1473</v>
      </c>
      <c r="C582" s="2">
        <v>46108</v>
      </c>
      <c r="D582">
        <v>423</v>
      </c>
      <c r="E582">
        <v>88.72</v>
      </c>
      <c r="F582" s="1" t="s">
        <v>1504</v>
      </c>
      <c r="G582" s="2">
        <v>46115</v>
      </c>
    </row>
    <row r="583" spans="1:7" x14ac:dyDescent="0.25">
      <c r="A583" s="1" t="s">
        <v>533</v>
      </c>
      <c r="B583" s="1" t="s">
        <v>1470</v>
      </c>
      <c r="C583" s="2">
        <v>46170</v>
      </c>
      <c r="D583">
        <v>331</v>
      </c>
      <c r="E583">
        <v>20.03</v>
      </c>
      <c r="F583" s="1" t="s">
        <v>1469</v>
      </c>
      <c r="G583" s="2">
        <v>46191</v>
      </c>
    </row>
    <row r="584" spans="1:7" x14ac:dyDescent="0.25">
      <c r="A584" s="1" t="s">
        <v>534</v>
      </c>
      <c r="B584" s="1" t="s">
        <v>1496</v>
      </c>
      <c r="C584" s="2">
        <v>46037</v>
      </c>
      <c r="D584">
        <v>265</v>
      </c>
      <c r="E584">
        <v>172.58</v>
      </c>
      <c r="F584" s="1" t="s">
        <v>1501</v>
      </c>
      <c r="G584" s="2">
        <v>46053</v>
      </c>
    </row>
    <row r="585" spans="1:7" x14ac:dyDescent="0.25">
      <c r="A585" s="1" t="s">
        <v>535</v>
      </c>
      <c r="B585" s="1" t="s">
        <v>1460</v>
      </c>
      <c r="C585" s="2">
        <v>46088</v>
      </c>
      <c r="D585">
        <v>405</v>
      </c>
      <c r="E585">
        <v>25.07</v>
      </c>
      <c r="F585" s="1" t="s">
        <v>1480</v>
      </c>
      <c r="G585" s="2">
        <v>46096</v>
      </c>
    </row>
    <row r="586" spans="1:7" x14ac:dyDescent="0.25">
      <c r="A586" s="1" t="s">
        <v>536</v>
      </c>
      <c r="B586" s="1" t="s">
        <v>1447</v>
      </c>
      <c r="C586" s="2">
        <v>46153</v>
      </c>
      <c r="D586">
        <v>11</v>
      </c>
      <c r="E586">
        <v>13.59</v>
      </c>
      <c r="F586" s="1" t="s">
        <v>1448</v>
      </c>
      <c r="G586" s="2">
        <v>46165</v>
      </c>
    </row>
    <row r="587" spans="1:7" x14ac:dyDescent="0.25">
      <c r="A587" s="1" t="s">
        <v>537</v>
      </c>
      <c r="B587" s="1" t="s">
        <v>1452</v>
      </c>
      <c r="C587" s="2">
        <v>46143</v>
      </c>
      <c r="D587">
        <v>196</v>
      </c>
      <c r="E587">
        <v>79.680000000000007</v>
      </c>
      <c r="F587" s="1" t="s">
        <v>1485</v>
      </c>
      <c r="G587" s="2">
        <v>46153</v>
      </c>
    </row>
    <row r="588" spans="1:7" x14ac:dyDescent="0.25">
      <c r="A588" s="1" t="s">
        <v>538</v>
      </c>
      <c r="B588" s="1" t="s">
        <v>1452</v>
      </c>
      <c r="C588" s="2">
        <v>46164</v>
      </c>
      <c r="D588">
        <v>421</v>
      </c>
      <c r="E588">
        <v>183.22</v>
      </c>
      <c r="F588" s="1" t="s">
        <v>1490</v>
      </c>
      <c r="G588" s="2">
        <v>46182</v>
      </c>
    </row>
    <row r="589" spans="1:7" x14ac:dyDescent="0.25">
      <c r="A589" s="1" t="s">
        <v>539</v>
      </c>
      <c r="B589" s="1" t="s">
        <v>1447</v>
      </c>
      <c r="C589" s="2">
        <v>46105</v>
      </c>
      <c r="D589">
        <v>137</v>
      </c>
      <c r="E589">
        <v>86.17</v>
      </c>
      <c r="F589" s="1" t="s">
        <v>1490</v>
      </c>
      <c r="G589" s="2">
        <v>46120</v>
      </c>
    </row>
    <row r="590" spans="1:7" x14ac:dyDescent="0.25">
      <c r="A590" s="1" t="s">
        <v>540</v>
      </c>
      <c r="B590" s="1" t="s">
        <v>1511</v>
      </c>
      <c r="C590" s="2">
        <v>46042</v>
      </c>
      <c r="D590">
        <v>302</v>
      </c>
      <c r="E590">
        <v>77.7</v>
      </c>
      <c r="F590" s="1" t="s">
        <v>1504</v>
      </c>
      <c r="G590" s="2">
        <v>46048</v>
      </c>
    </row>
    <row r="591" spans="1:7" x14ac:dyDescent="0.25">
      <c r="A591" s="1" t="s">
        <v>541</v>
      </c>
      <c r="B591" s="1" t="s">
        <v>1486</v>
      </c>
      <c r="C591" s="2">
        <v>46080</v>
      </c>
      <c r="D591">
        <v>421</v>
      </c>
      <c r="E591">
        <v>105.58</v>
      </c>
      <c r="F591" s="1" t="s">
        <v>1462</v>
      </c>
      <c r="G591" s="2">
        <v>46097</v>
      </c>
    </row>
    <row r="592" spans="1:7" x14ac:dyDescent="0.25">
      <c r="A592" s="1" t="s">
        <v>542</v>
      </c>
      <c r="B592" s="1" t="s">
        <v>1492</v>
      </c>
      <c r="C592" s="2">
        <v>46142</v>
      </c>
      <c r="D592">
        <v>453</v>
      </c>
      <c r="E592">
        <v>60.05</v>
      </c>
      <c r="F592" s="1" t="s">
        <v>1474</v>
      </c>
      <c r="G592" s="2">
        <v>46157</v>
      </c>
    </row>
    <row r="593" spans="1:7" x14ac:dyDescent="0.25">
      <c r="A593" s="1" t="s">
        <v>543</v>
      </c>
      <c r="B593" s="1" t="s">
        <v>1457</v>
      </c>
      <c r="C593" s="2">
        <v>46164</v>
      </c>
      <c r="D593">
        <v>243</v>
      </c>
      <c r="E593">
        <v>6.55</v>
      </c>
      <c r="F593" s="1" t="s">
        <v>1444</v>
      </c>
      <c r="G593" s="2">
        <v>46178</v>
      </c>
    </row>
    <row r="594" spans="1:7" x14ac:dyDescent="0.25">
      <c r="A594" s="1" t="s">
        <v>544</v>
      </c>
      <c r="B594" s="1" t="s">
        <v>1493</v>
      </c>
      <c r="C594" s="2">
        <v>46100</v>
      </c>
      <c r="D594">
        <v>388</v>
      </c>
      <c r="E594">
        <v>126.43</v>
      </c>
      <c r="F594" s="1" t="s">
        <v>1469</v>
      </c>
      <c r="G594" s="2">
        <v>46116</v>
      </c>
    </row>
    <row r="595" spans="1:7" x14ac:dyDescent="0.25">
      <c r="A595" s="1" t="s">
        <v>545</v>
      </c>
      <c r="B595" s="1" t="s">
        <v>1443</v>
      </c>
      <c r="C595" s="2">
        <v>46149</v>
      </c>
      <c r="D595">
        <v>405</v>
      </c>
      <c r="E595">
        <v>156.30000000000001</v>
      </c>
      <c r="F595" s="1" t="s">
        <v>1490</v>
      </c>
      <c r="G595" s="2">
        <v>46161</v>
      </c>
    </row>
    <row r="596" spans="1:7" x14ac:dyDescent="0.25">
      <c r="A596" s="1" t="s">
        <v>546</v>
      </c>
      <c r="B596" s="1" t="s">
        <v>1464</v>
      </c>
      <c r="C596" s="2">
        <v>46024</v>
      </c>
      <c r="D596">
        <v>487</v>
      </c>
      <c r="E596">
        <v>84.96</v>
      </c>
      <c r="F596" s="1" t="s">
        <v>1440</v>
      </c>
      <c r="G596" s="2">
        <v>46040</v>
      </c>
    </row>
    <row r="597" spans="1:7" x14ac:dyDescent="0.25">
      <c r="A597" s="1" t="s">
        <v>547</v>
      </c>
      <c r="B597" s="1" t="s">
        <v>1439</v>
      </c>
      <c r="C597" s="2">
        <v>46025</v>
      </c>
      <c r="D597">
        <v>496</v>
      </c>
      <c r="E597">
        <v>70.33</v>
      </c>
      <c r="F597" s="1" t="s">
        <v>1456</v>
      </c>
      <c r="G597" s="2">
        <v>46042</v>
      </c>
    </row>
    <row r="598" spans="1:7" x14ac:dyDescent="0.25">
      <c r="A598" s="1" t="s">
        <v>548</v>
      </c>
      <c r="B598" s="1" t="s">
        <v>1465</v>
      </c>
      <c r="C598" s="2">
        <v>46101</v>
      </c>
      <c r="D598">
        <v>63</v>
      </c>
      <c r="E598">
        <v>45.01</v>
      </c>
      <c r="F598" s="1" t="s">
        <v>1440</v>
      </c>
      <c r="G598" s="2">
        <v>46119</v>
      </c>
    </row>
    <row r="599" spans="1:7" x14ac:dyDescent="0.25">
      <c r="A599" s="1" t="s">
        <v>549</v>
      </c>
      <c r="B599" s="1" t="s">
        <v>1498</v>
      </c>
      <c r="C599" s="2">
        <v>46038</v>
      </c>
      <c r="D599">
        <v>82</v>
      </c>
      <c r="E599">
        <v>143.77000000000001</v>
      </c>
      <c r="F599" s="1" t="s">
        <v>1476</v>
      </c>
      <c r="G599" s="2">
        <v>46044</v>
      </c>
    </row>
    <row r="600" spans="1:7" x14ac:dyDescent="0.25">
      <c r="A600" s="1" t="s">
        <v>550</v>
      </c>
      <c r="B600" s="1" t="s">
        <v>1447</v>
      </c>
      <c r="C600" s="2">
        <v>46156</v>
      </c>
      <c r="D600">
        <v>221</v>
      </c>
      <c r="E600">
        <v>141.66999999999999</v>
      </c>
      <c r="F600" s="1" t="s">
        <v>1451</v>
      </c>
      <c r="G600" s="2">
        <v>46175</v>
      </c>
    </row>
    <row r="601" spans="1:7" x14ac:dyDescent="0.25">
      <c r="A601" s="1" t="s">
        <v>551</v>
      </c>
      <c r="B601" s="1" t="s">
        <v>1465</v>
      </c>
      <c r="C601" s="2">
        <v>46044</v>
      </c>
      <c r="D601">
        <v>307</v>
      </c>
      <c r="E601">
        <v>23.64</v>
      </c>
      <c r="F601" s="1" t="s">
        <v>1485</v>
      </c>
      <c r="G601" s="2">
        <v>46061</v>
      </c>
    </row>
    <row r="602" spans="1:7" x14ac:dyDescent="0.25">
      <c r="A602" s="1" t="s">
        <v>552</v>
      </c>
      <c r="B602" s="1" t="s">
        <v>1492</v>
      </c>
      <c r="C602" s="2">
        <v>46168</v>
      </c>
      <c r="D602">
        <v>41</v>
      </c>
      <c r="E602">
        <v>89.82</v>
      </c>
      <c r="F602" s="1" t="s">
        <v>1485</v>
      </c>
      <c r="G602" s="2">
        <v>46180</v>
      </c>
    </row>
    <row r="603" spans="1:7" x14ac:dyDescent="0.25">
      <c r="A603" s="1" t="s">
        <v>553</v>
      </c>
      <c r="B603" s="1" t="s">
        <v>1506</v>
      </c>
      <c r="C603" s="2">
        <v>46089</v>
      </c>
      <c r="D603">
        <v>445</v>
      </c>
      <c r="E603">
        <v>66.430000000000007</v>
      </c>
      <c r="F603" s="1" t="s">
        <v>1453</v>
      </c>
      <c r="G603" s="2">
        <v>46104</v>
      </c>
    </row>
    <row r="604" spans="1:7" x14ac:dyDescent="0.25">
      <c r="A604" s="1" t="s">
        <v>554</v>
      </c>
      <c r="B604" s="1" t="s">
        <v>1509</v>
      </c>
      <c r="C604" s="2">
        <v>46138</v>
      </c>
      <c r="D604">
        <v>149</v>
      </c>
      <c r="E604">
        <v>50.55</v>
      </c>
      <c r="F604" s="1" t="s">
        <v>1444</v>
      </c>
      <c r="G604" s="2">
        <v>46147</v>
      </c>
    </row>
    <row r="605" spans="1:7" x14ac:dyDescent="0.25">
      <c r="A605" s="1" t="s">
        <v>555</v>
      </c>
      <c r="B605" s="1" t="s">
        <v>1443</v>
      </c>
      <c r="C605" s="2">
        <v>46050</v>
      </c>
      <c r="D605">
        <v>89</v>
      </c>
      <c r="E605">
        <v>25.6</v>
      </c>
      <c r="F605" s="1" t="s">
        <v>1469</v>
      </c>
      <c r="G605" s="2">
        <v>46069</v>
      </c>
    </row>
    <row r="606" spans="1:7" x14ac:dyDescent="0.25">
      <c r="A606" s="1" t="s">
        <v>1330</v>
      </c>
      <c r="B606" s="1" t="s">
        <v>1509</v>
      </c>
      <c r="C606" s="2">
        <v>46127</v>
      </c>
      <c r="D606">
        <v>71</v>
      </c>
      <c r="E606">
        <v>109.51</v>
      </c>
      <c r="F606" s="1" t="s">
        <v>1456</v>
      </c>
      <c r="G606" s="2">
        <v>46138</v>
      </c>
    </row>
    <row r="607" spans="1:7" x14ac:dyDescent="0.25">
      <c r="A607" s="1" t="s">
        <v>1333</v>
      </c>
      <c r="B607" s="1" t="s">
        <v>1478</v>
      </c>
      <c r="C607" s="2">
        <v>46101</v>
      </c>
      <c r="D607">
        <v>247</v>
      </c>
      <c r="E607">
        <v>56.68</v>
      </c>
      <c r="F607" s="1" t="s">
        <v>1483</v>
      </c>
      <c r="G607" s="2">
        <v>46108</v>
      </c>
    </row>
    <row r="608" spans="1:7" x14ac:dyDescent="0.25">
      <c r="A608" s="1" t="s">
        <v>556</v>
      </c>
      <c r="B608" s="1" t="s">
        <v>1460</v>
      </c>
      <c r="C608" s="2">
        <v>46100</v>
      </c>
      <c r="D608">
        <v>433</v>
      </c>
      <c r="E608">
        <v>142.41999999999999</v>
      </c>
      <c r="F608" s="1" t="s">
        <v>1494</v>
      </c>
      <c r="G608" s="2">
        <v>46106</v>
      </c>
    </row>
    <row r="609" spans="1:7" x14ac:dyDescent="0.25">
      <c r="A609" s="1" t="s">
        <v>557</v>
      </c>
      <c r="B609" s="1" t="s">
        <v>1463</v>
      </c>
      <c r="C609" s="2">
        <v>46106</v>
      </c>
      <c r="D609">
        <v>85</v>
      </c>
      <c r="E609">
        <v>22.79</v>
      </c>
      <c r="F609" s="1" t="s">
        <v>1440</v>
      </c>
      <c r="G609" s="2">
        <v>46122</v>
      </c>
    </row>
    <row r="610" spans="1:7" x14ac:dyDescent="0.25">
      <c r="A610" s="1" t="s">
        <v>1337</v>
      </c>
      <c r="B610" s="1" t="s">
        <v>1488</v>
      </c>
      <c r="C610" s="2">
        <v>46154</v>
      </c>
      <c r="D610">
        <v>35</v>
      </c>
      <c r="E610">
        <v>137.05000000000001</v>
      </c>
      <c r="F610" s="1" t="s">
        <v>1458</v>
      </c>
      <c r="G610" s="2">
        <v>46164</v>
      </c>
    </row>
    <row r="611" spans="1:7" x14ac:dyDescent="0.25">
      <c r="A611" s="1" t="s">
        <v>558</v>
      </c>
      <c r="B611" s="1" t="s">
        <v>1473</v>
      </c>
      <c r="C611" s="2">
        <v>46126</v>
      </c>
      <c r="D611">
        <v>447</v>
      </c>
      <c r="E611">
        <v>93.18</v>
      </c>
      <c r="F611" s="1" t="s">
        <v>1490</v>
      </c>
      <c r="G611" s="2">
        <v>46138</v>
      </c>
    </row>
    <row r="612" spans="1:7" x14ac:dyDescent="0.25">
      <c r="A612" s="1" t="s">
        <v>559</v>
      </c>
      <c r="B612" s="1" t="s">
        <v>1450</v>
      </c>
      <c r="C612" s="2">
        <v>46141</v>
      </c>
      <c r="D612">
        <v>62</v>
      </c>
      <c r="E612">
        <v>161.76</v>
      </c>
      <c r="F612" s="1" t="s">
        <v>1485</v>
      </c>
      <c r="G612" s="2">
        <v>46149</v>
      </c>
    </row>
    <row r="613" spans="1:7" x14ac:dyDescent="0.25">
      <c r="A613" s="1" t="s">
        <v>560</v>
      </c>
      <c r="B613" s="1" t="s">
        <v>1481</v>
      </c>
      <c r="C613" s="2">
        <v>46038</v>
      </c>
      <c r="D613">
        <v>435</v>
      </c>
      <c r="E613">
        <v>157.29</v>
      </c>
      <c r="F613" s="1" t="s">
        <v>1440</v>
      </c>
      <c r="G613" s="2">
        <v>46047</v>
      </c>
    </row>
    <row r="614" spans="1:7" x14ac:dyDescent="0.25">
      <c r="A614" s="1" t="s">
        <v>561</v>
      </c>
      <c r="B614" s="1" t="s">
        <v>1505</v>
      </c>
      <c r="C614" s="2">
        <v>46125</v>
      </c>
      <c r="D614">
        <v>200</v>
      </c>
      <c r="E614">
        <v>138.83000000000001</v>
      </c>
      <c r="F614" s="1" t="s">
        <v>1446</v>
      </c>
      <c r="G614" s="2">
        <v>46132</v>
      </c>
    </row>
    <row r="615" spans="1:7" x14ac:dyDescent="0.25">
      <c r="A615" s="1" t="s">
        <v>562</v>
      </c>
      <c r="B615" s="1" t="s">
        <v>1443</v>
      </c>
      <c r="C615" s="2">
        <v>46173</v>
      </c>
      <c r="D615">
        <v>142</v>
      </c>
      <c r="E615">
        <v>183.9</v>
      </c>
      <c r="F615" s="1" t="s">
        <v>1476</v>
      </c>
      <c r="G615" s="2">
        <v>46178</v>
      </c>
    </row>
    <row r="616" spans="1:7" x14ac:dyDescent="0.25">
      <c r="A616" s="1" t="s">
        <v>563</v>
      </c>
      <c r="B616" s="1" t="s">
        <v>1492</v>
      </c>
      <c r="C616" s="2">
        <v>46073</v>
      </c>
      <c r="D616">
        <v>472</v>
      </c>
      <c r="E616">
        <v>130.97</v>
      </c>
      <c r="F616" s="1" t="s">
        <v>1485</v>
      </c>
      <c r="G616" s="2">
        <v>46080</v>
      </c>
    </row>
    <row r="617" spans="1:7" x14ac:dyDescent="0.25">
      <c r="A617" s="1" t="s">
        <v>564</v>
      </c>
      <c r="B617" s="1" t="s">
        <v>1479</v>
      </c>
      <c r="C617" s="2">
        <v>46054</v>
      </c>
      <c r="D617">
        <v>31</v>
      </c>
      <c r="E617">
        <v>188.74</v>
      </c>
      <c r="F617" s="1" t="s">
        <v>1462</v>
      </c>
      <c r="G617" s="2">
        <v>46064</v>
      </c>
    </row>
    <row r="618" spans="1:7" x14ac:dyDescent="0.25">
      <c r="A618" s="1" t="s">
        <v>565</v>
      </c>
      <c r="B618" s="1" t="s">
        <v>1493</v>
      </c>
      <c r="C618" s="2">
        <v>46133</v>
      </c>
      <c r="D618">
        <v>430</v>
      </c>
      <c r="E618">
        <v>146.26</v>
      </c>
      <c r="F618" s="1" t="s">
        <v>1487</v>
      </c>
      <c r="G618" s="2">
        <v>46138</v>
      </c>
    </row>
    <row r="619" spans="1:7" x14ac:dyDescent="0.25">
      <c r="A619" s="1" t="s">
        <v>566</v>
      </c>
      <c r="B619" s="1" t="s">
        <v>1502</v>
      </c>
      <c r="C619" s="2">
        <v>46132</v>
      </c>
      <c r="D619">
        <v>98</v>
      </c>
      <c r="E619">
        <v>74.02</v>
      </c>
      <c r="F619" s="1" t="s">
        <v>1501</v>
      </c>
      <c r="G619" s="2">
        <v>46145</v>
      </c>
    </row>
    <row r="620" spans="1:7" x14ac:dyDescent="0.25">
      <c r="A620" s="1" t="s">
        <v>567</v>
      </c>
      <c r="B620" s="1" t="s">
        <v>1511</v>
      </c>
      <c r="C620" s="2">
        <v>46137</v>
      </c>
      <c r="D620">
        <v>462</v>
      </c>
      <c r="E620">
        <v>33.979999999999997</v>
      </c>
      <c r="F620" s="1" t="s">
        <v>1494</v>
      </c>
      <c r="G620" s="2">
        <v>46149</v>
      </c>
    </row>
    <row r="621" spans="1:7" x14ac:dyDescent="0.25">
      <c r="A621" s="1" t="s">
        <v>568</v>
      </c>
      <c r="B621" s="1" t="s">
        <v>1508</v>
      </c>
      <c r="C621" s="2">
        <v>46098</v>
      </c>
      <c r="D621">
        <v>265</v>
      </c>
      <c r="E621">
        <v>85.34</v>
      </c>
      <c r="F621" s="1" t="s">
        <v>1442</v>
      </c>
      <c r="G621" s="2">
        <v>46118</v>
      </c>
    </row>
    <row r="622" spans="1:7" x14ac:dyDescent="0.25">
      <c r="A622" s="1" t="s">
        <v>569</v>
      </c>
      <c r="B622" s="1" t="s">
        <v>1475</v>
      </c>
      <c r="C622" s="2">
        <v>46045</v>
      </c>
      <c r="D622">
        <v>153</v>
      </c>
      <c r="E622">
        <v>79.69</v>
      </c>
      <c r="F622" s="1" t="s">
        <v>1507</v>
      </c>
      <c r="G622" s="2">
        <v>46056</v>
      </c>
    </row>
    <row r="623" spans="1:7" x14ac:dyDescent="0.25">
      <c r="A623" s="1" t="s">
        <v>570</v>
      </c>
      <c r="B623" s="1" t="s">
        <v>1508</v>
      </c>
      <c r="C623" s="2">
        <v>46157</v>
      </c>
      <c r="D623">
        <v>137</v>
      </c>
      <c r="E623">
        <v>128</v>
      </c>
      <c r="F623" s="1" t="s">
        <v>1442</v>
      </c>
      <c r="G623" s="2">
        <v>46162</v>
      </c>
    </row>
    <row r="624" spans="1:7" x14ac:dyDescent="0.25">
      <c r="A624" s="1" t="s">
        <v>571</v>
      </c>
      <c r="B624" s="1" t="s">
        <v>1502</v>
      </c>
      <c r="C624" s="2">
        <v>46114</v>
      </c>
      <c r="D624">
        <v>255</v>
      </c>
      <c r="E624">
        <v>111.18</v>
      </c>
      <c r="F624" s="1" t="s">
        <v>1487</v>
      </c>
      <c r="G624" s="2">
        <v>46130</v>
      </c>
    </row>
    <row r="625" spans="1:7" x14ac:dyDescent="0.25">
      <c r="A625" s="1" t="s">
        <v>572</v>
      </c>
      <c r="B625" s="1" t="s">
        <v>1493</v>
      </c>
      <c r="C625" s="2">
        <v>46151</v>
      </c>
      <c r="D625">
        <v>174</v>
      </c>
      <c r="E625">
        <v>80.73</v>
      </c>
      <c r="F625" s="1" t="s">
        <v>1501</v>
      </c>
      <c r="G625" s="2">
        <v>46156</v>
      </c>
    </row>
    <row r="626" spans="1:7" x14ac:dyDescent="0.25">
      <c r="A626" s="1" t="s">
        <v>573</v>
      </c>
      <c r="B626" s="1" t="s">
        <v>1509</v>
      </c>
      <c r="C626" s="2">
        <v>46079</v>
      </c>
      <c r="D626">
        <v>25</v>
      </c>
      <c r="E626">
        <v>179.67</v>
      </c>
      <c r="F626" s="1" t="s">
        <v>1456</v>
      </c>
      <c r="G626" s="2">
        <v>46092</v>
      </c>
    </row>
    <row r="627" spans="1:7" x14ac:dyDescent="0.25">
      <c r="A627" s="1" t="s">
        <v>574</v>
      </c>
      <c r="B627" s="1" t="s">
        <v>1475</v>
      </c>
      <c r="C627" s="2">
        <v>46143</v>
      </c>
      <c r="D627">
        <v>281</v>
      </c>
      <c r="E627">
        <v>74.7</v>
      </c>
      <c r="F627" s="1" t="s">
        <v>1480</v>
      </c>
      <c r="G627" s="2">
        <v>46155</v>
      </c>
    </row>
    <row r="628" spans="1:7" x14ac:dyDescent="0.25">
      <c r="A628" s="1" t="s">
        <v>575</v>
      </c>
      <c r="B628" s="1" t="s">
        <v>1460</v>
      </c>
      <c r="C628" s="2">
        <v>46048</v>
      </c>
      <c r="D628">
        <v>136</v>
      </c>
      <c r="E628">
        <v>133.09</v>
      </c>
      <c r="F628" s="1" t="s">
        <v>1458</v>
      </c>
      <c r="G628" s="2">
        <v>46054</v>
      </c>
    </row>
    <row r="629" spans="1:7" x14ac:dyDescent="0.25">
      <c r="A629" s="1" t="s">
        <v>576</v>
      </c>
      <c r="B629" s="1" t="s">
        <v>1447</v>
      </c>
      <c r="C629" s="2">
        <v>46170</v>
      </c>
      <c r="D629">
        <v>443</v>
      </c>
      <c r="E629">
        <v>196.62</v>
      </c>
      <c r="F629" s="1" t="s">
        <v>1453</v>
      </c>
      <c r="G629" s="2">
        <v>46186</v>
      </c>
    </row>
    <row r="630" spans="1:7" x14ac:dyDescent="0.25">
      <c r="A630" s="1" t="s">
        <v>577</v>
      </c>
      <c r="B630" s="1" t="s">
        <v>1486</v>
      </c>
      <c r="C630" s="2">
        <v>46068</v>
      </c>
      <c r="D630">
        <v>131</v>
      </c>
      <c r="E630">
        <v>120.54</v>
      </c>
      <c r="F630" s="1" t="s">
        <v>1490</v>
      </c>
      <c r="G630" s="2">
        <v>46084</v>
      </c>
    </row>
    <row r="631" spans="1:7" x14ac:dyDescent="0.25">
      <c r="A631" s="1" t="s">
        <v>578</v>
      </c>
      <c r="B631" s="1" t="s">
        <v>1443</v>
      </c>
      <c r="C631" s="2">
        <v>46030</v>
      </c>
      <c r="D631">
        <v>370</v>
      </c>
      <c r="E631">
        <v>141.61000000000001</v>
      </c>
      <c r="F631" s="1" t="s">
        <v>1480</v>
      </c>
      <c r="G631" s="2">
        <v>46039</v>
      </c>
    </row>
    <row r="632" spans="1:7" x14ac:dyDescent="0.25">
      <c r="A632" s="1" t="s">
        <v>579</v>
      </c>
      <c r="B632" s="1" t="s">
        <v>1493</v>
      </c>
      <c r="C632" s="2">
        <v>46071</v>
      </c>
      <c r="D632">
        <v>438</v>
      </c>
      <c r="E632">
        <v>197.66</v>
      </c>
      <c r="F632" s="1" t="s">
        <v>1487</v>
      </c>
      <c r="G632" s="2">
        <v>46085</v>
      </c>
    </row>
    <row r="633" spans="1:7" x14ac:dyDescent="0.25">
      <c r="A633" s="1" t="s">
        <v>580</v>
      </c>
      <c r="B633" s="1" t="s">
        <v>1486</v>
      </c>
      <c r="C633" s="2">
        <v>46148</v>
      </c>
      <c r="D633">
        <v>29</v>
      </c>
      <c r="E633">
        <v>22.6</v>
      </c>
      <c r="F633" s="1" t="s">
        <v>1440</v>
      </c>
      <c r="G633" s="2">
        <v>46160</v>
      </c>
    </row>
    <row r="634" spans="1:7" x14ac:dyDescent="0.25">
      <c r="A634" s="1" t="s">
        <v>581</v>
      </c>
      <c r="B634" s="1" t="s">
        <v>1473</v>
      </c>
      <c r="C634" s="2">
        <v>46157</v>
      </c>
      <c r="D634">
        <v>254</v>
      </c>
      <c r="E634">
        <v>5.13</v>
      </c>
      <c r="F634" s="1" t="s">
        <v>1494</v>
      </c>
      <c r="G634" s="2">
        <v>46168</v>
      </c>
    </row>
    <row r="635" spans="1:7" x14ac:dyDescent="0.25">
      <c r="A635" s="1" t="s">
        <v>582</v>
      </c>
      <c r="B635" s="1" t="s">
        <v>1441</v>
      </c>
      <c r="C635" s="2">
        <v>46110</v>
      </c>
      <c r="D635">
        <v>377</v>
      </c>
      <c r="E635">
        <v>39.6</v>
      </c>
      <c r="F635" s="1" t="s">
        <v>1472</v>
      </c>
      <c r="G635" s="2">
        <v>46116</v>
      </c>
    </row>
    <row r="636" spans="1:7" x14ac:dyDescent="0.25">
      <c r="A636" s="1" t="s">
        <v>583</v>
      </c>
      <c r="B636" s="1" t="s">
        <v>1473</v>
      </c>
      <c r="C636" s="2">
        <v>46060</v>
      </c>
      <c r="D636">
        <v>310</v>
      </c>
      <c r="E636">
        <v>142.41999999999999</v>
      </c>
      <c r="F636" s="1" t="s">
        <v>1485</v>
      </c>
      <c r="G636" s="2">
        <v>46068</v>
      </c>
    </row>
    <row r="637" spans="1:7" x14ac:dyDescent="0.25">
      <c r="A637" s="1" t="s">
        <v>1365</v>
      </c>
      <c r="B637" s="1" t="s">
        <v>1491</v>
      </c>
      <c r="C637" s="2">
        <v>46116</v>
      </c>
      <c r="D637">
        <v>47</v>
      </c>
      <c r="E637">
        <v>77.849999999999994</v>
      </c>
      <c r="F637" s="1" t="s">
        <v>1459</v>
      </c>
      <c r="G637" s="2">
        <v>46133</v>
      </c>
    </row>
    <row r="638" spans="1:7" x14ac:dyDescent="0.25">
      <c r="A638" s="1" t="s">
        <v>584</v>
      </c>
      <c r="B638" s="1" t="s">
        <v>1443</v>
      </c>
      <c r="C638" s="2">
        <v>46048</v>
      </c>
      <c r="D638">
        <v>182</v>
      </c>
      <c r="E638">
        <v>63.84</v>
      </c>
      <c r="F638" s="1" t="s">
        <v>1485</v>
      </c>
      <c r="G638" s="2">
        <v>46058</v>
      </c>
    </row>
    <row r="639" spans="1:7" x14ac:dyDescent="0.25">
      <c r="A639" s="1" t="s">
        <v>585</v>
      </c>
      <c r="B639" s="1" t="s">
        <v>1477</v>
      </c>
      <c r="C639" s="2">
        <v>46134</v>
      </c>
      <c r="D639">
        <v>415</v>
      </c>
      <c r="E639">
        <v>129.66</v>
      </c>
      <c r="F639" s="1" t="s">
        <v>1487</v>
      </c>
      <c r="G639" s="2">
        <v>46149</v>
      </c>
    </row>
    <row r="640" spans="1:7" x14ac:dyDescent="0.25">
      <c r="A640" s="1" t="s">
        <v>586</v>
      </c>
      <c r="B640" s="1" t="s">
        <v>1486</v>
      </c>
      <c r="C640" s="2">
        <v>46166</v>
      </c>
      <c r="D640">
        <v>365</v>
      </c>
      <c r="E640">
        <v>178.47</v>
      </c>
      <c r="F640" s="1" t="s">
        <v>1494</v>
      </c>
      <c r="G640" s="2">
        <v>46182</v>
      </c>
    </row>
    <row r="641" spans="1:7" x14ac:dyDescent="0.25">
      <c r="A641" s="1" t="s">
        <v>587</v>
      </c>
      <c r="B641" s="1" t="s">
        <v>1447</v>
      </c>
      <c r="C641" s="2">
        <v>46173</v>
      </c>
      <c r="D641">
        <v>427</v>
      </c>
      <c r="E641">
        <v>39.19</v>
      </c>
      <c r="F641" s="1" t="s">
        <v>1474</v>
      </c>
      <c r="G641" s="2">
        <v>46187</v>
      </c>
    </row>
    <row r="642" spans="1:7" x14ac:dyDescent="0.25">
      <c r="A642" s="1" t="s">
        <v>588</v>
      </c>
      <c r="B642" s="1" t="s">
        <v>1441</v>
      </c>
      <c r="C642" s="2">
        <v>46068</v>
      </c>
      <c r="D642">
        <v>383</v>
      </c>
      <c r="E642">
        <v>5.35</v>
      </c>
      <c r="F642" s="1" t="s">
        <v>1499</v>
      </c>
      <c r="G642" s="2">
        <v>46085</v>
      </c>
    </row>
    <row r="643" spans="1:7" x14ac:dyDescent="0.25">
      <c r="A643" s="1" t="s">
        <v>589</v>
      </c>
      <c r="B643" s="1" t="s">
        <v>1493</v>
      </c>
      <c r="C643" s="2">
        <v>46031</v>
      </c>
      <c r="D643">
        <v>103</v>
      </c>
      <c r="E643">
        <v>122.47</v>
      </c>
      <c r="F643" s="1" t="s">
        <v>1494</v>
      </c>
      <c r="G643" s="2">
        <v>46043</v>
      </c>
    </row>
    <row r="644" spans="1:7" x14ac:dyDescent="0.25">
      <c r="A644" s="1" t="s">
        <v>590</v>
      </c>
      <c r="B644" s="1" t="s">
        <v>1439</v>
      </c>
      <c r="C644" s="2">
        <v>46167</v>
      </c>
      <c r="D644">
        <v>63</v>
      </c>
      <c r="E644">
        <v>187.65</v>
      </c>
      <c r="F644" s="1" t="s">
        <v>1485</v>
      </c>
      <c r="G644" s="2">
        <v>46182</v>
      </c>
    </row>
    <row r="645" spans="1:7" x14ac:dyDescent="0.25">
      <c r="A645" s="1" t="s">
        <v>591</v>
      </c>
      <c r="B645" s="1" t="s">
        <v>1465</v>
      </c>
      <c r="C645" s="2">
        <v>46042</v>
      </c>
      <c r="D645">
        <v>131</v>
      </c>
      <c r="E645">
        <v>72.63</v>
      </c>
      <c r="F645" s="1" t="s">
        <v>1472</v>
      </c>
      <c r="G645" s="2">
        <v>46052</v>
      </c>
    </row>
    <row r="646" spans="1:7" x14ac:dyDescent="0.25">
      <c r="A646" s="1" t="s">
        <v>592</v>
      </c>
      <c r="B646" s="1" t="s">
        <v>1439</v>
      </c>
      <c r="C646" s="2">
        <v>46045</v>
      </c>
      <c r="D646">
        <v>430</v>
      </c>
      <c r="E646">
        <v>143.25</v>
      </c>
      <c r="F646" s="1" t="s">
        <v>1446</v>
      </c>
      <c r="G646" s="2">
        <v>46060</v>
      </c>
    </row>
    <row r="647" spans="1:7" x14ac:dyDescent="0.25">
      <c r="A647" s="1" t="s">
        <v>593</v>
      </c>
      <c r="B647" s="1" t="s">
        <v>1478</v>
      </c>
      <c r="C647" s="2">
        <v>46025</v>
      </c>
      <c r="D647">
        <v>145</v>
      </c>
      <c r="E647">
        <v>45.89</v>
      </c>
      <c r="F647" s="1" t="s">
        <v>1499</v>
      </c>
      <c r="G647" s="2">
        <v>46032</v>
      </c>
    </row>
    <row r="648" spans="1:7" x14ac:dyDescent="0.25">
      <c r="A648" s="1" t="s">
        <v>594</v>
      </c>
      <c r="B648" s="1" t="s">
        <v>1503</v>
      </c>
      <c r="C648" s="2">
        <v>46088</v>
      </c>
      <c r="D648">
        <v>412</v>
      </c>
      <c r="E648">
        <v>26.07</v>
      </c>
      <c r="F648" s="1" t="s">
        <v>1448</v>
      </c>
      <c r="G648" s="2">
        <v>46094</v>
      </c>
    </row>
    <row r="649" spans="1:7" x14ac:dyDescent="0.25">
      <c r="A649" s="1" t="s">
        <v>595</v>
      </c>
      <c r="B649" s="1" t="s">
        <v>1502</v>
      </c>
      <c r="C649" s="2">
        <v>46135</v>
      </c>
      <c r="D649">
        <v>385</v>
      </c>
      <c r="E649">
        <v>86.83</v>
      </c>
      <c r="F649" s="1" t="s">
        <v>1501</v>
      </c>
      <c r="G649" s="2">
        <v>46153</v>
      </c>
    </row>
    <row r="650" spans="1:7" x14ac:dyDescent="0.25">
      <c r="A650" s="1" t="s">
        <v>596</v>
      </c>
      <c r="B650" s="1" t="s">
        <v>1498</v>
      </c>
      <c r="C650" s="2">
        <v>46119</v>
      </c>
      <c r="D650">
        <v>189</v>
      </c>
      <c r="E650">
        <v>111.47</v>
      </c>
      <c r="F650" s="1" t="s">
        <v>1483</v>
      </c>
      <c r="G650" s="2">
        <v>46139</v>
      </c>
    </row>
    <row r="651" spans="1:7" x14ac:dyDescent="0.25">
      <c r="A651" s="1" t="s">
        <v>597</v>
      </c>
      <c r="B651" s="1" t="s">
        <v>1493</v>
      </c>
      <c r="C651" s="2">
        <v>46080</v>
      </c>
      <c r="D651">
        <v>93</v>
      </c>
      <c r="E651">
        <v>93</v>
      </c>
      <c r="F651" s="1" t="s">
        <v>1459</v>
      </c>
      <c r="G651" s="2">
        <v>46094</v>
      </c>
    </row>
    <row r="652" spans="1:7" x14ac:dyDescent="0.25">
      <c r="A652" s="1" t="s">
        <v>598</v>
      </c>
      <c r="B652" s="1" t="s">
        <v>1473</v>
      </c>
      <c r="C652" s="2">
        <v>46104</v>
      </c>
      <c r="D652">
        <v>143</v>
      </c>
      <c r="E652">
        <v>190.57</v>
      </c>
      <c r="F652" s="1" t="s">
        <v>1476</v>
      </c>
      <c r="G652" s="2">
        <v>46119</v>
      </c>
    </row>
    <row r="653" spans="1:7" x14ac:dyDescent="0.25">
      <c r="A653" s="1" t="s">
        <v>599</v>
      </c>
      <c r="B653" s="1" t="s">
        <v>1460</v>
      </c>
      <c r="C653" s="2">
        <v>46119</v>
      </c>
      <c r="D653">
        <v>92</v>
      </c>
      <c r="E653">
        <v>147.74</v>
      </c>
      <c r="F653" s="1" t="s">
        <v>1442</v>
      </c>
      <c r="G653" s="2">
        <v>46126</v>
      </c>
    </row>
    <row r="654" spans="1:7" x14ac:dyDescent="0.25">
      <c r="A654" s="1" t="s">
        <v>600</v>
      </c>
      <c r="B654" s="1" t="s">
        <v>1479</v>
      </c>
      <c r="C654" s="2">
        <v>46146</v>
      </c>
      <c r="D654">
        <v>370</v>
      </c>
      <c r="E654">
        <v>11.04</v>
      </c>
      <c r="F654" s="1" t="s">
        <v>1446</v>
      </c>
      <c r="G654" s="2">
        <v>46156</v>
      </c>
    </row>
    <row r="655" spans="1:7" x14ac:dyDescent="0.25">
      <c r="A655" s="1" t="s">
        <v>601</v>
      </c>
      <c r="B655" s="1" t="s">
        <v>1468</v>
      </c>
      <c r="C655" s="2">
        <v>46134</v>
      </c>
      <c r="D655">
        <v>90</v>
      </c>
      <c r="E655">
        <v>15.44</v>
      </c>
      <c r="F655" s="1" t="s">
        <v>1472</v>
      </c>
      <c r="G655" s="2">
        <v>46145</v>
      </c>
    </row>
    <row r="656" spans="1:7" x14ac:dyDescent="0.25">
      <c r="A656" s="1" t="s">
        <v>602</v>
      </c>
      <c r="B656" s="1" t="s">
        <v>1505</v>
      </c>
      <c r="C656" s="2">
        <v>46127</v>
      </c>
      <c r="D656">
        <v>366</v>
      </c>
      <c r="E656">
        <v>113.05</v>
      </c>
      <c r="F656" s="1" t="s">
        <v>1490</v>
      </c>
      <c r="G656" s="2">
        <v>46140</v>
      </c>
    </row>
    <row r="657" spans="1:7" x14ac:dyDescent="0.25">
      <c r="A657" s="1" t="s">
        <v>603</v>
      </c>
      <c r="B657" s="1" t="s">
        <v>1484</v>
      </c>
      <c r="C657" s="2">
        <v>46095</v>
      </c>
      <c r="D657">
        <v>162</v>
      </c>
      <c r="E657">
        <v>51.32</v>
      </c>
      <c r="F657" s="1" t="s">
        <v>1462</v>
      </c>
      <c r="G657" s="2">
        <v>46112</v>
      </c>
    </row>
    <row r="658" spans="1:7" x14ac:dyDescent="0.25">
      <c r="A658" s="1" t="s">
        <v>604</v>
      </c>
      <c r="B658" s="1" t="s">
        <v>1493</v>
      </c>
      <c r="C658" s="2">
        <v>46163</v>
      </c>
      <c r="D658">
        <v>440</v>
      </c>
      <c r="E658">
        <v>100.73</v>
      </c>
      <c r="F658" s="1" t="s">
        <v>1462</v>
      </c>
      <c r="G658" s="2">
        <v>46179</v>
      </c>
    </row>
    <row r="659" spans="1:7" x14ac:dyDescent="0.25">
      <c r="A659" s="1" t="s">
        <v>605</v>
      </c>
      <c r="B659" s="1" t="s">
        <v>1481</v>
      </c>
      <c r="C659" s="2">
        <v>46132</v>
      </c>
      <c r="D659">
        <v>54</v>
      </c>
      <c r="E659">
        <v>62.44</v>
      </c>
      <c r="F659" s="1" t="s">
        <v>1467</v>
      </c>
      <c r="G659" s="2">
        <v>46152</v>
      </c>
    </row>
    <row r="660" spans="1:7" x14ac:dyDescent="0.25">
      <c r="A660" s="1" t="s">
        <v>606</v>
      </c>
      <c r="B660" s="1" t="s">
        <v>1505</v>
      </c>
      <c r="C660" s="2">
        <v>46047</v>
      </c>
      <c r="D660">
        <v>23</v>
      </c>
      <c r="E660">
        <v>45.36</v>
      </c>
      <c r="F660" s="1" t="s">
        <v>1446</v>
      </c>
      <c r="G660" s="2">
        <v>46061</v>
      </c>
    </row>
    <row r="661" spans="1:7" x14ac:dyDescent="0.25">
      <c r="A661" s="1" t="s">
        <v>607</v>
      </c>
      <c r="B661" s="1" t="s">
        <v>1457</v>
      </c>
      <c r="C661" s="2">
        <v>46144</v>
      </c>
      <c r="D661">
        <v>442</v>
      </c>
      <c r="E661">
        <v>27.52</v>
      </c>
      <c r="F661" s="1" t="s">
        <v>1453</v>
      </c>
      <c r="G661" s="2">
        <v>46164</v>
      </c>
    </row>
    <row r="662" spans="1:7" x14ac:dyDescent="0.25">
      <c r="A662" s="1" t="s">
        <v>608</v>
      </c>
      <c r="B662" s="1" t="s">
        <v>1498</v>
      </c>
      <c r="C662" s="2">
        <v>46090</v>
      </c>
      <c r="D662">
        <v>56</v>
      </c>
      <c r="E662">
        <v>130.16</v>
      </c>
      <c r="F662" s="1" t="s">
        <v>1453</v>
      </c>
      <c r="G662" s="2">
        <v>46100</v>
      </c>
    </row>
    <row r="663" spans="1:7" x14ac:dyDescent="0.25">
      <c r="A663" s="1" t="s">
        <v>609</v>
      </c>
      <c r="B663" s="1" t="s">
        <v>1496</v>
      </c>
      <c r="C663" s="2">
        <v>46120</v>
      </c>
      <c r="D663">
        <v>199</v>
      </c>
      <c r="E663">
        <v>41.38</v>
      </c>
      <c r="F663" s="1" t="s">
        <v>1462</v>
      </c>
      <c r="G663" s="2">
        <v>46133</v>
      </c>
    </row>
    <row r="664" spans="1:7" x14ac:dyDescent="0.25">
      <c r="A664" s="1" t="s">
        <v>610</v>
      </c>
      <c r="B664" s="1" t="s">
        <v>1478</v>
      </c>
      <c r="C664" s="2">
        <v>46142</v>
      </c>
      <c r="D664">
        <v>144</v>
      </c>
      <c r="E664">
        <v>49.12</v>
      </c>
      <c r="F664" s="1" t="s">
        <v>1458</v>
      </c>
      <c r="G664" s="2">
        <v>46148</v>
      </c>
    </row>
    <row r="665" spans="1:7" x14ac:dyDescent="0.25">
      <c r="A665" s="1" t="s">
        <v>611</v>
      </c>
      <c r="B665" s="1" t="s">
        <v>1464</v>
      </c>
      <c r="C665" s="2">
        <v>46047</v>
      </c>
      <c r="D665">
        <v>53</v>
      </c>
      <c r="E665">
        <v>135.29</v>
      </c>
      <c r="F665" s="1" t="s">
        <v>1459</v>
      </c>
      <c r="G665" s="2">
        <v>46065</v>
      </c>
    </row>
    <row r="666" spans="1:7" x14ac:dyDescent="0.25">
      <c r="A666" s="1" t="s">
        <v>612</v>
      </c>
      <c r="B666" s="1" t="s">
        <v>1443</v>
      </c>
      <c r="C666" s="2">
        <v>46081</v>
      </c>
      <c r="D666">
        <v>293</v>
      </c>
      <c r="E666">
        <v>16.89</v>
      </c>
      <c r="F666" s="1" t="s">
        <v>1453</v>
      </c>
      <c r="G666" s="2">
        <v>46102</v>
      </c>
    </row>
    <row r="667" spans="1:7" x14ac:dyDescent="0.25">
      <c r="A667" s="1" t="s">
        <v>613</v>
      </c>
      <c r="B667" s="1" t="s">
        <v>1495</v>
      </c>
      <c r="C667" s="2">
        <v>46160</v>
      </c>
      <c r="D667">
        <v>361</v>
      </c>
      <c r="E667">
        <v>174.04</v>
      </c>
      <c r="F667" s="1" t="s">
        <v>1487</v>
      </c>
      <c r="G667" s="2">
        <v>46172</v>
      </c>
    </row>
    <row r="668" spans="1:7" x14ac:dyDescent="0.25">
      <c r="A668" s="1" t="s">
        <v>614</v>
      </c>
      <c r="B668" s="1" t="s">
        <v>1510</v>
      </c>
      <c r="C668" s="2">
        <v>46099</v>
      </c>
      <c r="D668">
        <v>50</v>
      </c>
      <c r="E668">
        <v>81.99</v>
      </c>
      <c r="F668" s="1" t="s">
        <v>1499</v>
      </c>
      <c r="G668" s="2">
        <v>46105</v>
      </c>
    </row>
    <row r="669" spans="1:7" x14ac:dyDescent="0.25">
      <c r="A669" s="1" t="s">
        <v>615</v>
      </c>
      <c r="B669" s="1" t="s">
        <v>1445</v>
      </c>
      <c r="C669" s="2">
        <v>46169</v>
      </c>
      <c r="D669">
        <v>471</v>
      </c>
      <c r="E669">
        <v>105.78</v>
      </c>
      <c r="F669" s="1" t="s">
        <v>1480</v>
      </c>
      <c r="G669" s="2">
        <v>46178</v>
      </c>
    </row>
    <row r="670" spans="1:7" x14ac:dyDescent="0.25">
      <c r="A670" s="1" t="s">
        <v>616</v>
      </c>
      <c r="B670" s="1" t="s">
        <v>1466</v>
      </c>
      <c r="C670" s="2">
        <v>46137</v>
      </c>
      <c r="D670">
        <v>98</v>
      </c>
      <c r="E670">
        <v>190.07</v>
      </c>
      <c r="F670" s="1" t="s">
        <v>1501</v>
      </c>
      <c r="G670" s="2">
        <v>46148</v>
      </c>
    </row>
    <row r="671" spans="1:7" x14ac:dyDescent="0.25">
      <c r="A671" s="1" t="s">
        <v>617</v>
      </c>
      <c r="B671" s="1" t="s">
        <v>1505</v>
      </c>
      <c r="C671" s="2">
        <v>46055</v>
      </c>
      <c r="D671">
        <v>31</v>
      </c>
      <c r="E671">
        <v>87.56</v>
      </c>
      <c r="F671" s="1" t="s">
        <v>1467</v>
      </c>
      <c r="G671" s="2">
        <v>46073</v>
      </c>
    </row>
    <row r="672" spans="1:7" x14ac:dyDescent="0.25">
      <c r="A672" s="1" t="s">
        <v>618</v>
      </c>
      <c r="B672" s="1" t="s">
        <v>1505</v>
      </c>
      <c r="C672" s="2">
        <v>46060</v>
      </c>
      <c r="D672">
        <v>437</v>
      </c>
      <c r="E672">
        <v>121.03</v>
      </c>
      <c r="F672" s="1" t="s">
        <v>1472</v>
      </c>
      <c r="G672" s="2">
        <v>46067</v>
      </c>
    </row>
    <row r="673" spans="1:7" x14ac:dyDescent="0.25">
      <c r="A673" s="1" t="s">
        <v>619</v>
      </c>
      <c r="B673" s="1" t="s">
        <v>1457</v>
      </c>
      <c r="C673" s="2">
        <v>46122</v>
      </c>
      <c r="D673">
        <v>294</v>
      </c>
      <c r="E673">
        <v>82.48</v>
      </c>
      <c r="F673" s="1" t="s">
        <v>1472</v>
      </c>
      <c r="G673" s="2">
        <v>46135</v>
      </c>
    </row>
    <row r="674" spans="1:7" x14ac:dyDescent="0.25">
      <c r="A674" s="1" t="s">
        <v>620</v>
      </c>
      <c r="B674" s="1" t="s">
        <v>1491</v>
      </c>
      <c r="C674" s="2">
        <v>46140</v>
      </c>
      <c r="D674">
        <v>479</v>
      </c>
      <c r="E674">
        <v>175.33</v>
      </c>
      <c r="F674" s="1" t="s">
        <v>1499</v>
      </c>
      <c r="G674" s="2">
        <v>46161</v>
      </c>
    </row>
    <row r="675" spans="1:7" x14ac:dyDescent="0.25">
      <c r="A675" s="1" t="s">
        <v>621</v>
      </c>
      <c r="B675" s="1" t="s">
        <v>1495</v>
      </c>
      <c r="C675" s="2">
        <v>46051</v>
      </c>
      <c r="D675">
        <v>222</v>
      </c>
      <c r="E675">
        <v>34.18</v>
      </c>
      <c r="F675" s="1" t="s">
        <v>1480</v>
      </c>
      <c r="G675" s="2">
        <v>46059</v>
      </c>
    </row>
    <row r="676" spans="1:7" x14ac:dyDescent="0.25">
      <c r="A676" s="1" t="s">
        <v>622</v>
      </c>
      <c r="B676" s="1" t="s">
        <v>1450</v>
      </c>
      <c r="C676" s="2">
        <v>46167</v>
      </c>
      <c r="D676">
        <v>409</v>
      </c>
      <c r="E676">
        <v>24.69</v>
      </c>
      <c r="F676" s="1" t="s">
        <v>1459</v>
      </c>
      <c r="G676" s="2">
        <v>46183</v>
      </c>
    </row>
    <row r="677" spans="1:7" x14ac:dyDescent="0.25">
      <c r="A677" s="1" t="s">
        <v>623</v>
      </c>
      <c r="B677" s="1" t="s">
        <v>1495</v>
      </c>
      <c r="C677" s="2">
        <v>46090</v>
      </c>
      <c r="D677">
        <v>206</v>
      </c>
      <c r="E677">
        <v>132.68</v>
      </c>
      <c r="F677" s="1" t="s">
        <v>1480</v>
      </c>
      <c r="G677" s="2">
        <v>46110</v>
      </c>
    </row>
    <row r="678" spans="1:7" x14ac:dyDescent="0.25">
      <c r="A678" s="1" t="s">
        <v>624</v>
      </c>
      <c r="B678" s="1" t="s">
        <v>1452</v>
      </c>
      <c r="C678" s="2">
        <v>46067</v>
      </c>
      <c r="D678">
        <v>151</v>
      </c>
      <c r="E678">
        <v>83.58</v>
      </c>
      <c r="F678" s="1" t="s">
        <v>1494</v>
      </c>
      <c r="G678" s="2">
        <v>46084</v>
      </c>
    </row>
    <row r="679" spans="1:7" x14ac:dyDescent="0.25">
      <c r="A679" s="1" t="s">
        <v>625</v>
      </c>
      <c r="B679" s="1" t="s">
        <v>1452</v>
      </c>
      <c r="C679" s="2">
        <v>46124</v>
      </c>
      <c r="D679">
        <v>465</v>
      </c>
      <c r="E679">
        <v>176.4</v>
      </c>
      <c r="F679" s="1" t="s">
        <v>1499</v>
      </c>
      <c r="G679" s="2">
        <v>46136</v>
      </c>
    </row>
    <row r="680" spans="1:7" x14ac:dyDescent="0.25">
      <c r="A680" s="1" t="s">
        <v>626</v>
      </c>
      <c r="B680" s="1" t="s">
        <v>1475</v>
      </c>
      <c r="C680" s="2">
        <v>46144</v>
      </c>
      <c r="D680">
        <v>481</v>
      </c>
      <c r="E680">
        <v>57.37</v>
      </c>
      <c r="F680" s="1" t="s">
        <v>1451</v>
      </c>
      <c r="G680" s="2">
        <v>46149</v>
      </c>
    </row>
    <row r="681" spans="1:7" x14ac:dyDescent="0.25">
      <c r="A681" s="1" t="s">
        <v>627</v>
      </c>
      <c r="B681" s="1" t="s">
        <v>1479</v>
      </c>
      <c r="C681" s="2">
        <v>46100</v>
      </c>
      <c r="D681">
        <v>169</v>
      </c>
      <c r="E681">
        <v>59.67</v>
      </c>
      <c r="F681" s="1" t="s">
        <v>1487</v>
      </c>
      <c r="G681" s="2">
        <v>46108</v>
      </c>
    </row>
    <row r="682" spans="1:7" x14ac:dyDescent="0.25">
      <c r="A682" s="1" t="s">
        <v>628</v>
      </c>
      <c r="B682" s="1" t="s">
        <v>1447</v>
      </c>
      <c r="C682" s="2">
        <v>46057</v>
      </c>
      <c r="D682">
        <v>163</v>
      </c>
      <c r="E682">
        <v>194.97</v>
      </c>
      <c r="F682" s="1" t="s">
        <v>1469</v>
      </c>
      <c r="G682" s="2">
        <v>46072</v>
      </c>
    </row>
    <row r="683" spans="1:7" x14ac:dyDescent="0.25">
      <c r="A683" s="1" t="s">
        <v>629</v>
      </c>
      <c r="B683" s="1" t="s">
        <v>1511</v>
      </c>
      <c r="C683" s="2">
        <v>46129</v>
      </c>
      <c r="D683">
        <v>319</v>
      </c>
      <c r="E683">
        <v>130.88</v>
      </c>
      <c r="F683" s="1" t="s">
        <v>1444</v>
      </c>
      <c r="G683" s="2">
        <v>46148</v>
      </c>
    </row>
    <row r="684" spans="1:7" x14ac:dyDescent="0.25">
      <c r="A684" s="1" t="s">
        <v>630</v>
      </c>
      <c r="B684" s="1" t="s">
        <v>1463</v>
      </c>
      <c r="C684" s="2">
        <v>46127</v>
      </c>
      <c r="D684">
        <v>389</v>
      </c>
      <c r="E684">
        <v>99.47</v>
      </c>
      <c r="F684" s="1" t="s">
        <v>1504</v>
      </c>
      <c r="G684" s="2">
        <v>46143</v>
      </c>
    </row>
    <row r="685" spans="1:7" x14ac:dyDescent="0.25">
      <c r="A685" s="1" t="s">
        <v>631</v>
      </c>
      <c r="B685" s="1" t="s">
        <v>1475</v>
      </c>
      <c r="C685" s="2">
        <v>46154</v>
      </c>
      <c r="D685">
        <v>415</v>
      </c>
      <c r="E685">
        <v>36</v>
      </c>
      <c r="F685" s="1" t="s">
        <v>1474</v>
      </c>
      <c r="G685" s="2">
        <v>46175</v>
      </c>
    </row>
    <row r="686" spans="1:7" x14ac:dyDescent="0.25">
      <c r="A686" s="1" t="s">
        <v>632</v>
      </c>
      <c r="B686" s="1" t="s">
        <v>1488</v>
      </c>
      <c r="C686" s="2">
        <v>46057</v>
      </c>
      <c r="D686">
        <v>409</v>
      </c>
      <c r="E686">
        <v>171</v>
      </c>
      <c r="F686" s="1" t="s">
        <v>1480</v>
      </c>
      <c r="G686" s="2">
        <v>46062</v>
      </c>
    </row>
    <row r="687" spans="1:7" x14ac:dyDescent="0.25">
      <c r="A687" s="1" t="s">
        <v>633</v>
      </c>
      <c r="B687" s="1" t="s">
        <v>1486</v>
      </c>
      <c r="C687" s="2">
        <v>46072</v>
      </c>
      <c r="D687">
        <v>458</v>
      </c>
      <c r="E687">
        <v>167.42</v>
      </c>
      <c r="F687" s="1" t="s">
        <v>1462</v>
      </c>
      <c r="G687" s="2">
        <v>46084</v>
      </c>
    </row>
    <row r="688" spans="1:7" x14ac:dyDescent="0.25">
      <c r="A688" s="1" t="s">
        <v>634</v>
      </c>
      <c r="B688" s="1" t="s">
        <v>1452</v>
      </c>
      <c r="C688" s="2">
        <v>46139</v>
      </c>
      <c r="D688">
        <v>35</v>
      </c>
      <c r="E688">
        <v>184.02</v>
      </c>
      <c r="F688" s="1" t="s">
        <v>1499</v>
      </c>
      <c r="G688" s="2">
        <v>46150</v>
      </c>
    </row>
    <row r="689" spans="1:7" x14ac:dyDescent="0.25">
      <c r="A689" s="1" t="s">
        <v>635</v>
      </c>
      <c r="B689" s="1" t="s">
        <v>1511</v>
      </c>
      <c r="C689" s="2">
        <v>46117</v>
      </c>
      <c r="D689">
        <v>431</v>
      </c>
      <c r="E689">
        <v>95.52</v>
      </c>
      <c r="F689" s="1" t="s">
        <v>1453</v>
      </c>
      <c r="G689" s="2">
        <v>46125</v>
      </c>
    </row>
    <row r="690" spans="1:7" x14ac:dyDescent="0.25">
      <c r="A690" s="1" t="s">
        <v>636</v>
      </c>
      <c r="B690" s="1" t="s">
        <v>1461</v>
      </c>
      <c r="C690" s="2">
        <v>46030</v>
      </c>
      <c r="D690">
        <v>133</v>
      </c>
      <c r="E690">
        <v>77.63</v>
      </c>
      <c r="F690" s="1" t="s">
        <v>1494</v>
      </c>
      <c r="G690" s="2">
        <v>46049</v>
      </c>
    </row>
    <row r="691" spans="1:7" x14ac:dyDescent="0.25">
      <c r="A691" s="1" t="s">
        <v>637</v>
      </c>
      <c r="B691" s="1" t="s">
        <v>1486</v>
      </c>
      <c r="C691" s="2">
        <v>46144</v>
      </c>
      <c r="D691">
        <v>310</v>
      </c>
      <c r="E691">
        <v>112.51</v>
      </c>
      <c r="F691" s="1" t="s">
        <v>1451</v>
      </c>
      <c r="G691" s="2">
        <v>46154</v>
      </c>
    </row>
    <row r="692" spans="1:7" x14ac:dyDescent="0.25">
      <c r="A692" s="1" t="s">
        <v>638</v>
      </c>
      <c r="B692" s="1" t="s">
        <v>1470</v>
      </c>
      <c r="C692" s="2">
        <v>46046</v>
      </c>
      <c r="D692">
        <v>155</v>
      </c>
      <c r="E692">
        <v>10.35</v>
      </c>
      <c r="F692" s="1" t="s">
        <v>1462</v>
      </c>
      <c r="G692" s="2">
        <v>46056</v>
      </c>
    </row>
    <row r="693" spans="1:7" x14ac:dyDescent="0.25">
      <c r="A693" s="1" t="s">
        <v>639</v>
      </c>
      <c r="B693" s="1" t="s">
        <v>1493</v>
      </c>
      <c r="C693" s="2">
        <v>46077</v>
      </c>
      <c r="D693">
        <v>448</v>
      </c>
      <c r="E693">
        <v>48.16</v>
      </c>
      <c r="F693" s="1" t="s">
        <v>1440</v>
      </c>
      <c r="G693" s="2">
        <v>46088</v>
      </c>
    </row>
    <row r="694" spans="1:7" x14ac:dyDescent="0.25">
      <c r="A694" s="1" t="s">
        <v>640</v>
      </c>
      <c r="B694" s="1" t="s">
        <v>1511</v>
      </c>
      <c r="C694" s="2">
        <v>46127</v>
      </c>
      <c r="D694">
        <v>272</v>
      </c>
      <c r="E694">
        <v>8.91</v>
      </c>
      <c r="F694" s="1" t="s">
        <v>1456</v>
      </c>
      <c r="G694" s="2">
        <v>46132</v>
      </c>
    </row>
    <row r="695" spans="1:7" x14ac:dyDescent="0.25">
      <c r="A695" s="1" t="s">
        <v>641</v>
      </c>
      <c r="B695" s="1" t="s">
        <v>1510</v>
      </c>
      <c r="C695" s="2">
        <v>46056</v>
      </c>
      <c r="D695">
        <v>341</v>
      </c>
      <c r="E695">
        <v>38.770000000000003</v>
      </c>
      <c r="F695" s="1" t="s">
        <v>1448</v>
      </c>
      <c r="G695" s="2">
        <v>46068</v>
      </c>
    </row>
    <row r="696" spans="1:7" x14ac:dyDescent="0.25">
      <c r="A696" s="1" t="s">
        <v>1426</v>
      </c>
      <c r="B696" s="1" t="s">
        <v>1470</v>
      </c>
      <c r="C696" s="2">
        <v>46101</v>
      </c>
      <c r="D696">
        <v>374</v>
      </c>
      <c r="E696">
        <v>193.57</v>
      </c>
      <c r="F696" s="1" t="s">
        <v>1446</v>
      </c>
      <c r="G696" s="2">
        <v>46114</v>
      </c>
    </row>
    <row r="697" spans="1:7" x14ac:dyDescent="0.25">
      <c r="A697" s="1" t="s">
        <v>642</v>
      </c>
      <c r="B697" s="1" t="s">
        <v>1500</v>
      </c>
      <c r="C697" s="2">
        <v>46119</v>
      </c>
      <c r="D697">
        <v>446</v>
      </c>
      <c r="E697">
        <v>73</v>
      </c>
      <c r="F697" s="1" t="s">
        <v>1458</v>
      </c>
      <c r="G697" s="2">
        <v>46130</v>
      </c>
    </row>
    <row r="698" spans="1:7" x14ac:dyDescent="0.25">
      <c r="A698" s="1" t="s">
        <v>643</v>
      </c>
      <c r="B698" s="1" t="s">
        <v>1489</v>
      </c>
      <c r="C698" s="2">
        <v>46100</v>
      </c>
      <c r="D698">
        <v>356</v>
      </c>
      <c r="E698">
        <v>106.52</v>
      </c>
      <c r="F698" s="1" t="s">
        <v>1459</v>
      </c>
      <c r="G698" s="2">
        <v>46117</v>
      </c>
    </row>
    <row r="699" spans="1:7" x14ac:dyDescent="0.25">
      <c r="A699" s="1" t="s">
        <v>644</v>
      </c>
      <c r="B699" s="1" t="s">
        <v>1443</v>
      </c>
      <c r="C699" s="2">
        <v>46049</v>
      </c>
      <c r="D699">
        <v>13</v>
      </c>
      <c r="E699">
        <v>104.75</v>
      </c>
      <c r="F699" s="1" t="s">
        <v>1467</v>
      </c>
      <c r="G699" s="2">
        <v>46065</v>
      </c>
    </row>
    <row r="700" spans="1:7" x14ac:dyDescent="0.25">
      <c r="A700" s="1" t="s">
        <v>645</v>
      </c>
      <c r="B700" s="1" t="s">
        <v>1454</v>
      </c>
      <c r="C700" s="2">
        <v>46095</v>
      </c>
      <c r="D700">
        <v>162</v>
      </c>
      <c r="E700">
        <v>138.46</v>
      </c>
      <c r="F700" s="1" t="s">
        <v>1487</v>
      </c>
      <c r="G700" s="2">
        <v>46102</v>
      </c>
    </row>
    <row r="701" spans="1:7" x14ac:dyDescent="0.25">
      <c r="A701" s="1" t="s">
        <v>646</v>
      </c>
      <c r="B701" s="1" t="s">
        <v>1479</v>
      </c>
      <c r="C701" s="2">
        <v>46093</v>
      </c>
      <c r="D701">
        <v>337</v>
      </c>
      <c r="E701">
        <v>68.400000000000006</v>
      </c>
      <c r="F701" s="1" t="s">
        <v>1458</v>
      </c>
      <c r="G701" s="2">
        <v>46106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D55E5-0875-4715-8A52-E2FE1735AFC6}">
  <dimension ref="A1:H701"/>
  <sheetViews>
    <sheetView workbookViewId="0">
      <selection activeCell="K5" sqref="K5"/>
    </sheetView>
  </sheetViews>
  <sheetFormatPr defaultRowHeight="15" x14ac:dyDescent="0.25"/>
  <cols>
    <col min="1" max="1" width="13.5703125" bestFit="1" customWidth="1"/>
    <col min="2" max="2" width="23.42578125" bestFit="1" customWidth="1"/>
    <col min="3" max="3" width="13.140625" bestFit="1" customWidth="1"/>
    <col min="4" max="4" width="14" bestFit="1" customWidth="1"/>
    <col min="5" max="5" width="15" bestFit="1" customWidth="1"/>
    <col min="6" max="6" width="17.85546875" bestFit="1" customWidth="1"/>
    <col min="7" max="7" width="24.28515625" bestFit="1" customWidth="1"/>
  </cols>
  <sheetData>
    <row r="1" spans="1:8" x14ac:dyDescent="0.25">
      <c r="A1" t="s">
        <v>0</v>
      </c>
      <c r="B1" t="s">
        <v>1433</v>
      </c>
      <c r="C1" t="s">
        <v>1434</v>
      </c>
      <c r="D1" t="s">
        <v>1435</v>
      </c>
      <c r="E1" t="s">
        <v>1436</v>
      </c>
      <c r="F1" t="s">
        <v>1437</v>
      </c>
      <c r="G1" t="s">
        <v>1438</v>
      </c>
      <c r="H1" t="s">
        <v>1516</v>
      </c>
    </row>
    <row r="2" spans="1:8" x14ac:dyDescent="0.25">
      <c r="A2" s="1" t="s">
        <v>3</v>
      </c>
      <c r="B2" s="1" t="s">
        <v>1439</v>
      </c>
      <c r="C2" s="2">
        <v>46051</v>
      </c>
      <c r="D2">
        <v>22</v>
      </c>
      <c r="E2">
        <v>149.6</v>
      </c>
      <c r="F2" s="1" t="s">
        <v>1440</v>
      </c>
      <c r="G2" s="2">
        <v>46063</v>
      </c>
      <c r="H2">
        <f>COUNTIF(purchase_orders[PO Number], purchase_orders[[#This Row],[PO Number]])</f>
        <v>1</v>
      </c>
    </row>
    <row r="3" spans="1:8" x14ac:dyDescent="0.25">
      <c r="A3" s="1" t="s">
        <v>4</v>
      </c>
      <c r="B3" s="1" t="s">
        <v>1441</v>
      </c>
      <c r="C3" s="2">
        <v>46049</v>
      </c>
      <c r="D3">
        <v>356</v>
      </c>
      <c r="E3">
        <v>149.43</v>
      </c>
      <c r="F3" s="1" t="s">
        <v>1442</v>
      </c>
      <c r="G3" s="2">
        <v>46056</v>
      </c>
      <c r="H3">
        <f>COUNTIF(purchase_orders[PO Number], purchase_orders[[#This Row],[PO Number]])</f>
        <v>1</v>
      </c>
    </row>
    <row r="4" spans="1:8" x14ac:dyDescent="0.25">
      <c r="A4" s="1" t="s">
        <v>5</v>
      </c>
      <c r="B4" s="1" t="s">
        <v>1443</v>
      </c>
      <c r="C4" s="2">
        <v>46131</v>
      </c>
      <c r="D4">
        <v>26</v>
      </c>
      <c r="E4">
        <v>10.81</v>
      </c>
      <c r="F4" s="1" t="s">
        <v>1444</v>
      </c>
      <c r="G4" s="2">
        <v>46143</v>
      </c>
      <c r="H4">
        <f>COUNTIF(purchase_orders[PO Number], purchase_orders[[#This Row],[PO Number]])</f>
        <v>1</v>
      </c>
    </row>
    <row r="5" spans="1:8" x14ac:dyDescent="0.25">
      <c r="A5" s="1" t="s">
        <v>6</v>
      </c>
      <c r="B5" s="1" t="s">
        <v>1445</v>
      </c>
      <c r="C5" s="2">
        <v>46029</v>
      </c>
      <c r="D5">
        <v>297</v>
      </c>
      <c r="E5">
        <v>43.77</v>
      </c>
      <c r="F5" s="1" t="s">
        <v>1446</v>
      </c>
      <c r="G5" s="2">
        <v>46047</v>
      </c>
      <c r="H5">
        <f>COUNTIF(purchase_orders[PO Number], purchase_orders[[#This Row],[PO Number]])</f>
        <v>1</v>
      </c>
    </row>
    <row r="6" spans="1:8" x14ac:dyDescent="0.25">
      <c r="A6" s="1" t="s">
        <v>7</v>
      </c>
      <c r="B6" s="1" t="s">
        <v>1447</v>
      </c>
      <c r="C6" s="2">
        <v>46137</v>
      </c>
      <c r="D6">
        <v>311</v>
      </c>
      <c r="E6">
        <v>59.25</v>
      </c>
      <c r="F6" s="1" t="s">
        <v>1448</v>
      </c>
      <c r="G6" s="2">
        <v>46147</v>
      </c>
      <c r="H6">
        <f>COUNTIF(purchase_orders[PO Number], purchase_orders[[#This Row],[PO Number]])</f>
        <v>1</v>
      </c>
    </row>
    <row r="7" spans="1:8" x14ac:dyDescent="0.25">
      <c r="A7" s="1" t="s">
        <v>8</v>
      </c>
      <c r="B7" s="1" t="s">
        <v>1449</v>
      </c>
      <c r="C7" s="2">
        <v>46131</v>
      </c>
      <c r="D7">
        <v>184</v>
      </c>
      <c r="E7">
        <v>59.18</v>
      </c>
      <c r="F7" s="1" t="s">
        <v>1444</v>
      </c>
      <c r="G7" s="2">
        <v>46146</v>
      </c>
      <c r="H7">
        <f>COUNTIF(purchase_orders[PO Number], purchase_orders[[#This Row],[PO Number]])</f>
        <v>1</v>
      </c>
    </row>
    <row r="8" spans="1:8" x14ac:dyDescent="0.25">
      <c r="A8" s="1" t="s">
        <v>9</v>
      </c>
      <c r="B8" s="1" t="s">
        <v>1450</v>
      </c>
      <c r="C8" s="2">
        <v>46046</v>
      </c>
      <c r="D8">
        <v>204</v>
      </c>
      <c r="E8">
        <v>23.86</v>
      </c>
      <c r="F8" s="1" t="s">
        <v>1451</v>
      </c>
      <c r="G8" s="2">
        <v>46059</v>
      </c>
      <c r="H8">
        <f>COUNTIF(purchase_orders[PO Number], purchase_orders[[#This Row],[PO Number]])</f>
        <v>1</v>
      </c>
    </row>
    <row r="9" spans="1:8" x14ac:dyDescent="0.25">
      <c r="A9" s="1" t="s">
        <v>10</v>
      </c>
      <c r="B9" s="1" t="s">
        <v>1452</v>
      </c>
      <c r="C9" s="2">
        <v>46140</v>
      </c>
      <c r="D9">
        <v>284</v>
      </c>
      <c r="E9">
        <v>29.34</v>
      </c>
      <c r="F9" s="1" t="s">
        <v>1453</v>
      </c>
      <c r="G9" s="2">
        <v>46147</v>
      </c>
      <c r="H9">
        <f>COUNTIF(purchase_orders[PO Number], purchase_orders[[#This Row],[PO Number]])</f>
        <v>1</v>
      </c>
    </row>
    <row r="10" spans="1:8" x14ac:dyDescent="0.25">
      <c r="A10" s="1" t="s">
        <v>11</v>
      </c>
      <c r="B10" s="1" t="s">
        <v>1454</v>
      </c>
      <c r="C10" s="2">
        <v>46098</v>
      </c>
      <c r="D10">
        <v>434</v>
      </c>
      <c r="E10">
        <v>127.58</v>
      </c>
      <c r="F10" s="1" t="s">
        <v>1451</v>
      </c>
      <c r="G10" s="2">
        <v>46109</v>
      </c>
      <c r="H10">
        <f>COUNTIF(purchase_orders[PO Number], purchase_orders[[#This Row],[PO Number]])</f>
        <v>1</v>
      </c>
    </row>
    <row r="11" spans="1:8" x14ac:dyDescent="0.25">
      <c r="A11" s="1" t="s">
        <v>12</v>
      </c>
      <c r="B11" s="1" t="s">
        <v>1455</v>
      </c>
      <c r="C11" s="2">
        <v>46040</v>
      </c>
      <c r="D11">
        <v>33</v>
      </c>
      <c r="E11">
        <v>133.94999999999999</v>
      </c>
      <c r="F11" s="1" t="s">
        <v>1456</v>
      </c>
      <c r="G11" s="2">
        <v>46054</v>
      </c>
      <c r="H11">
        <f>COUNTIF(purchase_orders[PO Number], purchase_orders[[#This Row],[PO Number]])</f>
        <v>1</v>
      </c>
    </row>
    <row r="12" spans="1:8" x14ac:dyDescent="0.25">
      <c r="A12" s="1" t="s">
        <v>13</v>
      </c>
      <c r="B12" s="1" t="s">
        <v>1457</v>
      </c>
      <c r="C12" s="2">
        <v>46082</v>
      </c>
      <c r="D12">
        <v>453</v>
      </c>
      <c r="E12">
        <v>24.7</v>
      </c>
      <c r="F12" s="1" t="s">
        <v>1458</v>
      </c>
      <c r="G12" s="2">
        <v>46101</v>
      </c>
      <c r="H12">
        <f>COUNTIF(purchase_orders[PO Number], purchase_orders[[#This Row],[PO Number]])</f>
        <v>1</v>
      </c>
    </row>
    <row r="13" spans="1:8" x14ac:dyDescent="0.25">
      <c r="A13" s="1" t="s">
        <v>14</v>
      </c>
      <c r="B13" s="1" t="s">
        <v>1439</v>
      </c>
      <c r="C13" s="2">
        <v>46116</v>
      </c>
      <c r="D13">
        <v>93</v>
      </c>
      <c r="E13">
        <v>77.19</v>
      </c>
      <c r="F13" s="1" t="s">
        <v>1444</v>
      </c>
      <c r="G13" s="2">
        <v>46129</v>
      </c>
      <c r="H13">
        <f>COUNTIF(purchase_orders[PO Number], purchase_orders[[#This Row],[PO Number]])</f>
        <v>1</v>
      </c>
    </row>
    <row r="14" spans="1:8" x14ac:dyDescent="0.25">
      <c r="A14" s="1" t="s">
        <v>15</v>
      </c>
      <c r="B14" s="1" t="s">
        <v>1449</v>
      </c>
      <c r="C14" s="2">
        <v>46041</v>
      </c>
      <c r="D14">
        <v>321</v>
      </c>
      <c r="E14">
        <v>128.82</v>
      </c>
      <c r="F14" s="1" t="s">
        <v>1459</v>
      </c>
      <c r="G14" s="2">
        <v>46053</v>
      </c>
      <c r="H14">
        <f>COUNTIF(purchase_orders[PO Number], purchase_orders[[#This Row],[PO Number]])</f>
        <v>1</v>
      </c>
    </row>
    <row r="15" spans="1:8" x14ac:dyDescent="0.25">
      <c r="A15" s="1" t="s">
        <v>16</v>
      </c>
      <c r="B15" s="1" t="s">
        <v>1460</v>
      </c>
      <c r="C15" s="2">
        <v>46141</v>
      </c>
      <c r="D15">
        <v>204</v>
      </c>
      <c r="E15">
        <v>57.64</v>
      </c>
      <c r="F15" s="1" t="s">
        <v>1446</v>
      </c>
      <c r="G15" s="2">
        <v>46153</v>
      </c>
      <c r="H15">
        <f>COUNTIF(purchase_orders[PO Number], purchase_orders[[#This Row],[PO Number]])</f>
        <v>1</v>
      </c>
    </row>
    <row r="16" spans="1:8" x14ac:dyDescent="0.25">
      <c r="A16" s="1" t="s">
        <v>17</v>
      </c>
      <c r="B16" s="1" t="s">
        <v>1461</v>
      </c>
      <c r="C16" s="2">
        <v>46106</v>
      </c>
      <c r="D16">
        <v>441</v>
      </c>
      <c r="E16">
        <v>154.82</v>
      </c>
      <c r="F16" s="1" t="s">
        <v>1462</v>
      </c>
      <c r="G16" s="2">
        <v>46118</v>
      </c>
      <c r="H16">
        <f>COUNTIF(purchase_orders[PO Number], purchase_orders[[#This Row],[PO Number]])</f>
        <v>1</v>
      </c>
    </row>
    <row r="17" spans="1:8" x14ac:dyDescent="0.25">
      <c r="A17" s="1" t="s">
        <v>18</v>
      </c>
      <c r="B17" s="1" t="s">
        <v>1452</v>
      </c>
      <c r="C17" s="2">
        <v>46103</v>
      </c>
      <c r="D17">
        <v>215</v>
      </c>
      <c r="E17">
        <v>57.21</v>
      </c>
      <c r="F17" s="1" t="s">
        <v>1444</v>
      </c>
      <c r="G17" s="2">
        <v>46118</v>
      </c>
      <c r="H17">
        <f>COUNTIF(purchase_orders[PO Number], purchase_orders[[#This Row],[PO Number]])</f>
        <v>1</v>
      </c>
    </row>
    <row r="18" spans="1:8" x14ac:dyDescent="0.25">
      <c r="A18" s="1" t="s">
        <v>19</v>
      </c>
      <c r="B18" s="1" t="s">
        <v>1463</v>
      </c>
      <c r="C18" s="2">
        <v>46150</v>
      </c>
      <c r="D18">
        <v>212</v>
      </c>
      <c r="E18">
        <v>177.51</v>
      </c>
      <c r="F18" s="1" t="s">
        <v>1446</v>
      </c>
      <c r="G18" s="2">
        <v>46169</v>
      </c>
      <c r="H18">
        <f>COUNTIF(purchase_orders[PO Number], purchase_orders[[#This Row],[PO Number]])</f>
        <v>1</v>
      </c>
    </row>
    <row r="19" spans="1:8" x14ac:dyDescent="0.25">
      <c r="A19" s="1" t="s">
        <v>20</v>
      </c>
      <c r="B19" s="1" t="s">
        <v>1464</v>
      </c>
      <c r="C19" s="2">
        <v>46090</v>
      </c>
      <c r="D19">
        <v>81</v>
      </c>
      <c r="E19">
        <v>53.09</v>
      </c>
      <c r="F19" s="1" t="s">
        <v>1442</v>
      </c>
      <c r="G19" s="2">
        <v>46103</v>
      </c>
      <c r="H19">
        <f>COUNTIF(purchase_orders[PO Number], purchase_orders[[#This Row],[PO Number]])</f>
        <v>1</v>
      </c>
    </row>
    <row r="20" spans="1:8" x14ac:dyDescent="0.25">
      <c r="A20" s="1" t="s">
        <v>21</v>
      </c>
      <c r="B20" s="1" t="s">
        <v>1465</v>
      </c>
      <c r="C20" s="2">
        <v>46172</v>
      </c>
      <c r="D20">
        <v>229</v>
      </c>
      <c r="E20">
        <v>180.08</v>
      </c>
      <c r="F20" s="1" t="s">
        <v>1453</v>
      </c>
      <c r="G20" s="2">
        <v>46188</v>
      </c>
      <c r="H20">
        <f>COUNTIF(purchase_orders[PO Number], purchase_orders[[#This Row],[PO Number]])</f>
        <v>1</v>
      </c>
    </row>
    <row r="21" spans="1:8" x14ac:dyDescent="0.25">
      <c r="A21" s="1" t="s">
        <v>22</v>
      </c>
      <c r="B21" s="1" t="s">
        <v>1447</v>
      </c>
      <c r="C21" s="2">
        <v>46058</v>
      </c>
      <c r="D21">
        <v>270</v>
      </c>
      <c r="E21">
        <v>101.24</v>
      </c>
      <c r="F21" s="1" t="s">
        <v>1456</v>
      </c>
      <c r="G21" s="2">
        <v>46064</v>
      </c>
      <c r="H21">
        <f>COUNTIF(purchase_orders[PO Number], purchase_orders[[#This Row],[PO Number]])</f>
        <v>1</v>
      </c>
    </row>
    <row r="22" spans="1:8" x14ac:dyDescent="0.25">
      <c r="A22" s="1" t="s">
        <v>23</v>
      </c>
      <c r="B22" s="1" t="s">
        <v>1466</v>
      </c>
      <c r="C22" s="2">
        <v>46062</v>
      </c>
      <c r="D22">
        <v>331</v>
      </c>
      <c r="E22">
        <v>36.200000000000003</v>
      </c>
      <c r="F22" s="1" t="s">
        <v>1467</v>
      </c>
      <c r="G22" s="2">
        <v>46080</v>
      </c>
      <c r="H22">
        <f>COUNTIF(purchase_orders[PO Number], purchase_orders[[#This Row],[PO Number]])</f>
        <v>1</v>
      </c>
    </row>
    <row r="23" spans="1:8" x14ac:dyDescent="0.25">
      <c r="A23" s="1" t="s">
        <v>24</v>
      </c>
      <c r="B23" s="1" t="s">
        <v>1468</v>
      </c>
      <c r="C23" s="2">
        <v>46039</v>
      </c>
      <c r="D23">
        <v>207</v>
      </c>
      <c r="E23">
        <v>79.42</v>
      </c>
      <c r="F23" s="1" t="s">
        <v>1469</v>
      </c>
      <c r="G23" s="2">
        <v>46060</v>
      </c>
      <c r="H23">
        <f>COUNTIF(purchase_orders[PO Number], purchase_orders[[#This Row],[PO Number]])</f>
        <v>1</v>
      </c>
    </row>
    <row r="24" spans="1:8" x14ac:dyDescent="0.25">
      <c r="A24" s="1" t="s">
        <v>25</v>
      </c>
      <c r="B24" s="1" t="s">
        <v>1470</v>
      </c>
      <c r="C24" s="2">
        <v>46164</v>
      </c>
      <c r="D24">
        <v>450</v>
      </c>
      <c r="E24">
        <v>188.77</v>
      </c>
      <c r="F24" s="1" t="s">
        <v>1467</v>
      </c>
      <c r="G24" s="2">
        <v>46172</v>
      </c>
      <c r="H24">
        <f>COUNTIF(purchase_orders[PO Number], purchase_orders[[#This Row],[PO Number]])</f>
        <v>1</v>
      </c>
    </row>
    <row r="25" spans="1:8" x14ac:dyDescent="0.25">
      <c r="A25" s="1" t="s">
        <v>26</v>
      </c>
      <c r="B25" s="1" t="s">
        <v>1461</v>
      </c>
      <c r="C25" s="2">
        <v>46160</v>
      </c>
      <c r="D25">
        <v>394</v>
      </c>
      <c r="E25">
        <v>57.03</v>
      </c>
      <c r="F25" s="1" t="s">
        <v>1446</v>
      </c>
      <c r="G25" s="2">
        <v>46175</v>
      </c>
      <c r="H25">
        <f>COUNTIF(purchase_orders[PO Number], purchase_orders[[#This Row],[PO Number]])</f>
        <v>1</v>
      </c>
    </row>
    <row r="26" spans="1:8" x14ac:dyDescent="0.25">
      <c r="A26" s="1" t="s">
        <v>27</v>
      </c>
      <c r="B26" s="1" t="s">
        <v>1466</v>
      </c>
      <c r="C26" s="2">
        <v>46098</v>
      </c>
      <c r="D26">
        <v>232</v>
      </c>
      <c r="E26">
        <v>35.840000000000003</v>
      </c>
      <c r="F26" s="1" t="s">
        <v>1448</v>
      </c>
      <c r="G26" s="2">
        <v>46111</v>
      </c>
      <c r="H26">
        <f>COUNTIF(purchase_orders[PO Number], purchase_orders[[#This Row],[PO Number]])</f>
        <v>1</v>
      </c>
    </row>
    <row r="27" spans="1:8" x14ac:dyDescent="0.25">
      <c r="A27" s="1" t="s">
        <v>28</v>
      </c>
      <c r="B27" s="1" t="s">
        <v>1445</v>
      </c>
      <c r="C27" s="2">
        <v>46068</v>
      </c>
      <c r="D27">
        <v>269</v>
      </c>
      <c r="E27">
        <v>182.96</v>
      </c>
      <c r="F27" s="1" t="s">
        <v>1446</v>
      </c>
      <c r="G27" s="2">
        <v>46082</v>
      </c>
      <c r="H27">
        <f>COUNTIF(purchase_orders[PO Number], purchase_orders[[#This Row],[PO Number]])</f>
        <v>1</v>
      </c>
    </row>
    <row r="28" spans="1:8" x14ac:dyDescent="0.25">
      <c r="A28" s="1" t="s">
        <v>29</v>
      </c>
      <c r="B28" s="1" t="s">
        <v>1439</v>
      </c>
      <c r="C28" s="2">
        <v>46152</v>
      </c>
      <c r="D28">
        <v>321</v>
      </c>
      <c r="E28">
        <v>43.79</v>
      </c>
      <c r="F28" s="1" t="s">
        <v>1451</v>
      </c>
      <c r="G28" s="2">
        <v>46162</v>
      </c>
      <c r="H28">
        <f>COUNTIF(purchase_orders[PO Number], purchase_orders[[#This Row],[PO Number]])</f>
        <v>1</v>
      </c>
    </row>
    <row r="29" spans="1:8" x14ac:dyDescent="0.25">
      <c r="A29" s="1" t="s">
        <v>30</v>
      </c>
      <c r="B29" s="1" t="s">
        <v>1471</v>
      </c>
      <c r="C29" s="2">
        <v>46158</v>
      </c>
      <c r="D29">
        <v>480</v>
      </c>
      <c r="E29">
        <v>5.1100000000000003</v>
      </c>
      <c r="F29" s="1" t="s">
        <v>1472</v>
      </c>
      <c r="G29" s="2">
        <v>46178</v>
      </c>
      <c r="H29">
        <f>COUNTIF(purchase_orders[PO Number], purchase_orders[[#This Row],[PO Number]])</f>
        <v>1</v>
      </c>
    </row>
    <row r="30" spans="1:8" x14ac:dyDescent="0.25">
      <c r="A30" s="1" t="s">
        <v>31</v>
      </c>
      <c r="B30" s="1" t="s">
        <v>1473</v>
      </c>
      <c r="C30" s="2">
        <v>46051</v>
      </c>
      <c r="D30">
        <v>485</v>
      </c>
      <c r="E30">
        <v>75.78</v>
      </c>
      <c r="F30" s="1" t="s">
        <v>1474</v>
      </c>
      <c r="G30" s="2">
        <v>46063</v>
      </c>
      <c r="H30">
        <f>COUNTIF(purchase_orders[PO Number], purchase_orders[[#This Row],[PO Number]])</f>
        <v>1</v>
      </c>
    </row>
    <row r="31" spans="1:8" x14ac:dyDescent="0.25">
      <c r="A31" s="1" t="s">
        <v>32</v>
      </c>
      <c r="B31" s="1" t="s">
        <v>1475</v>
      </c>
      <c r="C31" s="2">
        <v>46084</v>
      </c>
      <c r="D31">
        <v>459</v>
      </c>
      <c r="E31">
        <v>115.63</v>
      </c>
      <c r="F31" s="1" t="s">
        <v>1476</v>
      </c>
      <c r="G31" s="2">
        <v>46091</v>
      </c>
      <c r="H31">
        <f>COUNTIF(purchase_orders[PO Number], purchase_orders[[#This Row],[PO Number]])</f>
        <v>1</v>
      </c>
    </row>
    <row r="32" spans="1:8" x14ac:dyDescent="0.25">
      <c r="A32" s="1" t="s">
        <v>33</v>
      </c>
      <c r="B32" s="1" t="s">
        <v>1477</v>
      </c>
      <c r="C32" s="2">
        <v>46147</v>
      </c>
      <c r="D32">
        <v>427</v>
      </c>
      <c r="E32">
        <v>18.5</v>
      </c>
      <c r="F32" s="1" t="s">
        <v>1456</v>
      </c>
      <c r="G32" s="2">
        <v>46156</v>
      </c>
      <c r="H32">
        <f>COUNTIF(purchase_orders[PO Number], purchase_orders[[#This Row],[PO Number]])</f>
        <v>1</v>
      </c>
    </row>
    <row r="33" spans="1:8" x14ac:dyDescent="0.25">
      <c r="A33" s="1" t="s">
        <v>34</v>
      </c>
      <c r="B33" s="1" t="s">
        <v>1441</v>
      </c>
      <c r="C33" s="2">
        <v>46144</v>
      </c>
      <c r="D33">
        <v>494</v>
      </c>
      <c r="E33">
        <v>112.21</v>
      </c>
      <c r="F33" s="1" t="s">
        <v>1458</v>
      </c>
      <c r="G33" s="2">
        <v>46165</v>
      </c>
      <c r="H33">
        <f>COUNTIF(purchase_orders[PO Number], purchase_orders[[#This Row],[PO Number]])</f>
        <v>1</v>
      </c>
    </row>
    <row r="34" spans="1:8" x14ac:dyDescent="0.25">
      <c r="A34" s="1" t="s">
        <v>35</v>
      </c>
      <c r="B34" s="1" t="s">
        <v>1468</v>
      </c>
      <c r="C34" s="2">
        <v>46131</v>
      </c>
      <c r="D34">
        <v>118</v>
      </c>
      <c r="E34">
        <v>186.14</v>
      </c>
      <c r="F34" s="1" t="s">
        <v>1456</v>
      </c>
      <c r="G34" s="2">
        <v>46142</v>
      </c>
      <c r="H34">
        <f>COUNTIF(purchase_orders[PO Number], purchase_orders[[#This Row],[PO Number]])</f>
        <v>1</v>
      </c>
    </row>
    <row r="35" spans="1:8" x14ac:dyDescent="0.25">
      <c r="A35" s="1" t="s">
        <v>36</v>
      </c>
      <c r="B35" s="1" t="s">
        <v>1455</v>
      </c>
      <c r="C35" s="2">
        <v>46102</v>
      </c>
      <c r="D35">
        <v>214</v>
      </c>
      <c r="E35">
        <v>199.05</v>
      </c>
      <c r="F35" s="1" t="s">
        <v>1446</v>
      </c>
      <c r="G35" s="2">
        <v>46118</v>
      </c>
      <c r="H35">
        <f>COUNTIF(purchase_orders[PO Number], purchase_orders[[#This Row],[PO Number]])</f>
        <v>1</v>
      </c>
    </row>
    <row r="36" spans="1:8" x14ac:dyDescent="0.25">
      <c r="A36" s="1" t="s">
        <v>37</v>
      </c>
      <c r="B36" s="1" t="s">
        <v>1478</v>
      </c>
      <c r="C36" s="2">
        <v>46155</v>
      </c>
      <c r="D36">
        <v>241</v>
      </c>
      <c r="E36">
        <v>28.6</v>
      </c>
      <c r="F36" s="1" t="s">
        <v>1440</v>
      </c>
      <c r="G36" s="2">
        <v>46162</v>
      </c>
      <c r="H36">
        <f>COUNTIF(purchase_orders[PO Number], purchase_orders[[#This Row],[PO Number]])</f>
        <v>1</v>
      </c>
    </row>
    <row r="37" spans="1:8" x14ac:dyDescent="0.25">
      <c r="A37" s="1" t="s">
        <v>686</v>
      </c>
      <c r="B37" s="1" t="s">
        <v>1479</v>
      </c>
      <c r="C37" s="2">
        <v>46028</v>
      </c>
      <c r="D37">
        <v>311</v>
      </c>
      <c r="E37">
        <v>113.01</v>
      </c>
      <c r="F37" s="1" t="s">
        <v>1480</v>
      </c>
      <c r="G37" s="2">
        <v>46040</v>
      </c>
      <c r="H37">
        <f>COUNTIF(purchase_orders[PO Number], purchase_orders[[#This Row],[PO Number]])</f>
        <v>1</v>
      </c>
    </row>
    <row r="38" spans="1:8" x14ac:dyDescent="0.25">
      <c r="A38" s="1" t="s">
        <v>38</v>
      </c>
      <c r="B38" s="1" t="s">
        <v>1481</v>
      </c>
      <c r="C38" s="2">
        <v>46041</v>
      </c>
      <c r="D38">
        <v>372</v>
      </c>
      <c r="E38">
        <v>128.07</v>
      </c>
      <c r="F38" s="1" t="s">
        <v>1440</v>
      </c>
      <c r="G38" s="2">
        <v>46048</v>
      </c>
      <c r="H38">
        <f>COUNTIF(purchase_orders[PO Number], purchase_orders[[#This Row],[PO Number]])</f>
        <v>1</v>
      </c>
    </row>
    <row r="39" spans="1:8" x14ac:dyDescent="0.25">
      <c r="A39" s="1" t="s">
        <v>39</v>
      </c>
      <c r="B39" s="1" t="s">
        <v>1452</v>
      </c>
      <c r="C39" s="2">
        <v>46107</v>
      </c>
      <c r="D39">
        <v>46</v>
      </c>
      <c r="E39">
        <v>105.26</v>
      </c>
      <c r="F39" s="1" t="s">
        <v>1458</v>
      </c>
      <c r="G39" s="2">
        <v>46127</v>
      </c>
      <c r="H39">
        <f>COUNTIF(purchase_orders[PO Number], purchase_orders[[#This Row],[PO Number]])</f>
        <v>1</v>
      </c>
    </row>
    <row r="40" spans="1:8" x14ac:dyDescent="0.25">
      <c r="A40" s="1" t="s">
        <v>40</v>
      </c>
      <c r="B40" s="1" t="s">
        <v>1463</v>
      </c>
      <c r="C40" s="2">
        <v>46161</v>
      </c>
      <c r="D40">
        <v>77</v>
      </c>
      <c r="E40">
        <v>146.05000000000001</v>
      </c>
      <c r="F40" s="1" t="s">
        <v>1480</v>
      </c>
      <c r="G40" s="2">
        <v>46181</v>
      </c>
      <c r="H40">
        <f>COUNTIF(purchase_orders[PO Number], purchase_orders[[#This Row],[PO Number]])</f>
        <v>1</v>
      </c>
    </row>
    <row r="41" spans="1:8" x14ac:dyDescent="0.25">
      <c r="A41" s="1" t="s">
        <v>41</v>
      </c>
      <c r="B41" s="1" t="s">
        <v>1482</v>
      </c>
      <c r="C41" s="2">
        <v>46144</v>
      </c>
      <c r="D41">
        <v>423</v>
      </c>
      <c r="E41">
        <v>84.38</v>
      </c>
      <c r="F41" s="1" t="s">
        <v>1483</v>
      </c>
      <c r="G41" s="2">
        <v>46152</v>
      </c>
      <c r="H41">
        <f>COUNTIF(purchase_orders[PO Number], purchase_orders[[#This Row],[PO Number]])</f>
        <v>1</v>
      </c>
    </row>
    <row r="42" spans="1:8" x14ac:dyDescent="0.25">
      <c r="A42" s="1" t="s">
        <v>42</v>
      </c>
      <c r="B42" s="1" t="s">
        <v>1484</v>
      </c>
      <c r="C42" s="2">
        <v>46133</v>
      </c>
      <c r="D42">
        <v>191</v>
      </c>
      <c r="E42">
        <v>87.6</v>
      </c>
      <c r="F42" s="1" t="s">
        <v>1469</v>
      </c>
      <c r="G42" s="2">
        <v>46139</v>
      </c>
      <c r="H42">
        <f>COUNTIF(purchase_orders[PO Number], purchase_orders[[#This Row],[PO Number]])</f>
        <v>1</v>
      </c>
    </row>
    <row r="43" spans="1:8" x14ac:dyDescent="0.25">
      <c r="A43" s="1" t="s">
        <v>43</v>
      </c>
      <c r="B43" s="1" t="s">
        <v>1461</v>
      </c>
      <c r="C43" s="2">
        <v>46048</v>
      </c>
      <c r="D43">
        <v>41</v>
      </c>
      <c r="E43">
        <v>83.51</v>
      </c>
      <c r="F43" s="1" t="s">
        <v>1472</v>
      </c>
      <c r="G43" s="2">
        <v>46056</v>
      </c>
      <c r="H43">
        <f>COUNTIF(purchase_orders[PO Number], purchase_orders[[#This Row],[PO Number]])</f>
        <v>1</v>
      </c>
    </row>
    <row r="44" spans="1:8" x14ac:dyDescent="0.25">
      <c r="A44" s="1" t="s">
        <v>44</v>
      </c>
      <c r="B44" s="1" t="s">
        <v>1482</v>
      </c>
      <c r="C44" s="2">
        <v>46072</v>
      </c>
      <c r="D44">
        <v>107</v>
      </c>
      <c r="E44">
        <v>109.58</v>
      </c>
      <c r="F44" s="1" t="s">
        <v>1485</v>
      </c>
      <c r="G44" s="2">
        <v>46090</v>
      </c>
      <c r="H44">
        <f>COUNTIF(purchase_orders[PO Number], purchase_orders[[#This Row],[PO Number]])</f>
        <v>1</v>
      </c>
    </row>
    <row r="45" spans="1:8" x14ac:dyDescent="0.25">
      <c r="A45" s="1" t="s">
        <v>45</v>
      </c>
      <c r="B45" s="1" t="s">
        <v>1486</v>
      </c>
      <c r="C45" s="2">
        <v>46094</v>
      </c>
      <c r="D45">
        <v>246</v>
      </c>
      <c r="E45">
        <v>53.71</v>
      </c>
      <c r="F45" s="1" t="s">
        <v>1476</v>
      </c>
      <c r="G45" s="2">
        <v>46113</v>
      </c>
      <c r="H45">
        <f>COUNTIF(purchase_orders[PO Number], purchase_orders[[#This Row],[PO Number]])</f>
        <v>1</v>
      </c>
    </row>
    <row r="46" spans="1:8" x14ac:dyDescent="0.25">
      <c r="A46" s="1" t="s">
        <v>46</v>
      </c>
      <c r="B46" s="1" t="s">
        <v>1454</v>
      </c>
      <c r="C46" s="2">
        <v>46048</v>
      </c>
      <c r="D46">
        <v>35</v>
      </c>
      <c r="E46">
        <v>132.16999999999999</v>
      </c>
      <c r="F46" s="1" t="s">
        <v>1442</v>
      </c>
      <c r="G46" s="2">
        <v>46053</v>
      </c>
      <c r="H46">
        <f>COUNTIF(purchase_orders[PO Number], purchase_orders[[#This Row],[PO Number]])</f>
        <v>1</v>
      </c>
    </row>
    <row r="47" spans="1:8" x14ac:dyDescent="0.25">
      <c r="A47" s="1" t="s">
        <v>47</v>
      </c>
      <c r="B47" s="1" t="s">
        <v>1457</v>
      </c>
      <c r="C47" s="2">
        <v>46083</v>
      </c>
      <c r="D47">
        <v>95</v>
      </c>
      <c r="E47">
        <v>84.25</v>
      </c>
      <c r="F47" s="1" t="s">
        <v>1487</v>
      </c>
      <c r="G47" s="2">
        <v>46094</v>
      </c>
      <c r="H47">
        <f>COUNTIF(purchase_orders[PO Number], purchase_orders[[#This Row],[PO Number]])</f>
        <v>1</v>
      </c>
    </row>
    <row r="48" spans="1:8" x14ac:dyDescent="0.25">
      <c r="A48" s="1" t="s">
        <v>48</v>
      </c>
      <c r="B48" s="1" t="s">
        <v>1488</v>
      </c>
      <c r="C48" s="2">
        <v>46038</v>
      </c>
      <c r="D48">
        <v>94</v>
      </c>
      <c r="E48">
        <v>78.900000000000006</v>
      </c>
      <c r="F48" s="1" t="s">
        <v>1453</v>
      </c>
      <c r="G48" s="2">
        <v>46051</v>
      </c>
      <c r="H48">
        <f>COUNTIF(purchase_orders[PO Number], purchase_orders[[#This Row],[PO Number]])</f>
        <v>1</v>
      </c>
    </row>
    <row r="49" spans="1:8" x14ac:dyDescent="0.25">
      <c r="A49" s="1" t="s">
        <v>49</v>
      </c>
      <c r="B49" s="1" t="s">
        <v>1489</v>
      </c>
      <c r="C49" s="2">
        <v>46096</v>
      </c>
      <c r="D49">
        <v>226</v>
      </c>
      <c r="E49">
        <v>140.84</v>
      </c>
      <c r="F49" s="1" t="s">
        <v>1490</v>
      </c>
      <c r="G49" s="2">
        <v>46116</v>
      </c>
      <c r="H49">
        <f>COUNTIF(purchase_orders[PO Number], purchase_orders[[#This Row],[PO Number]])</f>
        <v>1</v>
      </c>
    </row>
    <row r="50" spans="1:8" x14ac:dyDescent="0.25">
      <c r="A50" s="1" t="s">
        <v>50</v>
      </c>
      <c r="B50" s="1" t="s">
        <v>1464</v>
      </c>
      <c r="C50" s="2">
        <v>46071</v>
      </c>
      <c r="D50">
        <v>161</v>
      </c>
      <c r="E50">
        <v>47.45</v>
      </c>
      <c r="F50" s="1" t="s">
        <v>1462</v>
      </c>
      <c r="G50" s="2">
        <v>46077</v>
      </c>
      <c r="H50">
        <f>COUNTIF(purchase_orders[PO Number], purchase_orders[[#This Row],[PO Number]])</f>
        <v>1</v>
      </c>
    </row>
    <row r="51" spans="1:8" x14ac:dyDescent="0.25">
      <c r="A51" s="1" t="s">
        <v>51</v>
      </c>
      <c r="B51" s="1" t="s">
        <v>1465</v>
      </c>
      <c r="C51" s="2">
        <v>46103</v>
      </c>
      <c r="D51">
        <v>39</v>
      </c>
      <c r="E51">
        <v>14.78</v>
      </c>
      <c r="F51" s="1" t="s">
        <v>1487</v>
      </c>
      <c r="G51" s="2">
        <v>46124</v>
      </c>
      <c r="H51">
        <f>COUNTIF(purchase_orders[PO Number], purchase_orders[[#This Row],[PO Number]])</f>
        <v>1</v>
      </c>
    </row>
    <row r="52" spans="1:8" x14ac:dyDescent="0.25">
      <c r="A52" s="1" t="s">
        <v>52</v>
      </c>
      <c r="B52" s="1" t="s">
        <v>1491</v>
      </c>
      <c r="C52" s="2">
        <v>46063</v>
      </c>
      <c r="D52">
        <v>39</v>
      </c>
      <c r="E52">
        <v>192.35</v>
      </c>
      <c r="F52" s="1" t="s">
        <v>1476</v>
      </c>
      <c r="G52" s="2">
        <v>46073</v>
      </c>
      <c r="H52">
        <f>COUNTIF(purchase_orders[PO Number], purchase_orders[[#This Row],[PO Number]])</f>
        <v>1</v>
      </c>
    </row>
    <row r="53" spans="1:8" x14ac:dyDescent="0.25">
      <c r="A53" s="1" t="s">
        <v>53</v>
      </c>
      <c r="B53" s="1" t="s">
        <v>1492</v>
      </c>
      <c r="C53" s="2">
        <v>46040</v>
      </c>
      <c r="D53">
        <v>355</v>
      </c>
      <c r="E53">
        <v>173.05</v>
      </c>
      <c r="F53" s="1" t="s">
        <v>1453</v>
      </c>
      <c r="G53" s="2">
        <v>46048</v>
      </c>
      <c r="H53">
        <f>COUNTIF(purchase_orders[PO Number], purchase_orders[[#This Row],[PO Number]])</f>
        <v>1</v>
      </c>
    </row>
    <row r="54" spans="1:8" x14ac:dyDescent="0.25">
      <c r="A54" s="1" t="s">
        <v>54</v>
      </c>
      <c r="B54" s="1" t="s">
        <v>1493</v>
      </c>
      <c r="C54" s="2">
        <v>46086</v>
      </c>
      <c r="D54">
        <v>306</v>
      </c>
      <c r="E54">
        <v>120.93</v>
      </c>
      <c r="F54" s="1" t="s">
        <v>1494</v>
      </c>
      <c r="G54" s="2">
        <v>46093</v>
      </c>
      <c r="H54">
        <f>COUNTIF(purchase_orders[PO Number], purchase_orders[[#This Row],[PO Number]])</f>
        <v>1</v>
      </c>
    </row>
    <row r="55" spans="1:8" x14ac:dyDescent="0.25">
      <c r="A55" s="1" t="s">
        <v>55</v>
      </c>
      <c r="B55" s="1" t="s">
        <v>1495</v>
      </c>
      <c r="C55" s="2">
        <v>46172</v>
      </c>
      <c r="D55">
        <v>299</v>
      </c>
      <c r="E55">
        <v>106.94</v>
      </c>
      <c r="F55" s="1" t="s">
        <v>1458</v>
      </c>
      <c r="G55" s="2">
        <v>46183</v>
      </c>
      <c r="H55">
        <f>COUNTIF(purchase_orders[PO Number], purchase_orders[[#This Row],[PO Number]])</f>
        <v>1</v>
      </c>
    </row>
    <row r="56" spans="1:8" x14ac:dyDescent="0.25">
      <c r="A56" s="1" t="s">
        <v>707</v>
      </c>
      <c r="B56" s="1" t="s">
        <v>1484</v>
      </c>
      <c r="C56" s="2">
        <v>46103</v>
      </c>
      <c r="D56">
        <v>132</v>
      </c>
      <c r="E56">
        <v>56.79</v>
      </c>
      <c r="F56" s="1" t="s">
        <v>1485</v>
      </c>
      <c r="G56" s="2">
        <v>46117</v>
      </c>
      <c r="H56">
        <f>COUNTIF(purchase_orders[PO Number], purchase_orders[[#This Row],[PO Number]])</f>
        <v>1</v>
      </c>
    </row>
    <row r="57" spans="1:8" x14ac:dyDescent="0.25">
      <c r="A57" s="1" t="s">
        <v>56</v>
      </c>
      <c r="B57" s="1" t="s">
        <v>1489</v>
      </c>
      <c r="C57" s="2">
        <v>46103</v>
      </c>
      <c r="D57">
        <v>485</v>
      </c>
      <c r="E57">
        <v>151.61000000000001</v>
      </c>
      <c r="F57" s="1" t="s">
        <v>1476</v>
      </c>
      <c r="G57" s="2">
        <v>46108</v>
      </c>
      <c r="H57">
        <f>COUNTIF(purchase_orders[PO Number], purchase_orders[[#This Row],[PO Number]])</f>
        <v>1</v>
      </c>
    </row>
    <row r="58" spans="1:8" x14ac:dyDescent="0.25">
      <c r="A58" s="1" t="s">
        <v>57</v>
      </c>
      <c r="B58" s="1" t="s">
        <v>1489</v>
      </c>
      <c r="C58" s="2">
        <v>46167</v>
      </c>
      <c r="D58">
        <v>61</v>
      </c>
      <c r="E58">
        <v>19.29</v>
      </c>
      <c r="F58" s="1" t="s">
        <v>1444</v>
      </c>
      <c r="G58" s="2">
        <v>46188</v>
      </c>
      <c r="H58">
        <f>COUNTIF(purchase_orders[PO Number], purchase_orders[[#This Row],[PO Number]])</f>
        <v>1</v>
      </c>
    </row>
    <row r="59" spans="1:8" x14ac:dyDescent="0.25">
      <c r="A59" s="1" t="s">
        <v>58</v>
      </c>
      <c r="B59" s="1" t="s">
        <v>1470</v>
      </c>
      <c r="C59" s="2">
        <v>46056</v>
      </c>
      <c r="D59">
        <v>487</v>
      </c>
      <c r="E59">
        <v>73.06</v>
      </c>
      <c r="F59" s="1" t="s">
        <v>1476</v>
      </c>
      <c r="G59" s="2">
        <v>46068</v>
      </c>
      <c r="H59">
        <f>COUNTIF(purchase_orders[PO Number], purchase_orders[[#This Row],[PO Number]])</f>
        <v>1</v>
      </c>
    </row>
    <row r="60" spans="1:8" x14ac:dyDescent="0.25">
      <c r="A60" s="1" t="s">
        <v>59</v>
      </c>
      <c r="B60" s="1" t="s">
        <v>1496</v>
      </c>
      <c r="C60" s="2">
        <v>46095</v>
      </c>
      <c r="D60">
        <v>90</v>
      </c>
      <c r="E60">
        <v>90.45</v>
      </c>
      <c r="F60" s="1" t="s">
        <v>1442</v>
      </c>
      <c r="G60" s="2">
        <v>46109</v>
      </c>
      <c r="H60">
        <f>COUNTIF(purchase_orders[PO Number], purchase_orders[[#This Row],[PO Number]])</f>
        <v>1</v>
      </c>
    </row>
    <row r="61" spans="1:8" x14ac:dyDescent="0.25">
      <c r="A61" s="1" t="s">
        <v>60</v>
      </c>
      <c r="B61" s="1" t="s">
        <v>1497</v>
      </c>
      <c r="C61" s="2">
        <v>46158</v>
      </c>
      <c r="D61">
        <v>14</v>
      </c>
      <c r="E61">
        <v>135.22999999999999</v>
      </c>
      <c r="F61" s="1" t="s">
        <v>1442</v>
      </c>
      <c r="G61" s="2">
        <v>46172</v>
      </c>
      <c r="H61">
        <f>COUNTIF(purchase_orders[PO Number], purchase_orders[[#This Row],[PO Number]])</f>
        <v>1</v>
      </c>
    </row>
    <row r="62" spans="1:8" x14ac:dyDescent="0.25">
      <c r="A62" s="1" t="s">
        <v>61</v>
      </c>
      <c r="B62" s="1" t="s">
        <v>1484</v>
      </c>
      <c r="C62" s="2">
        <v>46049</v>
      </c>
      <c r="D62">
        <v>490</v>
      </c>
      <c r="E62">
        <v>176.23</v>
      </c>
      <c r="F62" s="1" t="s">
        <v>1458</v>
      </c>
      <c r="G62" s="2">
        <v>46057</v>
      </c>
      <c r="H62">
        <f>COUNTIF(purchase_orders[PO Number], purchase_orders[[#This Row],[PO Number]])</f>
        <v>1</v>
      </c>
    </row>
    <row r="63" spans="1:8" x14ac:dyDescent="0.25">
      <c r="A63" s="1" t="s">
        <v>62</v>
      </c>
      <c r="B63" s="1" t="s">
        <v>1450</v>
      </c>
      <c r="C63" s="2">
        <v>46164</v>
      </c>
      <c r="D63">
        <v>89</v>
      </c>
      <c r="E63">
        <v>58.11</v>
      </c>
      <c r="F63" s="1" t="s">
        <v>1494</v>
      </c>
      <c r="G63" s="2">
        <v>46175</v>
      </c>
      <c r="H63">
        <f>COUNTIF(purchase_orders[PO Number], purchase_orders[[#This Row],[PO Number]])</f>
        <v>1</v>
      </c>
    </row>
    <row r="64" spans="1:8" x14ac:dyDescent="0.25">
      <c r="A64" s="1" t="s">
        <v>63</v>
      </c>
      <c r="B64" s="1" t="s">
        <v>1455</v>
      </c>
      <c r="C64" s="2">
        <v>46110</v>
      </c>
      <c r="D64">
        <v>114</v>
      </c>
      <c r="E64">
        <v>139.06</v>
      </c>
      <c r="F64" s="1" t="s">
        <v>1458</v>
      </c>
      <c r="G64" s="2">
        <v>46131</v>
      </c>
      <c r="H64">
        <f>COUNTIF(purchase_orders[PO Number], purchase_orders[[#This Row],[PO Number]])</f>
        <v>1</v>
      </c>
    </row>
    <row r="65" spans="1:8" x14ac:dyDescent="0.25">
      <c r="A65" s="1" t="s">
        <v>64</v>
      </c>
      <c r="B65" s="1" t="s">
        <v>1498</v>
      </c>
      <c r="C65" s="2">
        <v>46087</v>
      </c>
      <c r="D65">
        <v>473</v>
      </c>
      <c r="E65">
        <v>182.09</v>
      </c>
      <c r="F65" s="1" t="s">
        <v>1462</v>
      </c>
      <c r="G65" s="2">
        <v>46094</v>
      </c>
      <c r="H65">
        <f>COUNTIF(purchase_orders[PO Number], purchase_orders[[#This Row],[PO Number]])</f>
        <v>1</v>
      </c>
    </row>
    <row r="66" spans="1:8" x14ac:dyDescent="0.25">
      <c r="A66" s="1" t="s">
        <v>65</v>
      </c>
      <c r="B66" s="1" t="s">
        <v>1439</v>
      </c>
      <c r="C66" s="2">
        <v>46131</v>
      </c>
      <c r="D66">
        <v>434</v>
      </c>
      <c r="E66">
        <v>58.95</v>
      </c>
      <c r="F66" s="1" t="s">
        <v>1448</v>
      </c>
      <c r="G66" s="2">
        <v>46146</v>
      </c>
      <c r="H66">
        <f>COUNTIF(purchase_orders[PO Number], purchase_orders[[#This Row],[PO Number]])</f>
        <v>1</v>
      </c>
    </row>
    <row r="67" spans="1:8" x14ac:dyDescent="0.25">
      <c r="A67" s="1" t="s">
        <v>66</v>
      </c>
      <c r="B67" s="1" t="s">
        <v>1441</v>
      </c>
      <c r="C67" s="2">
        <v>46090</v>
      </c>
      <c r="D67">
        <v>92</v>
      </c>
      <c r="E67">
        <v>149.54</v>
      </c>
      <c r="F67" s="1" t="s">
        <v>1442</v>
      </c>
      <c r="G67" s="2">
        <v>46108</v>
      </c>
      <c r="H67">
        <f>COUNTIF(purchase_orders[PO Number], purchase_orders[[#This Row],[PO Number]])</f>
        <v>1</v>
      </c>
    </row>
    <row r="68" spans="1:8" x14ac:dyDescent="0.25">
      <c r="A68" s="1" t="s">
        <v>67</v>
      </c>
      <c r="B68" s="1" t="s">
        <v>1454</v>
      </c>
      <c r="C68" s="2">
        <v>46025</v>
      </c>
      <c r="D68">
        <v>67</v>
      </c>
      <c r="E68">
        <v>19.670000000000002</v>
      </c>
      <c r="F68" s="1" t="s">
        <v>1499</v>
      </c>
      <c r="G68" s="2">
        <v>46034</v>
      </c>
      <c r="H68">
        <f>COUNTIF(purchase_orders[PO Number], purchase_orders[[#This Row],[PO Number]])</f>
        <v>1</v>
      </c>
    </row>
    <row r="69" spans="1:8" x14ac:dyDescent="0.25">
      <c r="A69" s="1" t="s">
        <v>68</v>
      </c>
      <c r="B69" s="1" t="s">
        <v>1471</v>
      </c>
      <c r="C69" s="2">
        <v>46032</v>
      </c>
      <c r="D69">
        <v>437</v>
      </c>
      <c r="E69">
        <v>77</v>
      </c>
      <c r="F69" s="1" t="s">
        <v>1442</v>
      </c>
      <c r="G69" s="2">
        <v>46041</v>
      </c>
      <c r="H69">
        <f>COUNTIF(purchase_orders[PO Number], purchase_orders[[#This Row],[PO Number]])</f>
        <v>1</v>
      </c>
    </row>
    <row r="70" spans="1:8" x14ac:dyDescent="0.25">
      <c r="A70" s="1" t="s">
        <v>69</v>
      </c>
      <c r="B70" s="1" t="s">
        <v>1500</v>
      </c>
      <c r="C70" s="2">
        <v>46055</v>
      </c>
      <c r="D70">
        <v>31</v>
      </c>
      <c r="E70">
        <v>65.11</v>
      </c>
      <c r="F70" s="1" t="s">
        <v>1462</v>
      </c>
      <c r="G70" s="2">
        <v>46071</v>
      </c>
      <c r="H70">
        <f>COUNTIF(purchase_orders[PO Number], purchase_orders[[#This Row],[PO Number]])</f>
        <v>1</v>
      </c>
    </row>
    <row r="71" spans="1:8" x14ac:dyDescent="0.25">
      <c r="A71" s="1" t="s">
        <v>70</v>
      </c>
      <c r="B71" s="1" t="s">
        <v>1463</v>
      </c>
      <c r="C71" s="2">
        <v>46086</v>
      </c>
      <c r="D71">
        <v>351</v>
      </c>
      <c r="E71">
        <v>25.04</v>
      </c>
      <c r="F71" s="1" t="s">
        <v>1456</v>
      </c>
      <c r="G71" s="2">
        <v>46104</v>
      </c>
      <c r="H71">
        <f>COUNTIF(purchase_orders[PO Number], purchase_orders[[#This Row],[PO Number]])</f>
        <v>1</v>
      </c>
    </row>
    <row r="72" spans="1:8" x14ac:dyDescent="0.25">
      <c r="A72" s="1" t="s">
        <v>71</v>
      </c>
      <c r="B72" s="1" t="s">
        <v>1497</v>
      </c>
      <c r="C72" s="2">
        <v>46062</v>
      </c>
      <c r="D72">
        <v>483</v>
      </c>
      <c r="E72">
        <v>186.33</v>
      </c>
      <c r="F72" s="1" t="s">
        <v>1501</v>
      </c>
      <c r="G72" s="2">
        <v>46072</v>
      </c>
      <c r="H72">
        <f>COUNTIF(purchase_orders[PO Number], purchase_orders[[#This Row],[PO Number]])</f>
        <v>1</v>
      </c>
    </row>
    <row r="73" spans="1:8" x14ac:dyDescent="0.25">
      <c r="A73" s="1" t="s">
        <v>72</v>
      </c>
      <c r="B73" s="1" t="s">
        <v>1495</v>
      </c>
      <c r="C73" s="2">
        <v>46029</v>
      </c>
      <c r="D73">
        <v>101</v>
      </c>
      <c r="E73">
        <v>148.63</v>
      </c>
      <c r="F73" s="1" t="s">
        <v>1472</v>
      </c>
      <c r="G73" s="2">
        <v>46047</v>
      </c>
      <c r="H73">
        <f>COUNTIF(purchase_orders[PO Number], purchase_orders[[#This Row],[PO Number]])</f>
        <v>1</v>
      </c>
    </row>
    <row r="74" spans="1:8" x14ac:dyDescent="0.25">
      <c r="A74" s="1" t="s">
        <v>73</v>
      </c>
      <c r="B74" s="1" t="s">
        <v>1484</v>
      </c>
      <c r="C74" s="2">
        <v>46086</v>
      </c>
      <c r="D74">
        <v>146</v>
      </c>
      <c r="E74">
        <v>36.04</v>
      </c>
      <c r="F74" s="1" t="s">
        <v>1499</v>
      </c>
      <c r="G74" s="2">
        <v>46094</v>
      </c>
      <c r="H74">
        <f>COUNTIF(purchase_orders[PO Number], purchase_orders[[#This Row],[PO Number]])</f>
        <v>1</v>
      </c>
    </row>
    <row r="75" spans="1:8" x14ac:dyDescent="0.25">
      <c r="A75" s="1" t="s">
        <v>74</v>
      </c>
      <c r="B75" s="1" t="s">
        <v>1502</v>
      </c>
      <c r="C75" s="2">
        <v>46032</v>
      </c>
      <c r="D75">
        <v>449</v>
      </c>
      <c r="E75">
        <v>96.78</v>
      </c>
      <c r="F75" s="1" t="s">
        <v>1444</v>
      </c>
      <c r="G75" s="2">
        <v>46051</v>
      </c>
      <c r="H75">
        <f>COUNTIF(purchase_orders[PO Number], purchase_orders[[#This Row],[PO Number]])</f>
        <v>1</v>
      </c>
    </row>
    <row r="76" spans="1:8" x14ac:dyDescent="0.25">
      <c r="A76" s="1" t="s">
        <v>75</v>
      </c>
      <c r="B76" s="1" t="s">
        <v>1503</v>
      </c>
      <c r="C76" s="2">
        <v>46101</v>
      </c>
      <c r="D76">
        <v>430</v>
      </c>
      <c r="E76">
        <v>160.09</v>
      </c>
      <c r="F76" s="1" t="s">
        <v>1440</v>
      </c>
      <c r="G76" s="2">
        <v>46113</v>
      </c>
      <c r="H76">
        <f>COUNTIF(purchase_orders[PO Number], purchase_orders[[#This Row],[PO Number]])</f>
        <v>1</v>
      </c>
    </row>
    <row r="77" spans="1:8" x14ac:dyDescent="0.25">
      <c r="A77" s="1" t="s">
        <v>76</v>
      </c>
      <c r="B77" s="1" t="s">
        <v>1473</v>
      </c>
      <c r="C77" s="2">
        <v>46072</v>
      </c>
      <c r="D77">
        <v>214</v>
      </c>
      <c r="E77">
        <v>69.010000000000005</v>
      </c>
      <c r="F77" s="1" t="s">
        <v>1476</v>
      </c>
      <c r="G77" s="2">
        <v>46085</v>
      </c>
      <c r="H77">
        <f>COUNTIF(purchase_orders[PO Number], purchase_orders[[#This Row],[PO Number]])</f>
        <v>1</v>
      </c>
    </row>
    <row r="78" spans="1:8" x14ac:dyDescent="0.25">
      <c r="A78" s="1" t="s">
        <v>77</v>
      </c>
      <c r="B78" s="1" t="s">
        <v>1503</v>
      </c>
      <c r="C78" s="2">
        <v>46153</v>
      </c>
      <c r="D78">
        <v>214</v>
      </c>
      <c r="E78">
        <v>137.51</v>
      </c>
      <c r="F78" s="1" t="s">
        <v>1442</v>
      </c>
      <c r="G78" s="2">
        <v>46168</v>
      </c>
      <c r="H78">
        <f>COUNTIF(purchase_orders[PO Number], purchase_orders[[#This Row],[PO Number]])</f>
        <v>1</v>
      </c>
    </row>
    <row r="79" spans="1:8" x14ac:dyDescent="0.25">
      <c r="A79" s="1" t="s">
        <v>733</v>
      </c>
      <c r="B79" s="1" t="s">
        <v>1473</v>
      </c>
      <c r="C79" s="2">
        <v>46052</v>
      </c>
      <c r="D79">
        <v>459</v>
      </c>
      <c r="E79">
        <v>194.23</v>
      </c>
      <c r="F79" s="1" t="s">
        <v>1501</v>
      </c>
      <c r="G79" s="2">
        <v>46065</v>
      </c>
      <c r="H79">
        <f>COUNTIF(purchase_orders[PO Number], purchase_orders[[#This Row],[PO Number]])</f>
        <v>1</v>
      </c>
    </row>
    <row r="80" spans="1:8" x14ac:dyDescent="0.25">
      <c r="A80" s="1" t="s">
        <v>78</v>
      </c>
      <c r="B80" s="1" t="s">
        <v>1452</v>
      </c>
      <c r="C80" s="2">
        <v>46050</v>
      </c>
      <c r="D80">
        <v>315</v>
      </c>
      <c r="E80">
        <v>89.74</v>
      </c>
      <c r="F80" s="1" t="s">
        <v>1490</v>
      </c>
      <c r="G80" s="2">
        <v>46065</v>
      </c>
      <c r="H80">
        <f>COUNTIF(purchase_orders[PO Number], purchase_orders[[#This Row],[PO Number]])</f>
        <v>1</v>
      </c>
    </row>
    <row r="81" spans="1:8" x14ac:dyDescent="0.25">
      <c r="A81" s="1" t="s">
        <v>79</v>
      </c>
      <c r="B81" s="1" t="s">
        <v>1500</v>
      </c>
      <c r="C81" s="2">
        <v>46153</v>
      </c>
      <c r="D81">
        <v>69</v>
      </c>
      <c r="E81">
        <v>80.11</v>
      </c>
      <c r="F81" s="1" t="s">
        <v>1480</v>
      </c>
      <c r="G81" s="2">
        <v>46164</v>
      </c>
      <c r="H81">
        <f>COUNTIF(purchase_orders[PO Number], purchase_orders[[#This Row],[PO Number]])</f>
        <v>1</v>
      </c>
    </row>
    <row r="82" spans="1:8" x14ac:dyDescent="0.25">
      <c r="A82" s="1" t="s">
        <v>80</v>
      </c>
      <c r="B82" s="1" t="s">
        <v>1470</v>
      </c>
      <c r="C82" s="2">
        <v>46034</v>
      </c>
      <c r="D82">
        <v>372</v>
      </c>
      <c r="E82">
        <v>90.03</v>
      </c>
      <c r="F82" s="1" t="s">
        <v>1504</v>
      </c>
      <c r="G82" s="2">
        <v>46045</v>
      </c>
      <c r="H82">
        <f>COUNTIF(purchase_orders[PO Number], purchase_orders[[#This Row],[PO Number]])</f>
        <v>1</v>
      </c>
    </row>
    <row r="83" spans="1:8" x14ac:dyDescent="0.25">
      <c r="A83" s="1" t="s">
        <v>81</v>
      </c>
      <c r="B83" s="1" t="s">
        <v>1496</v>
      </c>
      <c r="C83" s="2">
        <v>46133</v>
      </c>
      <c r="D83">
        <v>45</v>
      </c>
      <c r="E83">
        <v>190.03</v>
      </c>
      <c r="F83" s="1" t="s">
        <v>1472</v>
      </c>
      <c r="G83" s="2">
        <v>46148</v>
      </c>
      <c r="H83">
        <f>COUNTIF(purchase_orders[PO Number], purchase_orders[[#This Row],[PO Number]])</f>
        <v>1</v>
      </c>
    </row>
    <row r="84" spans="1:8" x14ac:dyDescent="0.25">
      <c r="A84" s="1" t="s">
        <v>82</v>
      </c>
      <c r="B84" s="1" t="s">
        <v>1484</v>
      </c>
      <c r="C84" s="2">
        <v>46054</v>
      </c>
      <c r="D84">
        <v>378</v>
      </c>
      <c r="E84">
        <v>180.51</v>
      </c>
      <c r="F84" s="1" t="s">
        <v>1504</v>
      </c>
      <c r="G84" s="2">
        <v>46068</v>
      </c>
      <c r="H84">
        <f>COUNTIF(purchase_orders[PO Number], purchase_orders[[#This Row],[PO Number]])</f>
        <v>1</v>
      </c>
    </row>
    <row r="85" spans="1:8" x14ac:dyDescent="0.25">
      <c r="A85" s="1" t="s">
        <v>83</v>
      </c>
      <c r="B85" s="1" t="s">
        <v>1484</v>
      </c>
      <c r="C85" s="2">
        <v>46127</v>
      </c>
      <c r="D85">
        <v>177</v>
      </c>
      <c r="E85">
        <v>83.47</v>
      </c>
      <c r="F85" s="1" t="s">
        <v>1474</v>
      </c>
      <c r="G85" s="2">
        <v>46136</v>
      </c>
      <c r="H85">
        <f>COUNTIF(purchase_orders[PO Number], purchase_orders[[#This Row],[PO Number]])</f>
        <v>1</v>
      </c>
    </row>
    <row r="86" spans="1:8" x14ac:dyDescent="0.25">
      <c r="A86" s="1" t="s">
        <v>84</v>
      </c>
      <c r="B86" s="1" t="s">
        <v>1505</v>
      </c>
      <c r="C86" s="2">
        <v>46130</v>
      </c>
      <c r="D86">
        <v>350</v>
      </c>
      <c r="E86">
        <v>188.37</v>
      </c>
      <c r="F86" s="1" t="s">
        <v>1467</v>
      </c>
      <c r="G86" s="2">
        <v>46140</v>
      </c>
      <c r="H86">
        <f>COUNTIF(purchase_orders[PO Number], purchase_orders[[#This Row],[PO Number]])</f>
        <v>1</v>
      </c>
    </row>
    <row r="87" spans="1:8" x14ac:dyDescent="0.25">
      <c r="A87" s="1" t="s">
        <v>85</v>
      </c>
      <c r="B87" s="1" t="s">
        <v>1497</v>
      </c>
      <c r="C87" s="2">
        <v>46168</v>
      </c>
      <c r="D87">
        <v>164</v>
      </c>
      <c r="E87">
        <v>84.18</v>
      </c>
      <c r="F87" s="1" t="s">
        <v>1448</v>
      </c>
      <c r="G87" s="2">
        <v>46182</v>
      </c>
      <c r="H87">
        <f>COUNTIF(purchase_orders[PO Number], purchase_orders[[#This Row],[PO Number]])</f>
        <v>1</v>
      </c>
    </row>
    <row r="88" spans="1:8" x14ac:dyDescent="0.25">
      <c r="A88" s="1" t="s">
        <v>86</v>
      </c>
      <c r="B88" s="1" t="s">
        <v>1506</v>
      </c>
      <c r="C88" s="2">
        <v>46076</v>
      </c>
      <c r="D88">
        <v>230</v>
      </c>
      <c r="E88">
        <v>158.22</v>
      </c>
      <c r="F88" s="1" t="s">
        <v>1494</v>
      </c>
      <c r="G88" s="2">
        <v>46091</v>
      </c>
      <c r="H88">
        <f>COUNTIF(purchase_orders[PO Number], purchase_orders[[#This Row],[PO Number]])</f>
        <v>1</v>
      </c>
    </row>
    <row r="89" spans="1:8" x14ac:dyDescent="0.25">
      <c r="A89" s="1" t="s">
        <v>87</v>
      </c>
      <c r="B89" s="1" t="s">
        <v>1489</v>
      </c>
      <c r="C89" s="2">
        <v>46136</v>
      </c>
      <c r="D89">
        <v>236</v>
      </c>
      <c r="E89">
        <v>136.75</v>
      </c>
      <c r="F89" s="1" t="s">
        <v>1459</v>
      </c>
      <c r="G89" s="2">
        <v>46156</v>
      </c>
      <c r="H89">
        <f>COUNTIF(purchase_orders[PO Number], purchase_orders[[#This Row],[PO Number]])</f>
        <v>1</v>
      </c>
    </row>
    <row r="90" spans="1:8" x14ac:dyDescent="0.25">
      <c r="A90" s="1" t="s">
        <v>88</v>
      </c>
      <c r="B90" s="1" t="s">
        <v>1465</v>
      </c>
      <c r="C90" s="2">
        <v>46066</v>
      </c>
      <c r="D90">
        <v>347</v>
      </c>
      <c r="E90">
        <v>21.54</v>
      </c>
      <c r="F90" s="1" t="s">
        <v>1504</v>
      </c>
      <c r="G90" s="2">
        <v>46081</v>
      </c>
      <c r="H90">
        <f>COUNTIF(purchase_orders[PO Number], purchase_orders[[#This Row],[PO Number]])</f>
        <v>1</v>
      </c>
    </row>
    <row r="91" spans="1:8" x14ac:dyDescent="0.25">
      <c r="A91" s="1" t="s">
        <v>89</v>
      </c>
      <c r="B91" s="1" t="s">
        <v>1457</v>
      </c>
      <c r="C91" s="2">
        <v>46083</v>
      </c>
      <c r="D91">
        <v>354</v>
      </c>
      <c r="E91">
        <v>65.53</v>
      </c>
      <c r="F91" s="1" t="s">
        <v>1444</v>
      </c>
      <c r="G91" s="2">
        <v>46092</v>
      </c>
      <c r="H91">
        <f>COUNTIF(purchase_orders[PO Number], purchase_orders[[#This Row],[PO Number]])</f>
        <v>1</v>
      </c>
    </row>
    <row r="92" spans="1:8" x14ac:dyDescent="0.25">
      <c r="A92" s="1" t="s">
        <v>90</v>
      </c>
      <c r="B92" s="1" t="s">
        <v>1473</v>
      </c>
      <c r="C92" s="2">
        <v>46034</v>
      </c>
      <c r="D92">
        <v>135</v>
      </c>
      <c r="E92">
        <v>196.87</v>
      </c>
      <c r="F92" s="1" t="s">
        <v>1494</v>
      </c>
      <c r="G92" s="2">
        <v>46041</v>
      </c>
      <c r="H92">
        <f>COUNTIF(purchase_orders[PO Number], purchase_orders[[#This Row],[PO Number]])</f>
        <v>1</v>
      </c>
    </row>
    <row r="93" spans="1:8" x14ac:dyDescent="0.25">
      <c r="A93" s="1" t="s">
        <v>91</v>
      </c>
      <c r="B93" s="1" t="s">
        <v>1489</v>
      </c>
      <c r="C93" s="2">
        <v>46129</v>
      </c>
      <c r="D93">
        <v>463</v>
      </c>
      <c r="E93">
        <v>127.8</v>
      </c>
      <c r="F93" s="1" t="s">
        <v>1444</v>
      </c>
      <c r="G93" s="2">
        <v>46146</v>
      </c>
      <c r="H93">
        <f>COUNTIF(purchase_orders[PO Number], purchase_orders[[#This Row],[PO Number]])</f>
        <v>1</v>
      </c>
    </row>
    <row r="94" spans="1:8" x14ac:dyDescent="0.25">
      <c r="A94" s="1" t="s">
        <v>92</v>
      </c>
      <c r="B94" s="1" t="s">
        <v>1498</v>
      </c>
      <c r="C94" s="2">
        <v>46125</v>
      </c>
      <c r="D94">
        <v>134</v>
      </c>
      <c r="E94">
        <v>33.78</v>
      </c>
      <c r="F94" s="1" t="s">
        <v>1499</v>
      </c>
      <c r="G94" s="2">
        <v>46130</v>
      </c>
      <c r="H94">
        <f>COUNTIF(purchase_orders[PO Number], purchase_orders[[#This Row],[PO Number]])</f>
        <v>1</v>
      </c>
    </row>
    <row r="95" spans="1:8" x14ac:dyDescent="0.25">
      <c r="A95" s="1" t="s">
        <v>751</v>
      </c>
      <c r="B95" s="1" t="s">
        <v>1450</v>
      </c>
      <c r="C95" s="2">
        <v>46131</v>
      </c>
      <c r="D95">
        <v>122</v>
      </c>
      <c r="E95">
        <v>39.299999999999997</v>
      </c>
      <c r="F95" s="1" t="s">
        <v>1499</v>
      </c>
      <c r="G95" s="2">
        <v>46152</v>
      </c>
      <c r="H95">
        <f>COUNTIF(purchase_orders[PO Number], purchase_orders[[#This Row],[PO Number]])</f>
        <v>1</v>
      </c>
    </row>
    <row r="96" spans="1:8" x14ac:dyDescent="0.25">
      <c r="A96" s="1" t="s">
        <v>93</v>
      </c>
      <c r="B96" s="1" t="s">
        <v>1489</v>
      </c>
      <c r="C96" s="2">
        <v>46035</v>
      </c>
      <c r="D96">
        <v>295</v>
      </c>
      <c r="E96">
        <v>53.59</v>
      </c>
      <c r="F96" s="1" t="s">
        <v>1459</v>
      </c>
      <c r="G96" s="2">
        <v>46054</v>
      </c>
      <c r="H96">
        <f>COUNTIF(purchase_orders[PO Number], purchase_orders[[#This Row],[PO Number]])</f>
        <v>1</v>
      </c>
    </row>
    <row r="97" spans="1:8" x14ac:dyDescent="0.25">
      <c r="A97" s="1" t="s">
        <v>94</v>
      </c>
      <c r="B97" s="1" t="s">
        <v>1441</v>
      </c>
      <c r="C97" s="2">
        <v>46141</v>
      </c>
      <c r="D97">
        <v>351</v>
      </c>
      <c r="E97">
        <v>108.57</v>
      </c>
      <c r="F97" s="1" t="s">
        <v>1459</v>
      </c>
      <c r="G97" s="2">
        <v>46156</v>
      </c>
      <c r="H97">
        <f>COUNTIF(purchase_orders[PO Number], purchase_orders[[#This Row],[PO Number]])</f>
        <v>1</v>
      </c>
    </row>
    <row r="98" spans="1:8" x14ac:dyDescent="0.25">
      <c r="A98" s="1" t="s">
        <v>755</v>
      </c>
      <c r="B98" s="1" t="s">
        <v>1478</v>
      </c>
      <c r="C98" s="2">
        <v>46152</v>
      </c>
      <c r="D98">
        <v>228</v>
      </c>
      <c r="E98">
        <v>166.96</v>
      </c>
      <c r="F98" s="1" t="s">
        <v>1442</v>
      </c>
      <c r="G98" s="2">
        <v>46171</v>
      </c>
      <c r="H98">
        <f>COUNTIF(purchase_orders[PO Number], purchase_orders[[#This Row],[PO Number]])</f>
        <v>1</v>
      </c>
    </row>
    <row r="99" spans="1:8" x14ac:dyDescent="0.25">
      <c r="A99" s="1" t="s">
        <v>95</v>
      </c>
      <c r="B99" s="1" t="s">
        <v>1460</v>
      </c>
      <c r="C99" s="2">
        <v>46144</v>
      </c>
      <c r="D99">
        <v>240</v>
      </c>
      <c r="E99">
        <v>55.54</v>
      </c>
      <c r="F99" s="1" t="s">
        <v>1440</v>
      </c>
      <c r="G99" s="2">
        <v>46157</v>
      </c>
      <c r="H99">
        <f>COUNTIF(purchase_orders[PO Number], purchase_orders[[#This Row],[PO Number]])</f>
        <v>1</v>
      </c>
    </row>
    <row r="100" spans="1:8" x14ac:dyDescent="0.25">
      <c r="A100" s="1" t="s">
        <v>96</v>
      </c>
      <c r="B100" s="1" t="s">
        <v>1491</v>
      </c>
      <c r="C100" s="2">
        <v>46147</v>
      </c>
      <c r="D100">
        <v>330</v>
      </c>
      <c r="E100">
        <v>51.65</v>
      </c>
      <c r="F100" s="1" t="s">
        <v>1469</v>
      </c>
      <c r="G100" s="2">
        <v>46154</v>
      </c>
      <c r="H100">
        <f>COUNTIF(purchase_orders[PO Number], purchase_orders[[#This Row],[PO Number]])</f>
        <v>1</v>
      </c>
    </row>
    <row r="101" spans="1:8" x14ac:dyDescent="0.25">
      <c r="A101" s="1" t="s">
        <v>97</v>
      </c>
      <c r="B101" s="1" t="s">
        <v>1455</v>
      </c>
      <c r="C101" s="2">
        <v>46096</v>
      </c>
      <c r="D101">
        <v>130</v>
      </c>
      <c r="E101">
        <v>57.98</v>
      </c>
      <c r="F101" s="1" t="s">
        <v>1472</v>
      </c>
      <c r="G101" s="2">
        <v>46103</v>
      </c>
      <c r="H101">
        <f>COUNTIF(purchase_orders[PO Number], purchase_orders[[#This Row],[PO Number]])</f>
        <v>1</v>
      </c>
    </row>
    <row r="102" spans="1:8" x14ac:dyDescent="0.25">
      <c r="A102" s="1" t="s">
        <v>760</v>
      </c>
      <c r="B102" s="1" t="s">
        <v>1441</v>
      </c>
      <c r="C102" s="2">
        <v>46061</v>
      </c>
      <c r="D102">
        <v>128</v>
      </c>
      <c r="E102">
        <v>79.69</v>
      </c>
      <c r="F102" s="1" t="s">
        <v>1485</v>
      </c>
      <c r="G102" s="2">
        <v>46072</v>
      </c>
      <c r="H102">
        <f>COUNTIF(purchase_orders[PO Number], purchase_orders[[#This Row],[PO Number]])</f>
        <v>1</v>
      </c>
    </row>
    <row r="103" spans="1:8" x14ac:dyDescent="0.25">
      <c r="A103" s="1" t="s">
        <v>98</v>
      </c>
      <c r="B103" s="1" t="s">
        <v>1492</v>
      </c>
      <c r="C103" s="2">
        <v>46129</v>
      </c>
      <c r="D103">
        <v>218</v>
      </c>
      <c r="E103">
        <v>69.52</v>
      </c>
      <c r="F103" s="1" t="s">
        <v>1469</v>
      </c>
      <c r="G103" s="2">
        <v>46147</v>
      </c>
      <c r="H103">
        <f>COUNTIF(purchase_orders[PO Number], purchase_orders[[#This Row],[PO Number]])</f>
        <v>1</v>
      </c>
    </row>
    <row r="104" spans="1:8" x14ac:dyDescent="0.25">
      <c r="A104" s="1" t="s">
        <v>99</v>
      </c>
      <c r="B104" s="1" t="s">
        <v>1475</v>
      </c>
      <c r="C104" s="2">
        <v>46075</v>
      </c>
      <c r="D104">
        <v>436</v>
      </c>
      <c r="E104">
        <v>86.93</v>
      </c>
      <c r="F104" s="1" t="s">
        <v>1456</v>
      </c>
      <c r="G104" s="2">
        <v>46080</v>
      </c>
      <c r="H104">
        <f>COUNTIF(purchase_orders[PO Number], purchase_orders[[#This Row],[PO Number]])</f>
        <v>1</v>
      </c>
    </row>
    <row r="105" spans="1:8" x14ac:dyDescent="0.25">
      <c r="A105" s="1" t="s">
        <v>100</v>
      </c>
      <c r="B105" s="1" t="s">
        <v>1493</v>
      </c>
      <c r="C105" s="2">
        <v>46120</v>
      </c>
      <c r="D105">
        <v>254</v>
      </c>
      <c r="E105">
        <v>6.15</v>
      </c>
      <c r="F105" s="1" t="s">
        <v>1451</v>
      </c>
      <c r="G105" s="2">
        <v>46134</v>
      </c>
      <c r="H105">
        <f>COUNTIF(purchase_orders[PO Number], purchase_orders[[#This Row],[PO Number]])</f>
        <v>1</v>
      </c>
    </row>
    <row r="106" spans="1:8" x14ac:dyDescent="0.25">
      <c r="A106" s="1" t="s">
        <v>101</v>
      </c>
      <c r="B106" s="1" t="s">
        <v>1502</v>
      </c>
      <c r="C106" s="2">
        <v>46130</v>
      </c>
      <c r="D106">
        <v>285</v>
      </c>
      <c r="E106">
        <v>150.77000000000001</v>
      </c>
      <c r="F106" s="1" t="s">
        <v>1459</v>
      </c>
      <c r="G106" s="2">
        <v>46142</v>
      </c>
      <c r="H106">
        <f>COUNTIF(purchase_orders[PO Number], purchase_orders[[#This Row],[PO Number]])</f>
        <v>1</v>
      </c>
    </row>
    <row r="107" spans="1:8" x14ac:dyDescent="0.25">
      <c r="A107" s="1" t="s">
        <v>102</v>
      </c>
      <c r="B107" s="1" t="s">
        <v>1498</v>
      </c>
      <c r="C107" s="2">
        <v>46079</v>
      </c>
      <c r="D107">
        <v>149</v>
      </c>
      <c r="E107">
        <v>89.99</v>
      </c>
      <c r="F107" s="1" t="s">
        <v>1448</v>
      </c>
      <c r="G107" s="2">
        <v>46096</v>
      </c>
      <c r="H107">
        <f>COUNTIF(purchase_orders[PO Number], purchase_orders[[#This Row],[PO Number]])</f>
        <v>1</v>
      </c>
    </row>
    <row r="108" spans="1:8" x14ac:dyDescent="0.25">
      <c r="A108" s="1" t="s">
        <v>103</v>
      </c>
      <c r="B108" s="1" t="s">
        <v>1479</v>
      </c>
      <c r="C108" s="2">
        <v>46126</v>
      </c>
      <c r="D108">
        <v>380</v>
      </c>
      <c r="E108">
        <v>37.18</v>
      </c>
      <c r="F108" s="1" t="s">
        <v>1469</v>
      </c>
      <c r="G108" s="2">
        <v>46135</v>
      </c>
      <c r="H108">
        <f>COUNTIF(purchase_orders[PO Number], purchase_orders[[#This Row],[PO Number]])</f>
        <v>1</v>
      </c>
    </row>
    <row r="109" spans="1:8" x14ac:dyDescent="0.25">
      <c r="A109" s="1" t="s">
        <v>104</v>
      </c>
      <c r="B109" s="1" t="s">
        <v>1497</v>
      </c>
      <c r="C109" s="2">
        <v>46159</v>
      </c>
      <c r="D109">
        <v>23</v>
      </c>
      <c r="E109">
        <v>181.85</v>
      </c>
      <c r="F109" s="1" t="s">
        <v>1480</v>
      </c>
      <c r="G109" s="2">
        <v>46164</v>
      </c>
      <c r="H109">
        <f>COUNTIF(purchase_orders[PO Number], purchase_orders[[#This Row],[PO Number]])</f>
        <v>1</v>
      </c>
    </row>
    <row r="110" spans="1:8" x14ac:dyDescent="0.25">
      <c r="A110" s="1" t="s">
        <v>105</v>
      </c>
      <c r="B110" s="1" t="s">
        <v>1457</v>
      </c>
      <c r="C110" s="2">
        <v>46132</v>
      </c>
      <c r="D110">
        <v>79</v>
      </c>
      <c r="E110">
        <v>174.04</v>
      </c>
      <c r="F110" s="1" t="s">
        <v>1501</v>
      </c>
      <c r="G110" s="2">
        <v>46138</v>
      </c>
      <c r="H110">
        <f>COUNTIF(purchase_orders[PO Number], purchase_orders[[#This Row],[PO Number]])</f>
        <v>1</v>
      </c>
    </row>
    <row r="111" spans="1:8" x14ac:dyDescent="0.25">
      <c r="A111" s="1" t="s">
        <v>770</v>
      </c>
      <c r="B111" s="1" t="s">
        <v>1470</v>
      </c>
      <c r="C111" s="2">
        <v>46120</v>
      </c>
      <c r="D111">
        <v>177</v>
      </c>
      <c r="E111">
        <v>46.27</v>
      </c>
      <c r="F111" s="1" t="s">
        <v>1472</v>
      </c>
      <c r="G111" s="2">
        <v>46135</v>
      </c>
      <c r="H111">
        <f>COUNTIF(purchase_orders[PO Number], purchase_orders[[#This Row],[PO Number]])</f>
        <v>1</v>
      </c>
    </row>
    <row r="112" spans="1:8" x14ac:dyDescent="0.25">
      <c r="A112" s="1" t="s">
        <v>106</v>
      </c>
      <c r="B112" s="1" t="s">
        <v>1502</v>
      </c>
      <c r="C112" s="2">
        <v>46094</v>
      </c>
      <c r="D112">
        <v>395</v>
      </c>
      <c r="E112">
        <v>190.48</v>
      </c>
      <c r="F112" s="1" t="s">
        <v>1507</v>
      </c>
      <c r="G112" s="2">
        <v>46107</v>
      </c>
      <c r="H112">
        <f>COUNTIF(purchase_orders[PO Number], purchase_orders[[#This Row],[PO Number]])</f>
        <v>1</v>
      </c>
    </row>
    <row r="113" spans="1:8" x14ac:dyDescent="0.25">
      <c r="A113" s="1" t="s">
        <v>107</v>
      </c>
      <c r="B113" s="1" t="s">
        <v>1457</v>
      </c>
      <c r="C113" s="2">
        <v>46143</v>
      </c>
      <c r="D113">
        <v>19</v>
      </c>
      <c r="E113">
        <v>151.06</v>
      </c>
      <c r="F113" s="1" t="s">
        <v>1462</v>
      </c>
      <c r="G113" s="2">
        <v>46159</v>
      </c>
      <c r="H113">
        <f>COUNTIF(purchase_orders[PO Number], purchase_orders[[#This Row],[PO Number]])</f>
        <v>1</v>
      </c>
    </row>
    <row r="114" spans="1:8" x14ac:dyDescent="0.25">
      <c r="A114" s="1" t="s">
        <v>774</v>
      </c>
      <c r="B114" s="1" t="s">
        <v>1447</v>
      </c>
      <c r="C114" s="2">
        <v>46040</v>
      </c>
      <c r="D114">
        <v>409</v>
      </c>
      <c r="E114">
        <v>191.67</v>
      </c>
      <c r="F114" s="1" t="s">
        <v>1462</v>
      </c>
      <c r="G114" s="2">
        <v>46045</v>
      </c>
      <c r="H114">
        <f>COUNTIF(purchase_orders[PO Number], purchase_orders[[#This Row],[PO Number]])</f>
        <v>1</v>
      </c>
    </row>
    <row r="115" spans="1:8" x14ac:dyDescent="0.25">
      <c r="A115" s="1" t="s">
        <v>108</v>
      </c>
      <c r="B115" s="1" t="s">
        <v>1482</v>
      </c>
      <c r="C115" s="2">
        <v>46074</v>
      </c>
      <c r="D115">
        <v>439</v>
      </c>
      <c r="E115">
        <v>8.9700000000000006</v>
      </c>
      <c r="F115" s="1" t="s">
        <v>1485</v>
      </c>
      <c r="G115" s="2">
        <v>46086</v>
      </c>
      <c r="H115">
        <f>COUNTIF(purchase_orders[PO Number], purchase_orders[[#This Row],[PO Number]])</f>
        <v>1</v>
      </c>
    </row>
    <row r="116" spans="1:8" x14ac:dyDescent="0.25">
      <c r="A116" s="1" t="s">
        <v>109</v>
      </c>
      <c r="B116" s="1" t="s">
        <v>1441</v>
      </c>
      <c r="C116" s="2">
        <v>46144</v>
      </c>
      <c r="D116">
        <v>352</v>
      </c>
      <c r="E116">
        <v>27.31</v>
      </c>
      <c r="F116" s="1" t="s">
        <v>1444</v>
      </c>
      <c r="G116" s="2">
        <v>46163</v>
      </c>
      <c r="H116">
        <f>COUNTIF(purchase_orders[PO Number], purchase_orders[[#This Row],[PO Number]])</f>
        <v>1</v>
      </c>
    </row>
    <row r="117" spans="1:8" x14ac:dyDescent="0.25">
      <c r="A117" s="1" t="s">
        <v>110</v>
      </c>
      <c r="B117" s="1" t="s">
        <v>1449</v>
      </c>
      <c r="C117" s="2">
        <v>46088</v>
      </c>
      <c r="D117">
        <v>402</v>
      </c>
      <c r="E117">
        <v>76.930000000000007</v>
      </c>
      <c r="F117" s="1" t="s">
        <v>1494</v>
      </c>
      <c r="G117" s="2">
        <v>46096</v>
      </c>
      <c r="H117">
        <f>COUNTIF(purchase_orders[PO Number], purchase_orders[[#This Row],[PO Number]])</f>
        <v>1</v>
      </c>
    </row>
    <row r="118" spans="1:8" x14ac:dyDescent="0.25">
      <c r="A118" s="1" t="s">
        <v>111</v>
      </c>
      <c r="B118" s="1" t="s">
        <v>1460</v>
      </c>
      <c r="C118" s="2">
        <v>46102</v>
      </c>
      <c r="D118">
        <v>65</v>
      </c>
      <c r="E118">
        <v>117.84</v>
      </c>
      <c r="F118" s="1" t="s">
        <v>1474</v>
      </c>
      <c r="G118" s="2">
        <v>46119</v>
      </c>
      <c r="H118">
        <f>COUNTIF(purchase_orders[PO Number], purchase_orders[[#This Row],[PO Number]])</f>
        <v>1</v>
      </c>
    </row>
    <row r="119" spans="1:8" x14ac:dyDescent="0.25">
      <c r="A119" s="1" t="s">
        <v>112</v>
      </c>
      <c r="B119" s="1" t="s">
        <v>1488</v>
      </c>
      <c r="C119" s="2">
        <v>46073</v>
      </c>
      <c r="D119">
        <v>48</v>
      </c>
      <c r="E119">
        <v>120.46</v>
      </c>
      <c r="F119" s="1" t="s">
        <v>1446</v>
      </c>
      <c r="G119" s="2">
        <v>46085</v>
      </c>
      <c r="H119">
        <f>COUNTIF(purchase_orders[PO Number], purchase_orders[[#This Row],[PO Number]])</f>
        <v>1</v>
      </c>
    </row>
    <row r="120" spans="1:8" x14ac:dyDescent="0.25">
      <c r="A120" s="1" t="s">
        <v>113</v>
      </c>
      <c r="B120" s="1" t="s">
        <v>1450</v>
      </c>
      <c r="C120" s="2">
        <v>46100</v>
      </c>
      <c r="D120">
        <v>445</v>
      </c>
      <c r="E120">
        <v>138.43</v>
      </c>
      <c r="F120" s="1" t="s">
        <v>1459</v>
      </c>
      <c r="G120" s="2">
        <v>46106</v>
      </c>
      <c r="H120">
        <f>COUNTIF(purchase_orders[PO Number], purchase_orders[[#This Row],[PO Number]])</f>
        <v>1</v>
      </c>
    </row>
    <row r="121" spans="1:8" x14ac:dyDescent="0.25">
      <c r="A121" s="1" t="s">
        <v>114</v>
      </c>
      <c r="B121" s="1" t="s">
        <v>1503</v>
      </c>
      <c r="C121" s="2">
        <v>46159</v>
      </c>
      <c r="D121">
        <v>229</v>
      </c>
      <c r="E121">
        <v>134</v>
      </c>
      <c r="F121" s="1" t="s">
        <v>1476</v>
      </c>
      <c r="G121" s="2">
        <v>46180</v>
      </c>
      <c r="H121">
        <f>COUNTIF(purchase_orders[PO Number], purchase_orders[[#This Row],[PO Number]])</f>
        <v>1</v>
      </c>
    </row>
    <row r="122" spans="1:8" x14ac:dyDescent="0.25">
      <c r="A122" s="1" t="s">
        <v>115</v>
      </c>
      <c r="B122" s="1" t="s">
        <v>1508</v>
      </c>
      <c r="C122" s="2">
        <v>46110</v>
      </c>
      <c r="D122">
        <v>16</v>
      </c>
      <c r="E122">
        <v>170.67</v>
      </c>
      <c r="F122" s="1" t="s">
        <v>1487</v>
      </c>
      <c r="G122" s="2">
        <v>46118</v>
      </c>
      <c r="H122">
        <f>COUNTIF(purchase_orders[PO Number], purchase_orders[[#This Row],[PO Number]])</f>
        <v>1</v>
      </c>
    </row>
    <row r="123" spans="1:8" x14ac:dyDescent="0.25">
      <c r="A123" s="1" t="s">
        <v>116</v>
      </c>
      <c r="B123" s="1" t="s">
        <v>1500</v>
      </c>
      <c r="C123" s="2">
        <v>46115</v>
      </c>
      <c r="D123">
        <v>335</v>
      </c>
      <c r="E123">
        <v>178.86</v>
      </c>
      <c r="F123" s="1" t="s">
        <v>1469</v>
      </c>
      <c r="G123" s="2">
        <v>46124</v>
      </c>
      <c r="H123">
        <f>COUNTIF(purchase_orders[PO Number], purchase_orders[[#This Row],[PO Number]])</f>
        <v>1</v>
      </c>
    </row>
    <row r="124" spans="1:8" x14ac:dyDescent="0.25">
      <c r="A124" s="1" t="s">
        <v>117</v>
      </c>
      <c r="B124" s="1" t="s">
        <v>1500</v>
      </c>
      <c r="C124" s="2">
        <v>46068</v>
      </c>
      <c r="D124">
        <v>385</v>
      </c>
      <c r="E124">
        <v>106.74</v>
      </c>
      <c r="F124" s="1" t="s">
        <v>1459</v>
      </c>
      <c r="G124" s="2">
        <v>46081</v>
      </c>
      <c r="H124">
        <f>COUNTIF(purchase_orders[PO Number], purchase_orders[[#This Row],[PO Number]])</f>
        <v>1</v>
      </c>
    </row>
    <row r="125" spans="1:8" x14ac:dyDescent="0.25">
      <c r="A125" s="1" t="s">
        <v>118</v>
      </c>
      <c r="B125" s="1" t="s">
        <v>1497</v>
      </c>
      <c r="C125" s="2">
        <v>46160</v>
      </c>
      <c r="D125">
        <v>406</v>
      </c>
      <c r="E125">
        <v>99.28</v>
      </c>
      <c r="F125" s="1" t="s">
        <v>1507</v>
      </c>
      <c r="G125" s="2">
        <v>46173</v>
      </c>
      <c r="H125">
        <f>COUNTIF(purchase_orders[PO Number], purchase_orders[[#This Row],[PO Number]])</f>
        <v>1</v>
      </c>
    </row>
    <row r="126" spans="1:8" x14ac:dyDescent="0.25">
      <c r="A126" s="1" t="s">
        <v>789</v>
      </c>
      <c r="B126" s="1" t="s">
        <v>1509</v>
      </c>
      <c r="C126" s="2">
        <v>46085</v>
      </c>
      <c r="D126">
        <v>435</v>
      </c>
      <c r="E126">
        <v>187.25</v>
      </c>
      <c r="F126" s="1" t="s">
        <v>1458</v>
      </c>
      <c r="G126" s="2">
        <v>46104</v>
      </c>
      <c r="H126">
        <f>COUNTIF(purchase_orders[PO Number], purchase_orders[[#This Row],[PO Number]])</f>
        <v>1</v>
      </c>
    </row>
    <row r="127" spans="1:8" x14ac:dyDescent="0.25">
      <c r="A127" s="1" t="s">
        <v>119</v>
      </c>
      <c r="B127" s="1" t="s">
        <v>1482</v>
      </c>
      <c r="C127" s="2">
        <v>46141</v>
      </c>
      <c r="D127">
        <v>301</v>
      </c>
      <c r="E127">
        <v>124.01</v>
      </c>
      <c r="F127" s="1" t="s">
        <v>1453</v>
      </c>
      <c r="G127" s="2">
        <v>46156</v>
      </c>
      <c r="H127">
        <f>COUNTIF(purchase_orders[PO Number], purchase_orders[[#This Row],[PO Number]])</f>
        <v>1</v>
      </c>
    </row>
    <row r="128" spans="1:8" x14ac:dyDescent="0.25">
      <c r="A128" s="1" t="s">
        <v>120</v>
      </c>
      <c r="B128" s="1" t="s">
        <v>1473</v>
      </c>
      <c r="C128" s="2">
        <v>46149</v>
      </c>
      <c r="D128">
        <v>445</v>
      </c>
      <c r="E128">
        <v>68.38</v>
      </c>
      <c r="F128" s="1" t="s">
        <v>1487</v>
      </c>
      <c r="G128" s="2">
        <v>46160</v>
      </c>
      <c r="H128">
        <f>COUNTIF(purchase_orders[PO Number], purchase_orders[[#This Row],[PO Number]])</f>
        <v>1</v>
      </c>
    </row>
    <row r="129" spans="1:8" x14ac:dyDescent="0.25">
      <c r="A129" s="1" t="s">
        <v>121</v>
      </c>
      <c r="B129" s="1" t="s">
        <v>1503</v>
      </c>
      <c r="C129" s="2">
        <v>46089</v>
      </c>
      <c r="D129">
        <v>184</v>
      </c>
      <c r="E129">
        <v>59.53</v>
      </c>
      <c r="F129" s="1" t="s">
        <v>1494</v>
      </c>
      <c r="G129" s="2">
        <v>46102</v>
      </c>
      <c r="H129">
        <f>COUNTIF(purchase_orders[PO Number], purchase_orders[[#This Row],[PO Number]])</f>
        <v>1</v>
      </c>
    </row>
    <row r="130" spans="1:8" x14ac:dyDescent="0.25">
      <c r="A130" s="1" t="s">
        <v>794</v>
      </c>
      <c r="B130" s="1" t="s">
        <v>1454</v>
      </c>
      <c r="C130" s="2">
        <v>46025</v>
      </c>
      <c r="D130">
        <v>274</v>
      </c>
      <c r="E130">
        <v>189.87</v>
      </c>
      <c r="F130" s="1" t="s">
        <v>1476</v>
      </c>
      <c r="G130" s="2">
        <v>46037</v>
      </c>
      <c r="H130">
        <f>COUNTIF(purchase_orders[PO Number], purchase_orders[[#This Row],[PO Number]])</f>
        <v>1</v>
      </c>
    </row>
    <row r="131" spans="1:8" x14ac:dyDescent="0.25">
      <c r="A131" s="1" t="s">
        <v>122</v>
      </c>
      <c r="B131" s="1" t="s">
        <v>1477</v>
      </c>
      <c r="C131" s="2">
        <v>46127</v>
      </c>
      <c r="D131">
        <v>260</v>
      </c>
      <c r="E131">
        <v>113.26</v>
      </c>
      <c r="F131" s="1" t="s">
        <v>1440</v>
      </c>
      <c r="G131" s="2">
        <v>46147</v>
      </c>
      <c r="H131">
        <f>COUNTIF(purchase_orders[PO Number], purchase_orders[[#This Row],[PO Number]])</f>
        <v>1</v>
      </c>
    </row>
    <row r="132" spans="1:8" x14ac:dyDescent="0.25">
      <c r="A132" s="1" t="s">
        <v>123</v>
      </c>
      <c r="B132" s="1" t="s">
        <v>1508</v>
      </c>
      <c r="C132" s="2">
        <v>46148</v>
      </c>
      <c r="D132">
        <v>239</v>
      </c>
      <c r="E132">
        <v>159.62</v>
      </c>
      <c r="F132" s="1" t="s">
        <v>1476</v>
      </c>
      <c r="G132" s="2">
        <v>46162</v>
      </c>
      <c r="H132">
        <f>COUNTIF(purchase_orders[PO Number], purchase_orders[[#This Row],[PO Number]])</f>
        <v>1</v>
      </c>
    </row>
    <row r="133" spans="1:8" x14ac:dyDescent="0.25">
      <c r="A133" s="1" t="s">
        <v>124</v>
      </c>
      <c r="B133" s="1" t="s">
        <v>1447</v>
      </c>
      <c r="C133" s="2">
        <v>46126</v>
      </c>
      <c r="D133">
        <v>364</v>
      </c>
      <c r="E133">
        <v>52.44</v>
      </c>
      <c r="F133" s="1" t="s">
        <v>1467</v>
      </c>
      <c r="G133" s="2">
        <v>46142</v>
      </c>
      <c r="H133">
        <f>COUNTIF(purchase_orders[PO Number], purchase_orders[[#This Row],[PO Number]])</f>
        <v>1</v>
      </c>
    </row>
    <row r="134" spans="1:8" x14ac:dyDescent="0.25">
      <c r="A134" s="1" t="s">
        <v>125</v>
      </c>
      <c r="B134" s="1" t="s">
        <v>1510</v>
      </c>
      <c r="C134" s="2">
        <v>46164</v>
      </c>
      <c r="D134">
        <v>281</v>
      </c>
      <c r="E134">
        <v>72.03</v>
      </c>
      <c r="F134" s="1" t="s">
        <v>1459</v>
      </c>
      <c r="G134" s="2">
        <v>46179</v>
      </c>
      <c r="H134">
        <f>COUNTIF(purchase_orders[PO Number], purchase_orders[[#This Row],[PO Number]])</f>
        <v>1</v>
      </c>
    </row>
    <row r="135" spans="1:8" x14ac:dyDescent="0.25">
      <c r="A135" s="1" t="s">
        <v>800</v>
      </c>
      <c r="B135" s="1" t="s">
        <v>1503</v>
      </c>
      <c r="C135" s="2">
        <v>46139</v>
      </c>
      <c r="D135">
        <v>148</v>
      </c>
      <c r="E135">
        <v>64.790000000000006</v>
      </c>
      <c r="F135" s="1" t="s">
        <v>1440</v>
      </c>
      <c r="G135" s="2">
        <v>46147</v>
      </c>
      <c r="H135">
        <f>COUNTIF(purchase_orders[PO Number], purchase_orders[[#This Row],[PO Number]])</f>
        <v>1</v>
      </c>
    </row>
    <row r="136" spans="1:8" x14ac:dyDescent="0.25">
      <c r="A136" s="1" t="s">
        <v>126</v>
      </c>
      <c r="B136" s="1" t="s">
        <v>1477</v>
      </c>
      <c r="C136" s="2">
        <v>46072</v>
      </c>
      <c r="D136">
        <v>171</v>
      </c>
      <c r="E136">
        <v>28.31</v>
      </c>
      <c r="F136" s="1" t="s">
        <v>1442</v>
      </c>
      <c r="G136" s="2">
        <v>46082</v>
      </c>
      <c r="H136">
        <f>COUNTIF(purchase_orders[PO Number], purchase_orders[[#This Row],[PO Number]])</f>
        <v>1</v>
      </c>
    </row>
    <row r="137" spans="1:8" x14ac:dyDescent="0.25">
      <c r="A137" s="1" t="s">
        <v>127</v>
      </c>
      <c r="B137" s="1" t="s">
        <v>1505</v>
      </c>
      <c r="C137" s="2">
        <v>46078</v>
      </c>
      <c r="D137">
        <v>388</v>
      </c>
      <c r="E137">
        <v>99.42</v>
      </c>
      <c r="F137" s="1" t="s">
        <v>1459</v>
      </c>
      <c r="G137" s="2">
        <v>46099</v>
      </c>
      <c r="H137">
        <f>COUNTIF(purchase_orders[PO Number], purchase_orders[[#This Row],[PO Number]])</f>
        <v>1</v>
      </c>
    </row>
    <row r="138" spans="1:8" x14ac:dyDescent="0.25">
      <c r="A138" s="1" t="s">
        <v>128</v>
      </c>
      <c r="B138" s="1" t="s">
        <v>1468</v>
      </c>
      <c r="C138" s="2">
        <v>46095</v>
      </c>
      <c r="D138">
        <v>61</v>
      </c>
      <c r="E138">
        <v>167.36</v>
      </c>
      <c r="F138" s="1" t="s">
        <v>1474</v>
      </c>
      <c r="G138" s="2">
        <v>46107</v>
      </c>
      <c r="H138">
        <f>COUNTIF(purchase_orders[PO Number], purchase_orders[[#This Row],[PO Number]])</f>
        <v>1</v>
      </c>
    </row>
    <row r="139" spans="1:8" x14ac:dyDescent="0.25">
      <c r="A139" s="1" t="s">
        <v>129</v>
      </c>
      <c r="B139" s="1" t="s">
        <v>1496</v>
      </c>
      <c r="C139" s="2">
        <v>46068</v>
      </c>
      <c r="D139">
        <v>164</v>
      </c>
      <c r="E139">
        <v>7.76</v>
      </c>
      <c r="F139" s="1" t="s">
        <v>1442</v>
      </c>
      <c r="G139" s="2">
        <v>46077</v>
      </c>
      <c r="H139">
        <f>COUNTIF(purchase_orders[PO Number], purchase_orders[[#This Row],[PO Number]])</f>
        <v>1</v>
      </c>
    </row>
    <row r="140" spans="1:8" x14ac:dyDescent="0.25">
      <c r="A140" s="1" t="s">
        <v>130</v>
      </c>
      <c r="B140" s="1" t="s">
        <v>1511</v>
      </c>
      <c r="C140" s="2">
        <v>46034</v>
      </c>
      <c r="D140">
        <v>37</v>
      </c>
      <c r="E140">
        <v>112.9</v>
      </c>
      <c r="F140" s="1" t="s">
        <v>1499</v>
      </c>
      <c r="G140" s="2">
        <v>46043</v>
      </c>
      <c r="H140">
        <f>COUNTIF(purchase_orders[PO Number], purchase_orders[[#This Row],[PO Number]])</f>
        <v>1</v>
      </c>
    </row>
    <row r="141" spans="1:8" x14ac:dyDescent="0.25">
      <c r="A141" s="1" t="s">
        <v>131</v>
      </c>
      <c r="B141" s="1" t="s">
        <v>1439</v>
      </c>
      <c r="C141" s="2">
        <v>46148</v>
      </c>
      <c r="D141">
        <v>62</v>
      </c>
      <c r="E141">
        <v>175.18</v>
      </c>
      <c r="F141" s="1" t="s">
        <v>1480</v>
      </c>
      <c r="G141" s="2">
        <v>46162</v>
      </c>
      <c r="H141">
        <f>COUNTIF(purchase_orders[PO Number], purchase_orders[[#This Row],[PO Number]])</f>
        <v>1</v>
      </c>
    </row>
    <row r="142" spans="1:8" x14ac:dyDescent="0.25">
      <c r="A142" s="1" t="s">
        <v>132</v>
      </c>
      <c r="B142" s="1" t="s">
        <v>1510</v>
      </c>
      <c r="C142" s="2">
        <v>46145</v>
      </c>
      <c r="D142">
        <v>235</v>
      </c>
      <c r="E142">
        <v>71.44</v>
      </c>
      <c r="F142" s="1" t="s">
        <v>1462</v>
      </c>
      <c r="G142" s="2">
        <v>46158</v>
      </c>
      <c r="H142">
        <f>COUNTIF(purchase_orders[PO Number], purchase_orders[[#This Row],[PO Number]])</f>
        <v>1</v>
      </c>
    </row>
    <row r="143" spans="1:8" x14ac:dyDescent="0.25">
      <c r="A143" s="1" t="s">
        <v>133</v>
      </c>
      <c r="B143" s="1" t="s">
        <v>1510</v>
      </c>
      <c r="C143" s="2">
        <v>46052</v>
      </c>
      <c r="D143">
        <v>430</v>
      </c>
      <c r="E143">
        <v>17.739999999999998</v>
      </c>
      <c r="F143" s="1" t="s">
        <v>1487</v>
      </c>
      <c r="G143" s="2">
        <v>46059</v>
      </c>
      <c r="H143">
        <f>COUNTIF(purchase_orders[PO Number], purchase_orders[[#This Row],[PO Number]])</f>
        <v>1</v>
      </c>
    </row>
    <row r="144" spans="1:8" x14ac:dyDescent="0.25">
      <c r="A144" s="1" t="s">
        <v>134</v>
      </c>
      <c r="B144" s="1" t="s">
        <v>1493</v>
      </c>
      <c r="C144" s="2">
        <v>46036</v>
      </c>
      <c r="D144">
        <v>87</v>
      </c>
      <c r="E144">
        <v>34.090000000000003</v>
      </c>
      <c r="F144" s="1" t="s">
        <v>1480</v>
      </c>
      <c r="G144" s="2">
        <v>46050</v>
      </c>
      <c r="H144">
        <f>COUNTIF(purchase_orders[PO Number], purchase_orders[[#This Row],[PO Number]])</f>
        <v>1</v>
      </c>
    </row>
    <row r="145" spans="1:8" x14ac:dyDescent="0.25">
      <c r="A145" s="1" t="s">
        <v>135</v>
      </c>
      <c r="B145" s="1" t="s">
        <v>1457</v>
      </c>
      <c r="C145" s="2">
        <v>46086</v>
      </c>
      <c r="D145">
        <v>70</v>
      </c>
      <c r="E145">
        <v>113.82</v>
      </c>
      <c r="F145" s="1" t="s">
        <v>1459</v>
      </c>
      <c r="G145" s="2">
        <v>46098</v>
      </c>
      <c r="H145">
        <f>COUNTIF(purchase_orders[PO Number], purchase_orders[[#This Row],[PO Number]])</f>
        <v>1</v>
      </c>
    </row>
    <row r="146" spans="1:8" x14ac:dyDescent="0.25">
      <c r="A146" s="1" t="s">
        <v>136</v>
      </c>
      <c r="B146" s="1" t="s">
        <v>1491</v>
      </c>
      <c r="C146" s="2">
        <v>46120</v>
      </c>
      <c r="D146">
        <v>240</v>
      </c>
      <c r="E146">
        <v>182.16</v>
      </c>
      <c r="F146" s="1" t="s">
        <v>1474</v>
      </c>
      <c r="G146" s="2">
        <v>46138</v>
      </c>
      <c r="H146">
        <f>COUNTIF(purchase_orders[PO Number], purchase_orders[[#This Row],[PO Number]])</f>
        <v>1</v>
      </c>
    </row>
    <row r="147" spans="1:8" x14ac:dyDescent="0.25">
      <c r="A147" s="1" t="s">
        <v>137</v>
      </c>
      <c r="B147" s="1" t="s">
        <v>1512</v>
      </c>
      <c r="C147" s="2">
        <v>46168</v>
      </c>
      <c r="D147">
        <v>327</v>
      </c>
      <c r="E147">
        <v>16.739999999999998</v>
      </c>
      <c r="F147" s="1" t="s">
        <v>1490</v>
      </c>
      <c r="G147" s="2">
        <v>46176</v>
      </c>
      <c r="H147">
        <f>COUNTIF(purchase_orders[PO Number], purchase_orders[[#This Row],[PO Number]])</f>
        <v>1</v>
      </c>
    </row>
    <row r="148" spans="1:8" x14ac:dyDescent="0.25">
      <c r="A148" s="1" t="s">
        <v>138</v>
      </c>
      <c r="B148" s="1" t="s">
        <v>1463</v>
      </c>
      <c r="C148" s="2">
        <v>46077</v>
      </c>
      <c r="D148">
        <v>145</v>
      </c>
      <c r="E148">
        <v>133.78</v>
      </c>
      <c r="F148" s="1" t="s">
        <v>1501</v>
      </c>
      <c r="G148" s="2">
        <v>46089</v>
      </c>
      <c r="H148">
        <f>COUNTIF(purchase_orders[PO Number], purchase_orders[[#This Row],[PO Number]])</f>
        <v>1</v>
      </c>
    </row>
    <row r="149" spans="1:8" x14ac:dyDescent="0.25">
      <c r="A149" s="1" t="s">
        <v>139</v>
      </c>
      <c r="B149" s="1" t="s">
        <v>1486</v>
      </c>
      <c r="C149" s="2">
        <v>46164</v>
      </c>
      <c r="D149">
        <v>48</v>
      </c>
      <c r="E149">
        <v>35.520000000000003</v>
      </c>
      <c r="F149" s="1" t="s">
        <v>1507</v>
      </c>
      <c r="G149" s="2">
        <v>46183</v>
      </c>
      <c r="H149">
        <f>COUNTIF(purchase_orders[PO Number], purchase_orders[[#This Row],[PO Number]])</f>
        <v>1</v>
      </c>
    </row>
    <row r="150" spans="1:8" x14ac:dyDescent="0.25">
      <c r="A150" s="1" t="s">
        <v>140</v>
      </c>
      <c r="B150" s="1" t="s">
        <v>1449</v>
      </c>
      <c r="C150" s="2">
        <v>46143</v>
      </c>
      <c r="D150">
        <v>159</v>
      </c>
      <c r="E150">
        <v>11.36</v>
      </c>
      <c r="F150" s="1" t="s">
        <v>1474</v>
      </c>
      <c r="G150" s="2">
        <v>46157</v>
      </c>
      <c r="H150">
        <f>COUNTIF(purchase_orders[PO Number], purchase_orders[[#This Row],[PO Number]])</f>
        <v>1</v>
      </c>
    </row>
    <row r="151" spans="1:8" x14ac:dyDescent="0.25">
      <c r="A151" s="1" t="s">
        <v>141</v>
      </c>
      <c r="B151" s="1" t="s">
        <v>1449</v>
      </c>
      <c r="C151" s="2">
        <v>46139</v>
      </c>
      <c r="D151">
        <v>46</v>
      </c>
      <c r="E151">
        <v>139.04</v>
      </c>
      <c r="F151" s="1" t="s">
        <v>1458</v>
      </c>
      <c r="G151" s="2">
        <v>46150</v>
      </c>
      <c r="H151">
        <f>COUNTIF(purchase_orders[PO Number], purchase_orders[[#This Row],[PO Number]])</f>
        <v>1</v>
      </c>
    </row>
    <row r="152" spans="1:8" x14ac:dyDescent="0.25">
      <c r="A152" s="1" t="s">
        <v>819</v>
      </c>
      <c r="B152" s="1" t="s">
        <v>1500</v>
      </c>
      <c r="C152" s="2">
        <v>46052</v>
      </c>
      <c r="D152">
        <v>288</v>
      </c>
      <c r="E152">
        <v>48.84</v>
      </c>
      <c r="F152" s="1" t="s">
        <v>1485</v>
      </c>
      <c r="G152" s="2">
        <v>46065</v>
      </c>
      <c r="H152">
        <f>COUNTIF(purchase_orders[PO Number], purchase_orders[[#This Row],[PO Number]])</f>
        <v>1</v>
      </c>
    </row>
    <row r="153" spans="1:8" x14ac:dyDescent="0.25">
      <c r="A153" s="1" t="s">
        <v>142</v>
      </c>
      <c r="B153" s="1" t="s">
        <v>1464</v>
      </c>
      <c r="C153" s="2">
        <v>46041</v>
      </c>
      <c r="D153">
        <v>40</v>
      </c>
      <c r="E153">
        <v>37.35</v>
      </c>
      <c r="F153" s="1" t="s">
        <v>1474</v>
      </c>
      <c r="G153" s="2">
        <v>46055</v>
      </c>
      <c r="H153">
        <f>COUNTIF(purchase_orders[PO Number], purchase_orders[[#This Row],[PO Number]])</f>
        <v>1</v>
      </c>
    </row>
    <row r="154" spans="1:8" x14ac:dyDescent="0.25">
      <c r="A154" s="1" t="s">
        <v>143</v>
      </c>
      <c r="B154" s="1" t="s">
        <v>1478</v>
      </c>
      <c r="C154" s="2">
        <v>46054</v>
      </c>
      <c r="D154">
        <v>249</v>
      </c>
      <c r="E154">
        <v>139.29</v>
      </c>
      <c r="F154" s="1" t="s">
        <v>1499</v>
      </c>
      <c r="G154" s="2">
        <v>46071</v>
      </c>
      <c r="H154">
        <f>COUNTIF(purchase_orders[PO Number], purchase_orders[[#This Row],[PO Number]])</f>
        <v>1</v>
      </c>
    </row>
    <row r="155" spans="1:8" x14ac:dyDescent="0.25">
      <c r="A155" s="1" t="s">
        <v>144</v>
      </c>
      <c r="B155" s="1" t="s">
        <v>1511</v>
      </c>
      <c r="C155" s="2">
        <v>46151</v>
      </c>
      <c r="D155">
        <v>286</v>
      </c>
      <c r="E155">
        <v>101.29</v>
      </c>
      <c r="F155" s="1" t="s">
        <v>1476</v>
      </c>
      <c r="G155" s="2">
        <v>46157</v>
      </c>
      <c r="H155">
        <f>COUNTIF(purchase_orders[PO Number], purchase_orders[[#This Row],[PO Number]])</f>
        <v>1</v>
      </c>
    </row>
    <row r="156" spans="1:8" x14ac:dyDescent="0.25">
      <c r="A156" s="1" t="s">
        <v>824</v>
      </c>
      <c r="B156" s="1" t="s">
        <v>1500</v>
      </c>
      <c r="C156" s="2">
        <v>46105</v>
      </c>
      <c r="D156">
        <v>319</v>
      </c>
      <c r="E156">
        <v>53.82</v>
      </c>
      <c r="F156" s="1" t="s">
        <v>1476</v>
      </c>
      <c r="G156" s="2">
        <v>46117</v>
      </c>
      <c r="H156">
        <f>COUNTIF(purchase_orders[PO Number], purchase_orders[[#This Row],[PO Number]])</f>
        <v>1</v>
      </c>
    </row>
    <row r="157" spans="1:8" x14ac:dyDescent="0.25">
      <c r="A157" s="1" t="s">
        <v>145</v>
      </c>
      <c r="B157" s="1" t="s">
        <v>1461</v>
      </c>
      <c r="C157" s="2">
        <v>46170</v>
      </c>
      <c r="D157">
        <v>310</v>
      </c>
      <c r="E157">
        <v>190.4</v>
      </c>
      <c r="F157" s="1" t="s">
        <v>1456</v>
      </c>
      <c r="G157" s="2">
        <v>46183</v>
      </c>
      <c r="H157">
        <f>COUNTIF(purchase_orders[PO Number], purchase_orders[[#This Row],[PO Number]])</f>
        <v>1</v>
      </c>
    </row>
    <row r="158" spans="1:8" x14ac:dyDescent="0.25">
      <c r="A158" s="1" t="s">
        <v>146</v>
      </c>
      <c r="B158" s="1" t="s">
        <v>1493</v>
      </c>
      <c r="C158" s="2">
        <v>46033</v>
      </c>
      <c r="D158">
        <v>400</v>
      </c>
      <c r="E158">
        <v>152.47</v>
      </c>
      <c r="F158" s="1" t="s">
        <v>1487</v>
      </c>
      <c r="G158" s="2">
        <v>46054</v>
      </c>
      <c r="H158">
        <f>COUNTIF(purchase_orders[PO Number], purchase_orders[[#This Row],[PO Number]])</f>
        <v>1</v>
      </c>
    </row>
    <row r="159" spans="1:8" x14ac:dyDescent="0.25">
      <c r="A159" s="1" t="s">
        <v>147</v>
      </c>
      <c r="B159" s="1" t="s">
        <v>1508</v>
      </c>
      <c r="C159" s="2">
        <v>46136</v>
      </c>
      <c r="D159">
        <v>479</v>
      </c>
      <c r="E159">
        <v>59.24</v>
      </c>
      <c r="F159" s="1" t="s">
        <v>1480</v>
      </c>
      <c r="G159" s="2">
        <v>46154</v>
      </c>
      <c r="H159">
        <f>COUNTIF(purchase_orders[PO Number], purchase_orders[[#This Row],[PO Number]])</f>
        <v>1</v>
      </c>
    </row>
    <row r="160" spans="1:8" x14ac:dyDescent="0.25">
      <c r="A160" s="1" t="s">
        <v>148</v>
      </c>
      <c r="B160" s="1" t="s">
        <v>1439</v>
      </c>
      <c r="C160" s="2">
        <v>46148</v>
      </c>
      <c r="D160">
        <v>56</v>
      </c>
      <c r="E160">
        <v>96.65</v>
      </c>
      <c r="F160" s="1" t="s">
        <v>1507</v>
      </c>
      <c r="G160" s="2">
        <v>46163</v>
      </c>
      <c r="H160">
        <f>COUNTIF(purchase_orders[PO Number], purchase_orders[[#This Row],[PO Number]])</f>
        <v>1</v>
      </c>
    </row>
    <row r="161" spans="1:8" x14ac:dyDescent="0.25">
      <c r="A161" s="1" t="s">
        <v>830</v>
      </c>
      <c r="B161" s="1" t="s">
        <v>1509</v>
      </c>
      <c r="C161" s="2">
        <v>46049</v>
      </c>
      <c r="D161">
        <v>449</v>
      </c>
      <c r="E161">
        <v>36.36</v>
      </c>
      <c r="F161" s="1" t="s">
        <v>1507</v>
      </c>
      <c r="G161" s="2">
        <v>46069</v>
      </c>
      <c r="H161">
        <f>COUNTIF(purchase_orders[PO Number], purchase_orders[[#This Row],[PO Number]])</f>
        <v>1</v>
      </c>
    </row>
    <row r="162" spans="1:8" x14ac:dyDescent="0.25">
      <c r="A162" s="1" t="s">
        <v>149</v>
      </c>
      <c r="B162" s="1" t="s">
        <v>1506</v>
      </c>
      <c r="C162" s="2">
        <v>46125</v>
      </c>
      <c r="D162">
        <v>426</v>
      </c>
      <c r="E162">
        <v>153.30000000000001</v>
      </c>
      <c r="F162" s="1" t="s">
        <v>1462</v>
      </c>
      <c r="G162" s="2">
        <v>46144</v>
      </c>
      <c r="H162">
        <f>COUNTIF(purchase_orders[PO Number], purchase_orders[[#This Row],[PO Number]])</f>
        <v>1</v>
      </c>
    </row>
    <row r="163" spans="1:8" x14ac:dyDescent="0.25">
      <c r="A163" s="1" t="s">
        <v>150</v>
      </c>
      <c r="B163" s="1" t="s">
        <v>1457</v>
      </c>
      <c r="C163" s="2">
        <v>46103</v>
      </c>
      <c r="D163">
        <v>139</v>
      </c>
      <c r="E163">
        <v>68.040000000000006</v>
      </c>
      <c r="F163" s="1" t="s">
        <v>1456</v>
      </c>
      <c r="G163" s="2">
        <v>46120</v>
      </c>
      <c r="H163">
        <f>COUNTIF(purchase_orders[PO Number], purchase_orders[[#This Row],[PO Number]])</f>
        <v>1</v>
      </c>
    </row>
    <row r="164" spans="1:8" x14ac:dyDescent="0.25">
      <c r="A164" s="1" t="s">
        <v>151</v>
      </c>
      <c r="B164" s="1" t="s">
        <v>1445</v>
      </c>
      <c r="C164" s="2">
        <v>46023</v>
      </c>
      <c r="D164">
        <v>346</v>
      </c>
      <c r="E164">
        <v>174.53</v>
      </c>
      <c r="F164" s="1" t="s">
        <v>1469</v>
      </c>
      <c r="G164" s="2">
        <v>46041</v>
      </c>
      <c r="H164">
        <f>COUNTIF(purchase_orders[PO Number], purchase_orders[[#This Row],[PO Number]])</f>
        <v>1</v>
      </c>
    </row>
    <row r="165" spans="1:8" x14ac:dyDescent="0.25">
      <c r="A165" s="1" t="s">
        <v>152</v>
      </c>
      <c r="B165" s="1" t="s">
        <v>1475</v>
      </c>
      <c r="C165" s="2">
        <v>46071</v>
      </c>
      <c r="D165">
        <v>275</v>
      </c>
      <c r="E165">
        <v>75.55</v>
      </c>
      <c r="F165" s="1" t="s">
        <v>1456</v>
      </c>
      <c r="G165" s="2">
        <v>46091</v>
      </c>
      <c r="H165">
        <f>COUNTIF(purchase_orders[PO Number], purchase_orders[[#This Row],[PO Number]])</f>
        <v>1</v>
      </c>
    </row>
    <row r="166" spans="1:8" x14ac:dyDescent="0.25">
      <c r="A166" s="1" t="s">
        <v>153</v>
      </c>
      <c r="B166" s="1" t="s">
        <v>1439</v>
      </c>
      <c r="C166" s="2">
        <v>46136</v>
      </c>
      <c r="D166">
        <v>399</v>
      </c>
      <c r="E166">
        <v>15.06</v>
      </c>
      <c r="F166" s="1" t="s">
        <v>1458</v>
      </c>
      <c r="G166" s="2">
        <v>46145</v>
      </c>
      <c r="H166">
        <f>COUNTIF(purchase_orders[PO Number], purchase_orders[[#This Row],[PO Number]])</f>
        <v>1</v>
      </c>
    </row>
    <row r="167" spans="1:8" x14ac:dyDescent="0.25">
      <c r="A167" s="1" t="s">
        <v>154</v>
      </c>
      <c r="B167" s="1" t="s">
        <v>1506</v>
      </c>
      <c r="C167" s="2">
        <v>46135</v>
      </c>
      <c r="D167">
        <v>460</v>
      </c>
      <c r="E167">
        <v>141.16</v>
      </c>
      <c r="F167" s="1" t="s">
        <v>1483</v>
      </c>
      <c r="G167" s="2">
        <v>46140</v>
      </c>
      <c r="H167">
        <f>COUNTIF(purchase_orders[PO Number], purchase_orders[[#This Row],[PO Number]])</f>
        <v>1</v>
      </c>
    </row>
    <row r="168" spans="1:8" x14ac:dyDescent="0.25">
      <c r="A168" s="1" t="s">
        <v>155</v>
      </c>
      <c r="B168" s="1" t="s">
        <v>1439</v>
      </c>
      <c r="C168" s="2">
        <v>46084</v>
      </c>
      <c r="D168">
        <v>373</v>
      </c>
      <c r="E168">
        <v>35.880000000000003</v>
      </c>
      <c r="F168" s="1" t="s">
        <v>1442</v>
      </c>
      <c r="G168" s="2">
        <v>46089</v>
      </c>
      <c r="H168">
        <f>COUNTIF(purchase_orders[PO Number], purchase_orders[[#This Row],[PO Number]])</f>
        <v>1</v>
      </c>
    </row>
    <row r="169" spans="1:8" x14ac:dyDescent="0.25">
      <c r="A169" s="1" t="s">
        <v>156</v>
      </c>
      <c r="B169" s="1" t="s">
        <v>1454</v>
      </c>
      <c r="C169" s="2">
        <v>46127</v>
      </c>
      <c r="D169">
        <v>57</v>
      </c>
      <c r="E169">
        <v>48.82</v>
      </c>
      <c r="F169" s="1" t="s">
        <v>1483</v>
      </c>
      <c r="G169" s="2">
        <v>46146</v>
      </c>
      <c r="H169">
        <f>COUNTIF(purchase_orders[PO Number], purchase_orders[[#This Row],[PO Number]])</f>
        <v>1</v>
      </c>
    </row>
    <row r="170" spans="1:8" x14ac:dyDescent="0.25">
      <c r="A170" s="1" t="s">
        <v>157</v>
      </c>
      <c r="B170" s="1" t="s">
        <v>1466</v>
      </c>
      <c r="C170" s="2">
        <v>46062</v>
      </c>
      <c r="D170">
        <v>265</v>
      </c>
      <c r="E170">
        <v>186.87</v>
      </c>
      <c r="F170" s="1" t="s">
        <v>1459</v>
      </c>
      <c r="G170" s="2">
        <v>46083</v>
      </c>
      <c r="H170">
        <f>COUNTIF(purchase_orders[PO Number], purchase_orders[[#This Row],[PO Number]])</f>
        <v>1</v>
      </c>
    </row>
    <row r="171" spans="1:8" x14ac:dyDescent="0.25">
      <c r="A171" s="1" t="s">
        <v>158</v>
      </c>
      <c r="B171" s="1" t="s">
        <v>1455</v>
      </c>
      <c r="C171" s="2">
        <v>46092</v>
      </c>
      <c r="D171">
        <v>222</v>
      </c>
      <c r="E171">
        <v>167.77</v>
      </c>
      <c r="F171" s="1" t="s">
        <v>1487</v>
      </c>
      <c r="G171" s="2">
        <v>46104</v>
      </c>
      <c r="H171">
        <f>COUNTIF(purchase_orders[PO Number], purchase_orders[[#This Row],[PO Number]])</f>
        <v>1</v>
      </c>
    </row>
    <row r="172" spans="1:8" x14ac:dyDescent="0.25">
      <c r="A172" s="1" t="s">
        <v>159</v>
      </c>
      <c r="B172" s="1" t="s">
        <v>1489</v>
      </c>
      <c r="C172" s="2">
        <v>46164</v>
      </c>
      <c r="D172">
        <v>84</v>
      </c>
      <c r="E172">
        <v>79.8</v>
      </c>
      <c r="F172" s="1" t="s">
        <v>1494</v>
      </c>
      <c r="G172" s="2">
        <v>46185</v>
      </c>
      <c r="H172">
        <f>COUNTIF(purchase_orders[PO Number], purchase_orders[[#This Row],[PO Number]])</f>
        <v>1</v>
      </c>
    </row>
    <row r="173" spans="1:8" x14ac:dyDescent="0.25">
      <c r="A173" s="1" t="s">
        <v>160</v>
      </c>
      <c r="B173" s="1" t="s">
        <v>1465</v>
      </c>
      <c r="C173" s="2">
        <v>46057</v>
      </c>
      <c r="D173">
        <v>452</v>
      </c>
      <c r="E173">
        <v>18.61</v>
      </c>
      <c r="F173" s="1" t="s">
        <v>1456</v>
      </c>
      <c r="G173" s="2">
        <v>46075</v>
      </c>
      <c r="H173">
        <f>COUNTIF(purchase_orders[PO Number], purchase_orders[[#This Row],[PO Number]])</f>
        <v>1</v>
      </c>
    </row>
    <row r="174" spans="1:8" x14ac:dyDescent="0.25">
      <c r="A174" s="1" t="s">
        <v>161</v>
      </c>
      <c r="B174" s="1" t="s">
        <v>1479</v>
      </c>
      <c r="C174" s="2">
        <v>46152</v>
      </c>
      <c r="D174">
        <v>146</v>
      </c>
      <c r="E174">
        <v>165.01</v>
      </c>
      <c r="F174" s="1" t="s">
        <v>1474</v>
      </c>
      <c r="G174" s="2">
        <v>46166</v>
      </c>
      <c r="H174">
        <f>COUNTIF(purchase_orders[PO Number], purchase_orders[[#This Row],[PO Number]])</f>
        <v>1</v>
      </c>
    </row>
    <row r="175" spans="1:8" x14ac:dyDescent="0.25">
      <c r="A175" s="1" t="s">
        <v>162</v>
      </c>
      <c r="B175" s="1" t="s">
        <v>1443</v>
      </c>
      <c r="C175" s="2">
        <v>46171</v>
      </c>
      <c r="D175">
        <v>347</v>
      </c>
      <c r="E175">
        <v>100.48</v>
      </c>
      <c r="F175" s="1" t="s">
        <v>1485</v>
      </c>
      <c r="G175" s="2">
        <v>46190</v>
      </c>
      <c r="H175">
        <f>COUNTIF(purchase_orders[PO Number], purchase_orders[[#This Row],[PO Number]])</f>
        <v>1</v>
      </c>
    </row>
    <row r="176" spans="1:8" x14ac:dyDescent="0.25">
      <c r="A176" s="1" t="s">
        <v>847</v>
      </c>
      <c r="B176" s="1" t="s">
        <v>1471</v>
      </c>
      <c r="C176" s="2">
        <v>46146</v>
      </c>
      <c r="D176">
        <v>186</v>
      </c>
      <c r="E176">
        <v>69.83</v>
      </c>
      <c r="F176" s="1" t="s">
        <v>1456</v>
      </c>
      <c r="G176" s="2">
        <v>46163</v>
      </c>
      <c r="H176">
        <f>COUNTIF(purchase_orders[PO Number], purchase_orders[[#This Row],[PO Number]])</f>
        <v>1</v>
      </c>
    </row>
    <row r="177" spans="1:8" x14ac:dyDescent="0.25">
      <c r="A177" s="1" t="s">
        <v>849</v>
      </c>
      <c r="B177" s="1" t="s">
        <v>1489</v>
      </c>
      <c r="C177" s="2">
        <v>46105</v>
      </c>
      <c r="D177">
        <v>455</v>
      </c>
      <c r="E177">
        <v>41.79</v>
      </c>
      <c r="F177" s="1" t="s">
        <v>1499</v>
      </c>
      <c r="G177" s="2">
        <v>46117</v>
      </c>
      <c r="H177">
        <f>COUNTIF(purchase_orders[PO Number], purchase_orders[[#This Row],[PO Number]])</f>
        <v>1</v>
      </c>
    </row>
    <row r="178" spans="1:8" x14ac:dyDescent="0.25">
      <c r="A178" s="1" t="s">
        <v>163</v>
      </c>
      <c r="B178" s="1" t="s">
        <v>1493</v>
      </c>
      <c r="C178" s="2">
        <v>46121</v>
      </c>
      <c r="D178">
        <v>129</v>
      </c>
      <c r="E178">
        <v>171.92</v>
      </c>
      <c r="F178" s="1" t="s">
        <v>1507</v>
      </c>
      <c r="G178" s="2">
        <v>46127</v>
      </c>
      <c r="H178">
        <f>COUNTIF(purchase_orders[PO Number], purchase_orders[[#This Row],[PO Number]])</f>
        <v>1</v>
      </c>
    </row>
    <row r="179" spans="1:8" x14ac:dyDescent="0.25">
      <c r="A179" s="1" t="s">
        <v>164</v>
      </c>
      <c r="B179" s="1" t="s">
        <v>1509</v>
      </c>
      <c r="C179" s="2">
        <v>46144</v>
      </c>
      <c r="D179">
        <v>371</v>
      </c>
      <c r="E179">
        <v>183.12</v>
      </c>
      <c r="F179" s="1" t="s">
        <v>1453</v>
      </c>
      <c r="G179" s="2">
        <v>46161</v>
      </c>
      <c r="H179">
        <f>COUNTIF(purchase_orders[PO Number], purchase_orders[[#This Row],[PO Number]])</f>
        <v>1</v>
      </c>
    </row>
    <row r="180" spans="1:8" x14ac:dyDescent="0.25">
      <c r="A180" s="1" t="s">
        <v>165</v>
      </c>
      <c r="B180" s="1" t="s">
        <v>1484</v>
      </c>
      <c r="C180" s="2">
        <v>46061</v>
      </c>
      <c r="D180">
        <v>263</v>
      </c>
      <c r="E180">
        <v>193.14</v>
      </c>
      <c r="F180" s="1" t="s">
        <v>1485</v>
      </c>
      <c r="G180" s="2">
        <v>46082</v>
      </c>
      <c r="H180">
        <f>COUNTIF(purchase_orders[PO Number], purchase_orders[[#This Row],[PO Number]])</f>
        <v>1</v>
      </c>
    </row>
    <row r="181" spans="1:8" x14ac:dyDescent="0.25">
      <c r="A181" s="1" t="s">
        <v>166</v>
      </c>
      <c r="B181" s="1" t="s">
        <v>1443</v>
      </c>
      <c r="C181" s="2">
        <v>46107</v>
      </c>
      <c r="D181">
        <v>455</v>
      </c>
      <c r="E181">
        <v>24.57</v>
      </c>
      <c r="F181" s="1" t="s">
        <v>1469</v>
      </c>
      <c r="G181" s="2">
        <v>46115</v>
      </c>
      <c r="H181">
        <f>COUNTIF(purchase_orders[PO Number], purchase_orders[[#This Row],[PO Number]])</f>
        <v>1</v>
      </c>
    </row>
    <row r="182" spans="1:8" x14ac:dyDescent="0.25">
      <c r="A182" s="1" t="s">
        <v>167</v>
      </c>
      <c r="B182" s="1" t="s">
        <v>1491</v>
      </c>
      <c r="C182" s="2">
        <v>46139</v>
      </c>
      <c r="D182">
        <v>17</v>
      </c>
      <c r="E182">
        <v>145.88</v>
      </c>
      <c r="F182" s="1" t="s">
        <v>1507</v>
      </c>
      <c r="G182" s="2">
        <v>46148</v>
      </c>
      <c r="H182">
        <f>COUNTIF(purchase_orders[PO Number], purchase_orders[[#This Row],[PO Number]])</f>
        <v>1</v>
      </c>
    </row>
    <row r="183" spans="1:8" x14ac:dyDescent="0.25">
      <c r="A183" s="1" t="s">
        <v>168</v>
      </c>
      <c r="B183" s="1" t="s">
        <v>1492</v>
      </c>
      <c r="C183" s="2">
        <v>46143</v>
      </c>
      <c r="D183">
        <v>410</v>
      </c>
      <c r="E183">
        <v>193.99</v>
      </c>
      <c r="F183" s="1" t="s">
        <v>1472</v>
      </c>
      <c r="G183" s="2">
        <v>46160</v>
      </c>
      <c r="H183">
        <f>COUNTIF(purchase_orders[PO Number], purchase_orders[[#This Row],[PO Number]])</f>
        <v>1</v>
      </c>
    </row>
    <row r="184" spans="1:8" x14ac:dyDescent="0.25">
      <c r="A184" s="1" t="s">
        <v>169</v>
      </c>
      <c r="B184" s="1" t="s">
        <v>1508</v>
      </c>
      <c r="C184" s="2">
        <v>46043</v>
      </c>
      <c r="D184">
        <v>446</v>
      </c>
      <c r="E184">
        <v>69.069999999999993</v>
      </c>
      <c r="F184" s="1" t="s">
        <v>1467</v>
      </c>
      <c r="G184" s="2">
        <v>46060</v>
      </c>
      <c r="H184">
        <f>COUNTIF(purchase_orders[PO Number], purchase_orders[[#This Row],[PO Number]])</f>
        <v>1</v>
      </c>
    </row>
    <row r="185" spans="1:8" x14ac:dyDescent="0.25">
      <c r="A185" s="1" t="s">
        <v>170</v>
      </c>
      <c r="B185" s="1" t="s">
        <v>1509</v>
      </c>
      <c r="C185" s="2">
        <v>46147</v>
      </c>
      <c r="D185">
        <v>456</v>
      </c>
      <c r="E185">
        <v>110.5</v>
      </c>
      <c r="F185" s="1" t="s">
        <v>1494</v>
      </c>
      <c r="G185" s="2">
        <v>46154</v>
      </c>
      <c r="H185">
        <f>COUNTIF(purchase_orders[PO Number], purchase_orders[[#This Row],[PO Number]])</f>
        <v>1</v>
      </c>
    </row>
    <row r="186" spans="1:8" x14ac:dyDescent="0.25">
      <c r="A186" s="1" t="s">
        <v>171</v>
      </c>
      <c r="B186" s="1" t="s">
        <v>1482</v>
      </c>
      <c r="C186" s="2">
        <v>46096</v>
      </c>
      <c r="D186">
        <v>126</v>
      </c>
      <c r="E186">
        <v>150.62</v>
      </c>
      <c r="F186" s="1" t="s">
        <v>1507</v>
      </c>
      <c r="G186" s="2">
        <v>46104</v>
      </c>
      <c r="H186">
        <f>COUNTIF(purchase_orders[PO Number], purchase_orders[[#This Row],[PO Number]])</f>
        <v>1</v>
      </c>
    </row>
    <row r="187" spans="1:8" x14ac:dyDescent="0.25">
      <c r="A187" s="1" t="s">
        <v>172</v>
      </c>
      <c r="B187" s="1" t="s">
        <v>1439</v>
      </c>
      <c r="C187" s="2">
        <v>46048</v>
      </c>
      <c r="D187">
        <v>237</v>
      </c>
      <c r="E187">
        <v>37.44</v>
      </c>
      <c r="F187" s="1" t="s">
        <v>1474</v>
      </c>
      <c r="G187" s="2">
        <v>46053</v>
      </c>
      <c r="H187">
        <f>COUNTIF(purchase_orders[PO Number], purchase_orders[[#This Row],[PO Number]])</f>
        <v>1</v>
      </c>
    </row>
    <row r="188" spans="1:8" x14ac:dyDescent="0.25">
      <c r="A188" s="1" t="s">
        <v>173</v>
      </c>
      <c r="B188" s="1" t="s">
        <v>1452</v>
      </c>
      <c r="C188" s="2">
        <v>46106</v>
      </c>
      <c r="D188">
        <v>417</v>
      </c>
      <c r="E188">
        <v>15.94</v>
      </c>
      <c r="F188" s="1" t="s">
        <v>1451</v>
      </c>
      <c r="G188" s="2">
        <v>46122</v>
      </c>
      <c r="H188">
        <f>COUNTIF(purchase_orders[PO Number], purchase_orders[[#This Row],[PO Number]])</f>
        <v>1</v>
      </c>
    </row>
    <row r="189" spans="1:8" x14ac:dyDescent="0.25">
      <c r="A189" s="1" t="s">
        <v>174</v>
      </c>
      <c r="B189" s="1" t="s">
        <v>1500</v>
      </c>
      <c r="C189" s="2">
        <v>46060</v>
      </c>
      <c r="D189">
        <v>135</v>
      </c>
      <c r="E189">
        <v>108.58</v>
      </c>
      <c r="F189" s="1" t="s">
        <v>1480</v>
      </c>
      <c r="G189" s="2">
        <v>46070</v>
      </c>
      <c r="H189">
        <f>COUNTIF(purchase_orders[PO Number], purchase_orders[[#This Row],[PO Number]])</f>
        <v>1</v>
      </c>
    </row>
    <row r="190" spans="1:8" x14ac:dyDescent="0.25">
      <c r="A190" s="1" t="s">
        <v>175</v>
      </c>
      <c r="B190" s="1" t="s">
        <v>1460</v>
      </c>
      <c r="C190" s="2">
        <v>46067</v>
      </c>
      <c r="D190">
        <v>50</v>
      </c>
      <c r="E190">
        <v>123.85</v>
      </c>
      <c r="F190" s="1" t="s">
        <v>1453</v>
      </c>
      <c r="G190" s="2">
        <v>46079</v>
      </c>
      <c r="H190">
        <f>COUNTIF(purchase_orders[PO Number], purchase_orders[[#This Row],[PO Number]])</f>
        <v>1</v>
      </c>
    </row>
    <row r="191" spans="1:8" x14ac:dyDescent="0.25">
      <c r="A191" s="1" t="s">
        <v>865</v>
      </c>
      <c r="B191" s="1" t="s">
        <v>1498</v>
      </c>
      <c r="C191" s="2">
        <v>46172</v>
      </c>
      <c r="D191">
        <v>83</v>
      </c>
      <c r="E191">
        <v>50.28</v>
      </c>
      <c r="F191" s="1" t="s">
        <v>1446</v>
      </c>
      <c r="G191" s="2">
        <v>46185</v>
      </c>
      <c r="H191">
        <f>COUNTIF(purchase_orders[PO Number], purchase_orders[[#This Row],[PO Number]])</f>
        <v>1</v>
      </c>
    </row>
    <row r="192" spans="1:8" x14ac:dyDescent="0.25">
      <c r="A192" s="1" t="s">
        <v>176</v>
      </c>
      <c r="B192" s="1" t="s">
        <v>1489</v>
      </c>
      <c r="C192" s="2">
        <v>46088</v>
      </c>
      <c r="D192">
        <v>351</v>
      </c>
      <c r="E192">
        <v>6.83</v>
      </c>
      <c r="F192" s="1" t="s">
        <v>1469</v>
      </c>
      <c r="G192" s="2">
        <v>46102</v>
      </c>
      <c r="H192">
        <f>COUNTIF(purchase_orders[PO Number], purchase_orders[[#This Row],[PO Number]])</f>
        <v>1</v>
      </c>
    </row>
    <row r="193" spans="1:8" x14ac:dyDescent="0.25">
      <c r="A193" s="1" t="s">
        <v>177</v>
      </c>
      <c r="B193" s="1" t="s">
        <v>1461</v>
      </c>
      <c r="C193" s="2">
        <v>46162</v>
      </c>
      <c r="D193">
        <v>90</v>
      </c>
      <c r="E193">
        <v>19.399999999999999</v>
      </c>
      <c r="F193" s="1" t="s">
        <v>1451</v>
      </c>
      <c r="G193" s="2">
        <v>46176</v>
      </c>
      <c r="H193">
        <f>COUNTIF(purchase_orders[PO Number], purchase_orders[[#This Row],[PO Number]])</f>
        <v>1</v>
      </c>
    </row>
    <row r="194" spans="1:8" x14ac:dyDescent="0.25">
      <c r="A194" s="1" t="s">
        <v>178</v>
      </c>
      <c r="B194" s="1" t="s">
        <v>1439</v>
      </c>
      <c r="C194" s="2">
        <v>46131</v>
      </c>
      <c r="D194">
        <v>363</v>
      </c>
      <c r="E194">
        <v>53.77</v>
      </c>
      <c r="F194" s="1" t="s">
        <v>1459</v>
      </c>
      <c r="G194" s="2">
        <v>46142</v>
      </c>
      <c r="H194">
        <f>COUNTIF(purchase_orders[PO Number], purchase_orders[[#This Row],[PO Number]])</f>
        <v>1</v>
      </c>
    </row>
    <row r="195" spans="1:8" x14ac:dyDescent="0.25">
      <c r="A195" s="1" t="s">
        <v>179</v>
      </c>
      <c r="B195" s="1" t="s">
        <v>1502</v>
      </c>
      <c r="C195" s="2">
        <v>46146</v>
      </c>
      <c r="D195">
        <v>64</v>
      </c>
      <c r="E195">
        <v>51.26</v>
      </c>
      <c r="F195" s="1" t="s">
        <v>1480</v>
      </c>
      <c r="G195" s="2">
        <v>46162</v>
      </c>
      <c r="H195">
        <f>COUNTIF(purchase_orders[PO Number], purchase_orders[[#This Row],[PO Number]])</f>
        <v>1</v>
      </c>
    </row>
    <row r="196" spans="1:8" x14ac:dyDescent="0.25">
      <c r="A196" s="1" t="s">
        <v>180</v>
      </c>
      <c r="B196" s="1" t="s">
        <v>1493</v>
      </c>
      <c r="C196" s="2">
        <v>46098</v>
      </c>
      <c r="D196">
        <v>368</v>
      </c>
      <c r="E196">
        <v>62.57</v>
      </c>
      <c r="F196" s="1" t="s">
        <v>1467</v>
      </c>
      <c r="G196" s="2">
        <v>46115</v>
      </c>
      <c r="H196">
        <f>COUNTIF(purchase_orders[PO Number], purchase_orders[[#This Row],[PO Number]])</f>
        <v>1</v>
      </c>
    </row>
    <row r="197" spans="1:8" x14ac:dyDescent="0.25">
      <c r="A197" s="1" t="s">
        <v>181</v>
      </c>
      <c r="B197" s="1" t="s">
        <v>1511</v>
      </c>
      <c r="C197" s="2">
        <v>46025</v>
      </c>
      <c r="D197">
        <v>299</v>
      </c>
      <c r="E197">
        <v>173.69</v>
      </c>
      <c r="F197" s="1" t="s">
        <v>1456</v>
      </c>
      <c r="G197" s="2">
        <v>46031</v>
      </c>
      <c r="H197">
        <f>COUNTIF(purchase_orders[PO Number], purchase_orders[[#This Row],[PO Number]])</f>
        <v>1</v>
      </c>
    </row>
    <row r="198" spans="1:8" x14ac:dyDescent="0.25">
      <c r="A198" s="1" t="s">
        <v>182</v>
      </c>
      <c r="B198" s="1" t="s">
        <v>1468</v>
      </c>
      <c r="C198" s="2">
        <v>46150</v>
      </c>
      <c r="D198">
        <v>436</v>
      </c>
      <c r="E198">
        <v>181.31</v>
      </c>
      <c r="F198" s="1" t="s">
        <v>1474</v>
      </c>
      <c r="G198" s="2">
        <v>46162</v>
      </c>
      <c r="H198">
        <f>COUNTIF(purchase_orders[PO Number], purchase_orders[[#This Row],[PO Number]])</f>
        <v>1</v>
      </c>
    </row>
    <row r="199" spans="1:8" x14ac:dyDescent="0.25">
      <c r="A199" s="1" t="s">
        <v>183</v>
      </c>
      <c r="B199" s="1" t="s">
        <v>1468</v>
      </c>
      <c r="C199" s="2">
        <v>46113</v>
      </c>
      <c r="D199">
        <v>122</v>
      </c>
      <c r="E199">
        <v>129.13999999999999</v>
      </c>
      <c r="F199" s="1" t="s">
        <v>1494</v>
      </c>
      <c r="G199" s="2">
        <v>46126</v>
      </c>
      <c r="H199">
        <f>COUNTIF(purchase_orders[PO Number], purchase_orders[[#This Row],[PO Number]])</f>
        <v>1</v>
      </c>
    </row>
    <row r="200" spans="1:8" x14ac:dyDescent="0.25">
      <c r="A200" s="1" t="s">
        <v>875</v>
      </c>
      <c r="B200" s="1" t="s">
        <v>1461</v>
      </c>
      <c r="C200" s="2">
        <v>46058</v>
      </c>
      <c r="D200">
        <v>331</v>
      </c>
      <c r="E200">
        <v>23.95</v>
      </c>
      <c r="F200" s="1" t="s">
        <v>1446</v>
      </c>
      <c r="G200" s="2">
        <v>46064</v>
      </c>
      <c r="H200">
        <f>COUNTIF(purchase_orders[PO Number], purchase_orders[[#This Row],[PO Number]])</f>
        <v>1</v>
      </c>
    </row>
    <row r="201" spans="1:8" x14ac:dyDescent="0.25">
      <c r="A201" s="1" t="s">
        <v>184</v>
      </c>
      <c r="B201" s="1" t="s">
        <v>1512</v>
      </c>
      <c r="C201" s="2">
        <v>46135</v>
      </c>
      <c r="D201">
        <v>27</v>
      </c>
      <c r="E201">
        <v>118.02</v>
      </c>
      <c r="F201" s="1" t="s">
        <v>1490</v>
      </c>
      <c r="G201" s="2">
        <v>46144</v>
      </c>
      <c r="H201">
        <f>COUNTIF(purchase_orders[PO Number], purchase_orders[[#This Row],[PO Number]])</f>
        <v>1</v>
      </c>
    </row>
    <row r="202" spans="1:8" x14ac:dyDescent="0.25">
      <c r="A202" s="1" t="s">
        <v>185</v>
      </c>
      <c r="B202" s="1" t="s">
        <v>1457</v>
      </c>
      <c r="C202" s="2">
        <v>46098</v>
      </c>
      <c r="D202">
        <v>177</v>
      </c>
      <c r="E202">
        <v>150.76</v>
      </c>
      <c r="F202" s="1" t="s">
        <v>1501</v>
      </c>
      <c r="G202" s="2">
        <v>46109</v>
      </c>
      <c r="H202">
        <f>COUNTIF(purchase_orders[PO Number], purchase_orders[[#This Row],[PO Number]])</f>
        <v>1</v>
      </c>
    </row>
    <row r="203" spans="1:8" x14ac:dyDescent="0.25">
      <c r="A203" s="1" t="s">
        <v>186</v>
      </c>
      <c r="B203" s="1" t="s">
        <v>1441</v>
      </c>
      <c r="C203" s="2">
        <v>46161</v>
      </c>
      <c r="D203">
        <v>458</v>
      </c>
      <c r="E203">
        <v>194.44</v>
      </c>
      <c r="F203" s="1" t="s">
        <v>1504</v>
      </c>
      <c r="G203" s="2">
        <v>46182</v>
      </c>
      <c r="H203">
        <f>COUNTIF(purchase_orders[PO Number], purchase_orders[[#This Row],[PO Number]])</f>
        <v>1</v>
      </c>
    </row>
    <row r="204" spans="1:8" x14ac:dyDescent="0.25">
      <c r="A204" s="1" t="s">
        <v>187</v>
      </c>
      <c r="B204" s="1" t="s">
        <v>1511</v>
      </c>
      <c r="C204" s="2">
        <v>46065</v>
      </c>
      <c r="D204">
        <v>141</v>
      </c>
      <c r="E204">
        <v>183.24</v>
      </c>
      <c r="F204" s="1" t="s">
        <v>1487</v>
      </c>
      <c r="G204" s="2">
        <v>46079</v>
      </c>
      <c r="H204">
        <f>COUNTIF(purchase_orders[PO Number], purchase_orders[[#This Row],[PO Number]])</f>
        <v>1</v>
      </c>
    </row>
    <row r="205" spans="1:8" x14ac:dyDescent="0.25">
      <c r="A205" s="1" t="s">
        <v>188</v>
      </c>
      <c r="B205" s="1" t="s">
        <v>1465</v>
      </c>
      <c r="C205" s="2">
        <v>46109</v>
      </c>
      <c r="D205">
        <v>421</v>
      </c>
      <c r="E205">
        <v>27.46</v>
      </c>
      <c r="F205" s="1" t="s">
        <v>1476</v>
      </c>
      <c r="G205" s="2">
        <v>46118</v>
      </c>
      <c r="H205">
        <f>COUNTIF(purchase_orders[PO Number], purchase_orders[[#This Row],[PO Number]])</f>
        <v>1</v>
      </c>
    </row>
    <row r="206" spans="1:8" x14ac:dyDescent="0.25">
      <c r="A206" s="1" t="s">
        <v>189</v>
      </c>
      <c r="B206" s="1" t="s">
        <v>1447</v>
      </c>
      <c r="C206" s="2">
        <v>46124</v>
      </c>
      <c r="D206">
        <v>443</v>
      </c>
      <c r="E206">
        <v>161.88999999999999</v>
      </c>
      <c r="F206" s="1" t="s">
        <v>1451</v>
      </c>
      <c r="G206" s="2">
        <v>46131</v>
      </c>
      <c r="H206">
        <f>COUNTIF(purchase_orders[PO Number], purchase_orders[[#This Row],[PO Number]])</f>
        <v>1</v>
      </c>
    </row>
    <row r="207" spans="1:8" x14ac:dyDescent="0.25">
      <c r="A207" s="1" t="s">
        <v>190</v>
      </c>
      <c r="B207" s="1" t="s">
        <v>1488</v>
      </c>
      <c r="C207" s="2">
        <v>46026</v>
      </c>
      <c r="D207">
        <v>145</v>
      </c>
      <c r="E207">
        <v>109.63</v>
      </c>
      <c r="F207" s="1" t="s">
        <v>1469</v>
      </c>
      <c r="G207" s="2">
        <v>46042</v>
      </c>
      <c r="H207">
        <f>COUNTIF(purchase_orders[PO Number], purchase_orders[[#This Row],[PO Number]])</f>
        <v>1</v>
      </c>
    </row>
    <row r="208" spans="1:8" x14ac:dyDescent="0.25">
      <c r="A208" s="1" t="s">
        <v>191</v>
      </c>
      <c r="B208" s="1" t="s">
        <v>1461</v>
      </c>
      <c r="C208" s="2">
        <v>46090</v>
      </c>
      <c r="D208">
        <v>309</v>
      </c>
      <c r="E208">
        <v>79.3</v>
      </c>
      <c r="F208" s="1" t="s">
        <v>1446</v>
      </c>
      <c r="G208" s="2">
        <v>46106</v>
      </c>
      <c r="H208">
        <f>COUNTIF(purchase_orders[PO Number], purchase_orders[[#This Row],[PO Number]])</f>
        <v>1</v>
      </c>
    </row>
    <row r="209" spans="1:8" x14ac:dyDescent="0.25">
      <c r="A209" s="1" t="s">
        <v>192</v>
      </c>
      <c r="B209" s="1" t="s">
        <v>1450</v>
      </c>
      <c r="C209" s="2">
        <v>46082</v>
      </c>
      <c r="D209">
        <v>251</v>
      </c>
      <c r="E209">
        <v>9.8800000000000008</v>
      </c>
      <c r="F209" s="1" t="s">
        <v>1442</v>
      </c>
      <c r="G209" s="2">
        <v>46097</v>
      </c>
      <c r="H209">
        <f>COUNTIF(purchase_orders[PO Number], purchase_orders[[#This Row],[PO Number]])</f>
        <v>1</v>
      </c>
    </row>
    <row r="210" spans="1:8" x14ac:dyDescent="0.25">
      <c r="A210" s="1" t="s">
        <v>193</v>
      </c>
      <c r="B210" s="1" t="s">
        <v>1497</v>
      </c>
      <c r="C210" s="2">
        <v>46079</v>
      </c>
      <c r="D210">
        <v>341</v>
      </c>
      <c r="E210">
        <v>17.329999999999998</v>
      </c>
      <c r="F210" s="1" t="s">
        <v>1469</v>
      </c>
      <c r="G210" s="2">
        <v>46093</v>
      </c>
      <c r="H210">
        <f>COUNTIF(purchase_orders[PO Number], purchase_orders[[#This Row],[PO Number]])</f>
        <v>1</v>
      </c>
    </row>
    <row r="211" spans="1:8" x14ac:dyDescent="0.25">
      <c r="A211" s="1" t="s">
        <v>194</v>
      </c>
      <c r="B211" s="1" t="s">
        <v>1508</v>
      </c>
      <c r="C211" s="2">
        <v>46127</v>
      </c>
      <c r="D211">
        <v>69</v>
      </c>
      <c r="E211">
        <v>32.26</v>
      </c>
      <c r="F211" s="1" t="s">
        <v>1462</v>
      </c>
      <c r="G211" s="2">
        <v>46141</v>
      </c>
      <c r="H211">
        <f>COUNTIF(purchase_orders[PO Number], purchase_orders[[#This Row],[PO Number]])</f>
        <v>1</v>
      </c>
    </row>
    <row r="212" spans="1:8" x14ac:dyDescent="0.25">
      <c r="A212" s="1" t="s">
        <v>195</v>
      </c>
      <c r="B212" s="1" t="s">
        <v>1498</v>
      </c>
      <c r="C212" s="2">
        <v>46052</v>
      </c>
      <c r="D212">
        <v>59</v>
      </c>
      <c r="E212">
        <v>50.79</v>
      </c>
      <c r="F212" s="1" t="s">
        <v>1442</v>
      </c>
      <c r="G212" s="2">
        <v>46061</v>
      </c>
      <c r="H212">
        <f>COUNTIF(purchase_orders[PO Number], purchase_orders[[#This Row],[PO Number]])</f>
        <v>1</v>
      </c>
    </row>
    <row r="213" spans="1:8" x14ac:dyDescent="0.25">
      <c r="A213" s="1" t="s">
        <v>196</v>
      </c>
      <c r="B213" s="1" t="s">
        <v>1502</v>
      </c>
      <c r="C213" s="2">
        <v>46139</v>
      </c>
      <c r="D213">
        <v>199</v>
      </c>
      <c r="E213">
        <v>135.74</v>
      </c>
      <c r="F213" s="1" t="s">
        <v>1490</v>
      </c>
      <c r="G213" s="2">
        <v>46157</v>
      </c>
      <c r="H213">
        <f>COUNTIF(purchase_orders[PO Number], purchase_orders[[#This Row],[PO Number]])</f>
        <v>1</v>
      </c>
    </row>
    <row r="214" spans="1:8" x14ac:dyDescent="0.25">
      <c r="A214" s="1" t="s">
        <v>197</v>
      </c>
      <c r="B214" s="1" t="s">
        <v>1443</v>
      </c>
      <c r="C214" s="2">
        <v>46062</v>
      </c>
      <c r="D214">
        <v>463</v>
      </c>
      <c r="E214">
        <v>85.9</v>
      </c>
      <c r="F214" s="1" t="s">
        <v>1483</v>
      </c>
      <c r="G214" s="2">
        <v>46082</v>
      </c>
      <c r="H214">
        <f>COUNTIF(purchase_orders[PO Number], purchase_orders[[#This Row],[PO Number]])</f>
        <v>1</v>
      </c>
    </row>
    <row r="215" spans="1:8" x14ac:dyDescent="0.25">
      <c r="A215" s="1" t="s">
        <v>198</v>
      </c>
      <c r="B215" s="1" t="s">
        <v>1497</v>
      </c>
      <c r="C215" s="2">
        <v>46127</v>
      </c>
      <c r="D215">
        <v>490</v>
      </c>
      <c r="E215">
        <v>190.55</v>
      </c>
      <c r="F215" s="1" t="s">
        <v>1462</v>
      </c>
      <c r="G215" s="2">
        <v>46143</v>
      </c>
      <c r="H215">
        <f>COUNTIF(purchase_orders[PO Number], purchase_orders[[#This Row],[PO Number]])</f>
        <v>1</v>
      </c>
    </row>
    <row r="216" spans="1:8" x14ac:dyDescent="0.25">
      <c r="A216" s="1" t="s">
        <v>892</v>
      </c>
      <c r="B216" s="1" t="s">
        <v>1463</v>
      </c>
      <c r="C216" s="2">
        <v>46136</v>
      </c>
      <c r="D216">
        <v>237</v>
      </c>
      <c r="E216">
        <v>190.36</v>
      </c>
      <c r="F216" s="1" t="s">
        <v>1451</v>
      </c>
      <c r="G216" s="2">
        <v>46144</v>
      </c>
      <c r="H216">
        <f>COUNTIF(purchase_orders[PO Number], purchase_orders[[#This Row],[PO Number]])</f>
        <v>1</v>
      </c>
    </row>
    <row r="217" spans="1:8" x14ac:dyDescent="0.25">
      <c r="A217" s="1" t="s">
        <v>199</v>
      </c>
      <c r="B217" s="1" t="s">
        <v>1461</v>
      </c>
      <c r="C217" s="2">
        <v>46117</v>
      </c>
      <c r="D217">
        <v>288</v>
      </c>
      <c r="E217">
        <v>180.83</v>
      </c>
      <c r="F217" s="1" t="s">
        <v>1446</v>
      </c>
      <c r="G217" s="2">
        <v>46133</v>
      </c>
      <c r="H217">
        <f>COUNTIF(purchase_orders[PO Number], purchase_orders[[#This Row],[PO Number]])</f>
        <v>1</v>
      </c>
    </row>
    <row r="218" spans="1:8" x14ac:dyDescent="0.25">
      <c r="A218" s="1" t="s">
        <v>200</v>
      </c>
      <c r="B218" s="1" t="s">
        <v>1475</v>
      </c>
      <c r="C218" s="2">
        <v>46124</v>
      </c>
      <c r="D218">
        <v>151</v>
      </c>
      <c r="E218">
        <v>42.01</v>
      </c>
      <c r="F218" s="1" t="s">
        <v>1483</v>
      </c>
      <c r="G218" s="2">
        <v>46143</v>
      </c>
      <c r="H218">
        <f>COUNTIF(purchase_orders[PO Number], purchase_orders[[#This Row],[PO Number]])</f>
        <v>1</v>
      </c>
    </row>
    <row r="219" spans="1:8" x14ac:dyDescent="0.25">
      <c r="A219" s="1" t="s">
        <v>201</v>
      </c>
      <c r="B219" s="1" t="s">
        <v>1457</v>
      </c>
      <c r="C219" s="2">
        <v>46077</v>
      </c>
      <c r="D219">
        <v>338</v>
      </c>
      <c r="E219">
        <v>129.69999999999999</v>
      </c>
      <c r="F219" s="1" t="s">
        <v>1448</v>
      </c>
      <c r="G219" s="2">
        <v>46083</v>
      </c>
      <c r="H219">
        <f>COUNTIF(purchase_orders[PO Number], purchase_orders[[#This Row],[PO Number]])</f>
        <v>1</v>
      </c>
    </row>
    <row r="220" spans="1:8" x14ac:dyDescent="0.25">
      <c r="A220" s="1" t="s">
        <v>202</v>
      </c>
      <c r="B220" s="1" t="s">
        <v>1479</v>
      </c>
      <c r="C220" s="2">
        <v>46085</v>
      </c>
      <c r="D220">
        <v>74</v>
      </c>
      <c r="E220">
        <v>158.46</v>
      </c>
      <c r="F220" s="1" t="s">
        <v>1444</v>
      </c>
      <c r="G220" s="2">
        <v>46092</v>
      </c>
      <c r="H220">
        <f>COUNTIF(purchase_orders[PO Number], purchase_orders[[#This Row],[PO Number]])</f>
        <v>1</v>
      </c>
    </row>
    <row r="221" spans="1:8" x14ac:dyDescent="0.25">
      <c r="A221" s="1" t="s">
        <v>203</v>
      </c>
      <c r="B221" s="1" t="s">
        <v>1454</v>
      </c>
      <c r="C221" s="2">
        <v>46076</v>
      </c>
      <c r="D221">
        <v>310</v>
      </c>
      <c r="E221">
        <v>47.11</v>
      </c>
      <c r="F221" s="1" t="s">
        <v>1440</v>
      </c>
      <c r="G221" s="2">
        <v>46091</v>
      </c>
      <c r="H221">
        <f>COUNTIF(purchase_orders[PO Number], purchase_orders[[#This Row],[PO Number]])</f>
        <v>1</v>
      </c>
    </row>
    <row r="222" spans="1:8" x14ac:dyDescent="0.25">
      <c r="A222" s="1" t="s">
        <v>204</v>
      </c>
      <c r="B222" s="1" t="s">
        <v>1464</v>
      </c>
      <c r="C222" s="2">
        <v>46023</v>
      </c>
      <c r="D222">
        <v>151</v>
      </c>
      <c r="E222">
        <v>172.39</v>
      </c>
      <c r="F222" s="1" t="s">
        <v>1485</v>
      </c>
      <c r="G222" s="2">
        <v>46032</v>
      </c>
      <c r="H222">
        <f>COUNTIF(purchase_orders[PO Number], purchase_orders[[#This Row],[PO Number]])</f>
        <v>1</v>
      </c>
    </row>
    <row r="223" spans="1:8" x14ac:dyDescent="0.25">
      <c r="A223" s="1" t="s">
        <v>900</v>
      </c>
      <c r="B223" s="1" t="s">
        <v>1471</v>
      </c>
      <c r="C223" s="2">
        <v>46087</v>
      </c>
      <c r="D223">
        <v>418</v>
      </c>
      <c r="E223">
        <v>39.03</v>
      </c>
      <c r="F223" s="1" t="s">
        <v>1467</v>
      </c>
      <c r="G223" s="2">
        <v>46092</v>
      </c>
      <c r="H223">
        <f>COUNTIF(purchase_orders[PO Number], purchase_orders[[#This Row],[PO Number]])</f>
        <v>1</v>
      </c>
    </row>
    <row r="224" spans="1:8" x14ac:dyDescent="0.25">
      <c r="A224" s="1" t="s">
        <v>205</v>
      </c>
      <c r="B224" s="1" t="s">
        <v>1441</v>
      </c>
      <c r="C224" s="2">
        <v>46026</v>
      </c>
      <c r="D224">
        <v>193</v>
      </c>
      <c r="E224">
        <v>159.05000000000001</v>
      </c>
      <c r="F224" s="1" t="s">
        <v>1440</v>
      </c>
      <c r="G224" s="2">
        <v>46041</v>
      </c>
      <c r="H224">
        <f>COUNTIF(purchase_orders[PO Number], purchase_orders[[#This Row],[PO Number]])</f>
        <v>1</v>
      </c>
    </row>
    <row r="225" spans="1:8" x14ac:dyDescent="0.25">
      <c r="A225" s="1" t="s">
        <v>206</v>
      </c>
      <c r="B225" s="1" t="s">
        <v>1473</v>
      </c>
      <c r="C225" s="2">
        <v>46067</v>
      </c>
      <c r="D225">
        <v>145</v>
      </c>
      <c r="E225">
        <v>15.22</v>
      </c>
      <c r="F225" s="1" t="s">
        <v>1490</v>
      </c>
      <c r="G225" s="2">
        <v>46085</v>
      </c>
      <c r="H225">
        <f>COUNTIF(purchase_orders[PO Number], purchase_orders[[#This Row],[PO Number]])</f>
        <v>1</v>
      </c>
    </row>
    <row r="226" spans="1:8" x14ac:dyDescent="0.25">
      <c r="A226" s="1" t="s">
        <v>207</v>
      </c>
      <c r="B226" s="1" t="s">
        <v>1491</v>
      </c>
      <c r="C226" s="2">
        <v>46052</v>
      </c>
      <c r="D226">
        <v>391</v>
      </c>
      <c r="E226">
        <v>17.39</v>
      </c>
      <c r="F226" s="1" t="s">
        <v>1469</v>
      </c>
      <c r="G226" s="2">
        <v>46068</v>
      </c>
      <c r="H226">
        <f>COUNTIF(purchase_orders[PO Number], purchase_orders[[#This Row],[PO Number]])</f>
        <v>1</v>
      </c>
    </row>
    <row r="227" spans="1:8" x14ac:dyDescent="0.25">
      <c r="A227" s="1" t="s">
        <v>208</v>
      </c>
      <c r="B227" s="1" t="s">
        <v>1445</v>
      </c>
      <c r="C227" s="2">
        <v>46050</v>
      </c>
      <c r="D227">
        <v>241</v>
      </c>
      <c r="E227">
        <v>103.25</v>
      </c>
      <c r="F227" s="1" t="s">
        <v>1494</v>
      </c>
      <c r="G227" s="2">
        <v>46056</v>
      </c>
      <c r="H227">
        <f>COUNTIF(purchase_orders[PO Number], purchase_orders[[#This Row],[PO Number]])</f>
        <v>1</v>
      </c>
    </row>
    <row r="228" spans="1:8" x14ac:dyDescent="0.25">
      <c r="A228" s="1" t="s">
        <v>209</v>
      </c>
      <c r="B228" s="1" t="s">
        <v>1477</v>
      </c>
      <c r="C228" s="2">
        <v>46156</v>
      </c>
      <c r="D228">
        <v>164</v>
      </c>
      <c r="E228">
        <v>94.32</v>
      </c>
      <c r="F228" s="1" t="s">
        <v>1448</v>
      </c>
      <c r="G228" s="2">
        <v>46162</v>
      </c>
      <c r="H228">
        <f>COUNTIF(purchase_orders[PO Number], purchase_orders[[#This Row],[PO Number]])</f>
        <v>1</v>
      </c>
    </row>
    <row r="229" spans="1:8" x14ac:dyDescent="0.25">
      <c r="A229" s="1" t="s">
        <v>210</v>
      </c>
      <c r="B229" s="1" t="s">
        <v>1510</v>
      </c>
      <c r="C229" s="2">
        <v>46125</v>
      </c>
      <c r="D229">
        <v>228</v>
      </c>
      <c r="E229">
        <v>138.79</v>
      </c>
      <c r="F229" s="1" t="s">
        <v>1487</v>
      </c>
      <c r="G229" s="2">
        <v>46144</v>
      </c>
      <c r="H229">
        <f>COUNTIF(purchase_orders[PO Number], purchase_orders[[#This Row],[PO Number]])</f>
        <v>1</v>
      </c>
    </row>
    <row r="230" spans="1:8" x14ac:dyDescent="0.25">
      <c r="A230" s="1" t="s">
        <v>211</v>
      </c>
      <c r="B230" s="1" t="s">
        <v>1492</v>
      </c>
      <c r="C230" s="2">
        <v>46043</v>
      </c>
      <c r="D230">
        <v>174</v>
      </c>
      <c r="E230">
        <v>123.62</v>
      </c>
      <c r="F230" s="1" t="s">
        <v>1476</v>
      </c>
      <c r="G230" s="2">
        <v>46052</v>
      </c>
      <c r="H230">
        <f>COUNTIF(purchase_orders[PO Number], purchase_orders[[#This Row],[PO Number]])</f>
        <v>1</v>
      </c>
    </row>
    <row r="231" spans="1:8" x14ac:dyDescent="0.25">
      <c r="A231" s="1" t="s">
        <v>212</v>
      </c>
      <c r="B231" s="1" t="s">
        <v>1511</v>
      </c>
      <c r="C231" s="2">
        <v>46172</v>
      </c>
      <c r="D231">
        <v>290</v>
      </c>
      <c r="E231">
        <v>143.87</v>
      </c>
      <c r="F231" s="1" t="s">
        <v>1453</v>
      </c>
      <c r="G231" s="2">
        <v>46193</v>
      </c>
      <c r="H231">
        <f>COUNTIF(purchase_orders[PO Number], purchase_orders[[#This Row],[PO Number]])</f>
        <v>1</v>
      </c>
    </row>
    <row r="232" spans="1:8" x14ac:dyDescent="0.25">
      <c r="A232" s="1" t="s">
        <v>213</v>
      </c>
      <c r="B232" s="1" t="s">
        <v>1506</v>
      </c>
      <c r="C232" s="2">
        <v>46139</v>
      </c>
      <c r="D232">
        <v>268</v>
      </c>
      <c r="E232">
        <v>123.06</v>
      </c>
      <c r="F232" s="1" t="s">
        <v>1483</v>
      </c>
      <c r="G232" s="2">
        <v>46147</v>
      </c>
      <c r="H232">
        <f>COUNTIF(purchase_orders[PO Number], purchase_orders[[#This Row],[PO Number]])</f>
        <v>1</v>
      </c>
    </row>
    <row r="233" spans="1:8" x14ac:dyDescent="0.25">
      <c r="A233" s="1" t="s">
        <v>214</v>
      </c>
      <c r="B233" s="1" t="s">
        <v>1508</v>
      </c>
      <c r="C233" s="2">
        <v>46164</v>
      </c>
      <c r="D233">
        <v>379</v>
      </c>
      <c r="E233">
        <v>173.77</v>
      </c>
      <c r="F233" s="1" t="s">
        <v>1507</v>
      </c>
      <c r="G233" s="2">
        <v>46183</v>
      </c>
      <c r="H233">
        <f>COUNTIF(purchase_orders[PO Number], purchase_orders[[#This Row],[PO Number]])</f>
        <v>1</v>
      </c>
    </row>
    <row r="234" spans="1:8" x14ac:dyDescent="0.25">
      <c r="A234" s="1" t="s">
        <v>215</v>
      </c>
      <c r="B234" s="1" t="s">
        <v>1447</v>
      </c>
      <c r="C234" s="2">
        <v>46128</v>
      </c>
      <c r="D234">
        <v>183</v>
      </c>
      <c r="E234">
        <v>166.35</v>
      </c>
      <c r="F234" s="1" t="s">
        <v>1453</v>
      </c>
      <c r="G234" s="2">
        <v>46146</v>
      </c>
      <c r="H234">
        <f>COUNTIF(purchase_orders[PO Number], purchase_orders[[#This Row],[PO Number]])</f>
        <v>1</v>
      </c>
    </row>
    <row r="235" spans="1:8" x14ac:dyDescent="0.25">
      <c r="A235" s="1" t="s">
        <v>216</v>
      </c>
      <c r="B235" s="1" t="s">
        <v>1477</v>
      </c>
      <c r="C235" s="2">
        <v>46047</v>
      </c>
      <c r="D235">
        <v>170</v>
      </c>
      <c r="E235">
        <v>88.22</v>
      </c>
      <c r="F235" s="1" t="s">
        <v>1459</v>
      </c>
      <c r="G235" s="2">
        <v>46060</v>
      </c>
      <c r="H235">
        <f>COUNTIF(purchase_orders[PO Number], purchase_orders[[#This Row],[PO Number]])</f>
        <v>1</v>
      </c>
    </row>
    <row r="236" spans="1:8" x14ac:dyDescent="0.25">
      <c r="A236" s="1" t="s">
        <v>217</v>
      </c>
      <c r="B236" s="1" t="s">
        <v>1496</v>
      </c>
      <c r="C236" s="2">
        <v>46062</v>
      </c>
      <c r="D236">
        <v>361</v>
      </c>
      <c r="E236">
        <v>184.98</v>
      </c>
      <c r="F236" s="1" t="s">
        <v>1476</v>
      </c>
      <c r="G236" s="2">
        <v>46069</v>
      </c>
      <c r="H236">
        <f>COUNTIF(purchase_orders[PO Number], purchase_orders[[#This Row],[PO Number]])</f>
        <v>1</v>
      </c>
    </row>
    <row r="237" spans="1:8" x14ac:dyDescent="0.25">
      <c r="A237" s="1" t="s">
        <v>218</v>
      </c>
      <c r="B237" s="1" t="s">
        <v>1457</v>
      </c>
      <c r="C237" s="2">
        <v>46046</v>
      </c>
      <c r="D237">
        <v>231</v>
      </c>
      <c r="E237">
        <v>23.83</v>
      </c>
      <c r="F237" s="1" t="s">
        <v>1490</v>
      </c>
      <c r="G237" s="2">
        <v>46062</v>
      </c>
      <c r="H237">
        <f>COUNTIF(purchase_orders[PO Number], purchase_orders[[#This Row],[PO Number]])</f>
        <v>1</v>
      </c>
    </row>
    <row r="238" spans="1:8" x14ac:dyDescent="0.25">
      <c r="A238" s="1" t="s">
        <v>219</v>
      </c>
      <c r="B238" s="1" t="s">
        <v>1441</v>
      </c>
      <c r="C238" s="2">
        <v>46165</v>
      </c>
      <c r="D238">
        <v>40</v>
      </c>
      <c r="E238">
        <v>119.36</v>
      </c>
      <c r="F238" s="1" t="s">
        <v>1442</v>
      </c>
      <c r="G238" s="2">
        <v>46180</v>
      </c>
      <c r="H238">
        <f>COUNTIF(purchase_orders[PO Number], purchase_orders[[#This Row],[PO Number]])</f>
        <v>1</v>
      </c>
    </row>
    <row r="239" spans="1:8" x14ac:dyDescent="0.25">
      <c r="A239" s="1" t="s">
        <v>220</v>
      </c>
      <c r="B239" s="1" t="s">
        <v>1484</v>
      </c>
      <c r="C239" s="2">
        <v>46054</v>
      </c>
      <c r="D239">
        <v>220</v>
      </c>
      <c r="E239">
        <v>73.95</v>
      </c>
      <c r="F239" s="1" t="s">
        <v>1467</v>
      </c>
      <c r="G239" s="2">
        <v>46072</v>
      </c>
      <c r="H239">
        <f>COUNTIF(purchase_orders[PO Number], purchase_orders[[#This Row],[PO Number]])</f>
        <v>1</v>
      </c>
    </row>
    <row r="240" spans="1:8" x14ac:dyDescent="0.25">
      <c r="A240" s="1" t="s">
        <v>221</v>
      </c>
      <c r="B240" s="1" t="s">
        <v>1477</v>
      </c>
      <c r="C240" s="2">
        <v>46036</v>
      </c>
      <c r="D240">
        <v>157</v>
      </c>
      <c r="E240">
        <v>122.08</v>
      </c>
      <c r="F240" s="1" t="s">
        <v>1451</v>
      </c>
      <c r="G240" s="2">
        <v>46044</v>
      </c>
      <c r="H240">
        <f>COUNTIF(purchase_orders[PO Number], purchase_orders[[#This Row],[PO Number]])</f>
        <v>1</v>
      </c>
    </row>
    <row r="241" spans="1:8" x14ac:dyDescent="0.25">
      <c r="A241" s="1" t="s">
        <v>222</v>
      </c>
      <c r="B241" s="1" t="s">
        <v>1493</v>
      </c>
      <c r="C241" s="2">
        <v>46152</v>
      </c>
      <c r="D241">
        <v>118</v>
      </c>
      <c r="E241">
        <v>35.17</v>
      </c>
      <c r="F241" s="1" t="s">
        <v>1487</v>
      </c>
      <c r="G241" s="2">
        <v>46164</v>
      </c>
      <c r="H241">
        <f>COUNTIF(purchase_orders[PO Number], purchase_orders[[#This Row],[PO Number]])</f>
        <v>1</v>
      </c>
    </row>
    <row r="242" spans="1:8" x14ac:dyDescent="0.25">
      <c r="A242" s="1" t="s">
        <v>223</v>
      </c>
      <c r="B242" s="1" t="s">
        <v>1450</v>
      </c>
      <c r="C242" s="2">
        <v>46112</v>
      </c>
      <c r="D242">
        <v>442</v>
      </c>
      <c r="E242">
        <v>113.47</v>
      </c>
      <c r="F242" s="1" t="s">
        <v>1483</v>
      </c>
      <c r="G242" s="2">
        <v>46125</v>
      </c>
      <c r="H242">
        <f>COUNTIF(purchase_orders[PO Number], purchase_orders[[#This Row],[PO Number]])</f>
        <v>1</v>
      </c>
    </row>
    <row r="243" spans="1:8" x14ac:dyDescent="0.25">
      <c r="A243" s="1" t="s">
        <v>224</v>
      </c>
      <c r="B243" s="1" t="s">
        <v>1493</v>
      </c>
      <c r="C243" s="2">
        <v>46080</v>
      </c>
      <c r="D243">
        <v>423</v>
      </c>
      <c r="E243">
        <v>88.68</v>
      </c>
      <c r="F243" s="1" t="s">
        <v>1442</v>
      </c>
      <c r="G243" s="2">
        <v>46085</v>
      </c>
      <c r="H243">
        <f>COUNTIF(purchase_orders[PO Number], purchase_orders[[#This Row],[PO Number]])</f>
        <v>1</v>
      </c>
    </row>
    <row r="244" spans="1:8" x14ac:dyDescent="0.25">
      <c r="A244" s="1" t="s">
        <v>225</v>
      </c>
      <c r="B244" s="1" t="s">
        <v>1468</v>
      </c>
      <c r="C244" s="2">
        <v>46091</v>
      </c>
      <c r="D244">
        <v>24</v>
      </c>
      <c r="E244">
        <v>40.18</v>
      </c>
      <c r="F244" s="1" t="s">
        <v>1499</v>
      </c>
      <c r="G244" s="2">
        <v>46105</v>
      </c>
      <c r="H244">
        <f>COUNTIF(purchase_orders[PO Number], purchase_orders[[#This Row],[PO Number]])</f>
        <v>1</v>
      </c>
    </row>
    <row r="245" spans="1:8" x14ac:dyDescent="0.25">
      <c r="A245" s="1" t="s">
        <v>926</v>
      </c>
      <c r="B245" s="1" t="s">
        <v>1479</v>
      </c>
      <c r="C245" s="2">
        <v>46112</v>
      </c>
      <c r="D245">
        <v>13</v>
      </c>
      <c r="E245">
        <v>40.369999999999997</v>
      </c>
      <c r="F245" s="1" t="s">
        <v>1485</v>
      </c>
      <c r="G245" s="2">
        <v>46129</v>
      </c>
      <c r="H245">
        <f>COUNTIF(purchase_orders[PO Number], purchase_orders[[#This Row],[PO Number]])</f>
        <v>1</v>
      </c>
    </row>
    <row r="246" spans="1:8" x14ac:dyDescent="0.25">
      <c r="A246" s="1" t="s">
        <v>226</v>
      </c>
      <c r="B246" s="1" t="s">
        <v>1492</v>
      </c>
      <c r="C246" s="2">
        <v>46059</v>
      </c>
      <c r="D246">
        <v>389</v>
      </c>
      <c r="E246">
        <v>128.47</v>
      </c>
      <c r="F246" s="1" t="s">
        <v>1448</v>
      </c>
      <c r="G246" s="2">
        <v>46066</v>
      </c>
      <c r="H246">
        <f>COUNTIF(purchase_orders[PO Number], purchase_orders[[#This Row],[PO Number]])</f>
        <v>1</v>
      </c>
    </row>
    <row r="247" spans="1:8" x14ac:dyDescent="0.25">
      <c r="A247" s="1" t="s">
        <v>227</v>
      </c>
      <c r="B247" s="1" t="s">
        <v>1465</v>
      </c>
      <c r="C247" s="2">
        <v>46158</v>
      </c>
      <c r="D247">
        <v>120</v>
      </c>
      <c r="E247">
        <v>78.36</v>
      </c>
      <c r="F247" s="1" t="s">
        <v>1469</v>
      </c>
      <c r="G247" s="2">
        <v>46173</v>
      </c>
      <c r="H247">
        <f>COUNTIF(purchase_orders[PO Number], purchase_orders[[#This Row],[PO Number]])</f>
        <v>1</v>
      </c>
    </row>
    <row r="248" spans="1:8" x14ac:dyDescent="0.25">
      <c r="A248" s="1" t="s">
        <v>228</v>
      </c>
      <c r="B248" s="1" t="s">
        <v>1460</v>
      </c>
      <c r="C248" s="2">
        <v>46117</v>
      </c>
      <c r="D248">
        <v>169</v>
      </c>
      <c r="E248">
        <v>145.71</v>
      </c>
      <c r="F248" s="1" t="s">
        <v>1456</v>
      </c>
      <c r="G248" s="2">
        <v>46124</v>
      </c>
      <c r="H248">
        <f>COUNTIF(purchase_orders[PO Number], purchase_orders[[#This Row],[PO Number]])</f>
        <v>1</v>
      </c>
    </row>
    <row r="249" spans="1:8" x14ac:dyDescent="0.25">
      <c r="A249" s="1" t="s">
        <v>229</v>
      </c>
      <c r="B249" s="1" t="s">
        <v>1475</v>
      </c>
      <c r="C249" s="2">
        <v>46062</v>
      </c>
      <c r="D249">
        <v>90</v>
      </c>
      <c r="E249">
        <v>152.11000000000001</v>
      </c>
      <c r="F249" s="1" t="s">
        <v>1462</v>
      </c>
      <c r="G249" s="2">
        <v>46069</v>
      </c>
      <c r="H249">
        <f>COUNTIF(purchase_orders[PO Number], purchase_orders[[#This Row],[PO Number]])</f>
        <v>1</v>
      </c>
    </row>
    <row r="250" spans="1:8" x14ac:dyDescent="0.25">
      <c r="A250" s="1" t="s">
        <v>230</v>
      </c>
      <c r="B250" s="1" t="s">
        <v>1511</v>
      </c>
      <c r="C250" s="2">
        <v>46136</v>
      </c>
      <c r="D250">
        <v>348</v>
      </c>
      <c r="E250">
        <v>87.68</v>
      </c>
      <c r="F250" s="1" t="s">
        <v>1494</v>
      </c>
      <c r="G250" s="2">
        <v>46155</v>
      </c>
      <c r="H250">
        <f>COUNTIF(purchase_orders[PO Number], purchase_orders[[#This Row],[PO Number]])</f>
        <v>1</v>
      </c>
    </row>
    <row r="251" spans="1:8" x14ac:dyDescent="0.25">
      <c r="A251" s="1" t="s">
        <v>231</v>
      </c>
      <c r="B251" s="1" t="s">
        <v>1495</v>
      </c>
      <c r="C251" s="2">
        <v>46092</v>
      </c>
      <c r="D251">
        <v>120</v>
      </c>
      <c r="E251">
        <v>152.21</v>
      </c>
      <c r="F251" s="1" t="s">
        <v>1483</v>
      </c>
      <c r="G251" s="2">
        <v>46108</v>
      </c>
      <c r="H251">
        <f>COUNTIF(purchase_orders[PO Number], purchase_orders[[#This Row],[PO Number]])</f>
        <v>1</v>
      </c>
    </row>
    <row r="252" spans="1:8" x14ac:dyDescent="0.25">
      <c r="A252" s="1" t="s">
        <v>232</v>
      </c>
      <c r="B252" s="1" t="s">
        <v>1500</v>
      </c>
      <c r="C252" s="2">
        <v>46051</v>
      </c>
      <c r="D252">
        <v>155</v>
      </c>
      <c r="E252">
        <v>137.25</v>
      </c>
      <c r="F252" s="1" t="s">
        <v>1480</v>
      </c>
      <c r="G252" s="2">
        <v>46071</v>
      </c>
      <c r="H252">
        <f>COUNTIF(purchase_orders[PO Number], purchase_orders[[#This Row],[PO Number]])</f>
        <v>1</v>
      </c>
    </row>
    <row r="253" spans="1:8" x14ac:dyDescent="0.25">
      <c r="A253" s="1" t="s">
        <v>233</v>
      </c>
      <c r="B253" s="1" t="s">
        <v>1491</v>
      </c>
      <c r="C253" s="2">
        <v>46101</v>
      </c>
      <c r="D253">
        <v>33</v>
      </c>
      <c r="E253">
        <v>48</v>
      </c>
      <c r="F253" s="1" t="s">
        <v>1494</v>
      </c>
      <c r="G253" s="2">
        <v>46107</v>
      </c>
      <c r="H253">
        <f>COUNTIF(purchase_orders[PO Number], purchase_orders[[#This Row],[PO Number]])</f>
        <v>1</v>
      </c>
    </row>
    <row r="254" spans="1:8" x14ac:dyDescent="0.25">
      <c r="A254" s="1" t="s">
        <v>234</v>
      </c>
      <c r="B254" s="1" t="s">
        <v>1481</v>
      </c>
      <c r="C254" s="2">
        <v>46075</v>
      </c>
      <c r="D254">
        <v>164</v>
      </c>
      <c r="E254">
        <v>189.34</v>
      </c>
      <c r="F254" s="1" t="s">
        <v>1456</v>
      </c>
      <c r="G254" s="2">
        <v>46084</v>
      </c>
      <c r="H254">
        <f>COUNTIF(purchase_orders[PO Number], purchase_orders[[#This Row],[PO Number]])</f>
        <v>1</v>
      </c>
    </row>
    <row r="255" spans="1:8" x14ac:dyDescent="0.25">
      <c r="A255" s="1" t="s">
        <v>235</v>
      </c>
      <c r="B255" s="1" t="s">
        <v>1470</v>
      </c>
      <c r="C255" s="2">
        <v>46097</v>
      </c>
      <c r="D255">
        <v>177</v>
      </c>
      <c r="E255">
        <v>28.4</v>
      </c>
      <c r="F255" s="1" t="s">
        <v>1459</v>
      </c>
      <c r="G255" s="2">
        <v>46115</v>
      </c>
      <c r="H255">
        <f>COUNTIF(purchase_orders[PO Number], purchase_orders[[#This Row],[PO Number]])</f>
        <v>1</v>
      </c>
    </row>
    <row r="256" spans="1:8" x14ac:dyDescent="0.25">
      <c r="A256" s="1" t="s">
        <v>236</v>
      </c>
      <c r="B256" s="1" t="s">
        <v>1486</v>
      </c>
      <c r="C256" s="2">
        <v>46056</v>
      </c>
      <c r="D256">
        <v>204</v>
      </c>
      <c r="E256">
        <v>108.85</v>
      </c>
      <c r="F256" s="1" t="s">
        <v>1440</v>
      </c>
      <c r="G256" s="2">
        <v>46077</v>
      </c>
      <c r="H256">
        <f>COUNTIF(purchase_orders[PO Number], purchase_orders[[#This Row],[PO Number]])</f>
        <v>1</v>
      </c>
    </row>
    <row r="257" spans="1:8" x14ac:dyDescent="0.25">
      <c r="A257" s="1" t="s">
        <v>237</v>
      </c>
      <c r="B257" s="1" t="s">
        <v>1454</v>
      </c>
      <c r="C257" s="2">
        <v>46113</v>
      </c>
      <c r="D257">
        <v>46</v>
      </c>
      <c r="E257">
        <v>82.43</v>
      </c>
      <c r="F257" s="1" t="s">
        <v>1490</v>
      </c>
      <c r="G257" s="2">
        <v>46119</v>
      </c>
      <c r="H257">
        <f>COUNTIF(purchase_orders[PO Number], purchase_orders[[#This Row],[PO Number]])</f>
        <v>1</v>
      </c>
    </row>
    <row r="258" spans="1:8" x14ac:dyDescent="0.25">
      <c r="A258" s="1" t="s">
        <v>238</v>
      </c>
      <c r="B258" s="1" t="s">
        <v>1500</v>
      </c>
      <c r="C258" s="2">
        <v>46027</v>
      </c>
      <c r="D258">
        <v>245</v>
      </c>
      <c r="E258">
        <v>184.63</v>
      </c>
      <c r="F258" s="1" t="s">
        <v>1472</v>
      </c>
      <c r="G258" s="2">
        <v>46045</v>
      </c>
      <c r="H258">
        <f>COUNTIF(purchase_orders[PO Number], purchase_orders[[#This Row],[PO Number]])</f>
        <v>1</v>
      </c>
    </row>
    <row r="259" spans="1:8" x14ac:dyDescent="0.25">
      <c r="A259" s="1" t="s">
        <v>239</v>
      </c>
      <c r="B259" s="1" t="s">
        <v>1493</v>
      </c>
      <c r="C259" s="2">
        <v>46126</v>
      </c>
      <c r="D259">
        <v>373</v>
      </c>
      <c r="E259">
        <v>129.83000000000001</v>
      </c>
      <c r="F259" s="1" t="s">
        <v>1474</v>
      </c>
      <c r="G259" s="2">
        <v>46134</v>
      </c>
      <c r="H259">
        <f>COUNTIF(purchase_orders[PO Number], purchase_orders[[#This Row],[PO Number]])</f>
        <v>1</v>
      </c>
    </row>
    <row r="260" spans="1:8" x14ac:dyDescent="0.25">
      <c r="A260" s="1" t="s">
        <v>240</v>
      </c>
      <c r="B260" s="1" t="s">
        <v>1488</v>
      </c>
      <c r="C260" s="2">
        <v>46028</v>
      </c>
      <c r="D260">
        <v>176</v>
      </c>
      <c r="E260">
        <v>38.520000000000003</v>
      </c>
      <c r="F260" s="1" t="s">
        <v>1494</v>
      </c>
      <c r="G260" s="2">
        <v>46047</v>
      </c>
      <c r="H260">
        <f>COUNTIF(purchase_orders[PO Number], purchase_orders[[#This Row],[PO Number]])</f>
        <v>1</v>
      </c>
    </row>
    <row r="261" spans="1:8" x14ac:dyDescent="0.25">
      <c r="A261" s="1" t="s">
        <v>241</v>
      </c>
      <c r="B261" s="1" t="s">
        <v>1449</v>
      </c>
      <c r="C261" s="2">
        <v>46115</v>
      </c>
      <c r="D261">
        <v>55</v>
      </c>
      <c r="E261">
        <v>90.16</v>
      </c>
      <c r="F261" s="1" t="s">
        <v>1483</v>
      </c>
      <c r="G261" s="2">
        <v>46127</v>
      </c>
      <c r="H261">
        <f>COUNTIF(purchase_orders[PO Number], purchase_orders[[#This Row],[PO Number]])</f>
        <v>1</v>
      </c>
    </row>
    <row r="262" spans="1:8" x14ac:dyDescent="0.25">
      <c r="A262" s="1" t="s">
        <v>242</v>
      </c>
      <c r="B262" s="1" t="s">
        <v>1500</v>
      </c>
      <c r="C262" s="2">
        <v>46173</v>
      </c>
      <c r="D262">
        <v>215</v>
      </c>
      <c r="E262">
        <v>107.17</v>
      </c>
      <c r="F262" s="1" t="s">
        <v>1453</v>
      </c>
      <c r="G262" s="2">
        <v>46187</v>
      </c>
      <c r="H262">
        <f>COUNTIF(purchase_orders[PO Number], purchase_orders[[#This Row],[PO Number]])</f>
        <v>1</v>
      </c>
    </row>
    <row r="263" spans="1:8" x14ac:dyDescent="0.25">
      <c r="A263" s="1" t="s">
        <v>243</v>
      </c>
      <c r="B263" s="1" t="s">
        <v>1465</v>
      </c>
      <c r="C263" s="2">
        <v>46109</v>
      </c>
      <c r="D263">
        <v>123</v>
      </c>
      <c r="E263">
        <v>69.95</v>
      </c>
      <c r="F263" s="1" t="s">
        <v>1501</v>
      </c>
      <c r="G263" s="2">
        <v>46116</v>
      </c>
      <c r="H263">
        <f>COUNTIF(purchase_orders[PO Number], purchase_orders[[#This Row],[PO Number]])</f>
        <v>1</v>
      </c>
    </row>
    <row r="264" spans="1:8" x14ac:dyDescent="0.25">
      <c r="A264" s="1" t="s">
        <v>244</v>
      </c>
      <c r="B264" s="1" t="s">
        <v>1445</v>
      </c>
      <c r="C264" s="2">
        <v>46052</v>
      </c>
      <c r="D264">
        <v>281</v>
      </c>
      <c r="E264">
        <v>104.44</v>
      </c>
      <c r="F264" s="1" t="s">
        <v>1456</v>
      </c>
      <c r="G264" s="2">
        <v>46068</v>
      </c>
      <c r="H264">
        <f>COUNTIF(purchase_orders[PO Number], purchase_orders[[#This Row],[PO Number]])</f>
        <v>1</v>
      </c>
    </row>
    <row r="265" spans="1:8" x14ac:dyDescent="0.25">
      <c r="A265" s="1" t="s">
        <v>245</v>
      </c>
      <c r="B265" s="1" t="s">
        <v>1503</v>
      </c>
      <c r="C265" s="2">
        <v>46060</v>
      </c>
      <c r="D265">
        <v>130</v>
      </c>
      <c r="E265">
        <v>25.05</v>
      </c>
      <c r="F265" s="1" t="s">
        <v>1458</v>
      </c>
      <c r="G265" s="2">
        <v>46071</v>
      </c>
      <c r="H265">
        <f>COUNTIF(purchase_orders[PO Number], purchase_orders[[#This Row],[PO Number]])</f>
        <v>1</v>
      </c>
    </row>
    <row r="266" spans="1:8" x14ac:dyDescent="0.25">
      <c r="A266" s="1" t="s">
        <v>246</v>
      </c>
      <c r="B266" s="1" t="s">
        <v>1486</v>
      </c>
      <c r="C266" s="2">
        <v>46062</v>
      </c>
      <c r="D266">
        <v>399</v>
      </c>
      <c r="E266">
        <v>153.03</v>
      </c>
      <c r="F266" s="1" t="s">
        <v>1476</v>
      </c>
      <c r="G266" s="2">
        <v>46072</v>
      </c>
      <c r="H266">
        <f>COUNTIF(purchase_orders[PO Number], purchase_orders[[#This Row],[PO Number]])</f>
        <v>1</v>
      </c>
    </row>
    <row r="267" spans="1:8" x14ac:dyDescent="0.25">
      <c r="A267" s="1" t="s">
        <v>950</v>
      </c>
      <c r="B267" s="1" t="s">
        <v>1439</v>
      </c>
      <c r="C267" s="2">
        <v>46149</v>
      </c>
      <c r="D267">
        <v>247</v>
      </c>
      <c r="E267">
        <v>152.12</v>
      </c>
      <c r="F267" s="1" t="s">
        <v>1456</v>
      </c>
      <c r="G267" s="2">
        <v>46168</v>
      </c>
      <c r="H267">
        <f>COUNTIF(purchase_orders[PO Number], purchase_orders[[#This Row],[PO Number]])</f>
        <v>1</v>
      </c>
    </row>
    <row r="268" spans="1:8" x14ac:dyDescent="0.25">
      <c r="A268" s="1" t="s">
        <v>247</v>
      </c>
      <c r="B268" s="1" t="s">
        <v>1461</v>
      </c>
      <c r="C268" s="2">
        <v>46167</v>
      </c>
      <c r="D268">
        <v>339</v>
      </c>
      <c r="E268">
        <v>128.88</v>
      </c>
      <c r="F268" s="1" t="s">
        <v>1494</v>
      </c>
      <c r="G268" s="2">
        <v>46182</v>
      </c>
      <c r="H268">
        <f>COUNTIF(purchase_orders[PO Number], purchase_orders[[#This Row],[PO Number]])</f>
        <v>1</v>
      </c>
    </row>
    <row r="269" spans="1:8" x14ac:dyDescent="0.25">
      <c r="A269" s="1" t="s">
        <v>248</v>
      </c>
      <c r="B269" s="1" t="s">
        <v>1439</v>
      </c>
      <c r="C269" s="2">
        <v>46103</v>
      </c>
      <c r="D269">
        <v>87</v>
      </c>
      <c r="E269">
        <v>90.75</v>
      </c>
      <c r="F269" s="1" t="s">
        <v>1487</v>
      </c>
      <c r="G269" s="2">
        <v>46122</v>
      </c>
      <c r="H269">
        <f>COUNTIF(purchase_orders[PO Number], purchase_orders[[#This Row],[PO Number]])</f>
        <v>1</v>
      </c>
    </row>
    <row r="270" spans="1:8" x14ac:dyDescent="0.25">
      <c r="A270" s="1" t="s">
        <v>249</v>
      </c>
      <c r="B270" s="1" t="s">
        <v>1439</v>
      </c>
      <c r="C270" s="2">
        <v>46100</v>
      </c>
      <c r="D270">
        <v>417</v>
      </c>
      <c r="E270">
        <v>58.56</v>
      </c>
      <c r="F270" s="1" t="s">
        <v>1462</v>
      </c>
      <c r="G270" s="2">
        <v>46116</v>
      </c>
      <c r="H270">
        <f>COUNTIF(purchase_orders[PO Number], purchase_orders[[#This Row],[PO Number]])</f>
        <v>1</v>
      </c>
    </row>
    <row r="271" spans="1:8" x14ac:dyDescent="0.25">
      <c r="A271" s="1" t="s">
        <v>250</v>
      </c>
      <c r="B271" s="1" t="s">
        <v>1445</v>
      </c>
      <c r="C271" s="2">
        <v>46041</v>
      </c>
      <c r="D271">
        <v>168</v>
      </c>
      <c r="E271">
        <v>95.04</v>
      </c>
      <c r="F271" s="1" t="s">
        <v>1462</v>
      </c>
      <c r="G271" s="2">
        <v>46047</v>
      </c>
      <c r="H271">
        <f>COUNTIF(purchase_orders[PO Number], purchase_orders[[#This Row],[PO Number]])</f>
        <v>1</v>
      </c>
    </row>
    <row r="272" spans="1:8" x14ac:dyDescent="0.25">
      <c r="A272" s="1" t="s">
        <v>251</v>
      </c>
      <c r="B272" s="1" t="s">
        <v>1496</v>
      </c>
      <c r="C272" s="2">
        <v>46096</v>
      </c>
      <c r="D272">
        <v>49</v>
      </c>
      <c r="E272">
        <v>130.71</v>
      </c>
      <c r="F272" s="1" t="s">
        <v>1476</v>
      </c>
      <c r="G272" s="2">
        <v>46117</v>
      </c>
      <c r="H272">
        <f>COUNTIF(purchase_orders[PO Number], purchase_orders[[#This Row],[PO Number]])</f>
        <v>1</v>
      </c>
    </row>
    <row r="273" spans="1:8" x14ac:dyDescent="0.25">
      <c r="A273" s="1" t="s">
        <v>957</v>
      </c>
      <c r="B273" s="1" t="s">
        <v>1502</v>
      </c>
      <c r="C273" s="2">
        <v>46141</v>
      </c>
      <c r="D273">
        <v>307</v>
      </c>
      <c r="E273">
        <v>113.09</v>
      </c>
      <c r="F273" s="1" t="s">
        <v>1490</v>
      </c>
      <c r="G273" s="2">
        <v>46147</v>
      </c>
      <c r="H273">
        <f>COUNTIF(purchase_orders[PO Number], purchase_orders[[#This Row],[PO Number]])</f>
        <v>1</v>
      </c>
    </row>
    <row r="274" spans="1:8" x14ac:dyDescent="0.25">
      <c r="A274" s="1" t="s">
        <v>252</v>
      </c>
      <c r="B274" s="1" t="s">
        <v>1478</v>
      </c>
      <c r="C274" s="2">
        <v>46169</v>
      </c>
      <c r="D274">
        <v>343</v>
      </c>
      <c r="E274">
        <v>41.71</v>
      </c>
      <c r="F274" s="1" t="s">
        <v>1494</v>
      </c>
      <c r="G274" s="2">
        <v>46189</v>
      </c>
      <c r="H274">
        <f>COUNTIF(purchase_orders[PO Number], purchase_orders[[#This Row],[PO Number]])</f>
        <v>1</v>
      </c>
    </row>
    <row r="275" spans="1:8" x14ac:dyDescent="0.25">
      <c r="A275" s="1" t="s">
        <v>253</v>
      </c>
      <c r="B275" s="1" t="s">
        <v>1445</v>
      </c>
      <c r="C275" s="2">
        <v>46061</v>
      </c>
      <c r="D275">
        <v>500</v>
      </c>
      <c r="E275">
        <v>17.07</v>
      </c>
      <c r="F275" s="1" t="s">
        <v>1483</v>
      </c>
      <c r="G275" s="2">
        <v>46076</v>
      </c>
      <c r="H275">
        <f>COUNTIF(purchase_orders[PO Number], purchase_orders[[#This Row],[PO Number]])</f>
        <v>1</v>
      </c>
    </row>
    <row r="276" spans="1:8" x14ac:dyDescent="0.25">
      <c r="A276" s="1" t="s">
        <v>254</v>
      </c>
      <c r="B276" s="1" t="s">
        <v>1455</v>
      </c>
      <c r="C276" s="2">
        <v>46044</v>
      </c>
      <c r="D276">
        <v>268</v>
      </c>
      <c r="E276">
        <v>130.99</v>
      </c>
      <c r="F276" s="1" t="s">
        <v>1462</v>
      </c>
      <c r="G276" s="2">
        <v>46056</v>
      </c>
      <c r="H276">
        <f>COUNTIF(purchase_orders[PO Number], purchase_orders[[#This Row],[PO Number]])</f>
        <v>1</v>
      </c>
    </row>
    <row r="277" spans="1:8" x14ac:dyDescent="0.25">
      <c r="A277" s="1" t="s">
        <v>255</v>
      </c>
      <c r="B277" s="1" t="s">
        <v>1455</v>
      </c>
      <c r="C277" s="2">
        <v>46135</v>
      </c>
      <c r="D277">
        <v>234</v>
      </c>
      <c r="E277">
        <v>107.19</v>
      </c>
      <c r="F277" s="1" t="s">
        <v>1459</v>
      </c>
      <c r="G277" s="2">
        <v>46145</v>
      </c>
      <c r="H277">
        <f>COUNTIF(purchase_orders[PO Number], purchase_orders[[#This Row],[PO Number]])</f>
        <v>1</v>
      </c>
    </row>
    <row r="278" spans="1:8" x14ac:dyDescent="0.25">
      <c r="A278" s="1" t="s">
        <v>963</v>
      </c>
      <c r="B278" s="1" t="s">
        <v>1496</v>
      </c>
      <c r="C278" s="2">
        <v>46118</v>
      </c>
      <c r="D278">
        <v>479</v>
      </c>
      <c r="E278">
        <v>60.16</v>
      </c>
      <c r="F278" s="1" t="s">
        <v>1507</v>
      </c>
      <c r="G278" s="2">
        <v>46133</v>
      </c>
      <c r="H278">
        <f>COUNTIF(purchase_orders[PO Number], purchase_orders[[#This Row],[PO Number]])</f>
        <v>1</v>
      </c>
    </row>
    <row r="279" spans="1:8" x14ac:dyDescent="0.25">
      <c r="A279" s="1" t="s">
        <v>256</v>
      </c>
      <c r="B279" s="1" t="s">
        <v>1461</v>
      </c>
      <c r="C279" s="2">
        <v>46036</v>
      </c>
      <c r="D279">
        <v>414</v>
      </c>
      <c r="E279">
        <v>128.02000000000001</v>
      </c>
      <c r="F279" s="1" t="s">
        <v>1459</v>
      </c>
      <c r="G279" s="2">
        <v>46043</v>
      </c>
      <c r="H279">
        <f>COUNTIF(purchase_orders[PO Number], purchase_orders[[#This Row],[PO Number]])</f>
        <v>1</v>
      </c>
    </row>
    <row r="280" spans="1:8" x14ac:dyDescent="0.25">
      <c r="A280" s="1" t="s">
        <v>257</v>
      </c>
      <c r="B280" s="1" t="s">
        <v>1479</v>
      </c>
      <c r="C280" s="2">
        <v>46047</v>
      </c>
      <c r="D280">
        <v>295</v>
      </c>
      <c r="E280">
        <v>137.28</v>
      </c>
      <c r="F280" s="1" t="s">
        <v>1474</v>
      </c>
      <c r="G280" s="2">
        <v>46060</v>
      </c>
      <c r="H280">
        <f>COUNTIF(purchase_orders[PO Number], purchase_orders[[#This Row],[PO Number]])</f>
        <v>1</v>
      </c>
    </row>
    <row r="281" spans="1:8" x14ac:dyDescent="0.25">
      <c r="A281" s="1" t="s">
        <v>258</v>
      </c>
      <c r="B281" s="1" t="s">
        <v>1477</v>
      </c>
      <c r="C281" s="2">
        <v>46061</v>
      </c>
      <c r="D281">
        <v>180</v>
      </c>
      <c r="E281">
        <v>20.89</v>
      </c>
      <c r="F281" s="1" t="s">
        <v>1467</v>
      </c>
      <c r="G281" s="2">
        <v>46070</v>
      </c>
      <c r="H281">
        <f>COUNTIF(purchase_orders[PO Number], purchase_orders[[#This Row],[PO Number]])</f>
        <v>1</v>
      </c>
    </row>
    <row r="282" spans="1:8" x14ac:dyDescent="0.25">
      <c r="A282" s="1" t="s">
        <v>259</v>
      </c>
      <c r="B282" s="1" t="s">
        <v>1503</v>
      </c>
      <c r="C282" s="2">
        <v>46102</v>
      </c>
      <c r="D282">
        <v>345</v>
      </c>
      <c r="E282">
        <v>141.19999999999999</v>
      </c>
      <c r="F282" s="1" t="s">
        <v>1453</v>
      </c>
      <c r="G282" s="2">
        <v>46111</v>
      </c>
      <c r="H282">
        <f>COUNTIF(purchase_orders[PO Number], purchase_orders[[#This Row],[PO Number]])</f>
        <v>1</v>
      </c>
    </row>
    <row r="283" spans="1:8" x14ac:dyDescent="0.25">
      <c r="A283" s="1" t="s">
        <v>260</v>
      </c>
      <c r="B283" s="1" t="s">
        <v>1468</v>
      </c>
      <c r="C283" s="2">
        <v>46044</v>
      </c>
      <c r="D283">
        <v>168</v>
      </c>
      <c r="E283">
        <v>113.99</v>
      </c>
      <c r="F283" s="1" t="s">
        <v>1446</v>
      </c>
      <c r="G283" s="2">
        <v>46059</v>
      </c>
      <c r="H283">
        <f>COUNTIF(purchase_orders[PO Number], purchase_orders[[#This Row],[PO Number]])</f>
        <v>1</v>
      </c>
    </row>
    <row r="284" spans="1:8" x14ac:dyDescent="0.25">
      <c r="A284" s="1" t="s">
        <v>261</v>
      </c>
      <c r="B284" s="1" t="s">
        <v>1441</v>
      </c>
      <c r="C284" s="2">
        <v>46157</v>
      </c>
      <c r="D284">
        <v>57</v>
      </c>
      <c r="E284">
        <v>130.97</v>
      </c>
      <c r="F284" s="1" t="s">
        <v>1507</v>
      </c>
      <c r="G284" s="2">
        <v>46178</v>
      </c>
      <c r="H284">
        <f>COUNTIF(purchase_orders[PO Number], purchase_orders[[#This Row],[PO Number]])</f>
        <v>1</v>
      </c>
    </row>
    <row r="285" spans="1:8" x14ac:dyDescent="0.25">
      <c r="A285" s="1" t="s">
        <v>262</v>
      </c>
      <c r="B285" s="1" t="s">
        <v>1496</v>
      </c>
      <c r="C285" s="2">
        <v>46027</v>
      </c>
      <c r="D285">
        <v>195</v>
      </c>
      <c r="E285">
        <v>65.23</v>
      </c>
      <c r="F285" s="1" t="s">
        <v>1444</v>
      </c>
      <c r="G285" s="2">
        <v>46042</v>
      </c>
      <c r="H285">
        <f>COUNTIF(purchase_orders[PO Number], purchase_orders[[#This Row],[PO Number]])</f>
        <v>1</v>
      </c>
    </row>
    <row r="286" spans="1:8" x14ac:dyDescent="0.25">
      <c r="A286" s="1" t="s">
        <v>263</v>
      </c>
      <c r="B286" s="1" t="s">
        <v>1498</v>
      </c>
      <c r="C286" s="2">
        <v>46072</v>
      </c>
      <c r="D286">
        <v>125</v>
      </c>
      <c r="E286">
        <v>200</v>
      </c>
      <c r="F286" s="1" t="s">
        <v>1485</v>
      </c>
      <c r="G286" s="2">
        <v>46079</v>
      </c>
      <c r="H286">
        <f>COUNTIF(purchase_orders[PO Number], purchase_orders[[#This Row],[PO Number]])</f>
        <v>1</v>
      </c>
    </row>
    <row r="287" spans="1:8" x14ac:dyDescent="0.25">
      <c r="A287" s="1" t="s">
        <v>264</v>
      </c>
      <c r="B287" s="1" t="s">
        <v>1506</v>
      </c>
      <c r="C287" s="2">
        <v>46048</v>
      </c>
      <c r="D287">
        <v>269</v>
      </c>
      <c r="E287">
        <v>155.32</v>
      </c>
      <c r="F287" s="1" t="s">
        <v>1490</v>
      </c>
      <c r="G287" s="2">
        <v>46069</v>
      </c>
      <c r="H287">
        <f>COUNTIF(purchase_orders[PO Number], purchase_orders[[#This Row],[PO Number]])</f>
        <v>1</v>
      </c>
    </row>
    <row r="288" spans="1:8" x14ac:dyDescent="0.25">
      <c r="A288" s="1" t="s">
        <v>265</v>
      </c>
      <c r="B288" s="1" t="s">
        <v>1452</v>
      </c>
      <c r="C288" s="2">
        <v>46109</v>
      </c>
      <c r="D288">
        <v>458</v>
      </c>
      <c r="E288">
        <v>154.43</v>
      </c>
      <c r="F288" s="1" t="s">
        <v>1485</v>
      </c>
      <c r="G288" s="2">
        <v>46126</v>
      </c>
      <c r="H288">
        <f>COUNTIF(purchase_orders[PO Number], purchase_orders[[#This Row],[PO Number]])</f>
        <v>1</v>
      </c>
    </row>
    <row r="289" spans="1:8" x14ac:dyDescent="0.25">
      <c r="A289" s="1" t="s">
        <v>266</v>
      </c>
      <c r="B289" s="1" t="s">
        <v>1464</v>
      </c>
      <c r="C289" s="2">
        <v>46064</v>
      </c>
      <c r="D289">
        <v>102</v>
      </c>
      <c r="E289">
        <v>167.11</v>
      </c>
      <c r="F289" s="1" t="s">
        <v>1456</v>
      </c>
      <c r="G289" s="2">
        <v>46074</v>
      </c>
      <c r="H289">
        <f>COUNTIF(purchase_orders[PO Number], purchase_orders[[#This Row],[PO Number]])</f>
        <v>1</v>
      </c>
    </row>
    <row r="290" spans="1:8" x14ac:dyDescent="0.25">
      <c r="A290" s="1" t="s">
        <v>267</v>
      </c>
      <c r="B290" s="1" t="s">
        <v>1477</v>
      </c>
      <c r="C290" s="2">
        <v>46135</v>
      </c>
      <c r="D290">
        <v>32</v>
      </c>
      <c r="E290">
        <v>85.12</v>
      </c>
      <c r="F290" s="1" t="s">
        <v>1467</v>
      </c>
      <c r="G290" s="2">
        <v>46147</v>
      </c>
      <c r="H290">
        <f>COUNTIF(purchase_orders[PO Number], purchase_orders[[#This Row],[PO Number]])</f>
        <v>1</v>
      </c>
    </row>
    <row r="291" spans="1:8" x14ac:dyDescent="0.25">
      <c r="A291" s="1" t="s">
        <v>268</v>
      </c>
      <c r="B291" s="1" t="s">
        <v>1478</v>
      </c>
      <c r="C291" s="2">
        <v>46095</v>
      </c>
      <c r="D291">
        <v>395</v>
      </c>
      <c r="E291">
        <v>150.96</v>
      </c>
      <c r="F291" s="1" t="s">
        <v>1469</v>
      </c>
      <c r="G291" s="2">
        <v>46107</v>
      </c>
      <c r="H291">
        <f>COUNTIF(purchase_orders[PO Number], purchase_orders[[#This Row],[PO Number]])</f>
        <v>1</v>
      </c>
    </row>
    <row r="292" spans="1:8" x14ac:dyDescent="0.25">
      <c r="A292" s="1" t="s">
        <v>269</v>
      </c>
      <c r="B292" s="1" t="s">
        <v>1471</v>
      </c>
      <c r="C292" s="2">
        <v>46084</v>
      </c>
      <c r="D292">
        <v>168</v>
      </c>
      <c r="E292">
        <v>193.29</v>
      </c>
      <c r="F292" s="1" t="s">
        <v>1487</v>
      </c>
      <c r="G292" s="2">
        <v>46095</v>
      </c>
      <c r="H292">
        <f>COUNTIF(purchase_orders[PO Number], purchase_orders[[#This Row],[PO Number]])</f>
        <v>1</v>
      </c>
    </row>
    <row r="293" spans="1:8" x14ac:dyDescent="0.25">
      <c r="A293" s="1" t="s">
        <v>980</v>
      </c>
      <c r="B293" s="1" t="s">
        <v>1496</v>
      </c>
      <c r="C293" s="2">
        <v>46169</v>
      </c>
      <c r="D293">
        <v>235</v>
      </c>
      <c r="E293">
        <v>95.03</v>
      </c>
      <c r="F293" s="1" t="s">
        <v>1474</v>
      </c>
      <c r="G293" s="2">
        <v>46186</v>
      </c>
      <c r="H293">
        <f>COUNTIF(purchase_orders[PO Number], purchase_orders[[#This Row],[PO Number]])</f>
        <v>1</v>
      </c>
    </row>
    <row r="294" spans="1:8" x14ac:dyDescent="0.25">
      <c r="A294" s="1" t="s">
        <v>270</v>
      </c>
      <c r="B294" s="1" t="s">
        <v>1445</v>
      </c>
      <c r="C294" s="2">
        <v>46158</v>
      </c>
      <c r="D294">
        <v>224</v>
      </c>
      <c r="E294">
        <v>193.42</v>
      </c>
      <c r="F294" s="1" t="s">
        <v>1444</v>
      </c>
      <c r="G294" s="2">
        <v>46167</v>
      </c>
      <c r="H294">
        <f>COUNTIF(purchase_orders[PO Number], purchase_orders[[#This Row],[PO Number]])</f>
        <v>1</v>
      </c>
    </row>
    <row r="295" spans="1:8" x14ac:dyDescent="0.25">
      <c r="A295" s="1" t="s">
        <v>983</v>
      </c>
      <c r="B295" s="1" t="s">
        <v>1470</v>
      </c>
      <c r="C295" s="2">
        <v>46036</v>
      </c>
      <c r="D295">
        <v>338</v>
      </c>
      <c r="E295">
        <v>98.72</v>
      </c>
      <c r="F295" s="1" t="s">
        <v>1451</v>
      </c>
      <c r="G295" s="2">
        <v>46044</v>
      </c>
      <c r="H295">
        <f>COUNTIF(purchase_orders[PO Number], purchase_orders[[#This Row],[PO Number]])</f>
        <v>1</v>
      </c>
    </row>
    <row r="296" spans="1:8" x14ac:dyDescent="0.25">
      <c r="A296" s="1" t="s">
        <v>271</v>
      </c>
      <c r="B296" s="1" t="s">
        <v>1455</v>
      </c>
      <c r="C296" s="2">
        <v>46155</v>
      </c>
      <c r="D296">
        <v>445</v>
      </c>
      <c r="E296">
        <v>29.31</v>
      </c>
      <c r="F296" s="1" t="s">
        <v>1476</v>
      </c>
      <c r="G296" s="2">
        <v>46165</v>
      </c>
      <c r="H296">
        <f>COUNTIF(purchase_orders[PO Number], purchase_orders[[#This Row],[PO Number]])</f>
        <v>1</v>
      </c>
    </row>
    <row r="297" spans="1:8" x14ac:dyDescent="0.25">
      <c r="A297" s="1" t="s">
        <v>272</v>
      </c>
      <c r="B297" s="1" t="s">
        <v>1511</v>
      </c>
      <c r="C297" s="2">
        <v>46138</v>
      </c>
      <c r="D297">
        <v>473</v>
      </c>
      <c r="E297">
        <v>105.1</v>
      </c>
      <c r="F297" s="1" t="s">
        <v>1507</v>
      </c>
      <c r="G297" s="2">
        <v>46145</v>
      </c>
      <c r="H297">
        <f>COUNTIF(purchase_orders[PO Number], purchase_orders[[#This Row],[PO Number]])</f>
        <v>1</v>
      </c>
    </row>
    <row r="298" spans="1:8" x14ac:dyDescent="0.25">
      <c r="A298" s="1" t="s">
        <v>273</v>
      </c>
      <c r="B298" s="1" t="s">
        <v>1447</v>
      </c>
      <c r="C298" s="2">
        <v>46138</v>
      </c>
      <c r="D298">
        <v>462</v>
      </c>
      <c r="E298">
        <v>73.17</v>
      </c>
      <c r="F298" s="1" t="s">
        <v>1448</v>
      </c>
      <c r="G298" s="2">
        <v>46156</v>
      </c>
      <c r="H298">
        <f>COUNTIF(purchase_orders[PO Number], purchase_orders[[#This Row],[PO Number]])</f>
        <v>1</v>
      </c>
    </row>
    <row r="299" spans="1:8" x14ac:dyDescent="0.25">
      <c r="A299" s="1" t="s">
        <v>274</v>
      </c>
      <c r="B299" s="1" t="s">
        <v>1475</v>
      </c>
      <c r="C299" s="2">
        <v>46124</v>
      </c>
      <c r="D299">
        <v>267</v>
      </c>
      <c r="E299">
        <v>77.92</v>
      </c>
      <c r="F299" s="1" t="s">
        <v>1453</v>
      </c>
      <c r="G299" s="2">
        <v>46131</v>
      </c>
      <c r="H299">
        <f>COUNTIF(purchase_orders[PO Number], purchase_orders[[#This Row],[PO Number]])</f>
        <v>1</v>
      </c>
    </row>
    <row r="300" spans="1:8" x14ac:dyDescent="0.25">
      <c r="A300" s="1" t="s">
        <v>275</v>
      </c>
      <c r="B300" s="1" t="s">
        <v>1496</v>
      </c>
      <c r="C300" s="2">
        <v>46080</v>
      </c>
      <c r="D300">
        <v>24</v>
      </c>
      <c r="E300">
        <v>67.14</v>
      </c>
      <c r="F300" s="1" t="s">
        <v>1483</v>
      </c>
      <c r="G300" s="2">
        <v>46095</v>
      </c>
      <c r="H300">
        <f>COUNTIF(purchase_orders[PO Number], purchase_orders[[#This Row],[PO Number]])</f>
        <v>1</v>
      </c>
    </row>
    <row r="301" spans="1:8" x14ac:dyDescent="0.25">
      <c r="A301" s="1" t="s">
        <v>990</v>
      </c>
      <c r="B301" s="1" t="s">
        <v>1464</v>
      </c>
      <c r="C301" s="2">
        <v>46058</v>
      </c>
      <c r="D301">
        <v>29</v>
      </c>
      <c r="E301">
        <v>60.94</v>
      </c>
      <c r="F301" s="1" t="s">
        <v>1459</v>
      </c>
      <c r="G301" s="2">
        <v>46067</v>
      </c>
      <c r="H301">
        <f>COUNTIF(purchase_orders[PO Number], purchase_orders[[#This Row],[PO Number]])</f>
        <v>1</v>
      </c>
    </row>
    <row r="302" spans="1:8" x14ac:dyDescent="0.25">
      <c r="A302" s="1" t="s">
        <v>276</v>
      </c>
      <c r="B302" s="1" t="s">
        <v>1455</v>
      </c>
      <c r="C302" s="2">
        <v>46143</v>
      </c>
      <c r="D302">
        <v>239</v>
      </c>
      <c r="E302">
        <v>124.99</v>
      </c>
      <c r="F302" s="1" t="s">
        <v>1476</v>
      </c>
      <c r="G302" s="2">
        <v>46148</v>
      </c>
      <c r="H302">
        <f>COUNTIF(purchase_orders[PO Number], purchase_orders[[#This Row],[PO Number]])</f>
        <v>1</v>
      </c>
    </row>
    <row r="303" spans="1:8" x14ac:dyDescent="0.25">
      <c r="A303" s="1" t="s">
        <v>277</v>
      </c>
      <c r="B303" s="1" t="s">
        <v>1470</v>
      </c>
      <c r="C303" s="2">
        <v>46078</v>
      </c>
      <c r="D303">
        <v>437</v>
      </c>
      <c r="E303">
        <v>34.159999999999997</v>
      </c>
      <c r="F303" s="1" t="s">
        <v>1490</v>
      </c>
      <c r="G303" s="2">
        <v>46099</v>
      </c>
      <c r="H303">
        <f>COUNTIF(purchase_orders[PO Number], purchase_orders[[#This Row],[PO Number]])</f>
        <v>1</v>
      </c>
    </row>
    <row r="304" spans="1:8" x14ac:dyDescent="0.25">
      <c r="A304" s="1" t="s">
        <v>278</v>
      </c>
      <c r="B304" s="1" t="s">
        <v>1500</v>
      </c>
      <c r="C304" s="2">
        <v>46051</v>
      </c>
      <c r="D304">
        <v>407</v>
      </c>
      <c r="E304">
        <v>61.18</v>
      </c>
      <c r="F304" s="1" t="s">
        <v>1474</v>
      </c>
      <c r="G304" s="2">
        <v>46059</v>
      </c>
      <c r="H304">
        <f>COUNTIF(purchase_orders[PO Number], purchase_orders[[#This Row],[PO Number]])</f>
        <v>1</v>
      </c>
    </row>
    <row r="305" spans="1:8" x14ac:dyDescent="0.25">
      <c r="A305" s="1" t="s">
        <v>279</v>
      </c>
      <c r="B305" s="1" t="s">
        <v>1475</v>
      </c>
      <c r="C305" s="2">
        <v>46084</v>
      </c>
      <c r="D305">
        <v>224</v>
      </c>
      <c r="E305">
        <v>129.6</v>
      </c>
      <c r="F305" s="1" t="s">
        <v>1494</v>
      </c>
      <c r="G305" s="2">
        <v>46103</v>
      </c>
      <c r="H305">
        <f>COUNTIF(purchase_orders[PO Number], purchase_orders[[#This Row],[PO Number]])</f>
        <v>1</v>
      </c>
    </row>
    <row r="306" spans="1:8" x14ac:dyDescent="0.25">
      <c r="A306" s="1" t="s">
        <v>280</v>
      </c>
      <c r="B306" s="1" t="s">
        <v>1492</v>
      </c>
      <c r="C306" s="2">
        <v>46051</v>
      </c>
      <c r="D306">
        <v>438</v>
      </c>
      <c r="E306">
        <v>181.5</v>
      </c>
      <c r="F306" s="1" t="s">
        <v>1494</v>
      </c>
      <c r="G306" s="2">
        <v>46056</v>
      </c>
      <c r="H306">
        <f>COUNTIF(purchase_orders[PO Number], purchase_orders[[#This Row],[PO Number]])</f>
        <v>1</v>
      </c>
    </row>
    <row r="307" spans="1:8" x14ac:dyDescent="0.25">
      <c r="A307" s="1" t="s">
        <v>281</v>
      </c>
      <c r="B307" s="1" t="s">
        <v>1439</v>
      </c>
      <c r="C307" s="2">
        <v>46154</v>
      </c>
      <c r="D307">
        <v>304</v>
      </c>
      <c r="E307">
        <v>52.18</v>
      </c>
      <c r="F307" s="1" t="s">
        <v>1485</v>
      </c>
      <c r="G307" s="2">
        <v>46168</v>
      </c>
      <c r="H307">
        <f>COUNTIF(purchase_orders[PO Number], purchase_orders[[#This Row],[PO Number]])</f>
        <v>1</v>
      </c>
    </row>
    <row r="308" spans="1:8" x14ac:dyDescent="0.25">
      <c r="A308" s="1" t="s">
        <v>282</v>
      </c>
      <c r="B308" s="1" t="s">
        <v>1500</v>
      </c>
      <c r="C308" s="2">
        <v>46023</v>
      </c>
      <c r="D308">
        <v>324</v>
      </c>
      <c r="E308">
        <v>73.8</v>
      </c>
      <c r="F308" s="1" t="s">
        <v>1480</v>
      </c>
      <c r="G308" s="2">
        <v>46041</v>
      </c>
      <c r="H308">
        <f>COUNTIF(purchase_orders[PO Number], purchase_orders[[#This Row],[PO Number]])</f>
        <v>1</v>
      </c>
    </row>
    <row r="309" spans="1:8" x14ac:dyDescent="0.25">
      <c r="A309" s="1" t="s">
        <v>283</v>
      </c>
      <c r="B309" s="1" t="s">
        <v>1486</v>
      </c>
      <c r="C309" s="2">
        <v>46044</v>
      </c>
      <c r="D309">
        <v>278</v>
      </c>
      <c r="E309">
        <v>195.06</v>
      </c>
      <c r="F309" s="1" t="s">
        <v>1476</v>
      </c>
      <c r="G309" s="2">
        <v>46065</v>
      </c>
      <c r="H309">
        <f>COUNTIF(purchase_orders[PO Number], purchase_orders[[#This Row],[PO Number]])</f>
        <v>1</v>
      </c>
    </row>
    <row r="310" spans="1:8" x14ac:dyDescent="0.25">
      <c r="A310" s="1" t="s">
        <v>284</v>
      </c>
      <c r="B310" s="1" t="s">
        <v>1471</v>
      </c>
      <c r="C310" s="2">
        <v>46152</v>
      </c>
      <c r="D310">
        <v>412</v>
      </c>
      <c r="E310">
        <v>197.72</v>
      </c>
      <c r="F310" s="1" t="s">
        <v>1442</v>
      </c>
      <c r="G310" s="2">
        <v>46157</v>
      </c>
      <c r="H310">
        <f>COUNTIF(purchase_orders[PO Number], purchase_orders[[#This Row],[PO Number]])</f>
        <v>1</v>
      </c>
    </row>
    <row r="311" spans="1:8" x14ac:dyDescent="0.25">
      <c r="A311" s="1" t="s">
        <v>285</v>
      </c>
      <c r="B311" s="1" t="s">
        <v>1502</v>
      </c>
      <c r="C311" s="2">
        <v>46143</v>
      </c>
      <c r="D311">
        <v>32</v>
      </c>
      <c r="E311">
        <v>128.96</v>
      </c>
      <c r="F311" s="1" t="s">
        <v>1451</v>
      </c>
      <c r="G311" s="2">
        <v>46156</v>
      </c>
      <c r="H311">
        <f>COUNTIF(purchase_orders[PO Number], purchase_orders[[#This Row],[PO Number]])</f>
        <v>1</v>
      </c>
    </row>
    <row r="312" spans="1:8" x14ac:dyDescent="0.25">
      <c r="A312" s="1" t="s">
        <v>1002</v>
      </c>
      <c r="B312" s="1" t="s">
        <v>1465</v>
      </c>
      <c r="C312" s="2">
        <v>46027</v>
      </c>
      <c r="D312">
        <v>192</v>
      </c>
      <c r="E312">
        <v>158.76</v>
      </c>
      <c r="F312" s="1" t="s">
        <v>1451</v>
      </c>
      <c r="G312" s="2">
        <v>46039</v>
      </c>
      <c r="H312">
        <f>COUNTIF(purchase_orders[PO Number], purchase_orders[[#This Row],[PO Number]])</f>
        <v>1</v>
      </c>
    </row>
    <row r="313" spans="1:8" x14ac:dyDescent="0.25">
      <c r="A313" s="1" t="s">
        <v>286</v>
      </c>
      <c r="B313" s="1" t="s">
        <v>1477</v>
      </c>
      <c r="C313" s="2">
        <v>46049</v>
      </c>
      <c r="D313">
        <v>405</v>
      </c>
      <c r="E313">
        <v>118.47</v>
      </c>
      <c r="F313" s="1" t="s">
        <v>1456</v>
      </c>
      <c r="G313" s="2">
        <v>46064</v>
      </c>
      <c r="H313">
        <f>COUNTIF(purchase_orders[PO Number], purchase_orders[[#This Row],[PO Number]])</f>
        <v>1</v>
      </c>
    </row>
    <row r="314" spans="1:8" x14ac:dyDescent="0.25">
      <c r="A314" s="1" t="s">
        <v>287</v>
      </c>
      <c r="B314" s="1" t="s">
        <v>1441</v>
      </c>
      <c r="C314" s="2">
        <v>46034</v>
      </c>
      <c r="D314">
        <v>190</v>
      </c>
      <c r="E314">
        <v>111.47</v>
      </c>
      <c r="F314" s="1" t="s">
        <v>1446</v>
      </c>
      <c r="G314" s="2">
        <v>46044</v>
      </c>
      <c r="H314">
        <f>COUNTIF(purchase_orders[PO Number], purchase_orders[[#This Row],[PO Number]])</f>
        <v>1</v>
      </c>
    </row>
    <row r="315" spans="1:8" x14ac:dyDescent="0.25">
      <c r="A315" s="1" t="s">
        <v>288</v>
      </c>
      <c r="B315" s="1" t="s">
        <v>1461</v>
      </c>
      <c r="C315" s="2">
        <v>46141</v>
      </c>
      <c r="D315">
        <v>366</v>
      </c>
      <c r="E315">
        <v>98.31</v>
      </c>
      <c r="F315" s="1" t="s">
        <v>1501</v>
      </c>
      <c r="G315" s="2">
        <v>46150</v>
      </c>
      <c r="H315">
        <f>COUNTIF(purchase_orders[PO Number], purchase_orders[[#This Row],[PO Number]])</f>
        <v>1</v>
      </c>
    </row>
    <row r="316" spans="1:8" x14ac:dyDescent="0.25">
      <c r="A316" s="1" t="s">
        <v>289</v>
      </c>
      <c r="B316" s="1" t="s">
        <v>1492</v>
      </c>
      <c r="C316" s="2">
        <v>46140</v>
      </c>
      <c r="D316">
        <v>28</v>
      </c>
      <c r="E316">
        <v>62.22</v>
      </c>
      <c r="F316" s="1" t="s">
        <v>1462</v>
      </c>
      <c r="G316" s="2">
        <v>46151</v>
      </c>
      <c r="H316">
        <f>COUNTIF(purchase_orders[PO Number], purchase_orders[[#This Row],[PO Number]])</f>
        <v>1</v>
      </c>
    </row>
    <row r="317" spans="1:8" x14ac:dyDescent="0.25">
      <c r="A317" s="1" t="s">
        <v>290</v>
      </c>
      <c r="B317" s="1" t="s">
        <v>1452</v>
      </c>
      <c r="C317" s="2">
        <v>46103</v>
      </c>
      <c r="D317">
        <v>487</v>
      </c>
      <c r="E317">
        <v>65.459999999999994</v>
      </c>
      <c r="F317" s="1" t="s">
        <v>1453</v>
      </c>
      <c r="G317" s="2">
        <v>46123</v>
      </c>
      <c r="H317">
        <f>COUNTIF(purchase_orders[PO Number], purchase_orders[[#This Row],[PO Number]])</f>
        <v>1</v>
      </c>
    </row>
    <row r="318" spans="1:8" x14ac:dyDescent="0.25">
      <c r="A318" s="1" t="s">
        <v>291</v>
      </c>
      <c r="B318" s="1" t="s">
        <v>1470</v>
      </c>
      <c r="C318" s="2">
        <v>46032</v>
      </c>
      <c r="D318">
        <v>395</v>
      </c>
      <c r="E318">
        <v>131.15</v>
      </c>
      <c r="F318" s="1" t="s">
        <v>1474</v>
      </c>
      <c r="G318" s="2">
        <v>46048</v>
      </c>
      <c r="H318">
        <f>COUNTIF(purchase_orders[PO Number], purchase_orders[[#This Row],[PO Number]])</f>
        <v>1</v>
      </c>
    </row>
    <row r="319" spans="1:8" x14ac:dyDescent="0.25">
      <c r="A319" s="1" t="s">
        <v>292</v>
      </c>
      <c r="B319" s="1" t="s">
        <v>1475</v>
      </c>
      <c r="C319" s="2">
        <v>46107</v>
      </c>
      <c r="D319">
        <v>149</v>
      </c>
      <c r="E319">
        <v>29.27</v>
      </c>
      <c r="F319" s="1" t="s">
        <v>1451</v>
      </c>
      <c r="G319" s="2">
        <v>46125</v>
      </c>
      <c r="H319">
        <f>COUNTIF(purchase_orders[PO Number], purchase_orders[[#This Row],[PO Number]])</f>
        <v>1</v>
      </c>
    </row>
    <row r="320" spans="1:8" x14ac:dyDescent="0.25">
      <c r="A320" s="1" t="s">
        <v>293</v>
      </c>
      <c r="B320" s="1" t="s">
        <v>1488</v>
      </c>
      <c r="C320" s="2">
        <v>46135</v>
      </c>
      <c r="D320">
        <v>468</v>
      </c>
      <c r="E320">
        <v>191.51</v>
      </c>
      <c r="F320" s="1" t="s">
        <v>1472</v>
      </c>
      <c r="G320" s="2">
        <v>46145</v>
      </c>
      <c r="H320">
        <f>COUNTIF(purchase_orders[PO Number], purchase_orders[[#This Row],[PO Number]])</f>
        <v>1</v>
      </c>
    </row>
    <row r="321" spans="1:8" x14ac:dyDescent="0.25">
      <c r="A321" s="1" t="s">
        <v>1012</v>
      </c>
      <c r="B321" s="1" t="s">
        <v>1498</v>
      </c>
      <c r="C321" s="2">
        <v>46150</v>
      </c>
      <c r="D321">
        <v>198</v>
      </c>
      <c r="E321">
        <v>185.24</v>
      </c>
      <c r="F321" s="1" t="s">
        <v>1504</v>
      </c>
      <c r="G321" s="2">
        <v>46163</v>
      </c>
      <c r="H321">
        <f>COUNTIF(purchase_orders[PO Number], purchase_orders[[#This Row],[PO Number]])</f>
        <v>1</v>
      </c>
    </row>
    <row r="322" spans="1:8" x14ac:dyDescent="0.25">
      <c r="A322" s="1" t="s">
        <v>294</v>
      </c>
      <c r="B322" s="1" t="s">
        <v>1457</v>
      </c>
      <c r="C322" s="2">
        <v>46131</v>
      </c>
      <c r="D322">
        <v>50</v>
      </c>
      <c r="E322">
        <v>88.97</v>
      </c>
      <c r="F322" s="1" t="s">
        <v>1459</v>
      </c>
      <c r="G322" s="2">
        <v>46145</v>
      </c>
      <c r="H322">
        <f>COUNTIF(purchase_orders[PO Number], purchase_orders[[#This Row],[PO Number]])</f>
        <v>1</v>
      </c>
    </row>
    <row r="323" spans="1:8" x14ac:dyDescent="0.25">
      <c r="A323" s="1" t="s">
        <v>295</v>
      </c>
      <c r="B323" s="1" t="s">
        <v>1509</v>
      </c>
      <c r="C323" s="2">
        <v>46049</v>
      </c>
      <c r="D323">
        <v>50</v>
      </c>
      <c r="E323">
        <v>68.94</v>
      </c>
      <c r="F323" s="1" t="s">
        <v>1474</v>
      </c>
      <c r="G323" s="2">
        <v>46063</v>
      </c>
      <c r="H323">
        <f>COUNTIF(purchase_orders[PO Number], purchase_orders[[#This Row],[PO Number]])</f>
        <v>1</v>
      </c>
    </row>
    <row r="324" spans="1:8" x14ac:dyDescent="0.25">
      <c r="A324" s="1" t="s">
        <v>296</v>
      </c>
      <c r="B324" s="1" t="s">
        <v>1478</v>
      </c>
      <c r="C324" s="2">
        <v>46132</v>
      </c>
      <c r="D324">
        <v>95</v>
      </c>
      <c r="E324">
        <v>139.5</v>
      </c>
      <c r="F324" s="1" t="s">
        <v>1451</v>
      </c>
      <c r="G324" s="2">
        <v>46151</v>
      </c>
      <c r="H324">
        <f>COUNTIF(purchase_orders[PO Number], purchase_orders[[#This Row],[PO Number]])</f>
        <v>1</v>
      </c>
    </row>
    <row r="325" spans="1:8" x14ac:dyDescent="0.25">
      <c r="A325" s="1" t="s">
        <v>297</v>
      </c>
      <c r="B325" s="1" t="s">
        <v>1452</v>
      </c>
      <c r="C325" s="2">
        <v>46113</v>
      </c>
      <c r="D325">
        <v>324</v>
      </c>
      <c r="E325">
        <v>199.64</v>
      </c>
      <c r="F325" s="1" t="s">
        <v>1458</v>
      </c>
      <c r="G325" s="2">
        <v>46119</v>
      </c>
      <c r="H325">
        <f>COUNTIF(purchase_orders[PO Number], purchase_orders[[#This Row],[PO Number]])</f>
        <v>1</v>
      </c>
    </row>
    <row r="326" spans="1:8" x14ac:dyDescent="0.25">
      <c r="A326" s="1" t="s">
        <v>298</v>
      </c>
      <c r="B326" s="1" t="s">
        <v>1492</v>
      </c>
      <c r="C326" s="2">
        <v>46126</v>
      </c>
      <c r="D326">
        <v>196</v>
      </c>
      <c r="E326">
        <v>105.05</v>
      </c>
      <c r="F326" s="1" t="s">
        <v>1490</v>
      </c>
      <c r="G326" s="2">
        <v>46136</v>
      </c>
      <c r="H326">
        <f>COUNTIF(purchase_orders[PO Number], purchase_orders[[#This Row],[PO Number]])</f>
        <v>1</v>
      </c>
    </row>
    <row r="327" spans="1:8" x14ac:dyDescent="0.25">
      <c r="A327" s="1" t="s">
        <v>299</v>
      </c>
      <c r="B327" s="1" t="s">
        <v>1473</v>
      </c>
      <c r="C327" s="2">
        <v>46059</v>
      </c>
      <c r="D327">
        <v>444</v>
      </c>
      <c r="E327">
        <v>123.48</v>
      </c>
      <c r="F327" s="1" t="s">
        <v>1469</v>
      </c>
      <c r="G327" s="2">
        <v>46065</v>
      </c>
      <c r="H327">
        <f>COUNTIF(purchase_orders[PO Number], purchase_orders[[#This Row],[PO Number]])</f>
        <v>1</v>
      </c>
    </row>
    <row r="328" spans="1:8" x14ac:dyDescent="0.25">
      <c r="A328" s="1" t="s">
        <v>300</v>
      </c>
      <c r="B328" s="1" t="s">
        <v>1441</v>
      </c>
      <c r="C328" s="2">
        <v>46040</v>
      </c>
      <c r="D328">
        <v>130</v>
      </c>
      <c r="E328">
        <v>156.81</v>
      </c>
      <c r="F328" s="1" t="s">
        <v>1451</v>
      </c>
      <c r="G328" s="2">
        <v>46056</v>
      </c>
      <c r="H328">
        <f>COUNTIF(purchase_orders[PO Number], purchase_orders[[#This Row],[PO Number]])</f>
        <v>1</v>
      </c>
    </row>
    <row r="329" spans="1:8" x14ac:dyDescent="0.25">
      <c r="A329" s="1" t="s">
        <v>301</v>
      </c>
      <c r="B329" s="1" t="s">
        <v>1502</v>
      </c>
      <c r="C329" s="2">
        <v>46168</v>
      </c>
      <c r="D329">
        <v>26</v>
      </c>
      <c r="E329">
        <v>122.99</v>
      </c>
      <c r="F329" s="1" t="s">
        <v>1467</v>
      </c>
      <c r="G329" s="2">
        <v>46187</v>
      </c>
      <c r="H329">
        <f>COUNTIF(purchase_orders[PO Number], purchase_orders[[#This Row],[PO Number]])</f>
        <v>1</v>
      </c>
    </row>
    <row r="330" spans="1:8" x14ac:dyDescent="0.25">
      <c r="A330" s="1" t="s">
        <v>302</v>
      </c>
      <c r="B330" s="1" t="s">
        <v>1496</v>
      </c>
      <c r="C330" s="2">
        <v>46118</v>
      </c>
      <c r="D330">
        <v>237</v>
      </c>
      <c r="E330">
        <v>153.80000000000001</v>
      </c>
      <c r="F330" s="1" t="s">
        <v>1480</v>
      </c>
      <c r="G330" s="2">
        <v>46127</v>
      </c>
      <c r="H330">
        <f>COUNTIF(purchase_orders[PO Number], purchase_orders[[#This Row],[PO Number]])</f>
        <v>1</v>
      </c>
    </row>
    <row r="331" spans="1:8" x14ac:dyDescent="0.25">
      <c r="A331" s="1" t="s">
        <v>303</v>
      </c>
      <c r="B331" s="1" t="s">
        <v>1491</v>
      </c>
      <c r="C331" s="2">
        <v>46116</v>
      </c>
      <c r="D331">
        <v>213</v>
      </c>
      <c r="E331">
        <v>66.31</v>
      </c>
      <c r="F331" s="1" t="s">
        <v>1459</v>
      </c>
      <c r="G331" s="2">
        <v>46128</v>
      </c>
      <c r="H331">
        <f>COUNTIF(purchase_orders[PO Number], purchase_orders[[#This Row],[PO Number]])</f>
        <v>1</v>
      </c>
    </row>
    <row r="332" spans="1:8" x14ac:dyDescent="0.25">
      <c r="A332" s="1" t="s">
        <v>304</v>
      </c>
      <c r="B332" s="1" t="s">
        <v>1466</v>
      </c>
      <c r="C332" s="2">
        <v>46029</v>
      </c>
      <c r="D332">
        <v>386</v>
      </c>
      <c r="E332">
        <v>41.28</v>
      </c>
      <c r="F332" s="1" t="s">
        <v>1504</v>
      </c>
      <c r="G332" s="2">
        <v>46046</v>
      </c>
      <c r="H332">
        <f>COUNTIF(purchase_orders[PO Number], purchase_orders[[#This Row],[PO Number]])</f>
        <v>1</v>
      </c>
    </row>
    <row r="333" spans="1:8" x14ac:dyDescent="0.25">
      <c r="A333" s="1" t="s">
        <v>305</v>
      </c>
      <c r="B333" s="1" t="s">
        <v>1454</v>
      </c>
      <c r="C333" s="2">
        <v>46053</v>
      </c>
      <c r="D333">
        <v>144</v>
      </c>
      <c r="E333">
        <v>156.12</v>
      </c>
      <c r="F333" s="1" t="s">
        <v>1499</v>
      </c>
      <c r="G333" s="2">
        <v>46072</v>
      </c>
      <c r="H333">
        <f>COUNTIF(purchase_orders[PO Number], purchase_orders[[#This Row],[PO Number]])</f>
        <v>1</v>
      </c>
    </row>
    <row r="334" spans="1:8" x14ac:dyDescent="0.25">
      <c r="A334" s="1" t="s">
        <v>306</v>
      </c>
      <c r="B334" s="1" t="s">
        <v>1463</v>
      </c>
      <c r="C334" s="2">
        <v>46096</v>
      </c>
      <c r="D334">
        <v>365</v>
      </c>
      <c r="E334">
        <v>183.71</v>
      </c>
      <c r="F334" s="1" t="s">
        <v>1487</v>
      </c>
      <c r="G334" s="2">
        <v>46107</v>
      </c>
      <c r="H334">
        <f>COUNTIF(purchase_orders[PO Number], purchase_orders[[#This Row],[PO Number]])</f>
        <v>1</v>
      </c>
    </row>
    <row r="335" spans="1:8" x14ac:dyDescent="0.25">
      <c r="A335" s="1" t="s">
        <v>307</v>
      </c>
      <c r="B335" s="1" t="s">
        <v>1466</v>
      </c>
      <c r="C335" s="2">
        <v>46057</v>
      </c>
      <c r="D335">
        <v>446</v>
      </c>
      <c r="E335">
        <v>19.440000000000001</v>
      </c>
      <c r="F335" s="1" t="s">
        <v>1501</v>
      </c>
      <c r="G335" s="2">
        <v>46076</v>
      </c>
      <c r="H335">
        <f>COUNTIF(purchase_orders[PO Number], purchase_orders[[#This Row],[PO Number]])</f>
        <v>1</v>
      </c>
    </row>
    <row r="336" spans="1:8" x14ac:dyDescent="0.25">
      <c r="A336" s="1" t="s">
        <v>308</v>
      </c>
      <c r="B336" s="1" t="s">
        <v>1457</v>
      </c>
      <c r="C336" s="2">
        <v>46104</v>
      </c>
      <c r="D336">
        <v>351</v>
      </c>
      <c r="E336">
        <v>72.75</v>
      </c>
      <c r="F336" s="1" t="s">
        <v>1476</v>
      </c>
      <c r="G336" s="2">
        <v>46118</v>
      </c>
      <c r="H336">
        <f>COUNTIF(purchase_orders[PO Number], purchase_orders[[#This Row],[PO Number]])</f>
        <v>1</v>
      </c>
    </row>
    <row r="337" spans="1:8" x14ac:dyDescent="0.25">
      <c r="A337" s="1" t="s">
        <v>309</v>
      </c>
      <c r="B337" s="1" t="s">
        <v>1512</v>
      </c>
      <c r="C337" s="2">
        <v>46063</v>
      </c>
      <c r="D337">
        <v>374</v>
      </c>
      <c r="E337">
        <v>143.36000000000001</v>
      </c>
      <c r="F337" s="1" t="s">
        <v>1499</v>
      </c>
      <c r="G337" s="2">
        <v>46073</v>
      </c>
      <c r="H337">
        <f>COUNTIF(purchase_orders[PO Number], purchase_orders[[#This Row],[PO Number]])</f>
        <v>1</v>
      </c>
    </row>
    <row r="338" spans="1:8" x14ac:dyDescent="0.25">
      <c r="A338" s="1" t="s">
        <v>310</v>
      </c>
      <c r="B338" s="1" t="s">
        <v>1496</v>
      </c>
      <c r="C338" s="2">
        <v>46153</v>
      </c>
      <c r="D338">
        <v>124</v>
      </c>
      <c r="E338">
        <v>28.67</v>
      </c>
      <c r="F338" s="1" t="s">
        <v>1444</v>
      </c>
      <c r="G338" s="2">
        <v>46162</v>
      </c>
      <c r="H338">
        <f>COUNTIF(purchase_orders[PO Number], purchase_orders[[#This Row],[PO Number]])</f>
        <v>1</v>
      </c>
    </row>
    <row r="339" spans="1:8" x14ac:dyDescent="0.25">
      <c r="A339" s="1" t="s">
        <v>1031</v>
      </c>
      <c r="B339" s="1" t="s">
        <v>1482</v>
      </c>
      <c r="C339" s="2">
        <v>46149</v>
      </c>
      <c r="D339">
        <v>23</v>
      </c>
      <c r="E339">
        <v>75.37</v>
      </c>
      <c r="F339" s="1" t="s">
        <v>1480</v>
      </c>
      <c r="G339" s="2">
        <v>46165</v>
      </c>
      <c r="H339">
        <f>COUNTIF(purchase_orders[PO Number], purchase_orders[[#This Row],[PO Number]])</f>
        <v>1</v>
      </c>
    </row>
    <row r="340" spans="1:8" x14ac:dyDescent="0.25">
      <c r="A340" s="1" t="s">
        <v>311</v>
      </c>
      <c r="B340" s="1" t="s">
        <v>1489</v>
      </c>
      <c r="C340" s="2">
        <v>46164</v>
      </c>
      <c r="D340">
        <v>76</v>
      </c>
      <c r="E340">
        <v>124.33</v>
      </c>
      <c r="F340" s="1" t="s">
        <v>1476</v>
      </c>
      <c r="G340" s="2">
        <v>46171</v>
      </c>
      <c r="H340">
        <f>COUNTIF(purchase_orders[PO Number], purchase_orders[[#This Row],[PO Number]])</f>
        <v>1</v>
      </c>
    </row>
    <row r="341" spans="1:8" x14ac:dyDescent="0.25">
      <c r="A341" s="1" t="s">
        <v>312</v>
      </c>
      <c r="B341" s="1" t="s">
        <v>1512</v>
      </c>
      <c r="C341" s="2">
        <v>46124</v>
      </c>
      <c r="D341">
        <v>377</v>
      </c>
      <c r="E341">
        <v>145.18</v>
      </c>
      <c r="F341" s="1" t="s">
        <v>1504</v>
      </c>
      <c r="G341" s="2">
        <v>46142</v>
      </c>
      <c r="H341">
        <f>COUNTIF(purchase_orders[PO Number], purchase_orders[[#This Row],[PO Number]])</f>
        <v>1</v>
      </c>
    </row>
    <row r="342" spans="1:8" x14ac:dyDescent="0.25">
      <c r="A342" s="1" t="s">
        <v>313</v>
      </c>
      <c r="B342" s="1" t="s">
        <v>1495</v>
      </c>
      <c r="C342" s="2">
        <v>46170</v>
      </c>
      <c r="D342">
        <v>47</v>
      </c>
      <c r="E342">
        <v>29.44</v>
      </c>
      <c r="F342" s="1" t="s">
        <v>1472</v>
      </c>
      <c r="G342" s="2">
        <v>46177</v>
      </c>
      <c r="H342">
        <f>COUNTIF(purchase_orders[PO Number], purchase_orders[[#This Row],[PO Number]])</f>
        <v>1</v>
      </c>
    </row>
    <row r="343" spans="1:8" x14ac:dyDescent="0.25">
      <c r="A343" s="1" t="s">
        <v>314</v>
      </c>
      <c r="B343" s="1" t="s">
        <v>1478</v>
      </c>
      <c r="C343" s="2">
        <v>46142</v>
      </c>
      <c r="D343">
        <v>358</v>
      </c>
      <c r="E343">
        <v>105.89</v>
      </c>
      <c r="F343" s="1" t="s">
        <v>1485</v>
      </c>
      <c r="G343" s="2">
        <v>46152</v>
      </c>
      <c r="H343">
        <f>COUNTIF(purchase_orders[PO Number], purchase_orders[[#This Row],[PO Number]])</f>
        <v>1</v>
      </c>
    </row>
    <row r="344" spans="1:8" x14ac:dyDescent="0.25">
      <c r="A344" s="1" t="s">
        <v>315</v>
      </c>
      <c r="B344" s="1" t="s">
        <v>1441</v>
      </c>
      <c r="C344" s="2">
        <v>46133</v>
      </c>
      <c r="D344">
        <v>267</v>
      </c>
      <c r="E344">
        <v>182.59</v>
      </c>
      <c r="F344" s="1" t="s">
        <v>1462</v>
      </c>
      <c r="G344" s="2">
        <v>46141</v>
      </c>
      <c r="H344">
        <f>COUNTIF(purchase_orders[PO Number], purchase_orders[[#This Row],[PO Number]])</f>
        <v>1</v>
      </c>
    </row>
    <row r="345" spans="1:8" x14ac:dyDescent="0.25">
      <c r="A345" s="1" t="s">
        <v>316</v>
      </c>
      <c r="B345" s="1" t="s">
        <v>1491</v>
      </c>
      <c r="C345" s="2">
        <v>46062</v>
      </c>
      <c r="D345">
        <v>165</v>
      </c>
      <c r="E345">
        <v>37.11</v>
      </c>
      <c r="F345" s="1" t="s">
        <v>1472</v>
      </c>
      <c r="G345" s="2">
        <v>46074</v>
      </c>
      <c r="H345">
        <f>COUNTIF(purchase_orders[PO Number], purchase_orders[[#This Row],[PO Number]])</f>
        <v>1</v>
      </c>
    </row>
    <row r="346" spans="1:8" x14ac:dyDescent="0.25">
      <c r="A346" s="1" t="s">
        <v>317</v>
      </c>
      <c r="B346" s="1" t="s">
        <v>1503</v>
      </c>
      <c r="C346" s="2">
        <v>46155</v>
      </c>
      <c r="D346">
        <v>468</v>
      </c>
      <c r="E346">
        <v>60.39</v>
      </c>
      <c r="F346" s="1" t="s">
        <v>1476</v>
      </c>
      <c r="G346" s="2">
        <v>46168</v>
      </c>
      <c r="H346">
        <f>COUNTIF(purchase_orders[PO Number], purchase_orders[[#This Row],[PO Number]])</f>
        <v>1</v>
      </c>
    </row>
    <row r="347" spans="1:8" x14ac:dyDescent="0.25">
      <c r="A347" s="1" t="s">
        <v>318</v>
      </c>
      <c r="B347" s="1" t="s">
        <v>1505</v>
      </c>
      <c r="C347" s="2">
        <v>46164</v>
      </c>
      <c r="D347">
        <v>150</v>
      </c>
      <c r="E347">
        <v>29.41</v>
      </c>
      <c r="F347" s="1" t="s">
        <v>1474</v>
      </c>
      <c r="G347" s="2">
        <v>46171</v>
      </c>
      <c r="H347">
        <f>COUNTIF(purchase_orders[PO Number], purchase_orders[[#This Row],[PO Number]])</f>
        <v>1</v>
      </c>
    </row>
    <row r="348" spans="1:8" x14ac:dyDescent="0.25">
      <c r="A348" s="1" t="s">
        <v>319</v>
      </c>
      <c r="B348" s="1" t="s">
        <v>1445</v>
      </c>
      <c r="C348" s="2">
        <v>46066</v>
      </c>
      <c r="D348">
        <v>313</v>
      </c>
      <c r="E348">
        <v>188.61</v>
      </c>
      <c r="F348" s="1" t="s">
        <v>1485</v>
      </c>
      <c r="G348" s="2">
        <v>46076</v>
      </c>
      <c r="H348">
        <f>COUNTIF(purchase_orders[PO Number], purchase_orders[[#This Row],[PO Number]])</f>
        <v>1</v>
      </c>
    </row>
    <row r="349" spans="1:8" x14ac:dyDescent="0.25">
      <c r="A349" s="1" t="s">
        <v>320</v>
      </c>
      <c r="B349" s="1" t="s">
        <v>1484</v>
      </c>
      <c r="C349" s="2">
        <v>46109</v>
      </c>
      <c r="D349">
        <v>441</v>
      </c>
      <c r="E349">
        <v>185.17</v>
      </c>
      <c r="F349" s="1" t="s">
        <v>1462</v>
      </c>
      <c r="G349" s="2">
        <v>46114</v>
      </c>
      <c r="H349">
        <f>COUNTIF(purchase_orders[PO Number], purchase_orders[[#This Row],[PO Number]])</f>
        <v>1</v>
      </c>
    </row>
    <row r="350" spans="1:8" x14ac:dyDescent="0.25">
      <c r="A350" s="1" t="s">
        <v>321</v>
      </c>
      <c r="B350" s="1" t="s">
        <v>1457</v>
      </c>
      <c r="C350" s="2">
        <v>46034</v>
      </c>
      <c r="D350">
        <v>495</v>
      </c>
      <c r="E350">
        <v>130.08000000000001</v>
      </c>
      <c r="F350" s="1" t="s">
        <v>1480</v>
      </c>
      <c r="G350" s="2">
        <v>46047</v>
      </c>
      <c r="H350">
        <f>COUNTIF(purchase_orders[PO Number], purchase_orders[[#This Row],[PO Number]])</f>
        <v>1</v>
      </c>
    </row>
    <row r="351" spans="1:8" x14ac:dyDescent="0.25">
      <c r="A351" s="1" t="s">
        <v>322</v>
      </c>
      <c r="B351" s="1" t="s">
        <v>1508</v>
      </c>
      <c r="C351" s="2">
        <v>46076</v>
      </c>
      <c r="D351">
        <v>402</v>
      </c>
      <c r="E351">
        <v>116.57</v>
      </c>
      <c r="F351" s="1" t="s">
        <v>1494</v>
      </c>
      <c r="G351" s="2">
        <v>46081</v>
      </c>
      <c r="H351">
        <f>COUNTIF(purchase_orders[PO Number], purchase_orders[[#This Row],[PO Number]])</f>
        <v>1</v>
      </c>
    </row>
    <row r="352" spans="1:8" x14ac:dyDescent="0.25">
      <c r="A352" s="1" t="s">
        <v>323</v>
      </c>
      <c r="B352" s="1" t="s">
        <v>1498</v>
      </c>
      <c r="C352" s="2">
        <v>46162</v>
      </c>
      <c r="D352">
        <v>158</v>
      </c>
      <c r="E352">
        <v>130.16999999999999</v>
      </c>
      <c r="F352" s="1" t="s">
        <v>1474</v>
      </c>
      <c r="G352" s="2">
        <v>46182</v>
      </c>
      <c r="H352">
        <f>COUNTIF(purchase_orders[PO Number], purchase_orders[[#This Row],[PO Number]])</f>
        <v>1</v>
      </c>
    </row>
    <row r="353" spans="1:8" x14ac:dyDescent="0.25">
      <c r="A353" s="1" t="s">
        <v>324</v>
      </c>
      <c r="B353" s="1" t="s">
        <v>1482</v>
      </c>
      <c r="C353" s="2">
        <v>46126</v>
      </c>
      <c r="D353">
        <v>162</v>
      </c>
      <c r="E353">
        <v>93.44</v>
      </c>
      <c r="F353" s="1" t="s">
        <v>1499</v>
      </c>
      <c r="G353" s="2">
        <v>46132</v>
      </c>
      <c r="H353">
        <f>COUNTIF(purchase_orders[PO Number], purchase_orders[[#This Row],[PO Number]])</f>
        <v>1</v>
      </c>
    </row>
    <row r="354" spans="1:8" x14ac:dyDescent="0.25">
      <c r="A354" s="1" t="s">
        <v>325</v>
      </c>
      <c r="B354" s="1" t="s">
        <v>1460</v>
      </c>
      <c r="C354" s="2">
        <v>46135</v>
      </c>
      <c r="D354">
        <v>222</v>
      </c>
      <c r="E354">
        <v>99.43</v>
      </c>
      <c r="F354" s="1" t="s">
        <v>1444</v>
      </c>
      <c r="G354" s="2">
        <v>46150</v>
      </c>
      <c r="H354">
        <f>COUNTIF(purchase_orders[PO Number], purchase_orders[[#This Row],[PO Number]])</f>
        <v>1</v>
      </c>
    </row>
    <row r="355" spans="1:8" x14ac:dyDescent="0.25">
      <c r="A355" s="1" t="s">
        <v>326</v>
      </c>
      <c r="B355" s="1" t="s">
        <v>1468</v>
      </c>
      <c r="C355" s="2">
        <v>46059</v>
      </c>
      <c r="D355">
        <v>170</v>
      </c>
      <c r="E355">
        <v>172.99</v>
      </c>
      <c r="F355" s="1" t="s">
        <v>1472</v>
      </c>
      <c r="G355" s="2">
        <v>46075</v>
      </c>
      <c r="H355">
        <f>COUNTIF(purchase_orders[PO Number], purchase_orders[[#This Row],[PO Number]])</f>
        <v>1</v>
      </c>
    </row>
    <row r="356" spans="1:8" x14ac:dyDescent="0.25">
      <c r="A356" s="1" t="s">
        <v>327</v>
      </c>
      <c r="B356" s="1" t="s">
        <v>1488</v>
      </c>
      <c r="C356" s="2">
        <v>46056</v>
      </c>
      <c r="D356">
        <v>399</v>
      </c>
      <c r="E356">
        <v>77.260000000000005</v>
      </c>
      <c r="F356" s="1" t="s">
        <v>1442</v>
      </c>
      <c r="G356" s="2">
        <v>46064</v>
      </c>
      <c r="H356">
        <f>COUNTIF(purchase_orders[PO Number], purchase_orders[[#This Row],[PO Number]])</f>
        <v>1</v>
      </c>
    </row>
    <row r="357" spans="1:8" x14ac:dyDescent="0.25">
      <c r="A357" s="1" t="s">
        <v>328</v>
      </c>
      <c r="B357" s="1" t="s">
        <v>1509</v>
      </c>
      <c r="C357" s="2">
        <v>46084</v>
      </c>
      <c r="D357">
        <v>248</v>
      </c>
      <c r="E357">
        <v>28.89</v>
      </c>
      <c r="F357" s="1" t="s">
        <v>1469</v>
      </c>
      <c r="G357" s="2">
        <v>46096</v>
      </c>
      <c r="H357">
        <f>COUNTIF(purchase_orders[PO Number], purchase_orders[[#This Row],[PO Number]])</f>
        <v>1</v>
      </c>
    </row>
    <row r="358" spans="1:8" x14ac:dyDescent="0.25">
      <c r="A358" s="1" t="s">
        <v>329</v>
      </c>
      <c r="B358" s="1" t="s">
        <v>1464</v>
      </c>
      <c r="C358" s="2">
        <v>46047</v>
      </c>
      <c r="D358">
        <v>35</v>
      </c>
      <c r="E358">
        <v>61.59</v>
      </c>
      <c r="F358" s="1" t="s">
        <v>1453</v>
      </c>
      <c r="G358" s="2">
        <v>46065</v>
      </c>
      <c r="H358">
        <f>COUNTIF(purchase_orders[PO Number], purchase_orders[[#This Row],[PO Number]])</f>
        <v>1</v>
      </c>
    </row>
    <row r="359" spans="1:8" x14ac:dyDescent="0.25">
      <c r="A359" s="1" t="s">
        <v>330</v>
      </c>
      <c r="B359" s="1" t="s">
        <v>1482</v>
      </c>
      <c r="C359" s="2">
        <v>46063</v>
      </c>
      <c r="D359">
        <v>426</v>
      </c>
      <c r="E359">
        <v>68.849999999999994</v>
      </c>
      <c r="F359" s="1" t="s">
        <v>1480</v>
      </c>
      <c r="G359" s="2">
        <v>46078</v>
      </c>
      <c r="H359">
        <f>COUNTIF(purchase_orders[PO Number], purchase_orders[[#This Row],[PO Number]])</f>
        <v>1</v>
      </c>
    </row>
    <row r="360" spans="1:8" x14ac:dyDescent="0.25">
      <c r="A360" s="1" t="s">
        <v>331</v>
      </c>
      <c r="B360" s="1" t="s">
        <v>1505</v>
      </c>
      <c r="C360" s="2">
        <v>46063</v>
      </c>
      <c r="D360">
        <v>265</v>
      </c>
      <c r="E360">
        <v>199.21</v>
      </c>
      <c r="F360" s="1" t="s">
        <v>1469</v>
      </c>
      <c r="G360" s="2">
        <v>46083</v>
      </c>
      <c r="H360">
        <f>COUNTIF(purchase_orders[PO Number], purchase_orders[[#This Row],[PO Number]])</f>
        <v>1</v>
      </c>
    </row>
    <row r="361" spans="1:8" x14ac:dyDescent="0.25">
      <c r="A361" s="1" t="s">
        <v>332</v>
      </c>
      <c r="B361" s="1" t="s">
        <v>1512</v>
      </c>
      <c r="C361" s="2">
        <v>46150</v>
      </c>
      <c r="D361">
        <v>21</v>
      </c>
      <c r="E361">
        <v>22.56</v>
      </c>
      <c r="F361" s="1" t="s">
        <v>1453</v>
      </c>
      <c r="G361" s="2">
        <v>46171</v>
      </c>
      <c r="H361">
        <f>COUNTIF(purchase_orders[PO Number], purchase_orders[[#This Row],[PO Number]])</f>
        <v>1</v>
      </c>
    </row>
    <row r="362" spans="1:8" x14ac:dyDescent="0.25">
      <c r="A362" s="1" t="s">
        <v>333</v>
      </c>
      <c r="B362" s="1" t="s">
        <v>1489</v>
      </c>
      <c r="C362" s="2">
        <v>46084</v>
      </c>
      <c r="D362">
        <v>120</v>
      </c>
      <c r="E362">
        <v>118.75</v>
      </c>
      <c r="F362" s="1" t="s">
        <v>1462</v>
      </c>
      <c r="G362" s="2">
        <v>46090</v>
      </c>
      <c r="H362">
        <f>COUNTIF(purchase_orders[PO Number], purchase_orders[[#This Row],[PO Number]])</f>
        <v>1</v>
      </c>
    </row>
    <row r="363" spans="1:8" x14ac:dyDescent="0.25">
      <c r="A363" s="1" t="s">
        <v>334</v>
      </c>
      <c r="B363" s="1" t="s">
        <v>1506</v>
      </c>
      <c r="C363" s="2">
        <v>46149</v>
      </c>
      <c r="D363">
        <v>315</v>
      </c>
      <c r="E363">
        <v>177.06</v>
      </c>
      <c r="F363" s="1" t="s">
        <v>1446</v>
      </c>
      <c r="G363" s="2">
        <v>46169</v>
      </c>
      <c r="H363">
        <f>COUNTIF(purchase_orders[PO Number], purchase_orders[[#This Row],[PO Number]])</f>
        <v>1</v>
      </c>
    </row>
    <row r="364" spans="1:8" x14ac:dyDescent="0.25">
      <c r="A364" s="1" t="s">
        <v>335</v>
      </c>
      <c r="B364" s="1" t="s">
        <v>1506</v>
      </c>
      <c r="C364" s="2">
        <v>46160</v>
      </c>
      <c r="D364">
        <v>14</v>
      </c>
      <c r="E364">
        <v>170.2</v>
      </c>
      <c r="F364" s="1" t="s">
        <v>1507</v>
      </c>
      <c r="G364" s="2">
        <v>46169</v>
      </c>
      <c r="H364">
        <f>COUNTIF(purchase_orders[PO Number], purchase_orders[[#This Row],[PO Number]])</f>
        <v>1</v>
      </c>
    </row>
    <row r="365" spans="1:8" x14ac:dyDescent="0.25">
      <c r="A365" s="1" t="s">
        <v>336</v>
      </c>
      <c r="B365" s="1" t="s">
        <v>1470</v>
      </c>
      <c r="C365" s="2">
        <v>46116</v>
      </c>
      <c r="D365">
        <v>401</v>
      </c>
      <c r="E365">
        <v>83.63</v>
      </c>
      <c r="F365" s="1" t="s">
        <v>1462</v>
      </c>
      <c r="G365" s="2">
        <v>46133</v>
      </c>
      <c r="H365">
        <f>COUNTIF(purchase_orders[PO Number], purchase_orders[[#This Row],[PO Number]])</f>
        <v>1</v>
      </c>
    </row>
    <row r="366" spans="1:8" x14ac:dyDescent="0.25">
      <c r="A366" s="1" t="s">
        <v>337</v>
      </c>
      <c r="B366" s="1" t="s">
        <v>1475</v>
      </c>
      <c r="C366" s="2">
        <v>46168</v>
      </c>
      <c r="D366">
        <v>297</v>
      </c>
      <c r="E366">
        <v>42.96</v>
      </c>
      <c r="F366" s="1" t="s">
        <v>1442</v>
      </c>
      <c r="G366" s="2">
        <v>46182</v>
      </c>
      <c r="H366">
        <f>COUNTIF(purchase_orders[PO Number], purchase_orders[[#This Row],[PO Number]])</f>
        <v>1</v>
      </c>
    </row>
    <row r="367" spans="1:8" x14ac:dyDescent="0.25">
      <c r="A367" s="1" t="s">
        <v>338</v>
      </c>
      <c r="B367" s="1" t="s">
        <v>1492</v>
      </c>
      <c r="C367" s="2">
        <v>46121</v>
      </c>
      <c r="D367">
        <v>268</v>
      </c>
      <c r="E367">
        <v>92.82</v>
      </c>
      <c r="F367" s="1" t="s">
        <v>1442</v>
      </c>
      <c r="G367" s="2">
        <v>46134</v>
      </c>
      <c r="H367">
        <f>COUNTIF(purchase_orders[PO Number], purchase_orders[[#This Row],[PO Number]])</f>
        <v>1</v>
      </c>
    </row>
    <row r="368" spans="1:8" x14ac:dyDescent="0.25">
      <c r="A368" s="1" t="s">
        <v>339</v>
      </c>
      <c r="B368" s="1" t="s">
        <v>1497</v>
      </c>
      <c r="C368" s="2">
        <v>46053</v>
      </c>
      <c r="D368">
        <v>75</v>
      </c>
      <c r="E368">
        <v>195.14</v>
      </c>
      <c r="F368" s="1" t="s">
        <v>1453</v>
      </c>
      <c r="G368" s="2">
        <v>46069</v>
      </c>
      <c r="H368">
        <f>COUNTIF(purchase_orders[PO Number], purchase_orders[[#This Row],[PO Number]])</f>
        <v>1</v>
      </c>
    </row>
    <row r="369" spans="1:8" x14ac:dyDescent="0.25">
      <c r="A369" s="1" t="s">
        <v>340</v>
      </c>
      <c r="B369" s="1" t="s">
        <v>1479</v>
      </c>
      <c r="C369" s="2">
        <v>46165</v>
      </c>
      <c r="D369">
        <v>490</v>
      </c>
      <c r="E369">
        <v>76.290000000000006</v>
      </c>
      <c r="F369" s="1" t="s">
        <v>1485</v>
      </c>
      <c r="G369" s="2">
        <v>46176</v>
      </c>
      <c r="H369">
        <f>COUNTIF(purchase_orders[PO Number], purchase_orders[[#This Row],[PO Number]])</f>
        <v>1</v>
      </c>
    </row>
    <row r="370" spans="1:8" x14ac:dyDescent="0.25">
      <c r="A370" s="1" t="s">
        <v>341</v>
      </c>
      <c r="B370" s="1" t="s">
        <v>1468</v>
      </c>
      <c r="C370" s="2">
        <v>46153</v>
      </c>
      <c r="D370">
        <v>215</v>
      </c>
      <c r="E370">
        <v>102.52</v>
      </c>
      <c r="F370" s="1" t="s">
        <v>1462</v>
      </c>
      <c r="G370" s="2">
        <v>46159</v>
      </c>
      <c r="H370">
        <f>COUNTIF(purchase_orders[PO Number], purchase_orders[[#This Row],[PO Number]])</f>
        <v>1</v>
      </c>
    </row>
    <row r="371" spans="1:8" x14ac:dyDescent="0.25">
      <c r="A371" s="1" t="s">
        <v>1064</v>
      </c>
      <c r="B371" s="1" t="s">
        <v>1441</v>
      </c>
      <c r="C371" s="2">
        <v>46108</v>
      </c>
      <c r="D371">
        <v>421</v>
      </c>
      <c r="E371">
        <v>97.38</v>
      </c>
      <c r="F371" s="1" t="s">
        <v>1469</v>
      </c>
      <c r="G371" s="2">
        <v>46117</v>
      </c>
      <c r="H371">
        <f>COUNTIF(purchase_orders[PO Number], purchase_orders[[#This Row],[PO Number]])</f>
        <v>1</v>
      </c>
    </row>
    <row r="372" spans="1:8" x14ac:dyDescent="0.25">
      <c r="A372" s="1" t="s">
        <v>342</v>
      </c>
      <c r="B372" s="1" t="s">
        <v>1468</v>
      </c>
      <c r="C372" s="2">
        <v>46154</v>
      </c>
      <c r="D372">
        <v>81</v>
      </c>
      <c r="E372">
        <v>68.95</v>
      </c>
      <c r="F372" s="1" t="s">
        <v>1494</v>
      </c>
      <c r="G372" s="2">
        <v>46169</v>
      </c>
      <c r="H372">
        <f>COUNTIF(purchase_orders[PO Number], purchase_orders[[#This Row],[PO Number]])</f>
        <v>1</v>
      </c>
    </row>
    <row r="373" spans="1:8" x14ac:dyDescent="0.25">
      <c r="A373" s="1" t="s">
        <v>343</v>
      </c>
      <c r="B373" s="1" t="s">
        <v>1460</v>
      </c>
      <c r="C373" s="2">
        <v>46123</v>
      </c>
      <c r="D373">
        <v>325</v>
      </c>
      <c r="E373">
        <v>149.16999999999999</v>
      </c>
      <c r="F373" s="1" t="s">
        <v>1474</v>
      </c>
      <c r="G373" s="2">
        <v>46138</v>
      </c>
      <c r="H373">
        <f>COUNTIF(purchase_orders[PO Number], purchase_orders[[#This Row],[PO Number]])</f>
        <v>1</v>
      </c>
    </row>
    <row r="374" spans="1:8" x14ac:dyDescent="0.25">
      <c r="A374" s="1" t="s">
        <v>344</v>
      </c>
      <c r="B374" s="1" t="s">
        <v>1445</v>
      </c>
      <c r="C374" s="2">
        <v>46153</v>
      </c>
      <c r="D374">
        <v>282</v>
      </c>
      <c r="E374">
        <v>100.52</v>
      </c>
      <c r="F374" s="1" t="s">
        <v>1480</v>
      </c>
      <c r="G374" s="2">
        <v>46167</v>
      </c>
      <c r="H374">
        <f>COUNTIF(purchase_orders[PO Number], purchase_orders[[#This Row],[PO Number]])</f>
        <v>1</v>
      </c>
    </row>
    <row r="375" spans="1:8" x14ac:dyDescent="0.25">
      <c r="A375" s="1" t="s">
        <v>345</v>
      </c>
      <c r="B375" s="1" t="s">
        <v>1510</v>
      </c>
      <c r="C375" s="2">
        <v>46027</v>
      </c>
      <c r="D375">
        <v>198</v>
      </c>
      <c r="E375">
        <v>69.59</v>
      </c>
      <c r="F375" s="1" t="s">
        <v>1483</v>
      </c>
      <c r="G375" s="2">
        <v>46045</v>
      </c>
      <c r="H375">
        <f>COUNTIF(purchase_orders[PO Number], purchase_orders[[#This Row],[PO Number]])</f>
        <v>1</v>
      </c>
    </row>
    <row r="376" spans="1:8" x14ac:dyDescent="0.25">
      <c r="A376" s="1" t="s">
        <v>346</v>
      </c>
      <c r="B376" s="1" t="s">
        <v>1443</v>
      </c>
      <c r="C376" s="2">
        <v>46101</v>
      </c>
      <c r="D376">
        <v>417</v>
      </c>
      <c r="E376">
        <v>180.26</v>
      </c>
      <c r="F376" s="1" t="s">
        <v>1499</v>
      </c>
      <c r="G376" s="2">
        <v>46106</v>
      </c>
      <c r="H376">
        <f>COUNTIF(purchase_orders[PO Number], purchase_orders[[#This Row],[PO Number]])</f>
        <v>1</v>
      </c>
    </row>
    <row r="377" spans="1:8" x14ac:dyDescent="0.25">
      <c r="A377" s="1" t="s">
        <v>347</v>
      </c>
      <c r="B377" s="1" t="s">
        <v>1468</v>
      </c>
      <c r="C377" s="2">
        <v>46144</v>
      </c>
      <c r="D377">
        <v>145</v>
      </c>
      <c r="E377">
        <v>193.58</v>
      </c>
      <c r="F377" s="1" t="s">
        <v>1456</v>
      </c>
      <c r="G377" s="2">
        <v>46156</v>
      </c>
      <c r="H377">
        <f>COUNTIF(purchase_orders[PO Number], purchase_orders[[#This Row],[PO Number]])</f>
        <v>1</v>
      </c>
    </row>
    <row r="378" spans="1:8" x14ac:dyDescent="0.25">
      <c r="A378" s="1" t="s">
        <v>348</v>
      </c>
      <c r="B378" s="1" t="s">
        <v>1477</v>
      </c>
      <c r="C378" s="2">
        <v>46036</v>
      </c>
      <c r="D378">
        <v>308</v>
      </c>
      <c r="E378">
        <v>98.69</v>
      </c>
      <c r="F378" s="1" t="s">
        <v>1504</v>
      </c>
      <c r="G378" s="2">
        <v>46053</v>
      </c>
      <c r="H378">
        <f>COUNTIF(purchase_orders[PO Number], purchase_orders[[#This Row],[PO Number]])</f>
        <v>1</v>
      </c>
    </row>
    <row r="379" spans="1:8" x14ac:dyDescent="0.25">
      <c r="A379" s="1" t="s">
        <v>349</v>
      </c>
      <c r="B379" s="1" t="s">
        <v>1464</v>
      </c>
      <c r="C379" s="2">
        <v>46085</v>
      </c>
      <c r="D379">
        <v>26</v>
      </c>
      <c r="E379">
        <v>116.65</v>
      </c>
      <c r="F379" s="1" t="s">
        <v>1499</v>
      </c>
      <c r="G379" s="2">
        <v>46093</v>
      </c>
      <c r="H379">
        <f>COUNTIF(purchase_orders[PO Number], purchase_orders[[#This Row],[PO Number]])</f>
        <v>1</v>
      </c>
    </row>
    <row r="380" spans="1:8" x14ac:dyDescent="0.25">
      <c r="A380" s="1" t="s">
        <v>350</v>
      </c>
      <c r="B380" s="1" t="s">
        <v>1505</v>
      </c>
      <c r="C380" s="2">
        <v>46027</v>
      </c>
      <c r="D380">
        <v>235</v>
      </c>
      <c r="E380">
        <v>66.17</v>
      </c>
      <c r="F380" s="1" t="s">
        <v>1485</v>
      </c>
      <c r="G380" s="2">
        <v>46045</v>
      </c>
      <c r="H380">
        <f>COUNTIF(purchase_orders[PO Number], purchase_orders[[#This Row],[PO Number]])</f>
        <v>1</v>
      </c>
    </row>
    <row r="381" spans="1:8" x14ac:dyDescent="0.25">
      <c r="A381" s="1" t="s">
        <v>351</v>
      </c>
      <c r="B381" s="1" t="s">
        <v>1449</v>
      </c>
      <c r="C381" s="2">
        <v>46075</v>
      </c>
      <c r="D381">
        <v>220</v>
      </c>
      <c r="E381">
        <v>102.85</v>
      </c>
      <c r="F381" s="1" t="s">
        <v>1494</v>
      </c>
      <c r="G381" s="2">
        <v>46095</v>
      </c>
      <c r="H381">
        <f>COUNTIF(purchase_orders[PO Number], purchase_orders[[#This Row],[PO Number]])</f>
        <v>1</v>
      </c>
    </row>
    <row r="382" spans="1:8" x14ac:dyDescent="0.25">
      <c r="A382" s="1" t="s">
        <v>352</v>
      </c>
      <c r="B382" s="1" t="s">
        <v>1465</v>
      </c>
      <c r="C382" s="2">
        <v>46038</v>
      </c>
      <c r="D382">
        <v>371</v>
      </c>
      <c r="E382">
        <v>31.93</v>
      </c>
      <c r="F382" s="1" t="s">
        <v>1444</v>
      </c>
      <c r="G382" s="2">
        <v>46053</v>
      </c>
      <c r="H382">
        <f>COUNTIF(purchase_orders[PO Number], purchase_orders[[#This Row],[PO Number]])</f>
        <v>1</v>
      </c>
    </row>
    <row r="383" spans="1:8" x14ac:dyDescent="0.25">
      <c r="A383" s="1" t="s">
        <v>353</v>
      </c>
      <c r="B383" s="1" t="s">
        <v>1484</v>
      </c>
      <c r="C383" s="2">
        <v>46145</v>
      </c>
      <c r="D383">
        <v>279</v>
      </c>
      <c r="E383">
        <v>78.48</v>
      </c>
      <c r="F383" s="1" t="s">
        <v>1501</v>
      </c>
      <c r="G383" s="2">
        <v>46164</v>
      </c>
      <c r="H383">
        <f>COUNTIF(purchase_orders[PO Number], purchase_orders[[#This Row],[PO Number]])</f>
        <v>1</v>
      </c>
    </row>
    <row r="384" spans="1:8" x14ac:dyDescent="0.25">
      <c r="A384" s="1" t="s">
        <v>354</v>
      </c>
      <c r="B384" s="1" t="s">
        <v>1471</v>
      </c>
      <c r="C384" s="2">
        <v>46110</v>
      </c>
      <c r="D384">
        <v>289</v>
      </c>
      <c r="E384">
        <v>74.09</v>
      </c>
      <c r="F384" s="1" t="s">
        <v>1456</v>
      </c>
      <c r="G384" s="2">
        <v>46123</v>
      </c>
      <c r="H384">
        <f>COUNTIF(purchase_orders[PO Number], purchase_orders[[#This Row],[PO Number]])</f>
        <v>1</v>
      </c>
    </row>
    <row r="385" spans="1:8" x14ac:dyDescent="0.25">
      <c r="A385" s="1" t="s">
        <v>355</v>
      </c>
      <c r="B385" s="1" t="s">
        <v>1497</v>
      </c>
      <c r="C385" s="2">
        <v>46146</v>
      </c>
      <c r="D385">
        <v>108</v>
      </c>
      <c r="E385">
        <v>191.68</v>
      </c>
      <c r="F385" s="1" t="s">
        <v>1458</v>
      </c>
      <c r="G385" s="2">
        <v>46160</v>
      </c>
      <c r="H385">
        <f>COUNTIF(purchase_orders[PO Number], purchase_orders[[#This Row],[PO Number]])</f>
        <v>1</v>
      </c>
    </row>
    <row r="386" spans="1:8" x14ac:dyDescent="0.25">
      <c r="A386" s="1" t="s">
        <v>1080</v>
      </c>
      <c r="B386" s="1" t="s">
        <v>1447</v>
      </c>
      <c r="C386" s="2">
        <v>46099</v>
      </c>
      <c r="D386">
        <v>404</v>
      </c>
      <c r="E386">
        <v>61.36</v>
      </c>
      <c r="F386" s="1" t="s">
        <v>1459</v>
      </c>
      <c r="G386" s="2">
        <v>46119</v>
      </c>
      <c r="H386">
        <f>COUNTIF(purchase_orders[PO Number], purchase_orders[[#This Row],[PO Number]])</f>
        <v>1</v>
      </c>
    </row>
    <row r="387" spans="1:8" x14ac:dyDescent="0.25">
      <c r="A387" s="1" t="s">
        <v>356</v>
      </c>
      <c r="B387" s="1" t="s">
        <v>1509</v>
      </c>
      <c r="C387" s="2">
        <v>46145</v>
      </c>
      <c r="D387">
        <v>188</v>
      </c>
      <c r="E387">
        <v>114.3</v>
      </c>
      <c r="F387" s="1" t="s">
        <v>1490</v>
      </c>
      <c r="G387" s="2">
        <v>46158</v>
      </c>
      <c r="H387">
        <f>COUNTIF(purchase_orders[PO Number], purchase_orders[[#This Row],[PO Number]])</f>
        <v>1</v>
      </c>
    </row>
    <row r="388" spans="1:8" x14ac:dyDescent="0.25">
      <c r="A388" s="1" t="s">
        <v>357</v>
      </c>
      <c r="B388" s="1" t="s">
        <v>1506</v>
      </c>
      <c r="C388" s="2">
        <v>46054</v>
      </c>
      <c r="D388">
        <v>303</v>
      </c>
      <c r="E388">
        <v>136.94</v>
      </c>
      <c r="F388" s="1" t="s">
        <v>1453</v>
      </c>
      <c r="G388" s="2">
        <v>46071</v>
      </c>
      <c r="H388">
        <f>COUNTIF(purchase_orders[PO Number], purchase_orders[[#This Row],[PO Number]])</f>
        <v>1</v>
      </c>
    </row>
    <row r="389" spans="1:8" x14ac:dyDescent="0.25">
      <c r="A389" s="1" t="s">
        <v>358</v>
      </c>
      <c r="B389" s="1" t="s">
        <v>1503</v>
      </c>
      <c r="C389" s="2">
        <v>46060</v>
      </c>
      <c r="D389">
        <v>158</v>
      </c>
      <c r="E389">
        <v>13.2</v>
      </c>
      <c r="F389" s="1" t="s">
        <v>1499</v>
      </c>
      <c r="G389" s="2">
        <v>46067</v>
      </c>
      <c r="H389">
        <f>COUNTIF(purchase_orders[PO Number], purchase_orders[[#This Row],[PO Number]])</f>
        <v>1</v>
      </c>
    </row>
    <row r="390" spans="1:8" x14ac:dyDescent="0.25">
      <c r="A390" s="1" t="s">
        <v>359</v>
      </c>
      <c r="B390" s="1" t="s">
        <v>1503</v>
      </c>
      <c r="C390" s="2">
        <v>46136</v>
      </c>
      <c r="D390">
        <v>345</v>
      </c>
      <c r="E390">
        <v>55.01</v>
      </c>
      <c r="F390" s="1" t="s">
        <v>1487</v>
      </c>
      <c r="G390" s="2">
        <v>46147</v>
      </c>
      <c r="H390">
        <f>COUNTIF(purchase_orders[PO Number], purchase_orders[[#This Row],[PO Number]])</f>
        <v>1</v>
      </c>
    </row>
    <row r="391" spans="1:8" x14ac:dyDescent="0.25">
      <c r="A391" s="1" t="s">
        <v>360</v>
      </c>
      <c r="B391" s="1" t="s">
        <v>1505</v>
      </c>
      <c r="C391" s="2">
        <v>46160</v>
      </c>
      <c r="D391">
        <v>148</v>
      </c>
      <c r="E391">
        <v>186.94</v>
      </c>
      <c r="F391" s="1" t="s">
        <v>1499</v>
      </c>
      <c r="G391" s="2">
        <v>46173</v>
      </c>
      <c r="H391">
        <f>COUNTIF(purchase_orders[PO Number], purchase_orders[[#This Row],[PO Number]])</f>
        <v>1</v>
      </c>
    </row>
    <row r="392" spans="1:8" x14ac:dyDescent="0.25">
      <c r="A392" s="1" t="s">
        <v>361</v>
      </c>
      <c r="B392" s="1" t="s">
        <v>1441</v>
      </c>
      <c r="C392" s="2">
        <v>46050</v>
      </c>
      <c r="D392">
        <v>325</v>
      </c>
      <c r="E392">
        <v>149.47</v>
      </c>
      <c r="F392" s="1" t="s">
        <v>1440</v>
      </c>
      <c r="G392" s="2">
        <v>46062</v>
      </c>
      <c r="H392">
        <f>COUNTIF(purchase_orders[PO Number], purchase_orders[[#This Row],[PO Number]])</f>
        <v>1</v>
      </c>
    </row>
    <row r="393" spans="1:8" x14ac:dyDescent="0.25">
      <c r="A393" s="1" t="s">
        <v>1088</v>
      </c>
      <c r="B393" s="1" t="s">
        <v>1475</v>
      </c>
      <c r="C393" s="2">
        <v>46158</v>
      </c>
      <c r="D393">
        <v>125</v>
      </c>
      <c r="E393">
        <v>129.4</v>
      </c>
      <c r="F393" s="1" t="s">
        <v>1462</v>
      </c>
      <c r="G393" s="2">
        <v>46166</v>
      </c>
      <c r="H393">
        <f>COUNTIF(purchase_orders[PO Number], purchase_orders[[#This Row],[PO Number]])</f>
        <v>1</v>
      </c>
    </row>
    <row r="394" spans="1:8" x14ac:dyDescent="0.25">
      <c r="A394" s="1" t="s">
        <v>1090</v>
      </c>
      <c r="B394" s="1" t="s">
        <v>1495</v>
      </c>
      <c r="C394" s="2">
        <v>46107</v>
      </c>
      <c r="D394">
        <v>377</v>
      </c>
      <c r="E394">
        <v>97.12</v>
      </c>
      <c r="F394" s="1" t="s">
        <v>1467</v>
      </c>
      <c r="G394" s="2">
        <v>46116</v>
      </c>
      <c r="H394">
        <f>COUNTIF(purchase_orders[PO Number], purchase_orders[[#This Row],[PO Number]])</f>
        <v>1</v>
      </c>
    </row>
    <row r="395" spans="1:8" x14ac:dyDescent="0.25">
      <c r="A395" s="1" t="s">
        <v>1092</v>
      </c>
      <c r="B395" s="1" t="s">
        <v>1481</v>
      </c>
      <c r="C395" s="2">
        <v>46163</v>
      </c>
      <c r="D395">
        <v>485</v>
      </c>
      <c r="E395">
        <v>35.799999999999997</v>
      </c>
      <c r="F395" s="1" t="s">
        <v>1446</v>
      </c>
      <c r="G395" s="2">
        <v>46183</v>
      </c>
      <c r="H395">
        <f>COUNTIF(purchase_orders[PO Number], purchase_orders[[#This Row],[PO Number]])</f>
        <v>1</v>
      </c>
    </row>
    <row r="396" spans="1:8" x14ac:dyDescent="0.25">
      <c r="A396" s="1" t="s">
        <v>362</v>
      </c>
      <c r="B396" s="1" t="s">
        <v>1510</v>
      </c>
      <c r="C396" s="2">
        <v>46074</v>
      </c>
      <c r="D396">
        <v>397</v>
      </c>
      <c r="E396">
        <v>192.96</v>
      </c>
      <c r="F396" s="1" t="s">
        <v>1472</v>
      </c>
      <c r="G396" s="2">
        <v>46088</v>
      </c>
      <c r="H396">
        <f>COUNTIF(purchase_orders[PO Number], purchase_orders[[#This Row],[PO Number]])</f>
        <v>1</v>
      </c>
    </row>
    <row r="397" spans="1:8" x14ac:dyDescent="0.25">
      <c r="A397" s="1" t="s">
        <v>363</v>
      </c>
      <c r="B397" s="1" t="s">
        <v>1508</v>
      </c>
      <c r="C397" s="2">
        <v>46038</v>
      </c>
      <c r="D397">
        <v>474</v>
      </c>
      <c r="E397">
        <v>154.9</v>
      </c>
      <c r="F397" s="1" t="s">
        <v>1446</v>
      </c>
      <c r="G397" s="2">
        <v>46050</v>
      </c>
      <c r="H397">
        <f>COUNTIF(purchase_orders[PO Number], purchase_orders[[#This Row],[PO Number]])</f>
        <v>1</v>
      </c>
    </row>
    <row r="398" spans="1:8" x14ac:dyDescent="0.25">
      <c r="A398" s="1" t="s">
        <v>1096</v>
      </c>
      <c r="B398" s="1" t="s">
        <v>1471</v>
      </c>
      <c r="C398" s="2">
        <v>46032</v>
      </c>
      <c r="D398">
        <v>477</v>
      </c>
      <c r="E398">
        <v>184.69</v>
      </c>
      <c r="F398" s="1" t="s">
        <v>1507</v>
      </c>
      <c r="G398" s="2">
        <v>46042</v>
      </c>
      <c r="H398">
        <f>COUNTIF(purchase_orders[PO Number], purchase_orders[[#This Row],[PO Number]])</f>
        <v>1</v>
      </c>
    </row>
    <row r="399" spans="1:8" x14ac:dyDescent="0.25">
      <c r="A399" s="1" t="s">
        <v>364</v>
      </c>
      <c r="B399" s="1" t="s">
        <v>1452</v>
      </c>
      <c r="C399" s="2">
        <v>46124</v>
      </c>
      <c r="D399">
        <v>413</v>
      </c>
      <c r="E399">
        <v>101.6</v>
      </c>
      <c r="F399" s="1" t="s">
        <v>1490</v>
      </c>
      <c r="G399" s="2">
        <v>46138</v>
      </c>
      <c r="H399">
        <f>COUNTIF(purchase_orders[PO Number], purchase_orders[[#This Row],[PO Number]])</f>
        <v>1</v>
      </c>
    </row>
    <row r="400" spans="1:8" x14ac:dyDescent="0.25">
      <c r="A400" s="1" t="s">
        <v>365</v>
      </c>
      <c r="B400" s="1" t="s">
        <v>1452</v>
      </c>
      <c r="C400" s="2">
        <v>46025</v>
      </c>
      <c r="D400">
        <v>162</v>
      </c>
      <c r="E400">
        <v>115.75</v>
      </c>
      <c r="F400" s="1" t="s">
        <v>1483</v>
      </c>
      <c r="G400" s="2">
        <v>46040</v>
      </c>
      <c r="H400">
        <f>COUNTIF(purchase_orders[PO Number], purchase_orders[[#This Row],[PO Number]])</f>
        <v>1</v>
      </c>
    </row>
    <row r="401" spans="1:8" x14ac:dyDescent="0.25">
      <c r="A401" s="1" t="s">
        <v>366</v>
      </c>
      <c r="B401" s="1" t="s">
        <v>1506</v>
      </c>
      <c r="C401" s="2">
        <v>46139</v>
      </c>
      <c r="D401">
        <v>338</v>
      </c>
      <c r="E401">
        <v>110.94</v>
      </c>
      <c r="F401" s="1" t="s">
        <v>1487</v>
      </c>
      <c r="G401" s="2">
        <v>46148</v>
      </c>
      <c r="H401">
        <f>COUNTIF(purchase_orders[PO Number], purchase_orders[[#This Row],[PO Number]])</f>
        <v>1</v>
      </c>
    </row>
    <row r="402" spans="1:8" x14ac:dyDescent="0.25">
      <c r="A402" s="1" t="s">
        <v>367</v>
      </c>
      <c r="B402" s="1" t="s">
        <v>1445</v>
      </c>
      <c r="C402" s="2">
        <v>46142</v>
      </c>
      <c r="D402">
        <v>149</v>
      </c>
      <c r="E402">
        <v>42.6</v>
      </c>
      <c r="F402" s="1" t="s">
        <v>1483</v>
      </c>
      <c r="G402" s="2">
        <v>46157</v>
      </c>
      <c r="H402">
        <f>COUNTIF(purchase_orders[PO Number], purchase_orders[[#This Row],[PO Number]])</f>
        <v>1</v>
      </c>
    </row>
    <row r="403" spans="1:8" x14ac:dyDescent="0.25">
      <c r="A403" s="1" t="s">
        <v>368</v>
      </c>
      <c r="B403" s="1" t="s">
        <v>1460</v>
      </c>
      <c r="C403" s="2">
        <v>46140</v>
      </c>
      <c r="D403">
        <v>341</v>
      </c>
      <c r="E403">
        <v>55.17</v>
      </c>
      <c r="F403" s="1" t="s">
        <v>1501</v>
      </c>
      <c r="G403" s="2">
        <v>46145</v>
      </c>
      <c r="H403">
        <f>COUNTIF(purchase_orders[PO Number], purchase_orders[[#This Row],[PO Number]])</f>
        <v>1</v>
      </c>
    </row>
    <row r="404" spans="1:8" x14ac:dyDescent="0.25">
      <c r="A404" s="1" t="s">
        <v>369</v>
      </c>
      <c r="B404" s="1" t="s">
        <v>1465</v>
      </c>
      <c r="C404" s="2">
        <v>46109</v>
      </c>
      <c r="D404">
        <v>414</v>
      </c>
      <c r="E404">
        <v>62.53</v>
      </c>
      <c r="F404" s="1" t="s">
        <v>1467</v>
      </c>
      <c r="G404" s="2">
        <v>46120</v>
      </c>
      <c r="H404">
        <f>COUNTIF(purchase_orders[PO Number], purchase_orders[[#This Row],[PO Number]])</f>
        <v>1</v>
      </c>
    </row>
    <row r="405" spans="1:8" x14ac:dyDescent="0.25">
      <c r="A405" s="1" t="s">
        <v>370</v>
      </c>
      <c r="B405" s="1" t="s">
        <v>1486</v>
      </c>
      <c r="C405" s="2">
        <v>46126</v>
      </c>
      <c r="D405">
        <v>433</v>
      </c>
      <c r="E405">
        <v>88.4</v>
      </c>
      <c r="F405" s="1" t="s">
        <v>1472</v>
      </c>
      <c r="G405" s="2">
        <v>46133</v>
      </c>
      <c r="H405">
        <f>COUNTIF(purchase_orders[PO Number], purchase_orders[[#This Row],[PO Number]])</f>
        <v>1</v>
      </c>
    </row>
    <row r="406" spans="1:8" x14ac:dyDescent="0.25">
      <c r="A406" s="1" t="s">
        <v>371</v>
      </c>
      <c r="B406" s="1" t="s">
        <v>1488</v>
      </c>
      <c r="C406" s="2">
        <v>46047</v>
      </c>
      <c r="D406">
        <v>104</v>
      </c>
      <c r="E406">
        <v>196.43</v>
      </c>
      <c r="F406" s="1" t="s">
        <v>1487</v>
      </c>
      <c r="G406" s="2">
        <v>46062</v>
      </c>
      <c r="H406">
        <f>COUNTIF(purchase_orders[PO Number], purchase_orders[[#This Row],[PO Number]])</f>
        <v>1</v>
      </c>
    </row>
    <row r="407" spans="1:8" x14ac:dyDescent="0.25">
      <c r="A407" s="1" t="s">
        <v>372</v>
      </c>
      <c r="B407" s="1" t="s">
        <v>1482</v>
      </c>
      <c r="C407" s="2">
        <v>46024</v>
      </c>
      <c r="D407">
        <v>143</v>
      </c>
      <c r="E407">
        <v>79.8</v>
      </c>
      <c r="F407" s="1" t="s">
        <v>1469</v>
      </c>
      <c r="G407" s="2">
        <v>46037</v>
      </c>
      <c r="H407">
        <f>COUNTIF(purchase_orders[PO Number], purchase_orders[[#This Row],[PO Number]])</f>
        <v>1</v>
      </c>
    </row>
    <row r="408" spans="1:8" x14ac:dyDescent="0.25">
      <c r="A408" s="1" t="s">
        <v>373</v>
      </c>
      <c r="B408" s="1" t="s">
        <v>1479</v>
      </c>
      <c r="C408" s="2">
        <v>46100</v>
      </c>
      <c r="D408">
        <v>308</v>
      </c>
      <c r="E408">
        <v>145.96</v>
      </c>
      <c r="F408" s="1" t="s">
        <v>1448</v>
      </c>
      <c r="G408" s="2">
        <v>46113</v>
      </c>
      <c r="H408">
        <f>COUNTIF(purchase_orders[PO Number], purchase_orders[[#This Row],[PO Number]])</f>
        <v>1</v>
      </c>
    </row>
    <row r="409" spans="1:8" x14ac:dyDescent="0.25">
      <c r="A409" s="1" t="s">
        <v>374</v>
      </c>
      <c r="B409" s="1" t="s">
        <v>1508</v>
      </c>
      <c r="C409" s="2">
        <v>46115</v>
      </c>
      <c r="D409">
        <v>364</v>
      </c>
      <c r="E409">
        <v>51.08</v>
      </c>
      <c r="F409" s="1" t="s">
        <v>1467</v>
      </c>
      <c r="G409" s="2">
        <v>46123</v>
      </c>
      <c r="H409">
        <f>COUNTIF(purchase_orders[PO Number], purchase_orders[[#This Row],[PO Number]])</f>
        <v>1</v>
      </c>
    </row>
    <row r="410" spans="1:8" x14ac:dyDescent="0.25">
      <c r="A410" s="1" t="s">
        <v>375</v>
      </c>
      <c r="B410" s="1" t="s">
        <v>1489</v>
      </c>
      <c r="C410" s="2">
        <v>46101</v>
      </c>
      <c r="D410">
        <v>91</v>
      </c>
      <c r="E410">
        <v>84.06</v>
      </c>
      <c r="F410" s="1" t="s">
        <v>1504</v>
      </c>
      <c r="G410" s="2">
        <v>46115</v>
      </c>
      <c r="H410">
        <f>COUNTIF(purchase_orders[PO Number], purchase_orders[[#This Row],[PO Number]])</f>
        <v>1</v>
      </c>
    </row>
    <row r="411" spans="1:8" x14ac:dyDescent="0.25">
      <c r="A411" s="1" t="s">
        <v>376</v>
      </c>
      <c r="B411" s="1" t="s">
        <v>1449</v>
      </c>
      <c r="C411" s="2">
        <v>46053</v>
      </c>
      <c r="D411">
        <v>337</v>
      </c>
      <c r="E411">
        <v>183.65</v>
      </c>
      <c r="F411" s="1" t="s">
        <v>1474</v>
      </c>
      <c r="G411" s="2">
        <v>46069</v>
      </c>
      <c r="H411">
        <f>COUNTIF(purchase_orders[PO Number], purchase_orders[[#This Row],[PO Number]])</f>
        <v>1</v>
      </c>
    </row>
    <row r="412" spans="1:8" x14ac:dyDescent="0.25">
      <c r="A412" s="1" t="s">
        <v>377</v>
      </c>
      <c r="B412" s="1" t="s">
        <v>1497</v>
      </c>
      <c r="C412" s="2">
        <v>46079</v>
      </c>
      <c r="D412">
        <v>122</v>
      </c>
      <c r="E412">
        <v>191.69</v>
      </c>
      <c r="F412" s="1" t="s">
        <v>1459</v>
      </c>
      <c r="G412" s="2">
        <v>46088</v>
      </c>
      <c r="H412">
        <f>COUNTIF(purchase_orders[PO Number], purchase_orders[[#This Row],[PO Number]])</f>
        <v>1</v>
      </c>
    </row>
    <row r="413" spans="1:8" x14ac:dyDescent="0.25">
      <c r="A413" s="1" t="s">
        <v>378</v>
      </c>
      <c r="B413" s="1" t="s">
        <v>1489</v>
      </c>
      <c r="C413" s="2">
        <v>46118</v>
      </c>
      <c r="D413">
        <v>222</v>
      </c>
      <c r="E413">
        <v>141.88</v>
      </c>
      <c r="F413" s="1" t="s">
        <v>1487</v>
      </c>
      <c r="G413" s="2">
        <v>46129</v>
      </c>
      <c r="H413">
        <f>COUNTIF(purchase_orders[PO Number], purchase_orders[[#This Row],[PO Number]])</f>
        <v>1</v>
      </c>
    </row>
    <row r="414" spans="1:8" x14ac:dyDescent="0.25">
      <c r="A414" s="1" t="s">
        <v>1113</v>
      </c>
      <c r="B414" s="1" t="s">
        <v>1482</v>
      </c>
      <c r="C414" s="2">
        <v>46043</v>
      </c>
      <c r="D414">
        <v>279</v>
      </c>
      <c r="E414">
        <v>92.12</v>
      </c>
      <c r="F414" s="1" t="s">
        <v>1499</v>
      </c>
      <c r="G414" s="2">
        <v>46059</v>
      </c>
      <c r="H414">
        <f>COUNTIF(purchase_orders[PO Number], purchase_orders[[#This Row],[PO Number]])</f>
        <v>1</v>
      </c>
    </row>
    <row r="415" spans="1:8" x14ac:dyDescent="0.25">
      <c r="A415" s="1" t="s">
        <v>379</v>
      </c>
      <c r="B415" s="1" t="s">
        <v>1492</v>
      </c>
      <c r="C415" s="2">
        <v>46167</v>
      </c>
      <c r="D415">
        <v>67</v>
      </c>
      <c r="E415">
        <v>17.04</v>
      </c>
      <c r="F415" s="1" t="s">
        <v>1442</v>
      </c>
      <c r="G415" s="2">
        <v>46188</v>
      </c>
      <c r="H415">
        <f>COUNTIF(purchase_orders[PO Number], purchase_orders[[#This Row],[PO Number]])</f>
        <v>1</v>
      </c>
    </row>
    <row r="416" spans="1:8" x14ac:dyDescent="0.25">
      <c r="A416" s="1" t="s">
        <v>380</v>
      </c>
      <c r="B416" s="1" t="s">
        <v>1505</v>
      </c>
      <c r="C416" s="2">
        <v>46169</v>
      </c>
      <c r="D416">
        <v>284</v>
      </c>
      <c r="E416">
        <v>34.22</v>
      </c>
      <c r="F416" s="1" t="s">
        <v>1472</v>
      </c>
      <c r="G416" s="2">
        <v>46190</v>
      </c>
      <c r="H416">
        <f>COUNTIF(purchase_orders[PO Number], purchase_orders[[#This Row],[PO Number]])</f>
        <v>1</v>
      </c>
    </row>
    <row r="417" spans="1:8" x14ac:dyDescent="0.25">
      <c r="A417" s="1" t="s">
        <v>381</v>
      </c>
      <c r="B417" s="1" t="s">
        <v>1478</v>
      </c>
      <c r="C417" s="2">
        <v>46052</v>
      </c>
      <c r="D417">
        <v>358</v>
      </c>
      <c r="E417">
        <v>45.05</v>
      </c>
      <c r="F417" s="1" t="s">
        <v>1480</v>
      </c>
      <c r="G417" s="2">
        <v>46072</v>
      </c>
      <c r="H417">
        <f>COUNTIF(purchase_orders[PO Number], purchase_orders[[#This Row],[PO Number]])</f>
        <v>1</v>
      </c>
    </row>
    <row r="418" spans="1:8" x14ac:dyDescent="0.25">
      <c r="A418" s="1" t="s">
        <v>382</v>
      </c>
      <c r="B418" s="1" t="s">
        <v>1457</v>
      </c>
      <c r="C418" s="2">
        <v>46153</v>
      </c>
      <c r="D418">
        <v>238</v>
      </c>
      <c r="E418">
        <v>162.69</v>
      </c>
      <c r="F418" s="1" t="s">
        <v>1469</v>
      </c>
      <c r="G418" s="2">
        <v>46162</v>
      </c>
      <c r="H418">
        <f>COUNTIF(purchase_orders[PO Number], purchase_orders[[#This Row],[PO Number]])</f>
        <v>1</v>
      </c>
    </row>
    <row r="419" spans="1:8" x14ac:dyDescent="0.25">
      <c r="A419" s="1" t="s">
        <v>383</v>
      </c>
      <c r="B419" s="1" t="s">
        <v>1445</v>
      </c>
      <c r="C419" s="2">
        <v>46129</v>
      </c>
      <c r="D419">
        <v>243</v>
      </c>
      <c r="E419">
        <v>114.96</v>
      </c>
      <c r="F419" s="1" t="s">
        <v>1442</v>
      </c>
      <c r="G419" s="2">
        <v>46148</v>
      </c>
      <c r="H419">
        <f>COUNTIF(purchase_orders[PO Number], purchase_orders[[#This Row],[PO Number]])</f>
        <v>1</v>
      </c>
    </row>
    <row r="420" spans="1:8" x14ac:dyDescent="0.25">
      <c r="A420" s="1" t="s">
        <v>384</v>
      </c>
      <c r="B420" s="1" t="s">
        <v>1461</v>
      </c>
      <c r="C420" s="2">
        <v>46101</v>
      </c>
      <c r="D420">
        <v>380</v>
      </c>
      <c r="E420">
        <v>9.25</v>
      </c>
      <c r="F420" s="1" t="s">
        <v>1458</v>
      </c>
      <c r="G420" s="2">
        <v>46106</v>
      </c>
      <c r="H420">
        <f>COUNTIF(purchase_orders[PO Number], purchase_orders[[#This Row],[PO Number]])</f>
        <v>1</v>
      </c>
    </row>
    <row r="421" spans="1:8" x14ac:dyDescent="0.25">
      <c r="A421" s="1" t="s">
        <v>385</v>
      </c>
      <c r="B421" s="1" t="s">
        <v>1465</v>
      </c>
      <c r="C421" s="2">
        <v>46078</v>
      </c>
      <c r="D421">
        <v>306</v>
      </c>
      <c r="E421">
        <v>19.239999999999998</v>
      </c>
      <c r="F421" s="1" t="s">
        <v>1507</v>
      </c>
      <c r="G421" s="2">
        <v>46094</v>
      </c>
      <c r="H421">
        <f>COUNTIF(purchase_orders[PO Number], purchase_orders[[#This Row],[PO Number]])</f>
        <v>1</v>
      </c>
    </row>
    <row r="422" spans="1:8" x14ac:dyDescent="0.25">
      <c r="A422" s="1" t="s">
        <v>1122</v>
      </c>
      <c r="B422" s="1" t="s">
        <v>1449</v>
      </c>
      <c r="C422" s="2">
        <v>46039</v>
      </c>
      <c r="D422">
        <v>287</v>
      </c>
      <c r="E422">
        <v>198.85</v>
      </c>
      <c r="F422" s="1" t="s">
        <v>1476</v>
      </c>
      <c r="G422" s="2">
        <v>46059</v>
      </c>
      <c r="H422">
        <f>COUNTIF(purchase_orders[PO Number], purchase_orders[[#This Row],[PO Number]])</f>
        <v>1</v>
      </c>
    </row>
    <row r="423" spans="1:8" x14ac:dyDescent="0.25">
      <c r="A423" s="1" t="s">
        <v>386</v>
      </c>
      <c r="B423" s="1" t="s">
        <v>1452</v>
      </c>
      <c r="C423" s="2">
        <v>46096</v>
      </c>
      <c r="D423">
        <v>219</v>
      </c>
      <c r="E423">
        <v>40.1</v>
      </c>
      <c r="F423" s="1" t="s">
        <v>1485</v>
      </c>
      <c r="G423" s="2">
        <v>46114</v>
      </c>
      <c r="H423">
        <f>COUNTIF(purchase_orders[PO Number], purchase_orders[[#This Row],[PO Number]])</f>
        <v>1</v>
      </c>
    </row>
    <row r="424" spans="1:8" x14ac:dyDescent="0.25">
      <c r="A424" s="1" t="s">
        <v>387</v>
      </c>
      <c r="B424" s="1" t="s">
        <v>1496</v>
      </c>
      <c r="C424" s="2">
        <v>46120</v>
      </c>
      <c r="D424">
        <v>239</v>
      </c>
      <c r="E424">
        <v>174.58</v>
      </c>
      <c r="F424" s="1" t="s">
        <v>1453</v>
      </c>
      <c r="G424" s="2">
        <v>46137</v>
      </c>
      <c r="H424">
        <f>COUNTIF(purchase_orders[PO Number], purchase_orders[[#This Row],[PO Number]])</f>
        <v>1</v>
      </c>
    </row>
    <row r="425" spans="1:8" x14ac:dyDescent="0.25">
      <c r="A425" s="1" t="s">
        <v>1126</v>
      </c>
      <c r="B425" s="1" t="s">
        <v>1457</v>
      </c>
      <c r="C425" s="2">
        <v>46161</v>
      </c>
      <c r="D425">
        <v>78</v>
      </c>
      <c r="E425">
        <v>132.44</v>
      </c>
      <c r="F425" s="1" t="s">
        <v>1451</v>
      </c>
      <c r="G425" s="2">
        <v>46169</v>
      </c>
      <c r="H425">
        <f>COUNTIF(purchase_orders[PO Number], purchase_orders[[#This Row],[PO Number]])</f>
        <v>1</v>
      </c>
    </row>
    <row r="426" spans="1:8" x14ac:dyDescent="0.25">
      <c r="A426" s="1" t="s">
        <v>388</v>
      </c>
      <c r="B426" s="1" t="s">
        <v>1486</v>
      </c>
      <c r="C426" s="2">
        <v>46160</v>
      </c>
      <c r="D426">
        <v>211</v>
      </c>
      <c r="E426">
        <v>108.12</v>
      </c>
      <c r="F426" s="1" t="s">
        <v>1490</v>
      </c>
      <c r="G426" s="2">
        <v>46172</v>
      </c>
      <c r="H426">
        <f>COUNTIF(purchase_orders[PO Number], purchase_orders[[#This Row],[PO Number]])</f>
        <v>1</v>
      </c>
    </row>
    <row r="427" spans="1:8" x14ac:dyDescent="0.25">
      <c r="A427" s="1" t="s">
        <v>389</v>
      </c>
      <c r="B427" s="1" t="s">
        <v>1481</v>
      </c>
      <c r="C427" s="2">
        <v>46028</v>
      </c>
      <c r="D427">
        <v>162</v>
      </c>
      <c r="E427">
        <v>95.29</v>
      </c>
      <c r="F427" s="1" t="s">
        <v>1490</v>
      </c>
      <c r="G427" s="2">
        <v>46046</v>
      </c>
      <c r="H427">
        <f>COUNTIF(purchase_orders[PO Number], purchase_orders[[#This Row],[PO Number]])</f>
        <v>1</v>
      </c>
    </row>
    <row r="428" spans="1:8" x14ac:dyDescent="0.25">
      <c r="A428" s="1" t="s">
        <v>390</v>
      </c>
      <c r="B428" s="1" t="s">
        <v>1471</v>
      </c>
      <c r="C428" s="2">
        <v>46120</v>
      </c>
      <c r="D428">
        <v>431</v>
      </c>
      <c r="E428">
        <v>49.78</v>
      </c>
      <c r="F428" s="1" t="s">
        <v>1469</v>
      </c>
      <c r="G428" s="2">
        <v>46136</v>
      </c>
      <c r="H428">
        <f>COUNTIF(purchase_orders[PO Number], purchase_orders[[#This Row],[PO Number]])</f>
        <v>1</v>
      </c>
    </row>
    <row r="429" spans="1:8" x14ac:dyDescent="0.25">
      <c r="A429" s="1" t="s">
        <v>391</v>
      </c>
      <c r="B429" s="1" t="s">
        <v>1464</v>
      </c>
      <c r="C429" s="2">
        <v>46093</v>
      </c>
      <c r="D429">
        <v>106</v>
      </c>
      <c r="E429">
        <v>187.8</v>
      </c>
      <c r="F429" s="1" t="s">
        <v>1490</v>
      </c>
      <c r="G429" s="2">
        <v>46101</v>
      </c>
      <c r="H429">
        <f>COUNTIF(purchase_orders[PO Number], purchase_orders[[#This Row],[PO Number]])</f>
        <v>1</v>
      </c>
    </row>
    <row r="430" spans="1:8" x14ac:dyDescent="0.25">
      <c r="A430" s="1" t="s">
        <v>392</v>
      </c>
      <c r="B430" s="1" t="s">
        <v>1452</v>
      </c>
      <c r="C430" s="2">
        <v>46130</v>
      </c>
      <c r="D430">
        <v>324</v>
      </c>
      <c r="E430">
        <v>154.38</v>
      </c>
      <c r="F430" s="1" t="s">
        <v>1448</v>
      </c>
      <c r="G430" s="2">
        <v>46142</v>
      </c>
      <c r="H430">
        <f>COUNTIF(purchase_orders[PO Number], purchase_orders[[#This Row],[PO Number]])</f>
        <v>1</v>
      </c>
    </row>
    <row r="431" spans="1:8" x14ac:dyDescent="0.25">
      <c r="A431" s="1" t="s">
        <v>393</v>
      </c>
      <c r="B431" s="1" t="s">
        <v>1463</v>
      </c>
      <c r="C431" s="2">
        <v>46040</v>
      </c>
      <c r="D431">
        <v>61</v>
      </c>
      <c r="E431">
        <v>120.82</v>
      </c>
      <c r="F431" s="1" t="s">
        <v>1469</v>
      </c>
      <c r="G431" s="2">
        <v>46046</v>
      </c>
      <c r="H431">
        <f>COUNTIF(purchase_orders[PO Number], purchase_orders[[#This Row],[PO Number]])</f>
        <v>1</v>
      </c>
    </row>
    <row r="432" spans="1:8" x14ac:dyDescent="0.25">
      <c r="A432" s="1" t="s">
        <v>394</v>
      </c>
      <c r="B432" s="1" t="s">
        <v>1482</v>
      </c>
      <c r="C432" s="2">
        <v>46034</v>
      </c>
      <c r="D432">
        <v>215</v>
      </c>
      <c r="E432">
        <v>90.6</v>
      </c>
      <c r="F432" s="1" t="s">
        <v>1442</v>
      </c>
      <c r="G432" s="2">
        <v>46045</v>
      </c>
      <c r="H432">
        <f>COUNTIF(purchase_orders[PO Number], purchase_orders[[#This Row],[PO Number]])</f>
        <v>1</v>
      </c>
    </row>
    <row r="433" spans="1:8" x14ac:dyDescent="0.25">
      <c r="A433" s="1" t="s">
        <v>1135</v>
      </c>
      <c r="B433" s="1" t="s">
        <v>1475</v>
      </c>
      <c r="C433" s="2">
        <v>46058</v>
      </c>
      <c r="D433">
        <v>267</v>
      </c>
      <c r="E433">
        <v>198.73</v>
      </c>
      <c r="F433" s="1" t="s">
        <v>1440</v>
      </c>
      <c r="G433" s="2">
        <v>46073</v>
      </c>
      <c r="H433">
        <f>COUNTIF(purchase_orders[PO Number], purchase_orders[[#This Row],[PO Number]])</f>
        <v>1</v>
      </c>
    </row>
    <row r="434" spans="1:8" x14ac:dyDescent="0.25">
      <c r="A434" s="1" t="s">
        <v>395</v>
      </c>
      <c r="B434" s="1" t="s">
        <v>1493</v>
      </c>
      <c r="C434" s="2">
        <v>46105</v>
      </c>
      <c r="D434">
        <v>131</v>
      </c>
      <c r="E434">
        <v>63.84</v>
      </c>
      <c r="F434" s="1" t="s">
        <v>1485</v>
      </c>
      <c r="G434" s="2">
        <v>46126</v>
      </c>
      <c r="H434">
        <f>COUNTIF(purchase_orders[PO Number], purchase_orders[[#This Row],[PO Number]])</f>
        <v>1</v>
      </c>
    </row>
    <row r="435" spans="1:8" x14ac:dyDescent="0.25">
      <c r="A435" s="1" t="s">
        <v>396</v>
      </c>
      <c r="B435" s="1" t="s">
        <v>1447</v>
      </c>
      <c r="C435" s="2">
        <v>46128</v>
      </c>
      <c r="D435">
        <v>163</v>
      </c>
      <c r="E435">
        <v>58.66</v>
      </c>
      <c r="F435" s="1" t="s">
        <v>1442</v>
      </c>
      <c r="G435" s="2">
        <v>46138</v>
      </c>
      <c r="H435">
        <f>COUNTIF(purchase_orders[PO Number], purchase_orders[[#This Row],[PO Number]])</f>
        <v>1</v>
      </c>
    </row>
    <row r="436" spans="1:8" x14ac:dyDescent="0.25">
      <c r="A436" s="1" t="s">
        <v>397</v>
      </c>
      <c r="B436" s="1" t="s">
        <v>1439</v>
      </c>
      <c r="C436" s="2">
        <v>46132</v>
      </c>
      <c r="D436">
        <v>294</v>
      </c>
      <c r="E436">
        <v>101.65</v>
      </c>
      <c r="F436" s="1" t="s">
        <v>1451</v>
      </c>
      <c r="G436" s="2">
        <v>46149</v>
      </c>
      <c r="H436">
        <f>COUNTIF(purchase_orders[PO Number], purchase_orders[[#This Row],[PO Number]])</f>
        <v>1</v>
      </c>
    </row>
    <row r="437" spans="1:8" x14ac:dyDescent="0.25">
      <c r="A437" s="1" t="s">
        <v>398</v>
      </c>
      <c r="B437" s="1" t="s">
        <v>1491</v>
      </c>
      <c r="C437" s="2">
        <v>46104</v>
      </c>
      <c r="D437">
        <v>366</v>
      </c>
      <c r="E437">
        <v>86.18</v>
      </c>
      <c r="F437" s="1" t="s">
        <v>1485</v>
      </c>
      <c r="G437" s="2">
        <v>46118</v>
      </c>
      <c r="H437">
        <f>COUNTIF(purchase_orders[PO Number], purchase_orders[[#This Row],[PO Number]])</f>
        <v>1</v>
      </c>
    </row>
    <row r="438" spans="1:8" x14ac:dyDescent="0.25">
      <c r="A438" s="1" t="s">
        <v>399</v>
      </c>
      <c r="B438" s="1" t="s">
        <v>1502</v>
      </c>
      <c r="C438" s="2">
        <v>46070</v>
      </c>
      <c r="D438">
        <v>396</v>
      </c>
      <c r="E438">
        <v>109.9</v>
      </c>
      <c r="F438" s="1" t="s">
        <v>1440</v>
      </c>
      <c r="G438" s="2">
        <v>46082</v>
      </c>
      <c r="H438">
        <f>COUNTIF(purchase_orders[PO Number], purchase_orders[[#This Row],[PO Number]])</f>
        <v>1</v>
      </c>
    </row>
    <row r="439" spans="1:8" x14ac:dyDescent="0.25">
      <c r="A439" s="1" t="s">
        <v>400</v>
      </c>
      <c r="B439" s="1" t="s">
        <v>1512</v>
      </c>
      <c r="C439" s="2">
        <v>46059</v>
      </c>
      <c r="D439">
        <v>422</v>
      </c>
      <c r="E439">
        <v>95.29</v>
      </c>
      <c r="F439" s="1" t="s">
        <v>1459</v>
      </c>
      <c r="G439" s="2">
        <v>46077</v>
      </c>
      <c r="H439">
        <f>COUNTIF(purchase_orders[PO Number], purchase_orders[[#This Row],[PO Number]])</f>
        <v>1</v>
      </c>
    </row>
    <row r="440" spans="1:8" x14ac:dyDescent="0.25">
      <c r="A440" s="1" t="s">
        <v>1143</v>
      </c>
      <c r="B440" s="1" t="s">
        <v>1495</v>
      </c>
      <c r="C440" s="2">
        <v>46165</v>
      </c>
      <c r="D440">
        <v>281</v>
      </c>
      <c r="E440">
        <v>31.15</v>
      </c>
      <c r="F440" s="1" t="s">
        <v>1440</v>
      </c>
      <c r="G440" s="2">
        <v>46178</v>
      </c>
      <c r="H440">
        <f>COUNTIF(purchase_orders[PO Number], purchase_orders[[#This Row],[PO Number]])</f>
        <v>1</v>
      </c>
    </row>
    <row r="441" spans="1:8" x14ac:dyDescent="0.25">
      <c r="A441" s="1" t="s">
        <v>401</v>
      </c>
      <c r="B441" s="1" t="s">
        <v>1463</v>
      </c>
      <c r="C441" s="2">
        <v>46107</v>
      </c>
      <c r="D441">
        <v>341</v>
      </c>
      <c r="E441">
        <v>20.420000000000002</v>
      </c>
      <c r="F441" s="1" t="s">
        <v>1469</v>
      </c>
      <c r="G441" s="2">
        <v>46123</v>
      </c>
      <c r="H441">
        <f>COUNTIF(purchase_orders[PO Number], purchase_orders[[#This Row],[PO Number]])</f>
        <v>1</v>
      </c>
    </row>
    <row r="442" spans="1:8" x14ac:dyDescent="0.25">
      <c r="A442" s="1" t="s">
        <v>402</v>
      </c>
      <c r="B442" s="1" t="s">
        <v>1457</v>
      </c>
      <c r="C442" s="2">
        <v>46160</v>
      </c>
      <c r="D442">
        <v>380</v>
      </c>
      <c r="E442">
        <v>166.73</v>
      </c>
      <c r="F442" s="1" t="s">
        <v>1462</v>
      </c>
      <c r="G442" s="2">
        <v>46173</v>
      </c>
      <c r="H442">
        <f>COUNTIF(purchase_orders[PO Number], purchase_orders[[#This Row],[PO Number]])</f>
        <v>1</v>
      </c>
    </row>
    <row r="443" spans="1:8" x14ac:dyDescent="0.25">
      <c r="A443" s="1" t="s">
        <v>403</v>
      </c>
      <c r="B443" s="1" t="s">
        <v>1502</v>
      </c>
      <c r="C443" s="2">
        <v>46033</v>
      </c>
      <c r="D443">
        <v>457</v>
      </c>
      <c r="E443">
        <v>19.190000000000001</v>
      </c>
      <c r="F443" s="1" t="s">
        <v>1456</v>
      </c>
      <c r="G443" s="2">
        <v>46044</v>
      </c>
      <c r="H443">
        <f>COUNTIF(purchase_orders[PO Number], purchase_orders[[#This Row],[PO Number]])</f>
        <v>1</v>
      </c>
    </row>
    <row r="444" spans="1:8" x14ac:dyDescent="0.25">
      <c r="A444" s="1" t="s">
        <v>404</v>
      </c>
      <c r="B444" s="1" t="s">
        <v>1510</v>
      </c>
      <c r="C444" s="2">
        <v>46076</v>
      </c>
      <c r="D444">
        <v>455</v>
      </c>
      <c r="E444">
        <v>181.87</v>
      </c>
      <c r="F444" s="1" t="s">
        <v>1459</v>
      </c>
      <c r="G444" s="2">
        <v>46081</v>
      </c>
      <c r="H444">
        <f>COUNTIF(purchase_orders[PO Number], purchase_orders[[#This Row],[PO Number]])</f>
        <v>1</v>
      </c>
    </row>
    <row r="445" spans="1:8" x14ac:dyDescent="0.25">
      <c r="A445" s="1" t="s">
        <v>405</v>
      </c>
      <c r="B445" s="1" t="s">
        <v>1463</v>
      </c>
      <c r="C445" s="2">
        <v>46071</v>
      </c>
      <c r="D445">
        <v>389</v>
      </c>
      <c r="E445">
        <v>27.88</v>
      </c>
      <c r="F445" s="1" t="s">
        <v>1456</v>
      </c>
      <c r="G445" s="2">
        <v>46091</v>
      </c>
      <c r="H445">
        <f>COUNTIF(purchase_orders[PO Number], purchase_orders[[#This Row],[PO Number]])</f>
        <v>1</v>
      </c>
    </row>
    <row r="446" spans="1:8" x14ac:dyDescent="0.25">
      <c r="A446" s="1" t="s">
        <v>406</v>
      </c>
      <c r="B446" s="1" t="s">
        <v>1482</v>
      </c>
      <c r="C446" s="2">
        <v>46075</v>
      </c>
      <c r="D446">
        <v>213</v>
      </c>
      <c r="E446">
        <v>183.45</v>
      </c>
      <c r="F446" s="1" t="s">
        <v>1442</v>
      </c>
      <c r="G446" s="2">
        <v>46090</v>
      </c>
      <c r="H446">
        <f>COUNTIF(purchase_orders[PO Number], purchase_orders[[#This Row],[PO Number]])</f>
        <v>1</v>
      </c>
    </row>
    <row r="447" spans="1:8" x14ac:dyDescent="0.25">
      <c r="A447" s="1" t="s">
        <v>407</v>
      </c>
      <c r="B447" s="1" t="s">
        <v>1506</v>
      </c>
      <c r="C447" s="2">
        <v>46120</v>
      </c>
      <c r="D447">
        <v>248</v>
      </c>
      <c r="E447">
        <v>109.06</v>
      </c>
      <c r="F447" s="1" t="s">
        <v>1459</v>
      </c>
      <c r="G447" s="2">
        <v>46134</v>
      </c>
      <c r="H447">
        <f>COUNTIF(purchase_orders[PO Number], purchase_orders[[#This Row],[PO Number]])</f>
        <v>1</v>
      </c>
    </row>
    <row r="448" spans="1:8" x14ac:dyDescent="0.25">
      <c r="A448" s="1" t="s">
        <v>408</v>
      </c>
      <c r="B448" s="1" t="s">
        <v>1470</v>
      </c>
      <c r="C448" s="2">
        <v>46115</v>
      </c>
      <c r="D448">
        <v>272</v>
      </c>
      <c r="E448">
        <v>177.15</v>
      </c>
      <c r="F448" s="1" t="s">
        <v>1469</v>
      </c>
      <c r="G448" s="2">
        <v>46123</v>
      </c>
      <c r="H448">
        <f>COUNTIF(purchase_orders[PO Number], purchase_orders[[#This Row],[PO Number]])</f>
        <v>1</v>
      </c>
    </row>
    <row r="449" spans="1:8" x14ac:dyDescent="0.25">
      <c r="A449" s="1" t="s">
        <v>409</v>
      </c>
      <c r="B449" s="1" t="s">
        <v>1477</v>
      </c>
      <c r="C449" s="2">
        <v>46143</v>
      </c>
      <c r="D449">
        <v>399</v>
      </c>
      <c r="E449">
        <v>168.75</v>
      </c>
      <c r="F449" s="1" t="s">
        <v>1444</v>
      </c>
      <c r="G449" s="2">
        <v>46159</v>
      </c>
      <c r="H449">
        <f>COUNTIF(purchase_orders[PO Number], purchase_orders[[#This Row],[PO Number]])</f>
        <v>1</v>
      </c>
    </row>
    <row r="450" spans="1:8" x14ac:dyDescent="0.25">
      <c r="A450" s="1" t="s">
        <v>410</v>
      </c>
      <c r="B450" s="1" t="s">
        <v>1509</v>
      </c>
      <c r="C450" s="2">
        <v>46128</v>
      </c>
      <c r="D450">
        <v>33</v>
      </c>
      <c r="E450">
        <v>114.69</v>
      </c>
      <c r="F450" s="1" t="s">
        <v>1440</v>
      </c>
      <c r="G450" s="2">
        <v>46137</v>
      </c>
      <c r="H450">
        <f>COUNTIF(purchase_orders[PO Number], purchase_orders[[#This Row],[PO Number]])</f>
        <v>1</v>
      </c>
    </row>
    <row r="451" spans="1:8" x14ac:dyDescent="0.25">
      <c r="A451" s="1" t="s">
        <v>411</v>
      </c>
      <c r="B451" s="1" t="s">
        <v>1473</v>
      </c>
      <c r="C451" s="2">
        <v>46089</v>
      </c>
      <c r="D451">
        <v>293</v>
      </c>
      <c r="E451">
        <v>187.28</v>
      </c>
      <c r="F451" s="1" t="s">
        <v>1480</v>
      </c>
      <c r="G451" s="2">
        <v>46107</v>
      </c>
      <c r="H451">
        <f>COUNTIF(purchase_orders[PO Number], purchase_orders[[#This Row],[PO Number]])</f>
        <v>1</v>
      </c>
    </row>
    <row r="452" spans="1:8" x14ac:dyDescent="0.25">
      <c r="A452" s="1" t="s">
        <v>412</v>
      </c>
      <c r="B452" s="1" t="s">
        <v>1506</v>
      </c>
      <c r="C452" s="2">
        <v>46062</v>
      </c>
      <c r="D452">
        <v>110</v>
      </c>
      <c r="E452">
        <v>69.319999999999993</v>
      </c>
      <c r="F452" s="1" t="s">
        <v>1453</v>
      </c>
      <c r="G452" s="2">
        <v>46074</v>
      </c>
      <c r="H452">
        <f>COUNTIF(purchase_orders[PO Number], purchase_orders[[#This Row],[PO Number]])</f>
        <v>1</v>
      </c>
    </row>
    <row r="453" spans="1:8" x14ac:dyDescent="0.25">
      <c r="A453" s="1" t="s">
        <v>413</v>
      </c>
      <c r="B453" s="1" t="s">
        <v>1498</v>
      </c>
      <c r="C453" s="2">
        <v>46163</v>
      </c>
      <c r="D453">
        <v>345</v>
      </c>
      <c r="E453">
        <v>188.98</v>
      </c>
      <c r="F453" s="1" t="s">
        <v>1472</v>
      </c>
      <c r="G453" s="2">
        <v>46176</v>
      </c>
      <c r="H453">
        <f>COUNTIF(purchase_orders[PO Number], purchase_orders[[#This Row],[PO Number]])</f>
        <v>1</v>
      </c>
    </row>
    <row r="454" spans="1:8" x14ac:dyDescent="0.25">
      <c r="A454" s="1" t="s">
        <v>414</v>
      </c>
      <c r="B454" s="1" t="s">
        <v>1498</v>
      </c>
      <c r="C454" s="2">
        <v>46148</v>
      </c>
      <c r="D454">
        <v>245</v>
      </c>
      <c r="E454">
        <v>37.81</v>
      </c>
      <c r="F454" s="1" t="s">
        <v>1451</v>
      </c>
      <c r="G454" s="2">
        <v>46158</v>
      </c>
      <c r="H454">
        <f>COUNTIF(purchase_orders[PO Number], purchase_orders[[#This Row],[PO Number]])</f>
        <v>1</v>
      </c>
    </row>
    <row r="455" spans="1:8" x14ac:dyDescent="0.25">
      <c r="A455" s="1" t="s">
        <v>415</v>
      </c>
      <c r="B455" s="1" t="s">
        <v>1441</v>
      </c>
      <c r="C455" s="2">
        <v>46162</v>
      </c>
      <c r="D455">
        <v>260</v>
      </c>
      <c r="E455">
        <v>40.89</v>
      </c>
      <c r="F455" s="1" t="s">
        <v>1442</v>
      </c>
      <c r="G455" s="2">
        <v>46168</v>
      </c>
      <c r="H455">
        <f>COUNTIF(purchase_orders[PO Number], purchase_orders[[#This Row],[PO Number]])</f>
        <v>1</v>
      </c>
    </row>
    <row r="456" spans="1:8" x14ac:dyDescent="0.25">
      <c r="A456" s="1" t="s">
        <v>416</v>
      </c>
      <c r="B456" s="1" t="s">
        <v>1491</v>
      </c>
      <c r="C456" s="2">
        <v>46031</v>
      </c>
      <c r="D456">
        <v>439</v>
      </c>
      <c r="E456">
        <v>170.11</v>
      </c>
      <c r="F456" s="1" t="s">
        <v>1467</v>
      </c>
      <c r="G456" s="2">
        <v>46037</v>
      </c>
      <c r="H456">
        <f>COUNTIF(purchase_orders[PO Number], purchase_orders[[#This Row],[PO Number]])</f>
        <v>1</v>
      </c>
    </row>
    <row r="457" spans="1:8" x14ac:dyDescent="0.25">
      <c r="A457" s="1" t="s">
        <v>417</v>
      </c>
      <c r="B457" s="1" t="s">
        <v>1481</v>
      </c>
      <c r="C457" s="2">
        <v>46128</v>
      </c>
      <c r="D457">
        <v>80</v>
      </c>
      <c r="E457">
        <v>169.3</v>
      </c>
      <c r="F457" s="1" t="s">
        <v>1440</v>
      </c>
      <c r="G457" s="2">
        <v>46135</v>
      </c>
      <c r="H457">
        <f>COUNTIF(purchase_orders[PO Number], purchase_orders[[#This Row],[PO Number]])</f>
        <v>1</v>
      </c>
    </row>
    <row r="458" spans="1:8" x14ac:dyDescent="0.25">
      <c r="A458" s="1" t="s">
        <v>418</v>
      </c>
      <c r="B458" s="1" t="s">
        <v>1455</v>
      </c>
      <c r="C458" s="2">
        <v>46061</v>
      </c>
      <c r="D458">
        <v>14</v>
      </c>
      <c r="E458">
        <v>47.65</v>
      </c>
      <c r="F458" s="1" t="s">
        <v>1469</v>
      </c>
      <c r="G458" s="2">
        <v>46077</v>
      </c>
      <c r="H458">
        <f>COUNTIF(purchase_orders[PO Number], purchase_orders[[#This Row],[PO Number]])</f>
        <v>1</v>
      </c>
    </row>
    <row r="459" spans="1:8" x14ac:dyDescent="0.25">
      <c r="A459" s="1" t="s">
        <v>1164</v>
      </c>
      <c r="B459" s="1" t="s">
        <v>1475</v>
      </c>
      <c r="C459" s="2">
        <v>46146</v>
      </c>
      <c r="D459">
        <v>347</v>
      </c>
      <c r="E459">
        <v>100.13</v>
      </c>
      <c r="F459" s="1" t="s">
        <v>1448</v>
      </c>
      <c r="G459" s="2">
        <v>46164</v>
      </c>
      <c r="H459">
        <f>COUNTIF(purchase_orders[PO Number], purchase_orders[[#This Row],[PO Number]])</f>
        <v>1</v>
      </c>
    </row>
    <row r="460" spans="1:8" x14ac:dyDescent="0.25">
      <c r="A460" s="1" t="s">
        <v>419</v>
      </c>
      <c r="B460" s="1" t="s">
        <v>1481</v>
      </c>
      <c r="C460" s="2">
        <v>46027</v>
      </c>
      <c r="D460">
        <v>281</v>
      </c>
      <c r="E460">
        <v>145.83000000000001</v>
      </c>
      <c r="F460" s="1" t="s">
        <v>1442</v>
      </c>
      <c r="G460" s="2">
        <v>46041</v>
      </c>
      <c r="H460">
        <f>COUNTIF(purchase_orders[PO Number], purchase_orders[[#This Row],[PO Number]])</f>
        <v>1</v>
      </c>
    </row>
    <row r="461" spans="1:8" x14ac:dyDescent="0.25">
      <c r="A461" s="1" t="s">
        <v>420</v>
      </c>
      <c r="B461" s="1" t="s">
        <v>1473</v>
      </c>
      <c r="C461" s="2">
        <v>46151</v>
      </c>
      <c r="D461">
        <v>426</v>
      </c>
      <c r="E461">
        <v>141.08000000000001</v>
      </c>
      <c r="F461" s="1" t="s">
        <v>1507</v>
      </c>
      <c r="G461" s="2">
        <v>46161</v>
      </c>
      <c r="H461">
        <f>COUNTIF(purchase_orders[PO Number], purchase_orders[[#This Row],[PO Number]])</f>
        <v>1</v>
      </c>
    </row>
    <row r="462" spans="1:8" x14ac:dyDescent="0.25">
      <c r="A462" s="1" t="s">
        <v>421</v>
      </c>
      <c r="B462" s="1" t="s">
        <v>1450</v>
      </c>
      <c r="C462" s="2">
        <v>46047</v>
      </c>
      <c r="D462">
        <v>278</v>
      </c>
      <c r="E462">
        <v>34.04</v>
      </c>
      <c r="F462" s="1" t="s">
        <v>1444</v>
      </c>
      <c r="G462" s="2">
        <v>46068</v>
      </c>
      <c r="H462">
        <f>COUNTIF(purchase_orders[PO Number], purchase_orders[[#This Row],[PO Number]])</f>
        <v>1</v>
      </c>
    </row>
    <row r="463" spans="1:8" x14ac:dyDescent="0.25">
      <c r="A463" s="1" t="s">
        <v>422</v>
      </c>
      <c r="B463" s="1" t="s">
        <v>1470</v>
      </c>
      <c r="C463" s="2">
        <v>46113</v>
      </c>
      <c r="D463">
        <v>146</v>
      </c>
      <c r="E463">
        <v>160.01</v>
      </c>
      <c r="F463" s="1" t="s">
        <v>1476</v>
      </c>
      <c r="G463" s="2">
        <v>46129</v>
      </c>
      <c r="H463">
        <f>COUNTIF(purchase_orders[PO Number], purchase_orders[[#This Row],[PO Number]])</f>
        <v>1</v>
      </c>
    </row>
    <row r="464" spans="1:8" x14ac:dyDescent="0.25">
      <c r="A464" s="1" t="s">
        <v>423</v>
      </c>
      <c r="B464" s="1" t="s">
        <v>1488</v>
      </c>
      <c r="C464" s="2">
        <v>46140</v>
      </c>
      <c r="D464">
        <v>299</v>
      </c>
      <c r="E464">
        <v>52.43</v>
      </c>
      <c r="F464" s="1" t="s">
        <v>1499</v>
      </c>
      <c r="G464" s="2">
        <v>46152</v>
      </c>
      <c r="H464">
        <f>COUNTIF(purchase_orders[PO Number], purchase_orders[[#This Row],[PO Number]])</f>
        <v>1</v>
      </c>
    </row>
    <row r="465" spans="1:8" x14ac:dyDescent="0.25">
      <c r="A465" s="1" t="s">
        <v>424</v>
      </c>
      <c r="B465" s="1" t="s">
        <v>1512</v>
      </c>
      <c r="C465" s="2">
        <v>46043</v>
      </c>
      <c r="D465">
        <v>344</v>
      </c>
      <c r="E465">
        <v>198.38</v>
      </c>
      <c r="F465" s="1" t="s">
        <v>1446</v>
      </c>
      <c r="G465" s="2">
        <v>46049</v>
      </c>
      <c r="H465">
        <f>COUNTIF(purchase_orders[PO Number], purchase_orders[[#This Row],[PO Number]])</f>
        <v>1</v>
      </c>
    </row>
    <row r="466" spans="1:8" x14ac:dyDescent="0.25">
      <c r="A466" s="1" t="s">
        <v>425</v>
      </c>
      <c r="B466" s="1" t="s">
        <v>1457</v>
      </c>
      <c r="C466" s="2">
        <v>46126</v>
      </c>
      <c r="D466">
        <v>204</v>
      </c>
      <c r="E466">
        <v>78.55</v>
      </c>
      <c r="F466" s="1" t="s">
        <v>1487</v>
      </c>
      <c r="G466" s="2">
        <v>46132</v>
      </c>
      <c r="H466">
        <f>COUNTIF(purchase_orders[PO Number], purchase_orders[[#This Row],[PO Number]])</f>
        <v>1</v>
      </c>
    </row>
    <row r="467" spans="1:8" x14ac:dyDescent="0.25">
      <c r="A467" s="1" t="s">
        <v>426</v>
      </c>
      <c r="B467" s="1" t="s">
        <v>1439</v>
      </c>
      <c r="C467" s="2">
        <v>46025</v>
      </c>
      <c r="D467">
        <v>369</v>
      </c>
      <c r="E467">
        <v>38.42</v>
      </c>
      <c r="F467" s="1" t="s">
        <v>1487</v>
      </c>
      <c r="G467" s="2">
        <v>46043</v>
      </c>
      <c r="H467">
        <f>COUNTIF(purchase_orders[PO Number], purchase_orders[[#This Row],[PO Number]])</f>
        <v>1</v>
      </c>
    </row>
    <row r="468" spans="1:8" x14ac:dyDescent="0.25">
      <c r="A468" s="1" t="s">
        <v>427</v>
      </c>
      <c r="B468" s="1" t="s">
        <v>1508</v>
      </c>
      <c r="C468" s="2">
        <v>46107</v>
      </c>
      <c r="D468">
        <v>299</v>
      </c>
      <c r="E468">
        <v>195.58</v>
      </c>
      <c r="F468" s="1" t="s">
        <v>1483</v>
      </c>
      <c r="G468" s="2">
        <v>46128</v>
      </c>
      <c r="H468">
        <f>COUNTIF(purchase_orders[PO Number], purchase_orders[[#This Row],[PO Number]])</f>
        <v>1</v>
      </c>
    </row>
    <row r="469" spans="1:8" x14ac:dyDescent="0.25">
      <c r="A469" s="1" t="s">
        <v>428</v>
      </c>
      <c r="B469" s="1" t="s">
        <v>1452</v>
      </c>
      <c r="C469" s="2">
        <v>46081</v>
      </c>
      <c r="D469">
        <v>118</v>
      </c>
      <c r="E469">
        <v>180.75</v>
      </c>
      <c r="F469" s="1" t="s">
        <v>1499</v>
      </c>
      <c r="G469" s="2">
        <v>46101</v>
      </c>
      <c r="H469">
        <f>COUNTIF(purchase_orders[PO Number], purchase_orders[[#This Row],[PO Number]])</f>
        <v>1</v>
      </c>
    </row>
    <row r="470" spans="1:8" x14ac:dyDescent="0.25">
      <c r="A470" s="1" t="s">
        <v>429</v>
      </c>
      <c r="B470" s="1" t="s">
        <v>1511</v>
      </c>
      <c r="C470" s="2">
        <v>46034</v>
      </c>
      <c r="D470">
        <v>483</v>
      </c>
      <c r="E470">
        <v>19.5</v>
      </c>
      <c r="F470" s="1" t="s">
        <v>1458</v>
      </c>
      <c r="G470" s="2">
        <v>46040</v>
      </c>
      <c r="H470">
        <f>COUNTIF(purchase_orders[PO Number], purchase_orders[[#This Row],[PO Number]])</f>
        <v>1</v>
      </c>
    </row>
    <row r="471" spans="1:8" x14ac:dyDescent="0.25">
      <c r="A471" s="1" t="s">
        <v>1178</v>
      </c>
      <c r="B471" s="1" t="s">
        <v>1486</v>
      </c>
      <c r="C471" s="2">
        <v>46103</v>
      </c>
      <c r="D471">
        <v>18</v>
      </c>
      <c r="E471">
        <v>192.49</v>
      </c>
      <c r="F471" s="1" t="s">
        <v>1480</v>
      </c>
      <c r="G471" s="2">
        <v>46112</v>
      </c>
      <c r="H471">
        <f>COUNTIF(purchase_orders[PO Number], purchase_orders[[#This Row],[PO Number]])</f>
        <v>1</v>
      </c>
    </row>
    <row r="472" spans="1:8" x14ac:dyDescent="0.25">
      <c r="A472" s="1" t="s">
        <v>430</v>
      </c>
      <c r="B472" s="1" t="s">
        <v>1455</v>
      </c>
      <c r="C472" s="2">
        <v>46124</v>
      </c>
      <c r="D472">
        <v>485</v>
      </c>
      <c r="E472">
        <v>20</v>
      </c>
      <c r="F472" s="1" t="s">
        <v>1501</v>
      </c>
      <c r="G472" s="2">
        <v>46136</v>
      </c>
      <c r="H472">
        <f>COUNTIF(purchase_orders[PO Number], purchase_orders[[#This Row],[PO Number]])</f>
        <v>1</v>
      </c>
    </row>
    <row r="473" spans="1:8" x14ac:dyDescent="0.25">
      <c r="A473" s="1" t="s">
        <v>431</v>
      </c>
      <c r="B473" s="1" t="s">
        <v>1493</v>
      </c>
      <c r="C473" s="2">
        <v>46122</v>
      </c>
      <c r="D473">
        <v>356</v>
      </c>
      <c r="E473">
        <v>179.82</v>
      </c>
      <c r="F473" s="1" t="s">
        <v>1472</v>
      </c>
      <c r="G473" s="2">
        <v>46139</v>
      </c>
      <c r="H473">
        <f>COUNTIF(purchase_orders[PO Number], purchase_orders[[#This Row],[PO Number]])</f>
        <v>1</v>
      </c>
    </row>
    <row r="474" spans="1:8" x14ac:dyDescent="0.25">
      <c r="A474" s="1" t="s">
        <v>432</v>
      </c>
      <c r="B474" s="1" t="s">
        <v>1465</v>
      </c>
      <c r="C474" s="2">
        <v>46058</v>
      </c>
      <c r="D474">
        <v>414</v>
      </c>
      <c r="E474">
        <v>197.75</v>
      </c>
      <c r="F474" s="1" t="s">
        <v>1490</v>
      </c>
      <c r="G474" s="2">
        <v>46065</v>
      </c>
      <c r="H474">
        <f>COUNTIF(purchase_orders[PO Number], purchase_orders[[#This Row],[PO Number]])</f>
        <v>1</v>
      </c>
    </row>
    <row r="475" spans="1:8" x14ac:dyDescent="0.25">
      <c r="A475" s="1" t="s">
        <v>433</v>
      </c>
      <c r="B475" s="1" t="s">
        <v>1445</v>
      </c>
      <c r="C475" s="2">
        <v>46111</v>
      </c>
      <c r="D475">
        <v>37</v>
      </c>
      <c r="E475">
        <v>24.05</v>
      </c>
      <c r="F475" s="1" t="s">
        <v>1440</v>
      </c>
      <c r="G475" s="2">
        <v>46118</v>
      </c>
      <c r="H475">
        <f>COUNTIF(purchase_orders[PO Number], purchase_orders[[#This Row],[PO Number]])</f>
        <v>1</v>
      </c>
    </row>
    <row r="476" spans="1:8" x14ac:dyDescent="0.25">
      <c r="A476" s="1" t="s">
        <v>434</v>
      </c>
      <c r="B476" s="1" t="s">
        <v>1479</v>
      </c>
      <c r="C476" s="2">
        <v>46124</v>
      </c>
      <c r="D476">
        <v>406</v>
      </c>
      <c r="E476">
        <v>68.64</v>
      </c>
      <c r="F476" s="1" t="s">
        <v>1446</v>
      </c>
      <c r="G476" s="2">
        <v>46137</v>
      </c>
      <c r="H476">
        <f>COUNTIF(purchase_orders[PO Number], purchase_orders[[#This Row],[PO Number]])</f>
        <v>1</v>
      </c>
    </row>
    <row r="477" spans="1:8" x14ac:dyDescent="0.25">
      <c r="A477" s="1" t="s">
        <v>435</v>
      </c>
      <c r="B477" s="1" t="s">
        <v>1478</v>
      </c>
      <c r="C477" s="2">
        <v>46148</v>
      </c>
      <c r="D477">
        <v>126</v>
      </c>
      <c r="E477">
        <v>74.38</v>
      </c>
      <c r="F477" s="1" t="s">
        <v>1453</v>
      </c>
      <c r="G477" s="2">
        <v>46166</v>
      </c>
      <c r="H477">
        <f>COUNTIF(purchase_orders[PO Number], purchase_orders[[#This Row],[PO Number]])</f>
        <v>1</v>
      </c>
    </row>
    <row r="478" spans="1:8" x14ac:dyDescent="0.25">
      <c r="A478" s="1" t="s">
        <v>1187</v>
      </c>
      <c r="B478" s="1" t="s">
        <v>1486</v>
      </c>
      <c r="C478" s="2">
        <v>46172</v>
      </c>
      <c r="D478">
        <v>348</v>
      </c>
      <c r="E478">
        <v>79.11</v>
      </c>
      <c r="F478" s="1" t="s">
        <v>1456</v>
      </c>
      <c r="G478" s="2">
        <v>46186</v>
      </c>
      <c r="H478">
        <f>COUNTIF(purchase_orders[PO Number], purchase_orders[[#This Row],[PO Number]])</f>
        <v>1</v>
      </c>
    </row>
    <row r="479" spans="1:8" x14ac:dyDescent="0.25">
      <c r="A479" s="1" t="s">
        <v>436</v>
      </c>
      <c r="B479" s="1" t="s">
        <v>1482</v>
      </c>
      <c r="C479" s="2">
        <v>46041</v>
      </c>
      <c r="D479">
        <v>52</v>
      </c>
      <c r="E479">
        <v>57.25</v>
      </c>
      <c r="F479" s="1" t="s">
        <v>1453</v>
      </c>
      <c r="G479" s="2">
        <v>46050</v>
      </c>
      <c r="H479">
        <f>COUNTIF(purchase_orders[PO Number], purchase_orders[[#This Row],[PO Number]])</f>
        <v>1</v>
      </c>
    </row>
    <row r="480" spans="1:8" x14ac:dyDescent="0.25">
      <c r="A480" s="1" t="s">
        <v>437</v>
      </c>
      <c r="B480" s="1" t="s">
        <v>1465</v>
      </c>
      <c r="C480" s="2">
        <v>46122</v>
      </c>
      <c r="D480">
        <v>172</v>
      </c>
      <c r="E480">
        <v>75.34</v>
      </c>
      <c r="F480" s="1" t="s">
        <v>1476</v>
      </c>
      <c r="G480" s="2">
        <v>46127</v>
      </c>
      <c r="H480">
        <f>COUNTIF(purchase_orders[PO Number], purchase_orders[[#This Row],[PO Number]])</f>
        <v>1</v>
      </c>
    </row>
    <row r="481" spans="1:8" x14ac:dyDescent="0.25">
      <c r="A481" s="1" t="s">
        <v>1191</v>
      </c>
      <c r="B481" s="1" t="s">
        <v>1512</v>
      </c>
      <c r="C481" s="2">
        <v>46136</v>
      </c>
      <c r="D481">
        <v>194</v>
      </c>
      <c r="E481">
        <v>153.46</v>
      </c>
      <c r="F481" s="1" t="s">
        <v>1483</v>
      </c>
      <c r="G481" s="2">
        <v>46145</v>
      </c>
      <c r="H481">
        <f>COUNTIF(purchase_orders[PO Number], purchase_orders[[#This Row],[PO Number]])</f>
        <v>1</v>
      </c>
    </row>
    <row r="482" spans="1:8" x14ac:dyDescent="0.25">
      <c r="A482" s="1" t="s">
        <v>438</v>
      </c>
      <c r="B482" s="1" t="s">
        <v>1457</v>
      </c>
      <c r="C482" s="2">
        <v>46070</v>
      </c>
      <c r="D482">
        <v>230</v>
      </c>
      <c r="E482">
        <v>92.52</v>
      </c>
      <c r="F482" s="1" t="s">
        <v>1459</v>
      </c>
      <c r="G482" s="2">
        <v>46091</v>
      </c>
      <c r="H482">
        <f>COUNTIF(purchase_orders[PO Number], purchase_orders[[#This Row],[PO Number]])</f>
        <v>1</v>
      </c>
    </row>
    <row r="483" spans="1:8" x14ac:dyDescent="0.25">
      <c r="A483" s="1" t="s">
        <v>439</v>
      </c>
      <c r="B483" s="1" t="s">
        <v>1495</v>
      </c>
      <c r="C483" s="2">
        <v>46049</v>
      </c>
      <c r="D483">
        <v>23</v>
      </c>
      <c r="E483">
        <v>22.48</v>
      </c>
      <c r="F483" s="1" t="s">
        <v>1442</v>
      </c>
      <c r="G483" s="2">
        <v>46056</v>
      </c>
      <c r="H483">
        <f>COUNTIF(purchase_orders[PO Number], purchase_orders[[#This Row],[PO Number]])</f>
        <v>1</v>
      </c>
    </row>
    <row r="484" spans="1:8" x14ac:dyDescent="0.25">
      <c r="A484" s="1" t="s">
        <v>440</v>
      </c>
      <c r="B484" s="1" t="s">
        <v>1468</v>
      </c>
      <c r="C484" s="2">
        <v>46106</v>
      </c>
      <c r="D484">
        <v>452</v>
      </c>
      <c r="E484">
        <v>80.12</v>
      </c>
      <c r="F484" s="1" t="s">
        <v>1474</v>
      </c>
      <c r="G484" s="2">
        <v>46124</v>
      </c>
      <c r="H484">
        <f>COUNTIF(purchase_orders[PO Number], purchase_orders[[#This Row],[PO Number]])</f>
        <v>1</v>
      </c>
    </row>
    <row r="485" spans="1:8" x14ac:dyDescent="0.25">
      <c r="A485" s="1" t="s">
        <v>441</v>
      </c>
      <c r="B485" s="1" t="s">
        <v>1502</v>
      </c>
      <c r="C485" s="2">
        <v>46044</v>
      </c>
      <c r="D485">
        <v>381</v>
      </c>
      <c r="E485">
        <v>180.72</v>
      </c>
      <c r="F485" s="1" t="s">
        <v>1440</v>
      </c>
      <c r="G485" s="2">
        <v>46065</v>
      </c>
      <c r="H485">
        <f>COUNTIF(purchase_orders[PO Number], purchase_orders[[#This Row],[PO Number]])</f>
        <v>1</v>
      </c>
    </row>
    <row r="486" spans="1:8" x14ac:dyDescent="0.25">
      <c r="A486" s="1" t="s">
        <v>442</v>
      </c>
      <c r="B486" s="1" t="s">
        <v>1460</v>
      </c>
      <c r="C486" s="2">
        <v>46120</v>
      </c>
      <c r="D486">
        <v>96</v>
      </c>
      <c r="E486">
        <v>32.07</v>
      </c>
      <c r="F486" s="1" t="s">
        <v>1474</v>
      </c>
      <c r="G486" s="2">
        <v>46133</v>
      </c>
      <c r="H486">
        <f>COUNTIF(purchase_orders[PO Number], purchase_orders[[#This Row],[PO Number]])</f>
        <v>1</v>
      </c>
    </row>
    <row r="487" spans="1:8" x14ac:dyDescent="0.25">
      <c r="A487" s="1" t="s">
        <v>443</v>
      </c>
      <c r="B487" s="1" t="s">
        <v>1498</v>
      </c>
      <c r="C487" s="2">
        <v>46060</v>
      </c>
      <c r="D487">
        <v>42</v>
      </c>
      <c r="E487">
        <v>37.61</v>
      </c>
      <c r="F487" s="1" t="s">
        <v>1458</v>
      </c>
      <c r="G487" s="2">
        <v>46078</v>
      </c>
      <c r="H487">
        <f>COUNTIF(purchase_orders[PO Number], purchase_orders[[#This Row],[PO Number]])</f>
        <v>1</v>
      </c>
    </row>
    <row r="488" spans="1:8" x14ac:dyDescent="0.25">
      <c r="A488" s="1" t="s">
        <v>444</v>
      </c>
      <c r="B488" s="1" t="s">
        <v>1512</v>
      </c>
      <c r="C488" s="2">
        <v>46146</v>
      </c>
      <c r="D488">
        <v>410</v>
      </c>
      <c r="E488">
        <v>20</v>
      </c>
      <c r="F488" s="1" t="s">
        <v>1458</v>
      </c>
      <c r="G488" s="2">
        <v>46158</v>
      </c>
      <c r="H488">
        <f>COUNTIF(purchase_orders[PO Number], purchase_orders[[#This Row],[PO Number]])</f>
        <v>1</v>
      </c>
    </row>
    <row r="489" spans="1:8" x14ac:dyDescent="0.25">
      <c r="A489" s="1" t="s">
        <v>445</v>
      </c>
      <c r="B489" s="1" t="s">
        <v>1477</v>
      </c>
      <c r="C489" s="2">
        <v>46149</v>
      </c>
      <c r="D489">
        <v>314</v>
      </c>
      <c r="E489">
        <v>125.25</v>
      </c>
      <c r="F489" s="1" t="s">
        <v>1459</v>
      </c>
      <c r="G489" s="2">
        <v>46157</v>
      </c>
      <c r="H489">
        <f>COUNTIF(purchase_orders[PO Number], purchase_orders[[#This Row],[PO Number]])</f>
        <v>1</v>
      </c>
    </row>
    <row r="490" spans="1:8" x14ac:dyDescent="0.25">
      <c r="A490" s="1" t="s">
        <v>446</v>
      </c>
      <c r="B490" s="1" t="s">
        <v>1441</v>
      </c>
      <c r="C490" s="2">
        <v>46100</v>
      </c>
      <c r="D490">
        <v>13</v>
      </c>
      <c r="E490">
        <v>190.02</v>
      </c>
      <c r="F490" s="1" t="s">
        <v>1472</v>
      </c>
      <c r="G490" s="2">
        <v>46117</v>
      </c>
      <c r="H490">
        <f>COUNTIF(purchase_orders[PO Number], purchase_orders[[#This Row],[PO Number]])</f>
        <v>1</v>
      </c>
    </row>
    <row r="491" spans="1:8" x14ac:dyDescent="0.25">
      <c r="A491" s="1" t="s">
        <v>447</v>
      </c>
      <c r="B491" s="1" t="s">
        <v>1479</v>
      </c>
      <c r="C491" s="2">
        <v>46135</v>
      </c>
      <c r="D491">
        <v>181</v>
      </c>
      <c r="E491">
        <v>88.97</v>
      </c>
      <c r="F491" s="1" t="s">
        <v>1446</v>
      </c>
      <c r="G491" s="2">
        <v>46144</v>
      </c>
      <c r="H491">
        <f>COUNTIF(purchase_orders[PO Number], purchase_orders[[#This Row],[PO Number]])</f>
        <v>1</v>
      </c>
    </row>
    <row r="492" spans="1:8" x14ac:dyDescent="0.25">
      <c r="A492" s="1" t="s">
        <v>448</v>
      </c>
      <c r="B492" s="1" t="s">
        <v>1512</v>
      </c>
      <c r="C492" s="2">
        <v>46105</v>
      </c>
      <c r="D492">
        <v>318</v>
      </c>
      <c r="E492">
        <v>189.72</v>
      </c>
      <c r="F492" s="1" t="s">
        <v>1444</v>
      </c>
      <c r="G492" s="2">
        <v>46125</v>
      </c>
      <c r="H492">
        <f>COUNTIF(purchase_orders[PO Number], purchase_orders[[#This Row],[PO Number]])</f>
        <v>1</v>
      </c>
    </row>
    <row r="493" spans="1:8" x14ac:dyDescent="0.25">
      <c r="A493" s="1" t="s">
        <v>449</v>
      </c>
      <c r="B493" s="1" t="s">
        <v>1509</v>
      </c>
      <c r="C493" s="2">
        <v>46068</v>
      </c>
      <c r="D493">
        <v>213</v>
      </c>
      <c r="E493">
        <v>193.9</v>
      </c>
      <c r="F493" s="1" t="s">
        <v>1474</v>
      </c>
      <c r="G493" s="2">
        <v>46088</v>
      </c>
      <c r="H493">
        <f>COUNTIF(purchase_orders[PO Number], purchase_orders[[#This Row],[PO Number]])</f>
        <v>1</v>
      </c>
    </row>
    <row r="494" spans="1:8" x14ac:dyDescent="0.25">
      <c r="A494" s="1" t="s">
        <v>450</v>
      </c>
      <c r="B494" s="1" t="s">
        <v>1493</v>
      </c>
      <c r="C494" s="2">
        <v>46085</v>
      </c>
      <c r="D494">
        <v>176</v>
      </c>
      <c r="E494">
        <v>78.33</v>
      </c>
      <c r="F494" s="1" t="s">
        <v>1453</v>
      </c>
      <c r="G494" s="2">
        <v>46101</v>
      </c>
      <c r="H494">
        <f>COUNTIF(purchase_orders[PO Number], purchase_orders[[#This Row],[PO Number]])</f>
        <v>1</v>
      </c>
    </row>
    <row r="495" spans="1:8" x14ac:dyDescent="0.25">
      <c r="A495" s="1" t="s">
        <v>451</v>
      </c>
      <c r="B495" s="1" t="s">
        <v>1466</v>
      </c>
      <c r="C495" s="2">
        <v>46167</v>
      </c>
      <c r="D495">
        <v>112</v>
      </c>
      <c r="E495">
        <v>120.48</v>
      </c>
      <c r="F495" s="1" t="s">
        <v>1442</v>
      </c>
      <c r="G495" s="2">
        <v>46177</v>
      </c>
      <c r="H495">
        <f>COUNTIF(purchase_orders[PO Number], purchase_orders[[#This Row],[PO Number]])</f>
        <v>1</v>
      </c>
    </row>
    <row r="496" spans="1:8" x14ac:dyDescent="0.25">
      <c r="A496" s="1" t="s">
        <v>452</v>
      </c>
      <c r="B496" s="1" t="s">
        <v>1461</v>
      </c>
      <c r="C496" s="2">
        <v>46163</v>
      </c>
      <c r="D496">
        <v>23</v>
      </c>
      <c r="E496">
        <v>190.84</v>
      </c>
      <c r="F496" s="1" t="s">
        <v>1469</v>
      </c>
      <c r="G496" s="2">
        <v>46174</v>
      </c>
      <c r="H496">
        <f>COUNTIF(purchase_orders[PO Number], purchase_orders[[#This Row],[PO Number]])</f>
        <v>1</v>
      </c>
    </row>
    <row r="497" spans="1:8" x14ac:dyDescent="0.25">
      <c r="A497" s="1" t="s">
        <v>453</v>
      </c>
      <c r="B497" s="1" t="s">
        <v>1478</v>
      </c>
      <c r="C497" s="2">
        <v>46097</v>
      </c>
      <c r="D497">
        <v>435</v>
      </c>
      <c r="E497">
        <v>140.1</v>
      </c>
      <c r="F497" s="1" t="s">
        <v>1507</v>
      </c>
      <c r="G497" s="2">
        <v>46117</v>
      </c>
      <c r="H497">
        <f>COUNTIF(purchase_orders[PO Number], purchase_orders[[#This Row],[PO Number]])</f>
        <v>1</v>
      </c>
    </row>
    <row r="498" spans="1:8" x14ac:dyDescent="0.25">
      <c r="A498" s="1" t="s">
        <v>454</v>
      </c>
      <c r="B498" s="1" t="s">
        <v>1441</v>
      </c>
      <c r="C498" s="2">
        <v>46100</v>
      </c>
      <c r="D498">
        <v>133</v>
      </c>
      <c r="E498">
        <v>54.27</v>
      </c>
      <c r="F498" s="1" t="s">
        <v>1485</v>
      </c>
      <c r="G498" s="2">
        <v>46118</v>
      </c>
      <c r="H498">
        <f>COUNTIF(purchase_orders[PO Number], purchase_orders[[#This Row],[PO Number]])</f>
        <v>1</v>
      </c>
    </row>
    <row r="499" spans="1:8" x14ac:dyDescent="0.25">
      <c r="A499" s="1" t="s">
        <v>455</v>
      </c>
      <c r="B499" s="1" t="s">
        <v>1502</v>
      </c>
      <c r="C499" s="2">
        <v>46041</v>
      </c>
      <c r="D499">
        <v>239</v>
      </c>
      <c r="E499">
        <v>198.19</v>
      </c>
      <c r="F499" s="1" t="s">
        <v>1487</v>
      </c>
      <c r="G499" s="2">
        <v>46058</v>
      </c>
      <c r="H499">
        <f>COUNTIF(purchase_orders[PO Number], purchase_orders[[#This Row],[PO Number]])</f>
        <v>1</v>
      </c>
    </row>
    <row r="500" spans="1:8" x14ac:dyDescent="0.25">
      <c r="A500" s="1" t="s">
        <v>456</v>
      </c>
      <c r="B500" s="1" t="s">
        <v>1471</v>
      </c>
      <c r="C500" s="2">
        <v>46152</v>
      </c>
      <c r="D500">
        <v>482</v>
      </c>
      <c r="E500">
        <v>184.48</v>
      </c>
      <c r="F500" s="1" t="s">
        <v>1499</v>
      </c>
      <c r="G500" s="2">
        <v>46170</v>
      </c>
      <c r="H500">
        <f>COUNTIF(purchase_orders[PO Number], purchase_orders[[#This Row],[PO Number]])</f>
        <v>1</v>
      </c>
    </row>
    <row r="501" spans="1:8" x14ac:dyDescent="0.25">
      <c r="A501" s="1" t="s">
        <v>457</v>
      </c>
      <c r="B501" s="1" t="s">
        <v>1471</v>
      </c>
      <c r="C501" s="2">
        <v>46032</v>
      </c>
      <c r="D501">
        <v>414</v>
      </c>
      <c r="E501">
        <v>193.84</v>
      </c>
      <c r="F501" s="1" t="s">
        <v>1499</v>
      </c>
      <c r="G501" s="2">
        <v>46039</v>
      </c>
      <c r="H501">
        <f>COUNTIF(purchase_orders[PO Number], purchase_orders[[#This Row],[PO Number]])</f>
        <v>1</v>
      </c>
    </row>
    <row r="502" spans="1:8" x14ac:dyDescent="0.25">
      <c r="A502" s="1" t="s">
        <v>1216</v>
      </c>
      <c r="B502" s="1" t="s">
        <v>1450</v>
      </c>
      <c r="C502" s="2">
        <v>46086</v>
      </c>
      <c r="D502">
        <v>346</v>
      </c>
      <c r="E502">
        <v>134.62</v>
      </c>
      <c r="F502" s="1" t="s">
        <v>1501</v>
      </c>
      <c r="G502" s="2">
        <v>46092</v>
      </c>
      <c r="H502">
        <f>COUNTIF(purchase_orders[PO Number], purchase_orders[[#This Row],[PO Number]])</f>
        <v>1</v>
      </c>
    </row>
    <row r="503" spans="1:8" x14ac:dyDescent="0.25">
      <c r="A503" s="1" t="s">
        <v>458</v>
      </c>
      <c r="B503" s="1" t="s">
        <v>1493</v>
      </c>
      <c r="C503" s="2">
        <v>46125</v>
      </c>
      <c r="D503">
        <v>395</v>
      </c>
      <c r="E503">
        <v>69.66</v>
      </c>
      <c r="F503" s="1" t="s">
        <v>1507</v>
      </c>
      <c r="G503" s="2">
        <v>46133</v>
      </c>
      <c r="H503">
        <f>COUNTIF(purchase_orders[PO Number], purchase_orders[[#This Row],[PO Number]])</f>
        <v>1</v>
      </c>
    </row>
    <row r="504" spans="1:8" x14ac:dyDescent="0.25">
      <c r="A504" s="1" t="s">
        <v>459</v>
      </c>
      <c r="B504" s="1" t="s">
        <v>1481</v>
      </c>
      <c r="C504" s="2">
        <v>46048</v>
      </c>
      <c r="D504">
        <v>142</v>
      </c>
      <c r="E504">
        <v>48.29</v>
      </c>
      <c r="F504" s="1" t="s">
        <v>1490</v>
      </c>
      <c r="G504" s="2">
        <v>46069</v>
      </c>
      <c r="H504">
        <f>COUNTIF(purchase_orders[PO Number], purchase_orders[[#This Row],[PO Number]])</f>
        <v>1</v>
      </c>
    </row>
    <row r="505" spans="1:8" x14ac:dyDescent="0.25">
      <c r="A505" s="1" t="s">
        <v>460</v>
      </c>
      <c r="B505" s="1" t="s">
        <v>1454</v>
      </c>
      <c r="C505" s="2">
        <v>46171</v>
      </c>
      <c r="D505">
        <v>362</v>
      </c>
      <c r="E505">
        <v>117.17</v>
      </c>
      <c r="F505" s="1" t="s">
        <v>1469</v>
      </c>
      <c r="G505" s="2">
        <v>46187</v>
      </c>
      <c r="H505">
        <f>COUNTIF(purchase_orders[PO Number], purchase_orders[[#This Row],[PO Number]])</f>
        <v>1</v>
      </c>
    </row>
    <row r="506" spans="1:8" x14ac:dyDescent="0.25">
      <c r="A506" s="1" t="s">
        <v>461</v>
      </c>
      <c r="B506" s="1" t="s">
        <v>1488</v>
      </c>
      <c r="C506" s="2">
        <v>46141</v>
      </c>
      <c r="D506">
        <v>405</v>
      </c>
      <c r="E506">
        <v>137.51</v>
      </c>
      <c r="F506" s="1" t="s">
        <v>1499</v>
      </c>
      <c r="G506" s="2">
        <v>46162</v>
      </c>
      <c r="H506">
        <f>COUNTIF(purchase_orders[PO Number], purchase_orders[[#This Row],[PO Number]])</f>
        <v>1</v>
      </c>
    </row>
    <row r="507" spans="1:8" x14ac:dyDescent="0.25">
      <c r="A507" s="1" t="s">
        <v>462</v>
      </c>
      <c r="B507" s="1" t="s">
        <v>1464</v>
      </c>
      <c r="C507" s="2">
        <v>46111</v>
      </c>
      <c r="D507">
        <v>22</v>
      </c>
      <c r="E507">
        <v>99.14</v>
      </c>
      <c r="F507" s="1" t="s">
        <v>1474</v>
      </c>
      <c r="G507" s="2">
        <v>46129</v>
      </c>
      <c r="H507">
        <f>COUNTIF(purchase_orders[PO Number], purchase_orders[[#This Row],[PO Number]])</f>
        <v>1</v>
      </c>
    </row>
    <row r="508" spans="1:8" x14ac:dyDescent="0.25">
      <c r="A508" s="1" t="s">
        <v>1223</v>
      </c>
      <c r="B508" s="1" t="s">
        <v>1457</v>
      </c>
      <c r="C508" s="2">
        <v>46052</v>
      </c>
      <c r="D508">
        <v>435</v>
      </c>
      <c r="E508">
        <v>188.43</v>
      </c>
      <c r="F508" s="1" t="s">
        <v>1485</v>
      </c>
      <c r="G508" s="2">
        <v>46068</v>
      </c>
      <c r="H508">
        <f>COUNTIF(purchase_orders[PO Number], purchase_orders[[#This Row],[PO Number]])</f>
        <v>1</v>
      </c>
    </row>
    <row r="509" spans="1:8" x14ac:dyDescent="0.25">
      <c r="A509" s="1" t="s">
        <v>463</v>
      </c>
      <c r="B509" s="1" t="s">
        <v>1512</v>
      </c>
      <c r="C509" s="2">
        <v>46110</v>
      </c>
      <c r="D509">
        <v>243</v>
      </c>
      <c r="E509">
        <v>157.93</v>
      </c>
      <c r="F509" s="1" t="s">
        <v>1504</v>
      </c>
      <c r="G509" s="2">
        <v>46130</v>
      </c>
      <c r="H509">
        <f>COUNTIF(purchase_orders[PO Number], purchase_orders[[#This Row],[PO Number]])</f>
        <v>1</v>
      </c>
    </row>
    <row r="510" spans="1:8" x14ac:dyDescent="0.25">
      <c r="A510" s="1" t="s">
        <v>464</v>
      </c>
      <c r="B510" s="1" t="s">
        <v>1503</v>
      </c>
      <c r="C510" s="2">
        <v>46144</v>
      </c>
      <c r="D510">
        <v>59</v>
      </c>
      <c r="E510">
        <v>90.44</v>
      </c>
      <c r="F510" s="1" t="s">
        <v>1499</v>
      </c>
      <c r="G510" s="2">
        <v>46163</v>
      </c>
      <c r="H510">
        <f>COUNTIF(purchase_orders[PO Number], purchase_orders[[#This Row],[PO Number]])</f>
        <v>1</v>
      </c>
    </row>
    <row r="511" spans="1:8" x14ac:dyDescent="0.25">
      <c r="A511" s="1" t="s">
        <v>465</v>
      </c>
      <c r="B511" s="1" t="s">
        <v>1509</v>
      </c>
      <c r="C511" s="2">
        <v>46040</v>
      </c>
      <c r="D511">
        <v>163</v>
      </c>
      <c r="E511">
        <v>13.71</v>
      </c>
      <c r="F511" s="1" t="s">
        <v>1499</v>
      </c>
      <c r="G511" s="2">
        <v>46048</v>
      </c>
      <c r="H511">
        <f>COUNTIF(purchase_orders[PO Number], purchase_orders[[#This Row],[PO Number]])</f>
        <v>1</v>
      </c>
    </row>
    <row r="512" spans="1:8" x14ac:dyDescent="0.25">
      <c r="A512" s="1" t="s">
        <v>466</v>
      </c>
      <c r="B512" s="1" t="s">
        <v>1473</v>
      </c>
      <c r="C512" s="2">
        <v>46110</v>
      </c>
      <c r="D512">
        <v>341</v>
      </c>
      <c r="E512">
        <v>26.33</v>
      </c>
      <c r="F512" s="1" t="s">
        <v>1501</v>
      </c>
      <c r="G512" s="2">
        <v>46122</v>
      </c>
      <c r="H512">
        <f>COUNTIF(purchase_orders[PO Number], purchase_orders[[#This Row],[PO Number]])</f>
        <v>1</v>
      </c>
    </row>
    <row r="513" spans="1:8" x14ac:dyDescent="0.25">
      <c r="A513" s="1" t="s">
        <v>467</v>
      </c>
      <c r="B513" s="1" t="s">
        <v>1491</v>
      </c>
      <c r="C513" s="2">
        <v>46067</v>
      </c>
      <c r="D513">
        <v>292</v>
      </c>
      <c r="E513">
        <v>36.229999999999997</v>
      </c>
      <c r="F513" s="1" t="s">
        <v>1442</v>
      </c>
      <c r="G513" s="2">
        <v>46085</v>
      </c>
      <c r="H513">
        <f>COUNTIF(purchase_orders[PO Number], purchase_orders[[#This Row],[PO Number]])</f>
        <v>1</v>
      </c>
    </row>
    <row r="514" spans="1:8" x14ac:dyDescent="0.25">
      <c r="A514" s="1" t="s">
        <v>468</v>
      </c>
      <c r="B514" s="1" t="s">
        <v>1489</v>
      </c>
      <c r="C514" s="2">
        <v>46082</v>
      </c>
      <c r="D514">
        <v>418</v>
      </c>
      <c r="E514">
        <v>83.98</v>
      </c>
      <c r="F514" s="1" t="s">
        <v>1501</v>
      </c>
      <c r="G514" s="2">
        <v>46092</v>
      </c>
      <c r="H514">
        <f>COUNTIF(purchase_orders[PO Number], purchase_orders[[#This Row],[PO Number]])</f>
        <v>1</v>
      </c>
    </row>
    <row r="515" spans="1:8" x14ac:dyDescent="0.25">
      <c r="A515" s="1" t="s">
        <v>469</v>
      </c>
      <c r="B515" s="1" t="s">
        <v>1439</v>
      </c>
      <c r="C515" s="2">
        <v>46133</v>
      </c>
      <c r="D515">
        <v>212</v>
      </c>
      <c r="E515">
        <v>10.69</v>
      </c>
      <c r="F515" s="1" t="s">
        <v>1494</v>
      </c>
      <c r="G515" s="2">
        <v>46144</v>
      </c>
      <c r="H515">
        <f>COUNTIF(purchase_orders[PO Number], purchase_orders[[#This Row],[PO Number]])</f>
        <v>1</v>
      </c>
    </row>
    <row r="516" spans="1:8" x14ac:dyDescent="0.25">
      <c r="A516" s="1" t="s">
        <v>470</v>
      </c>
      <c r="B516" s="1" t="s">
        <v>1478</v>
      </c>
      <c r="C516" s="2">
        <v>46132</v>
      </c>
      <c r="D516">
        <v>209</v>
      </c>
      <c r="E516">
        <v>5.87</v>
      </c>
      <c r="F516" s="1" t="s">
        <v>1444</v>
      </c>
      <c r="G516" s="2">
        <v>46143</v>
      </c>
      <c r="H516">
        <f>COUNTIF(purchase_orders[PO Number], purchase_orders[[#This Row],[PO Number]])</f>
        <v>1</v>
      </c>
    </row>
    <row r="517" spans="1:8" x14ac:dyDescent="0.25">
      <c r="A517" s="1" t="s">
        <v>471</v>
      </c>
      <c r="B517" s="1" t="s">
        <v>1511</v>
      </c>
      <c r="C517" s="2">
        <v>46039</v>
      </c>
      <c r="D517">
        <v>305</v>
      </c>
      <c r="E517">
        <v>24.84</v>
      </c>
      <c r="F517" s="1" t="s">
        <v>1459</v>
      </c>
      <c r="G517" s="2">
        <v>46049</v>
      </c>
      <c r="H517">
        <f>COUNTIF(purchase_orders[PO Number], purchase_orders[[#This Row],[PO Number]])</f>
        <v>1</v>
      </c>
    </row>
    <row r="518" spans="1:8" x14ac:dyDescent="0.25">
      <c r="A518" s="1" t="s">
        <v>472</v>
      </c>
      <c r="B518" s="1" t="s">
        <v>1496</v>
      </c>
      <c r="C518" s="2">
        <v>46106</v>
      </c>
      <c r="D518">
        <v>110</v>
      </c>
      <c r="E518">
        <v>94.22</v>
      </c>
      <c r="F518" s="1" t="s">
        <v>1458</v>
      </c>
      <c r="G518" s="2">
        <v>46126</v>
      </c>
      <c r="H518">
        <f>COUNTIF(purchase_orders[PO Number], purchase_orders[[#This Row],[PO Number]])</f>
        <v>1</v>
      </c>
    </row>
    <row r="519" spans="1:8" x14ac:dyDescent="0.25">
      <c r="A519" s="1" t="s">
        <v>473</v>
      </c>
      <c r="B519" s="1" t="s">
        <v>1491</v>
      </c>
      <c r="C519" s="2">
        <v>46103</v>
      </c>
      <c r="D519">
        <v>315</v>
      </c>
      <c r="E519">
        <v>80.78</v>
      </c>
      <c r="F519" s="1" t="s">
        <v>1459</v>
      </c>
      <c r="G519" s="2">
        <v>46111</v>
      </c>
      <c r="H519">
        <f>COUNTIF(purchase_orders[PO Number], purchase_orders[[#This Row],[PO Number]])</f>
        <v>1</v>
      </c>
    </row>
    <row r="520" spans="1:8" x14ac:dyDescent="0.25">
      <c r="A520" s="1" t="s">
        <v>474</v>
      </c>
      <c r="B520" s="1" t="s">
        <v>1503</v>
      </c>
      <c r="C520" s="2">
        <v>46113</v>
      </c>
      <c r="D520">
        <v>442</v>
      </c>
      <c r="E520">
        <v>94.28</v>
      </c>
      <c r="F520" s="1" t="s">
        <v>1501</v>
      </c>
      <c r="G520" s="2">
        <v>46127</v>
      </c>
      <c r="H520">
        <f>COUNTIF(purchase_orders[PO Number], purchase_orders[[#This Row],[PO Number]])</f>
        <v>1</v>
      </c>
    </row>
    <row r="521" spans="1:8" x14ac:dyDescent="0.25">
      <c r="A521" s="1" t="s">
        <v>475</v>
      </c>
      <c r="B521" s="1" t="s">
        <v>1497</v>
      </c>
      <c r="C521" s="2">
        <v>46044</v>
      </c>
      <c r="D521">
        <v>354</v>
      </c>
      <c r="E521">
        <v>31.12</v>
      </c>
      <c r="F521" s="1" t="s">
        <v>1483</v>
      </c>
      <c r="G521" s="2">
        <v>46056</v>
      </c>
      <c r="H521">
        <f>COUNTIF(purchase_orders[PO Number], purchase_orders[[#This Row],[PO Number]])</f>
        <v>1</v>
      </c>
    </row>
    <row r="522" spans="1:8" x14ac:dyDescent="0.25">
      <c r="A522" s="1" t="s">
        <v>476</v>
      </c>
      <c r="B522" s="1" t="s">
        <v>1512</v>
      </c>
      <c r="C522" s="2">
        <v>46052</v>
      </c>
      <c r="D522">
        <v>103</v>
      </c>
      <c r="E522">
        <v>77.790000000000006</v>
      </c>
      <c r="F522" s="1" t="s">
        <v>1485</v>
      </c>
      <c r="G522" s="2">
        <v>46073</v>
      </c>
      <c r="H522">
        <f>COUNTIF(purchase_orders[PO Number], purchase_orders[[#This Row],[PO Number]])</f>
        <v>1</v>
      </c>
    </row>
    <row r="523" spans="1:8" x14ac:dyDescent="0.25">
      <c r="A523" s="1" t="s">
        <v>477</v>
      </c>
      <c r="B523" s="1" t="s">
        <v>1502</v>
      </c>
      <c r="C523" s="2">
        <v>46130</v>
      </c>
      <c r="D523">
        <v>315</v>
      </c>
      <c r="E523">
        <v>31.88</v>
      </c>
      <c r="F523" s="1" t="s">
        <v>1453</v>
      </c>
      <c r="G523" s="2">
        <v>46148</v>
      </c>
      <c r="H523">
        <f>COUNTIF(purchase_orders[PO Number], purchase_orders[[#This Row],[PO Number]])</f>
        <v>1</v>
      </c>
    </row>
    <row r="524" spans="1:8" x14ac:dyDescent="0.25">
      <c r="A524" s="1" t="s">
        <v>478</v>
      </c>
      <c r="B524" s="1" t="s">
        <v>1486</v>
      </c>
      <c r="C524" s="2">
        <v>46147</v>
      </c>
      <c r="D524">
        <v>335</v>
      </c>
      <c r="E524">
        <v>109.79</v>
      </c>
      <c r="F524" s="1" t="s">
        <v>1446</v>
      </c>
      <c r="G524" s="2">
        <v>46157</v>
      </c>
      <c r="H524">
        <f>COUNTIF(purchase_orders[PO Number], purchase_orders[[#This Row],[PO Number]])</f>
        <v>1</v>
      </c>
    </row>
    <row r="525" spans="1:8" x14ac:dyDescent="0.25">
      <c r="A525" s="1" t="s">
        <v>479</v>
      </c>
      <c r="B525" s="1" t="s">
        <v>1454</v>
      </c>
      <c r="C525" s="2">
        <v>46065</v>
      </c>
      <c r="D525">
        <v>260</v>
      </c>
      <c r="E525">
        <v>61.32</v>
      </c>
      <c r="F525" s="1" t="s">
        <v>1501</v>
      </c>
      <c r="G525" s="2">
        <v>46080</v>
      </c>
      <c r="H525">
        <f>COUNTIF(purchase_orders[PO Number], purchase_orders[[#This Row],[PO Number]])</f>
        <v>1</v>
      </c>
    </row>
    <row r="526" spans="1:8" x14ac:dyDescent="0.25">
      <c r="A526" s="1" t="s">
        <v>480</v>
      </c>
      <c r="B526" s="1" t="s">
        <v>1478</v>
      </c>
      <c r="C526" s="2">
        <v>46036</v>
      </c>
      <c r="D526">
        <v>453</v>
      </c>
      <c r="E526">
        <v>75.010000000000005</v>
      </c>
      <c r="F526" s="1" t="s">
        <v>1448</v>
      </c>
      <c r="G526" s="2">
        <v>46056</v>
      </c>
      <c r="H526">
        <f>COUNTIF(purchase_orders[PO Number], purchase_orders[[#This Row],[PO Number]])</f>
        <v>1</v>
      </c>
    </row>
    <row r="527" spans="1:8" x14ac:dyDescent="0.25">
      <c r="A527" s="1" t="s">
        <v>481</v>
      </c>
      <c r="B527" s="1" t="s">
        <v>1441</v>
      </c>
      <c r="C527" s="2">
        <v>46072</v>
      </c>
      <c r="D527">
        <v>427</v>
      </c>
      <c r="E527">
        <v>79.87</v>
      </c>
      <c r="F527" s="1" t="s">
        <v>1442</v>
      </c>
      <c r="G527" s="2">
        <v>46093</v>
      </c>
      <c r="H527">
        <f>COUNTIF(purchase_orders[PO Number], purchase_orders[[#This Row],[PO Number]])</f>
        <v>1</v>
      </c>
    </row>
    <row r="528" spans="1:8" x14ac:dyDescent="0.25">
      <c r="A528" s="1" t="s">
        <v>482</v>
      </c>
      <c r="B528" s="1" t="s">
        <v>1508</v>
      </c>
      <c r="C528" s="2">
        <v>46149</v>
      </c>
      <c r="D528">
        <v>219</v>
      </c>
      <c r="E528">
        <v>138.52000000000001</v>
      </c>
      <c r="F528" s="1" t="s">
        <v>1507</v>
      </c>
      <c r="G528" s="2">
        <v>46168</v>
      </c>
      <c r="H528">
        <f>COUNTIF(purchase_orders[PO Number], purchase_orders[[#This Row],[PO Number]])</f>
        <v>1</v>
      </c>
    </row>
    <row r="529" spans="1:8" x14ac:dyDescent="0.25">
      <c r="A529" s="1" t="s">
        <v>483</v>
      </c>
      <c r="B529" s="1" t="s">
        <v>1498</v>
      </c>
      <c r="C529" s="2">
        <v>46065</v>
      </c>
      <c r="D529">
        <v>52</v>
      </c>
      <c r="E529">
        <v>115.25</v>
      </c>
      <c r="F529" s="1" t="s">
        <v>1456</v>
      </c>
      <c r="G529" s="2">
        <v>46077</v>
      </c>
      <c r="H529">
        <f>COUNTIF(purchase_orders[PO Number], purchase_orders[[#This Row],[PO Number]])</f>
        <v>1</v>
      </c>
    </row>
    <row r="530" spans="1:8" x14ac:dyDescent="0.25">
      <c r="A530" s="1" t="s">
        <v>484</v>
      </c>
      <c r="B530" s="1" t="s">
        <v>1506</v>
      </c>
      <c r="C530" s="2">
        <v>46031</v>
      </c>
      <c r="D530">
        <v>150</v>
      </c>
      <c r="E530">
        <v>48.84</v>
      </c>
      <c r="F530" s="1" t="s">
        <v>1474</v>
      </c>
      <c r="G530" s="2">
        <v>46041</v>
      </c>
      <c r="H530">
        <f>COUNTIF(purchase_orders[PO Number], purchase_orders[[#This Row],[PO Number]])</f>
        <v>1</v>
      </c>
    </row>
    <row r="531" spans="1:8" x14ac:dyDescent="0.25">
      <c r="A531" s="1" t="s">
        <v>485</v>
      </c>
      <c r="B531" s="1" t="s">
        <v>1489</v>
      </c>
      <c r="C531" s="2">
        <v>46167</v>
      </c>
      <c r="D531">
        <v>390</v>
      </c>
      <c r="E531">
        <v>155.65</v>
      </c>
      <c r="F531" s="1" t="s">
        <v>1487</v>
      </c>
      <c r="G531" s="2">
        <v>46188</v>
      </c>
      <c r="H531">
        <f>COUNTIF(purchase_orders[PO Number], purchase_orders[[#This Row],[PO Number]])</f>
        <v>1</v>
      </c>
    </row>
    <row r="532" spans="1:8" x14ac:dyDescent="0.25">
      <c r="A532" s="1" t="s">
        <v>486</v>
      </c>
      <c r="B532" s="1" t="s">
        <v>1466</v>
      </c>
      <c r="C532" s="2">
        <v>46169</v>
      </c>
      <c r="D532">
        <v>68</v>
      </c>
      <c r="E532">
        <v>57.24</v>
      </c>
      <c r="F532" s="1" t="s">
        <v>1459</v>
      </c>
      <c r="G532" s="2">
        <v>46185</v>
      </c>
      <c r="H532">
        <f>COUNTIF(purchase_orders[PO Number], purchase_orders[[#This Row],[PO Number]])</f>
        <v>1</v>
      </c>
    </row>
    <row r="533" spans="1:8" x14ac:dyDescent="0.25">
      <c r="A533" s="1" t="s">
        <v>487</v>
      </c>
      <c r="B533" s="1" t="s">
        <v>1471</v>
      </c>
      <c r="C533" s="2">
        <v>46033</v>
      </c>
      <c r="D533">
        <v>399</v>
      </c>
      <c r="E533">
        <v>145.19999999999999</v>
      </c>
      <c r="F533" s="1" t="s">
        <v>1442</v>
      </c>
      <c r="G533" s="2">
        <v>46044</v>
      </c>
      <c r="H533">
        <f>COUNTIF(purchase_orders[PO Number], purchase_orders[[#This Row],[PO Number]])</f>
        <v>1</v>
      </c>
    </row>
    <row r="534" spans="1:8" x14ac:dyDescent="0.25">
      <c r="A534" s="1" t="s">
        <v>1250</v>
      </c>
      <c r="B534" s="1" t="s">
        <v>1500</v>
      </c>
      <c r="C534" s="2">
        <v>46049</v>
      </c>
      <c r="D534">
        <v>386</v>
      </c>
      <c r="E534">
        <v>166.86</v>
      </c>
      <c r="F534" s="1" t="s">
        <v>1456</v>
      </c>
      <c r="G534" s="2">
        <v>46061</v>
      </c>
      <c r="H534">
        <f>COUNTIF(purchase_orders[PO Number], purchase_orders[[#This Row],[PO Number]])</f>
        <v>1</v>
      </c>
    </row>
    <row r="535" spans="1:8" x14ac:dyDescent="0.25">
      <c r="A535" s="1" t="s">
        <v>488</v>
      </c>
      <c r="B535" s="1" t="s">
        <v>1512</v>
      </c>
      <c r="C535" s="2">
        <v>46031</v>
      </c>
      <c r="D535">
        <v>240</v>
      </c>
      <c r="E535">
        <v>56.25</v>
      </c>
      <c r="F535" s="1" t="s">
        <v>1476</v>
      </c>
      <c r="G535" s="2">
        <v>46050</v>
      </c>
      <c r="H535">
        <f>COUNTIF(purchase_orders[PO Number], purchase_orders[[#This Row],[PO Number]])</f>
        <v>1</v>
      </c>
    </row>
    <row r="536" spans="1:8" x14ac:dyDescent="0.25">
      <c r="A536" s="1" t="s">
        <v>489</v>
      </c>
      <c r="B536" s="1" t="s">
        <v>1466</v>
      </c>
      <c r="C536" s="2">
        <v>46083</v>
      </c>
      <c r="D536">
        <v>117</v>
      </c>
      <c r="E536">
        <v>163.09</v>
      </c>
      <c r="F536" s="1" t="s">
        <v>1459</v>
      </c>
      <c r="G536" s="2">
        <v>46099</v>
      </c>
      <c r="H536">
        <f>COUNTIF(purchase_orders[PO Number], purchase_orders[[#This Row],[PO Number]])</f>
        <v>1</v>
      </c>
    </row>
    <row r="537" spans="1:8" x14ac:dyDescent="0.25">
      <c r="A537" s="1" t="s">
        <v>490</v>
      </c>
      <c r="B537" s="1" t="s">
        <v>1455</v>
      </c>
      <c r="C537" s="2">
        <v>46132</v>
      </c>
      <c r="D537">
        <v>94</v>
      </c>
      <c r="E537">
        <v>125.15</v>
      </c>
      <c r="F537" s="1" t="s">
        <v>1444</v>
      </c>
      <c r="G537" s="2">
        <v>46143</v>
      </c>
      <c r="H537">
        <f>COUNTIF(purchase_orders[PO Number], purchase_orders[[#This Row],[PO Number]])</f>
        <v>1</v>
      </c>
    </row>
    <row r="538" spans="1:8" x14ac:dyDescent="0.25">
      <c r="A538" s="1" t="s">
        <v>491</v>
      </c>
      <c r="B538" s="1" t="s">
        <v>1475</v>
      </c>
      <c r="C538" s="2">
        <v>46168</v>
      </c>
      <c r="D538">
        <v>189</v>
      </c>
      <c r="E538">
        <v>108.79</v>
      </c>
      <c r="F538" s="1" t="s">
        <v>1494</v>
      </c>
      <c r="G538" s="2">
        <v>46178</v>
      </c>
      <c r="H538">
        <f>COUNTIF(purchase_orders[PO Number], purchase_orders[[#This Row],[PO Number]])</f>
        <v>1</v>
      </c>
    </row>
    <row r="539" spans="1:8" x14ac:dyDescent="0.25">
      <c r="A539" s="1" t="s">
        <v>492</v>
      </c>
      <c r="B539" s="1" t="s">
        <v>1509</v>
      </c>
      <c r="C539" s="2">
        <v>46097</v>
      </c>
      <c r="D539">
        <v>158</v>
      </c>
      <c r="E539">
        <v>116.68</v>
      </c>
      <c r="F539" s="1" t="s">
        <v>1504</v>
      </c>
      <c r="G539" s="2">
        <v>46105</v>
      </c>
      <c r="H539">
        <f>COUNTIF(purchase_orders[PO Number], purchase_orders[[#This Row],[PO Number]])</f>
        <v>1</v>
      </c>
    </row>
    <row r="540" spans="1:8" x14ac:dyDescent="0.25">
      <c r="A540" s="1" t="s">
        <v>493</v>
      </c>
      <c r="B540" s="1" t="s">
        <v>1441</v>
      </c>
      <c r="C540" s="2">
        <v>46128</v>
      </c>
      <c r="D540">
        <v>480</v>
      </c>
      <c r="E540">
        <v>16.559999999999999</v>
      </c>
      <c r="F540" s="1" t="s">
        <v>1458</v>
      </c>
      <c r="G540" s="2">
        <v>46137</v>
      </c>
      <c r="H540">
        <f>COUNTIF(purchase_orders[PO Number], purchase_orders[[#This Row],[PO Number]])</f>
        <v>1</v>
      </c>
    </row>
    <row r="541" spans="1:8" x14ac:dyDescent="0.25">
      <c r="A541" s="1" t="s">
        <v>494</v>
      </c>
      <c r="B541" s="1" t="s">
        <v>1449</v>
      </c>
      <c r="C541" s="2">
        <v>46056</v>
      </c>
      <c r="D541">
        <v>137</v>
      </c>
      <c r="E541">
        <v>33.520000000000003</v>
      </c>
      <c r="F541" s="1" t="s">
        <v>1472</v>
      </c>
      <c r="G541" s="2">
        <v>46068</v>
      </c>
      <c r="H541">
        <f>COUNTIF(purchase_orders[PO Number], purchase_orders[[#This Row],[PO Number]])</f>
        <v>1</v>
      </c>
    </row>
    <row r="542" spans="1:8" x14ac:dyDescent="0.25">
      <c r="A542" s="1" t="s">
        <v>495</v>
      </c>
      <c r="B542" s="1" t="s">
        <v>1461</v>
      </c>
      <c r="C542" s="2">
        <v>46123</v>
      </c>
      <c r="D542">
        <v>260</v>
      </c>
      <c r="E542">
        <v>32.72</v>
      </c>
      <c r="F542" s="1" t="s">
        <v>1446</v>
      </c>
      <c r="G542" s="2">
        <v>46136</v>
      </c>
      <c r="H542">
        <f>COUNTIF(purchase_orders[PO Number], purchase_orders[[#This Row],[PO Number]])</f>
        <v>1</v>
      </c>
    </row>
    <row r="543" spans="1:8" x14ac:dyDescent="0.25">
      <c r="A543" s="1" t="s">
        <v>496</v>
      </c>
      <c r="B543" s="1" t="s">
        <v>1439</v>
      </c>
      <c r="C543" s="2">
        <v>46129</v>
      </c>
      <c r="D543">
        <v>202</v>
      </c>
      <c r="E543">
        <v>93.14</v>
      </c>
      <c r="F543" s="1" t="s">
        <v>1446</v>
      </c>
      <c r="G543" s="2">
        <v>46136</v>
      </c>
      <c r="H543">
        <f>COUNTIF(purchase_orders[PO Number], purchase_orders[[#This Row],[PO Number]])</f>
        <v>1</v>
      </c>
    </row>
    <row r="544" spans="1:8" x14ac:dyDescent="0.25">
      <c r="A544" s="1" t="s">
        <v>497</v>
      </c>
      <c r="B544" s="1" t="s">
        <v>1488</v>
      </c>
      <c r="C544" s="2">
        <v>46154</v>
      </c>
      <c r="D544">
        <v>393</v>
      </c>
      <c r="E544">
        <v>59.25</v>
      </c>
      <c r="F544" s="1" t="s">
        <v>1451</v>
      </c>
      <c r="G544" s="2">
        <v>46173</v>
      </c>
      <c r="H544">
        <f>COUNTIF(purchase_orders[PO Number], purchase_orders[[#This Row],[PO Number]])</f>
        <v>1</v>
      </c>
    </row>
    <row r="545" spans="1:8" x14ac:dyDescent="0.25">
      <c r="A545" s="1" t="s">
        <v>498</v>
      </c>
      <c r="B545" s="1" t="s">
        <v>1498</v>
      </c>
      <c r="C545" s="2">
        <v>46106</v>
      </c>
      <c r="D545">
        <v>307</v>
      </c>
      <c r="E545">
        <v>5.48</v>
      </c>
      <c r="F545" s="1" t="s">
        <v>1456</v>
      </c>
      <c r="G545" s="2">
        <v>46113</v>
      </c>
      <c r="H545">
        <f>COUNTIF(purchase_orders[PO Number], purchase_orders[[#This Row],[PO Number]])</f>
        <v>1</v>
      </c>
    </row>
    <row r="546" spans="1:8" x14ac:dyDescent="0.25">
      <c r="A546" s="1" t="s">
        <v>499</v>
      </c>
      <c r="B546" s="1" t="s">
        <v>1477</v>
      </c>
      <c r="C546" s="2">
        <v>46140</v>
      </c>
      <c r="D546">
        <v>335</v>
      </c>
      <c r="E546">
        <v>134.51</v>
      </c>
      <c r="F546" s="1" t="s">
        <v>1451</v>
      </c>
      <c r="G546" s="2">
        <v>46147</v>
      </c>
      <c r="H546">
        <f>COUNTIF(purchase_orders[PO Number], purchase_orders[[#This Row],[PO Number]])</f>
        <v>1</v>
      </c>
    </row>
    <row r="547" spans="1:8" x14ac:dyDescent="0.25">
      <c r="A547" s="1" t="s">
        <v>500</v>
      </c>
      <c r="B547" s="1" t="s">
        <v>1471</v>
      </c>
      <c r="C547" s="2">
        <v>46124</v>
      </c>
      <c r="D547">
        <v>121</v>
      </c>
      <c r="E547">
        <v>193.79</v>
      </c>
      <c r="F547" s="1" t="s">
        <v>1459</v>
      </c>
      <c r="G547" s="2">
        <v>46144</v>
      </c>
      <c r="H547">
        <f>COUNTIF(purchase_orders[PO Number], purchase_orders[[#This Row],[PO Number]])</f>
        <v>1</v>
      </c>
    </row>
    <row r="548" spans="1:8" x14ac:dyDescent="0.25">
      <c r="A548" s="1" t="s">
        <v>501</v>
      </c>
      <c r="B548" s="1" t="s">
        <v>1511</v>
      </c>
      <c r="C548" s="2">
        <v>46105</v>
      </c>
      <c r="D548">
        <v>434</v>
      </c>
      <c r="E548">
        <v>60.3</v>
      </c>
      <c r="F548" s="1" t="s">
        <v>1442</v>
      </c>
      <c r="G548" s="2">
        <v>46114</v>
      </c>
      <c r="H548">
        <f>COUNTIF(purchase_orders[PO Number], purchase_orders[[#This Row],[PO Number]])</f>
        <v>1</v>
      </c>
    </row>
    <row r="549" spans="1:8" x14ac:dyDescent="0.25">
      <c r="A549" s="1" t="s">
        <v>502</v>
      </c>
      <c r="B549" s="1" t="s">
        <v>1493</v>
      </c>
      <c r="C549" s="2">
        <v>46147</v>
      </c>
      <c r="D549">
        <v>413</v>
      </c>
      <c r="E549">
        <v>72.03</v>
      </c>
      <c r="F549" s="1" t="s">
        <v>1467</v>
      </c>
      <c r="G549" s="2">
        <v>46153</v>
      </c>
      <c r="H549">
        <f>COUNTIF(purchase_orders[PO Number], purchase_orders[[#This Row],[PO Number]])</f>
        <v>1</v>
      </c>
    </row>
    <row r="550" spans="1:8" x14ac:dyDescent="0.25">
      <c r="A550" s="1" t="s">
        <v>503</v>
      </c>
      <c r="B550" s="1" t="s">
        <v>1452</v>
      </c>
      <c r="C550" s="2">
        <v>46048</v>
      </c>
      <c r="D550">
        <v>330</v>
      </c>
      <c r="E550">
        <v>157.86000000000001</v>
      </c>
      <c r="F550" s="1" t="s">
        <v>1469</v>
      </c>
      <c r="G550" s="2">
        <v>46053</v>
      </c>
      <c r="H550">
        <f>COUNTIF(purchase_orders[PO Number], purchase_orders[[#This Row],[PO Number]])</f>
        <v>1</v>
      </c>
    </row>
    <row r="551" spans="1:8" x14ac:dyDescent="0.25">
      <c r="A551" s="1" t="s">
        <v>504</v>
      </c>
      <c r="B551" s="1" t="s">
        <v>1466</v>
      </c>
      <c r="C551" s="2">
        <v>46063</v>
      </c>
      <c r="D551">
        <v>235</v>
      </c>
      <c r="E551">
        <v>94.02</v>
      </c>
      <c r="F551" s="1" t="s">
        <v>1507</v>
      </c>
      <c r="G551" s="2">
        <v>46074</v>
      </c>
      <c r="H551">
        <f>COUNTIF(purchase_orders[PO Number], purchase_orders[[#This Row],[PO Number]])</f>
        <v>1</v>
      </c>
    </row>
    <row r="552" spans="1:8" x14ac:dyDescent="0.25">
      <c r="A552" s="1" t="s">
        <v>505</v>
      </c>
      <c r="B552" s="1" t="s">
        <v>1449</v>
      </c>
      <c r="C552" s="2">
        <v>46056</v>
      </c>
      <c r="D552">
        <v>461</v>
      </c>
      <c r="E552">
        <v>131.75</v>
      </c>
      <c r="F552" s="1" t="s">
        <v>1501</v>
      </c>
      <c r="G552" s="2">
        <v>46069</v>
      </c>
      <c r="H552">
        <f>COUNTIF(purchase_orders[PO Number], purchase_orders[[#This Row],[PO Number]])</f>
        <v>1</v>
      </c>
    </row>
    <row r="553" spans="1:8" x14ac:dyDescent="0.25">
      <c r="A553" s="1" t="s">
        <v>506</v>
      </c>
      <c r="B553" s="1" t="s">
        <v>1457</v>
      </c>
      <c r="C553" s="2">
        <v>46115</v>
      </c>
      <c r="D553">
        <v>138</v>
      </c>
      <c r="E553">
        <v>21.07</v>
      </c>
      <c r="F553" s="1" t="s">
        <v>1467</v>
      </c>
      <c r="G553" s="2">
        <v>46125</v>
      </c>
      <c r="H553">
        <f>COUNTIF(purchase_orders[PO Number], purchase_orders[[#This Row],[PO Number]])</f>
        <v>1</v>
      </c>
    </row>
    <row r="554" spans="1:8" x14ac:dyDescent="0.25">
      <c r="A554" s="1" t="s">
        <v>507</v>
      </c>
      <c r="B554" s="1" t="s">
        <v>1475</v>
      </c>
      <c r="C554" s="2">
        <v>46124</v>
      </c>
      <c r="D554">
        <v>330</v>
      </c>
      <c r="E554">
        <v>64.569999999999993</v>
      </c>
      <c r="F554" s="1" t="s">
        <v>1499</v>
      </c>
      <c r="G554" s="2">
        <v>46136</v>
      </c>
      <c r="H554">
        <f>COUNTIF(purchase_orders[PO Number], purchase_orders[[#This Row],[PO Number]])</f>
        <v>1</v>
      </c>
    </row>
    <row r="555" spans="1:8" x14ac:dyDescent="0.25">
      <c r="A555" s="1" t="s">
        <v>508</v>
      </c>
      <c r="B555" s="1" t="s">
        <v>1500</v>
      </c>
      <c r="C555" s="2">
        <v>46046</v>
      </c>
      <c r="D555">
        <v>370</v>
      </c>
      <c r="E555">
        <v>23.56</v>
      </c>
      <c r="F555" s="1" t="s">
        <v>1444</v>
      </c>
      <c r="G555" s="2">
        <v>46066</v>
      </c>
      <c r="H555">
        <f>COUNTIF(purchase_orders[PO Number], purchase_orders[[#This Row],[PO Number]])</f>
        <v>1</v>
      </c>
    </row>
    <row r="556" spans="1:8" x14ac:dyDescent="0.25">
      <c r="A556" s="1" t="s">
        <v>509</v>
      </c>
      <c r="B556" s="1" t="s">
        <v>1492</v>
      </c>
      <c r="C556" s="2">
        <v>46056</v>
      </c>
      <c r="D556">
        <v>313</v>
      </c>
      <c r="E556">
        <v>49.11</v>
      </c>
      <c r="F556" s="1" t="s">
        <v>1467</v>
      </c>
      <c r="G556" s="2">
        <v>46075</v>
      </c>
      <c r="H556">
        <f>COUNTIF(purchase_orders[PO Number], purchase_orders[[#This Row],[PO Number]])</f>
        <v>1</v>
      </c>
    </row>
    <row r="557" spans="1:8" x14ac:dyDescent="0.25">
      <c r="A557" s="1" t="s">
        <v>510</v>
      </c>
      <c r="B557" s="1" t="s">
        <v>1481</v>
      </c>
      <c r="C557" s="2">
        <v>46025</v>
      </c>
      <c r="D557">
        <v>366</v>
      </c>
      <c r="E557">
        <v>72</v>
      </c>
      <c r="F557" s="1" t="s">
        <v>1483</v>
      </c>
      <c r="G557" s="2">
        <v>46043</v>
      </c>
      <c r="H557">
        <f>COUNTIF(purchase_orders[PO Number], purchase_orders[[#This Row],[PO Number]])</f>
        <v>1</v>
      </c>
    </row>
    <row r="558" spans="1:8" x14ac:dyDescent="0.25">
      <c r="A558" s="1" t="s">
        <v>1275</v>
      </c>
      <c r="B558" s="1" t="s">
        <v>1449</v>
      </c>
      <c r="C558" s="2">
        <v>46056</v>
      </c>
      <c r="D558">
        <v>254</v>
      </c>
      <c r="E558">
        <v>18.809999999999999</v>
      </c>
      <c r="F558" s="1" t="s">
        <v>1453</v>
      </c>
      <c r="G558" s="2">
        <v>46063</v>
      </c>
      <c r="H558">
        <f>COUNTIF(purchase_orders[PO Number], purchase_orders[[#This Row],[PO Number]])</f>
        <v>1</v>
      </c>
    </row>
    <row r="559" spans="1:8" x14ac:dyDescent="0.25">
      <c r="A559" s="1" t="s">
        <v>511</v>
      </c>
      <c r="B559" s="1" t="s">
        <v>1477</v>
      </c>
      <c r="C559" s="2">
        <v>46049</v>
      </c>
      <c r="D559">
        <v>62</v>
      </c>
      <c r="E559">
        <v>66.099999999999994</v>
      </c>
      <c r="F559" s="1" t="s">
        <v>1474</v>
      </c>
      <c r="G559" s="2">
        <v>46058</v>
      </c>
      <c r="H559">
        <f>COUNTIF(purchase_orders[PO Number], purchase_orders[[#This Row],[PO Number]])</f>
        <v>1</v>
      </c>
    </row>
    <row r="560" spans="1:8" x14ac:dyDescent="0.25">
      <c r="A560" s="1" t="s">
        <v>512</v>
      </c>
      <c r="B560" s="1" t="s">
        <v>1502</v>
      </c>
      <c r="C560" s="2">
        <v>46057</v>
      </c>
      <c r="D560">
        <v>338</v>
      </c>
      <c r="E560">
        <v>198.62</v>
      </c>
      <c r="F560" s="1" t="s">
        <v>1485</v>
      </c>
      <c r="G560" s="2">
        <v>46064</v>
      </c>
      <c r="H560">
        <f>COUNTIF(purchase_orders[PO Number], purchase_orders[[#This Row],[PO Number]])</f>
        <v>1</v>
      </c>
    </row>
    <row r="561" spans="1:8" x14ac:dyDescent="0.25">
      <c r="A561" s="1" t="s">
        <v>513</v>
      </c>
      <c r="B561" s="1" t="s">
        <v>1491</v>
      </c>
      <c r="C561" s="2">
        <v>46167</v>
      </c>
      <c r="D561">
        <v>14</v>
      </c>
      <c r="E561">
        <v>124.01</v>
      </c>
      <c r="F561" s="1" t="s">
        <v>1459</v>
      </c>
      <c r="G561" s="2">
        <v>46186</v>
      </c>
      <c r="H561">
        <f>COUNTIF(purchase_orders[PO Number], purchase_orders[[#This Row],[PO Number]])</f>
        <v>1</v>
      </c>
    </row>
    <row r="562" spans="1:8" x14ac:dyDescent="0.25">
      <c r="A562" s="1" t="s">
        <v>514</v>
      </c>
      <c r="B562" s="1" t="s">
        <v>1503</v>
      </c>
      <c r="C562" s="2">
        <v>46077</v>
      </c>
      <c r="D562">
        <v>331</v>
      </c>
      <c r="E562">
        <v>150.91</v>
      </c>
      <c r="F562" s="1" t="s">
        <v>1507</v>
      </c>
      <c r="G562" s="2">
        <v>46096</v>
      </c>
      <c r="H562">
        <f>COUNTIF(purchase_orders[PO Number], purchase_orders[[#This Row],[PO Number]])</f>
        <v>1</v>
      </c>
    </row>
    <row r="563" spans="1:8" x14ac:dyDescent="0.25">
      <c r="A563" s="1" t="s">
        <v>515</v>
      </c>
      <c r="B563" s="1" t="s">
        <v>1463</v>
      </c>
      <c r="C563" s="2">
        <v>46045</v>
      </c>
      <c r="D563">
        <v>469</v>
      </c>
      <c r="E563">
        <v>24.59</v>
      </c>
      <c r="F563" s="1" t="s">
        <v>1456</v>
      </c>
      <c r="G563" s="2">
        <v>46053</v>
      </c>
      <c r="H563">
        <f>COUNTIF(purchase_orders[PO Number], purchase_orders[[#This Row],[PO Number]])</f>
        <v>1</v>
      </c>
    </row>
    <row r="564" spans="1:8" x14ac:dyDescent="0.25">
      <c r="A564" s="1" t="s">
        <v>516</v>
      </c>
      <c r="B564" s="1" t="s">
        <v>1443</v>
      </c>
      <c r="C564" s="2">
        <v>46121</v>
      </c>
      <c r="D564">
        <v>189</v>
      </c>
      <c r="E564">
        <v>192.83</v>
      </c>
      <c r="F564" s="1" t="s">
        <v>1459</v>
      </c>
      <c r="G564" s="2">
        <v>46130</v>
      </c>
      <c r="H564">
        <f>COUNTIF(purchase_orders[PO Number], purchase_orders[[#This Row],[PO Number]])</f>
        <v>1</v>
      </c>
    </row>
    <row r="565" spans="1:8" x14ac:dyDescent="0.25">
      <c r="A565" s="1" t="s">
        <v>517</v>
      </c>
      <c r="B565" s="1" t="s">
        <v>1482</v>
      </c>
      <c r="C565" s="2">
        <v>46093</v>
      </c>
      <c r="D565">
        <v>340</v>
      </c>
      <c r="E565">
        <v>21.43</v>
      </c>
      <c r="F565" s="1" t="s">
        <v>1442</v>
      </c>
      <c r="G565" s="2">
        <v>46107</v>
      </c>
      <c r="H565">
        <f>COUNTIF(purchase_orders[PO Number], purchase_orders[[#This Row],[PO Number]])</f>
        <v>1</v>
      </c>
    </row>
    <row r="566" spans="1:8" x14ac:dyDescent="0.25">
      <c r="A566" s="1" t="s">
        <v>1284</v>
      </c>
      <c r="B566" s="1" t="s">
        <v>1449</v>
      </c>
      <c r="C566" s="2">
        <v>46029</v>
      </c>
      <c r="D566">
        <v>444</v>
      </c>
      <c r="E566">
        <v>170.18</v>
      </c>
      <c r="F566" s="1" t="s">
        <v>1474</v>
      </c>
      <c r="G566" s="2">
        <v>46040</v>
      </c>
      <c r="H566">
        <f>COUNTIF(purchase_orders[PO Number], purchase_orders[[#This Row],[PO Number]])</f>
        <v>1</v>
      </c>
    </row>
    <row r="567" spans="1:8" x14ac:dyDescent="0.25">
      <c r="A567" s="1" t="s">
        <v>518</v>
      </c>
      <c r="B567" s="1" t="s">
        <v>1491</v>
      </c>
      <c r="C567" s="2">
        <v>46153</v>
      </c>
      <c r="D567">
        <v>106</v>
      </c>
      <c r="E567">
        <v>150.83000000000001</v>
      </c>
      <c r="F567" s="1" t="s">
        <v>1474</v>
      </c>
      <c r="G567" s="2">
        <v>46159</v>
      </c>
      <c r="H567">
        <f>COUNTIF(purchase_orders[PO Number], purchase_orders[[#This Row],[PO Number]])</f>
        <v>1</v>
      </c>
    </row>
    <row r="568" spans="1:8" x14ac:dyDescent="0.25">
      <c r="A568" s="1" t="s">
        <v>1288</v>
      </c>
      <c r="B568" s="1" t="s">
        <v>1482</v>
      </c>
      <c r="C568" s="2">
        <v>46149</v>
      </c>
      <c r="D568">
        <v>207</v>
      </c>
      <c r="E568">
        <v>26.99</v>
      </c>
      <c r="F568" s="1" t="s">
        <v>1487</v>
      </c>
      <c r="G568" s="2">
        <v>46156</v>
      </c>
      <c r="H568">
        <f>COUNTIF(purchase_orders[PO Number], purchase_orders[[#This Row],[PO Number]])</f>
        <v>1</v>
      </c>
    </row>
    <row r="569" spans="1:8" x14ac:dyDescent="0.25">
      <c r="A569" s="1" t="s">
        <v>519</v>
      </c>
      <c r="B569" s="1" t="s">
        <v>1491</v>
      </c>
      <c r="C569" s="2">
        <v>46026</v>
      </c>
      <c r="D569">
        <v>194</v>
      </c>
      <c r="E569">
        <v>187.12</v>
      </c>
      <c r="F569" s="1" t="s">
        <v>1485</v>
      </c>
      <c r="G569" s="2">
        <v>46043</v>
      </c>
      <c r="H569">
        <f>COUNTIF(purchase_orders[PO Number], purchase_orders[[#This Row],[PO Number]])</f>
        <v>1</v>
      </c>
    </row>
    <row r="570" spans="1:8" x14ac:dyDescent="0.25">
      <c r="A570" s="1" t="s">
        <v>520</v>
      </c>
      <c r="B570" s="1" t="s">
        <v>1493</v>
      </c>
      <c r="C570" s="2">
        <v>46130</v>
      </c>
      <c r="D570">
        <v>197</v>
      </c>
      <c r="E570">
        <v>111.54</v>
      </c>
      <c r="F570" s="1" t="s">
        <v>1501</v>
      </c>
      <c r="G570" s="2">
        <v>46150</v>
      </c>
      <c r="H570">
        <f>COUNTIF(purchase_orders[PO Number], purchase_orders[[#This Row],[PO Number]])</f>
        <v>1</v>
      </c>
    </row>
    <row r="571" spans="1:8" x14ac:dyDescent="0.25">
      <c r="A571" s="1" t="s">
        <v>521</v>
      </c>
      <c r="B571" s="1" t="s">
        <v>1492</v>
      </c>
      <c r="C571" s="2">
        <v>46027</v>
      </c>
      <c r="D571">
        <v>310</v>
      </c>
      <c r="E571">
        <v>18.170000000000002</v>
      </c>
      <c r="F571" s="1" t="s">
        <v>1458</v>
      </c>
      <c r="G571" s="2">
        <v>46038</v>
      </c>
      <c r="H571">
        <f>COUNTIF(purchase_orders[PO Number], purchase_orders[[#This Row],[PO Number]])</f>
        <v>1</v>
      </c>
    </row>
    <row r="572" spans="1:8" x14ac:dyDescent="0.25">
      <c r="A572" s="1" t="s">
        <v>522</v>
      </c>
      <c r="B572" s="1" t="s">
        <v>1452</v>
      </c>
      <c r="C572" s="2">
        <v>46038</v>
      </c>
      <c r="D572">
        <v>495</v>
      </c>
      <c r="E572">
        <v>158.91</v>
      </c>
      <c r="F572" s="1" t="s">
        <v>1504</v>
      </c>
      <c r="G572" s="2">
        <v>46052</v>
      </c>
      <c r="H572">
        <f>COUNTIF(purchase_orders[PO Number], purchase_orders[[#This Row],[PO Number]])</f>
        <v>1</v>
      </c>
    </row>
    <row r="573" spans="1:8" x14ac:dyDescent="0.25">
      <c r="A573" s="1" t="s">
        <v>523</v>
      </c>
      <c r="B573" s="1" t="s">
        <v>1439</v>
      </c>
      <c r="C573" s="2">
        <v>46151</v>
      </c>
      <c r="D573">
        <v>402</v>
      </c>
      <c r="E573">
        <v>86.01</v>
      </c>
      <c r="F573" s="1" t="s">
        <v>1499</v>
      </c>
      <c r="G573" s="2">
        <v>46168</v>
      </c>
      <c r="H573">
        <f>COUNTIF(purchase_orders[PO Number], purchase_orders[[#This Row],[PO Number]])</f>
        <v>1</v>
      </c>
    </row>
    <row r="574" spans="1:8" x14ac:dyDescent="0.25">
      <c r="A574" s="1" t="s">
        <v>524</v>
      </c>
      <c r="B574" s="1" t="s">
        <v>1457</v>
      </c>
      <c r="C574" s="2">
        <v>46160</v>
      </c>
      <c r="D574">
        <v>285</v>
      </c>
      <c r="E574">
        <v>125.13</v>
      </c>
      <c r="F574" s="1" t="s">
        <v>1458</v>
      </c>
      <c r="G574" s="2">
        <v>46167</v>
      </c>
      <c r="H574">
        <f>COUNTIF(purchase_orders[PO Number], purchase_orders[[#This Row],[PO Number]])</f>
        <v>1</v>
      </c>
    </row>
    <row r="575" spans="1:8" x14ac:dyDescent="0.25">
      <c r="A575" s="1" t="s">
        <v>525</v>
      </c>
      <c r="B575" s="1" t="s">
        <v>1512</v>
      </c>
      <c r="C575" s="2">
        <v>46043</v>
      </c>
      <c r="D575">
        <v>271</v>
      </c>
      <c r="E575">
        <v>184.58</v>
      </c>
      <c r="F575" s="1" t="s">
        <v>1485</v>
      </c>
      <c r="G575" s="2">
        <v>46058</v>
      </c>
      <c r="H575">
        <f>COUNTIF(purchase_orders[PO Number], purchase_orders[[#This Row],[PO Number]])</f>
        <v>1</v>
      </c>
    </row>
    <row r="576" spans="1:8" x14ac:dyDescent="0.25">
      <c r="A576" s="1" t="s">
        <v>526</v>
      </c>
      <c r="B576" s="1" t="s">
        <v>1488</v>
      </c>
      <c r="C576" s="2">
        <v>46173</v>
      </c>
      <c r="D576">
        <v>334</v>
      </c>
      <c r="E576">
        <v>153.83000000000001</v>
      </c>
      <c r="F576" s="1" t="s">
        <v>1446</v>
      </c>
      <c r="G576" s="2">
        <v>46180</v>
      </c>
      <c r="H576">
        <f>COUNTIF(purchase_orders[PO Number], purchase_orders[[#This Row],[PO Number]])</f>
        <v>1</v>
      </c>
    </row>
    <row r="577" spans="1:8" x14ac:dyDescent="0.25">
      <c r="A577" s="1" t="s">
        <v>527</v>
      </c>
      <c r="B577" s="1" t="s">
        <v>1512</v>
      </c>
      <c r="C577" s="2">
        <v>46134</v>
      </c>
      <c r="D577">
        <v>383</v>
      </c>
      <c r="E577">
        <v>190.92</v>
      </c>
      <c r="F577" s="1" t="s">
        <v>1440</v>
      </c>
      <c r="G577" s="2">
        <v>46140</v>
      </c>
      <c r="H577">
        <f>COUNTIF(purchase_orders[PO Number], purchase_orders[[#This Row],[PO Number]])</f>
        <v>1</v>
      </c>
    </row>
    <row r="578" spans="1:8" x14ac:dyDescent="0.25">
      <c r="A578" s="1" t="s">
        <v>528</v>
      </c>
      <c r="B578" s="1" t="s">
        <v>1482</v>
      </c>
      <c r="C578" s="2">
        <v>46045</v>
      </c>
      <c r="D578">
        <v>483</v>
      </c>
      <c r="E578">
        <v>89.72</v>
      </c>
      <c r="F578" s="1" t="s">
        <v>1469</v>
      </c>
      <c r="G578" s="2">
        <v>46051</v>
      </c>
      <c r="H578">
        <f>COUNTIF(purchase_orders[PO Number], purchase_orders[[#This Row],[PO Number]])</f>
        <v>1</v>
      </c>
    </row>
    <row r="579" spans="1:8" x14ac:dyDescent="0.25">
      <c r="A579" s="1" t="s">
        <v>529</v>
      </c>
      <c r="B579" s="1" t="s">
        <v>1512</v>
      </c>
      <c r="C579" s="2">
        <v>46067</v>
      </c>
      <c r="D579">
        <v>71</v>
      </c>
      <c r="E579">
        <v>7.47</v>
      </c>
      <c r="F579" s="1" t="s">
        <v>1485</v>
      </c>
      <c r="G579" s="2">
        <v>46072</v>
      </c>
      <c r="H579">
        <f>COUNTIF(purchase_orders[PO Number], purchase_orders[[#This Row],[PO Number]])</f>
        <v>1</v>
      </c>
    </row>
    <row r="580" spans="1:8" x14ac:dyDescent="0.25">
      <c r="A580" s="1" t="s">
        <v>530</v>
      </c>
      <c r="B580" s="1" t="s">
        <v>1460</v>
      </c>
      <c r="C580" s="2">
        <v>46150</v>
      </c>
      <c r="D580">
        <v>497</v>
      </c>
      <c r="E580">
        <v>72.61</v>
      </c>
      <c r="F580" s="1" t="s">
        <v>1504</v>
      </c>
      <c r="G580" s="2">
        <v>46163</v>
      </c>
      <c r="H580">
        <f>COUNTIF(purchase_orders[PO Number], purchase_orders[[#This Row],[PO Number]])</f>
        <v>1</v>
      </c>
    </row>
    <row r="581" spans="1:8" x14ac:dyDescent="0.25">
      <c r="A581" s="1" t="s">
        <v>531</v>
      </c>
      <c r="B581" s="1" t="s">
        <v>1460</v>
      </c>
      <c r="C581" s="2">
        <v>46118</v>
      </c>
      <c r="D581">
        <v>74</v>
      </c>
      <c r="E581">
        <v>151.21</v>
      </c>
      <c r="F581" s="1" t="s">
        <v>1458</v>
      </c>
      <c r="G581" s="2">
        <v>46126</v>
      </c>
      <c r="H581">
        <f>COUNTIF(purchase_orders[PO Number], purchase_orders[[#This Row],[PO Number]])</f>
        <v>1</v>
      </c>
    </row>
    <row r="582" spans="1:8" x14ac:dyDescent="0.25">
      <c r="A582" s="1" t="s">
        <v>532</v>
      </c>
      <c r="B582" s="1" t="s">
        <v>1473</v>
      </c>
      <c r="C582" s="2">
        <v>46108</v>
      </c>
      <c r="D582">
        <v>423</v>
      </c>
      <c r="E582">
        <v>88.72</v>
      </c>
      <c r="F582" s="1" t="s">
        <v>1504</v>
      </c>
      <c r="G582" s="2">
        <v>46115</v>
      </c>
      <c r="H582">
        <f>COUNTIF(purchase_orders[PO Number], purchase_orders[[#This Row],[PO Number]])</f>
        <v>1</v>
      </c>
    </row>
    <row r="583" spans="1:8" x14ac:dyDescent="0.25">
      <c r="A583" s="1" t="s">
        <v>533</v>
      </c>
      <c r="B583" s="1" t="s">
        <v>1470</v>
      </c>
      <c r="C583" s="2">
        <v>46170</v>
      </c>
      <c r="D583">
        <v>331</v>
      </c>
      <c r="E583">
        <v>20.03</v>
      </c>
      <c r="F583" s="1" t="s">
        <v>1469</v>
      </c>
      <c r="G583" s="2">
        <v>46191</v>
      </c>
      <c r="H583">
        <f>COUNTIF(purchase_orders[PO Number], purchase_orders[[#This Row],[PO Number]])</f>
        <v>1</v>
      </c>
    </row>
    <row r="584" spans="1:8" x14ac:dyDescent="0.25">
      <c r="A584" s="1" t="s">
        <v>534</v>
      </c>
      <c r="B584" s="1" t="s">
        <v>1496</v>
      </c>
      <c r="C584" s="2">
        <v>46037</v>
      </c>
      <c r="D584">
        <v>265</v>
      </c>
      <c r="E584">
        <v>172.58</v>
      </c>
      <c r="F584" s="1" t="s">
        <v>1501</v>
      </c>
      <c r="G584" s="2">
        <v>46053</v>
      </c>
      <c r="H584">
        <f>COUNTIF(purchase_orders[PO Number], purchase_orders[[#This Row],[PO Number]])</f>
        <v>1</v>
      </c>
    </row>
    <row r="585" spans="1:8" x14ac:dyDescent="0.25">
      <c r="A585" s="1" t="s">
        <v>535</v>
      </c>
      <c r="B585" s="1" t="s">
        <v>1460</v>
      </c>
      <c r="C585" s="2">
        <v>46088</v>
      </c>
      <c r="D585">
        <v>405</v>
      </c>
      <c r="E585">
        <v>25.07</v>
      </c>
      <c r="F585" s="1" t="s">
        <v>1480</v>
      </c>
      <c r="G585" s="2">
        <v>46096</v>
      </c>
      <c r="H585">
        <f>COUNTIF(purchase_orders[PO Number], purchase_orders[[#This Row],[PO Number]])</f>
        <v>1</v>
      </c>
    </row>
    <row r="586" spans="1:8" x14ac:dyDescent="0.25">
      <c r="A586" s="1" t="s">
        <v>536</v>
      </c>
      <c r="B586" s="1" t="s">
        <v>1447</v>
      </c>
      <c r="C586" s="2">
        <v>46153</v>
      </c>
      <c r="D586">
        <v>11</v>
      </c>
      <c r="E586">
        <v>13.59</v>
      </c>
      <c r="F586" s="1" t="s">
        <v>1448</v>
      </c>
      <c r="G586" s="2">
        <v>46165</v>
      </c>
      <c r="H586">
        <f>COUNTIF(purchase_orders[PO Number], purchase_orders[[#This Row],[PO Number]])</f>
        <v>1</v>
      </c>
    </row>
    <row r="587" spans="1:8" x14ac:dyDescent="0.25">
      <c r="A587" s="1" t="s">
        <v>537</v>
      </c>
      <c r="B587" s="1" t="s">
        <v>1452</v>
      </c>
      <c r="C587" s="2">
        <v>46143</v>
      </c>
      <c r="D587">
        <v>196</v>
      </c>
      <c r="E587">
        <v>79.680000000000007</v>
      </c>
      <c r="F587" s="1" t="s">
        <v>1485</v>
      </c>
      <c r="G587" s="2">
        <v>46153</v>
      </c>
      <c r="H587">
        <f>COUNTIF(purchase_orders[PO Number], purchase_orders[[#This Row],[PO Number]])</f>
        <v>1</v>
      </c>
    </row>
    <row r="588" spans="1:8" x14ac:dyDescent="0.25">
      <c r="A588" s="1" t="s">
        <v>538</v>
      </c>
      <c r="B588" s="1" t="s">
        <v>1452</v>
      </c>
      <c r="C588" s="2">
        <v>46164</v>
      </c>
      <c r="D588">
        <v>421</v>
      </c>
      <c r="E588">
        <v>183.22</v>
      </c>
      <c r="F588" s="1" t="s">
        <v>1490</v>
      </c>
      <c r="G588" s="2">
        <v>46182</v>
      </c>
      <c r="H588">
        <f>COUNTIF(purchase_orders[PO Number], purchase_orders[[#This Row],[PO Number]])</f>
        <v>1</v>
      </c>
    </row>
    <row r="589" spans="1:8" x14ac:dyDescent="0.25">
      <c r="A589" s="1" t="s">
        <v>539</v>
      </c>
      <c r="B589" s="1" t="s">
        <v>1447</v>
      </c>
      <c r="C589" s="2">
        <v>46105</v>
      </c>
      <c r="D589">
        <v>137</v>
      </c>
      <c r="E589">
        <v>86.17</v>
      </c>
      <c r="F589" s="1" t="s">
        <v>1490</v>
      </c>
      <c r="G589" s="2">
        <v>46120</v>
      </c>
      <c r="H589">
        <f>COUNTIF(purchase_orders[PO Number], purchase_orders[[#This Row],[PO Number]])</f>
        <v>1</v>
      </c>
    </row>
    <row r="590" spans="1:8" x14ac:dyDescent="0.25">
      <c r="A590" s="1" t="s">
        <v>540</v>
      </c>
      <c r="B590" s="1" t="s">
        <v>1511</v>
      </c>
      <c r="C590" s="2">
        <v>46042</v>
      </c>
      <c r="D590">
        <v>302</v>
      </c>
      <c r="E590">
        <v>77.7</v>
      </c>
      <c r="F590" s="1" t="s">
        <v>1504</v>
      </c>
      <c r="G590" s="2">
        <v>46048</v>
      </c>
      <c r="H590">
        <f>COUNTIF(purchase_orders[PO Number], purchase_orders[[#This Row],[PO Number]])</f>
        <v>1</v>
      </c>
    </row>
    <row r="591" spans="1:8" x14ac:dyDescent="0.25">
      <c r="A591" s="1" t="s">
        <v>541</v>
      </c>
      <c r="B591" s="1" t="s">
        <v>1486</v>
      </c>
      <c r="C591" s="2">
        <v>46080</v>
      </c>
      <c r="D591">
        <v>421</v>
      </c>
      <c r="E591">
        <v>105.58</v>
      </c>
      <c r="F591" s="1" t="s">
        <v>1462</v>
      </c>
      <c r="G591" s="2">
        <v>46097</v>
      </c>
      <c r="H591">
        <f>COUNTIF(purchase_orders[PO Number], purchase_orders[[#This Row],[PO Number]])</f>
        <v>1</v>
      </c>
    </row>
    <row r="592" spans="1:8" x14ac:dyDescent="0.25">
      <c r="A592" s="1" t="s">
        <v>542</v>
      </c>
      <c r="B592" s="1" t="s">
        <v>1492</v>
      </c>
      <c r="C592" s="2">
        <v>46142</v>
      </c>
      <c r="D592">
        <v>453</v>
      </c>
      <c r="E592">
        <v>60.05</v>
      </c>
      <c r="F592" s="1" t="s">
        <v>1474</v>
      </c>
      <c r="G592" s="2">
        <v>46157</v>
      </c>
      <c r="H592">
        <f>COUNTIF(purchase_orders[PO Number], purchase_orders[[#This Row],[PO Number]])</f>
        <v>1</v>
      </c>
    </row>
    <row r="593" spans="1:8" x14ac:dyDescent="0.25">
      <c r="A593" s="1" t="s">
        <v>543</v>
      </c>
      <c r="B593" s="1" t="s">
        <v>1457</v>
      </c>
      <c r="C593" s="2">
        <v>46164</v>
      </c>
      <c r="D593">
        <v>243</v>
      </c>
      <c r="E593">
        <v>6.55</v>
      </c>
      <c r="F593" s="1" t="s">
        <v>1444</v>
      </c>
      <c r="G593" s="2">
        <v>46178</v>
      </c>
      <c r="H593">
        <f>COUNTIF(purchase_orders[PO Number], purchase_orders[[#This Row],[PO Number]])</f>
        <v>1</v>
      </c>
    </row>
    <row r="594" spans="1:8" x14ac:dyDescent="0.25">
      <c r="A594" s="1" t="s">
        <v>544</v>
      </c>
      <c r="B594" s="1" t="s">
        <v>1493</v>
      </c>
      <c r="C594" s="2">
        <v>46100</v>
      </c>
      <c r="D594">
        <v>388</v>
      </c>
      <c r="E594">
        <v>126.43</v>
      </c>
      <c r="F594" s="1" t="s">
        <v>1469</v>
      </c>
      <c r="G594" s="2">
        <v>46116</v>
      </c>
      <c r="H594">
        <f>COUNTIF(purchase_orders[PO Number], purchase_orders[[#This Row],[PO Number]])</f>
        <v>1</v>
      </c>
    </row>
    <row r="595" spans="1:8" x14ac:dyDescent="0.25">
      <c r="A595" s="1" t="s">
        <v>545</v>
      </c>
      <c r="B595" s="1" t="s">
        <v>1443</v>
      </c>
      <c r="C595" s="2">
        <v>46149</v>
      </c>
      <c r="D595">
        <v>405</v>
      </c>
      <c r="E595">
        <v>156.30000000000001</v>
      </c>
      <c r="F595" s="1" t="s">
        <v>1490</v>
      </c>
      <c r="G595" s="2">
        <v>46161</v>
      </c>
      <c r="H595">
        <f>COUNTIF(purchase_orders[PO Number], purchase_orders[[#This Row],[PO Number]])</f>
        <v>1</v>
      </c>
    </row>
    <row r="596" spans="1:8" x14ac:dyDescent="0.25">
      <c r="A596" s="1" t="s">
        <v>546</v>
      </c>
      <c r="B596" s="1" t="s">
        <v>1464</v>
      </c>
      <c r="C596" s="2">
        <v>46024</v>
      </c>
      <c r="D596">
        <v>487</v>
      </c>
      <c r="E596">
        <v>84.96</v>
      </c>
      <c r="F596" s="1" t="s">
        <v>1440</v>
      </c>
      <c r="G596" s="2">
        <v>46040</v>
      </c>
      <c r="H596">
        <f>COUNTIF(purchase_orders[PO Number], purchase_orders[[#This Row],[PO Number]])</f>
        <v>1</v>
      </c>
    </row>
    <row r="597" spans="1:8" x14ac:dyDescent="0.25">
      <c r="A597" s="1" t="s">
        <v>547</v>
      </c>
      <c r="B597" s="1" t="s">
        <v>1439</v>
      </c>
      <c r="C597" s="2">
        <v>46025</v>
      </c>
      <c r="D597">
        <v>496</v>
      </c>
      <c r="E597">
        <v>70.33</v>
      </c>
      <c r="F597" s="1" t="s">
        <v>1456</v>
      </c>
      <c r="G597" s="2">
        <v>46042</v>
      </c>
      <c r="H597">
        <f>COUNTIF(purchase_orders[PO Number], purchase_orders[[#This Row],[PO Number]])</f>
        <v>1</v>
      </c>
    </row>
    <row r="598" spans="1:8" x14ac:dyDescent="0.25">
      <c r="A598" s="1" t="s">
        <v>548</v>
      </c>
      <c r="B598" s="1" t="s">
        <v>1465</v>
      </c>
      <c r="C598" s="2">
        <v>46101</v>
      </c>
      <c r="D598">
        <v>63</v>
      </c>
      <c r="E598">
        <v>45.01</v>
      </c>
      <c r="F598" s="1" t="s">
        <v>1440</v>
      </c>
      <c r="G598" s="2">
        <v>46119</v>
      </c>
      <c r="H598">
        <f>COUNTIF(purchase_orders[PO Number], purchase_orders[[#This Row],[PO Number]])</f>
        <v>1</v>
      </c>
    </row>
    <row r="599" spans="1:8" x14ac:dyDescent="0.25">
      <c r="A599" s="1" t="s">
        <v>549</v>
      </c>
      <c r="B599" s="1" t="s">
        <v>1498</v>
      </c>
      <c r="C599" s="2">
        <v>46038</v>
      </c>
      <c r="D599">
        <v>82</v>
      </c>
      <c r="E599">
        <v>143.77000000000001</v>
      </c>
      <c r="F599" s="1" t="s">
        <v>1476</v>
      </c>
      <c r="G599" s="2">
        <v>46044</v>
      </c>
      <c r="H599">
        <f>COUNTIF(purchase_orders[PO Number], purchase_orders[[#This Row],[PO Number]])</f>
        <v>1</v>
      </c>
    </row>
    <row r="600" spans="1:8" x14ac:dyDescent="0.25">
      <c r="A600" s="1" t="s">
        <v>550</v>
      </c>
      <c r="B600" s="1" t="s">
        <v>1447</v>
      </c>
      <c r="C600" s="2">
        <v>46156</v>
      </c>
      <c r="D600">
        <v>221</v>
      </c>
      <c r="E600">
        <v>141.66999999999999</v>
      </c>
      <c r="F600" s="1" t="s">
        <v>1451</v>
      </c>
      <c r="G600" s="2">
        <v>46175</v>
      </c>
      <c r="H600">
        <f>COUNTIF(purchase_orders[PO Number], purchase_orders[[#This Row],[PO Number]])</f>
        <v>1</v>
      </c>
    </row>
    <row r="601" spans="1:8" x14ac:dyDescent="0.25">
      <c r="A601" s="1" t="s">
        <v>551</v>
      </c>
      <c r="B601" s="1" t="s">
        <v>1465</v>
      </c>
      <c r="C601" s="2">
        <v>46044</v>
      </c>
      <c r="D601">
        <v>307</v>
      </c>
      <c r="E601">
        <v>23.64</v>
      </c>
      <c r="F601" s="1" t="s">
        <v>1485</v>
      </c>
      <c r="G601" s="2">
        <v>46061</v>
      </c>
      <c r="H601">
        <f>COUNTIF(purchase_orders[PO Number], purchase_orders[[#This Row],[PO Number]])</f>
        <v>1</v>
      </c>
    </row>
    <row r="602" spans="1:8" x14ac:dyDescent="0.25">
      <c r="A602" s="1" t="s">
        <v>552</v>
      </c>
      <c r="B602" s="1" t="s">
        <v>1492</v>
      </c>
      <c r="C602" s="2">
        <v>46168</v>
      </c>
      <c r="D602">
        <v>41</v>
      </c>
      <c r="E602">
        <v>89.82</v>
      </c>
      <c r="F602" s="1" t="s">
        <v>1485</v>
      </c>
      <c r="G602" s="2">
        <v>46180</v>
      </c>
      <c r="H602">
        <f>COUNTIF(purchase_orders[PO Number], purchase_orders[[#This Row],[PO Number]])</f>
        <v>1</v>
      </c>
    </row>
    <row r="603" spans="1:8" x14ac:dyDescent="0.25">
      <c r="A603" s="1" t="s">
        <v>553</v>
      </c>
      <c r="B603" s="1" t="s">
        <v>1506</v>
      </c>
      <c r="C603" s="2">
        <v>46089</v>
      </c>
      <c r="D603">
        <v>445</v>
      </c>
      <c r="E603">
        <v>66.430000000000007</v>
      </c>
      <c r="F603" s="1" t="s">
        <v>1453</v>
      </c>
      <c r="G603" s="2">
        <v>46104</v>
      </c>
      <c r="H603">
        <f>COUNTIF(purchase_orders[PO Number], purchase_orders[[#This Row],[PO Number]])</f>
        <v>1</v>
      </c>
    </row>
    <row r="604" spans="1:8" x14ac:dyDescent="0.25">
      <c r="A604" s="1" t="s">
        <v>554</v>
      </c>
      <c r="B604" s="1" t="s">
        <v>1509</v>
      </c>
      <c r="C604" s="2">
        <v>46138</v>
      </c>
      <c r="D604">
        <v>149</v>
      </c>
      <c r="E604">
        <v>50.55</v>
      </c>
      <c r="F604" s="1" t="s">
        <v>1444</v>
      </c>
      <c r="G604" s="2">
        <v>46147</v>
      </c>
      <c r="H604">
        <f>COUNTIF(purchase_orders[PO Number], purchase_orders[[#This Row],[PO Number]])</f>
        <v>1</v>
      </c>
    </row>
    <row r="605" spans="1:8" x14ac:dyDescent="0.25">
      <c r="A605" s="1" t="s">
        <v>555</v>
      </c>
      <c r="B605" s="1" t="s">
        <v>1443</v>
      </c>
      <c r="C605" s="2">
        <v>46050</v>
      </c>
      <c r="D605">
        <v>89</v>
      </c>
      <c r="E605">
        <v>25.6</v>
      </c>
      <c r="F605" s="1" t="s">
        <v>1469</v>
      </c>
      <c r="G605" s="2">
        <v>46069</v>
      </c>
      <c r="H605">
        <f>COUNTIF(purchase_orders[PO Number], purchase_orders[[#This Row],[PO Number]])</f>
        <v>1</v>
      </c>
    </row>
    <row r="606" spans="1:8" x14ac:dyDescent="0.25">
      <c r="A606" s="1" t="s">
        <v>1330</v>
      </c>
      <c r="B606" s="1" t="s">
        <v>1509</v>
      </c>
      <c r="C606" s="2">
        <v>46127</v>
      </c>
      <c r="D606">
        <v>71</v>
      </c>
      <c r="E606">
        <v>109.51</v>
      </c>
      <c r="F606" s="1" t="s">
        <v>1456</v>
      </c>
      <c r="G606" s="2">
        <v>46138</v>
      </c>
      <c r="H606">
        <f>COUNTIF(purchase_orders[PO Number], purchase_orders[[#This Row],[PO Number]])</f>
        <v>1</v>
      </c>
    </row>
    <row r="607" spans="1:8" x14ac:dyDescent="0.25">
      <c r="A607" s="1" t="s">
        <v>1333</v>
      </c>
      <c r="B607" s="1" t="s">
        <v>1478</v>
      </c>
      <c r="C607" s="2">
        <v>46101</v>
      </c>
      <c r="D607">
        <v>247</v>
      </c>
      <c r="E607">
        <v>56.68</v>
      </c>
      <c r="F607" s="1" t="s">
        <v>1483</v>
      </c>
      <c r="G607" s="2">
        <v>46108</v>
      </c>
      <c r="H607">
        <f>COUNTIF(purchase_orders[PO Number], purchase_orders[[#This Row],[PO Number]])</f>
        <v>1</v>
      </c>
    </row>
    <row r="608" spans="1:8" x14ac:dyDescent="0.25">
      <c r="A608" s="1" t="s">
        <v>556</v>
      </c>
      <c r="B608" s="1" t="s">
        <v>1460</v>
      </c>
      <c r="C608" s="2">
        <v>46100</v>
      </c>
      <c r="D608">
        <v>433</v>
      </c>
      <c r="E608">
        <v>142.41999999999999</v>
      </c>
      <c r="F608" s="1" t="s">
        <v>1494</v>
      </c>
      <c r="G608" s="2">
        <v>46106</v>
      </c>
      <c r="H608">
        <f>COUNTIF(purchase_orders[PO Number], purchase_orders[[#This Row],[PO Number]])</f>
        <v>1</v>
      </c>
    </row>
    <row r="609" spans="1:8" x14ac:dyDescent="0.25">
      <c r="A609" s="1" t="s">
        <v>557</v>
      </c>
      <c r="B609" s="1" t="s">
        <v>1463</v>
      </c>
      <c r="C609" s="2">
        <v>46106</v>
      </c>
      <c r="D609">
        <v>85</v>
      </c>
      <c r="E609">
        <v>22.79</v>
      </c>
      <c r="F609" s="1" t="s">
        <v>1440</v>
      </c>
      <c r="G609" s="2">
        <v>46122</v>
      </c>
      <c r="H609">
        <f>COUNTIF(purchase_orders[PO Number], purchase_orders[[#This Row],[PO Number]])</f>
        <v>1</v>
      </c>
    </row>
    <row r="610" spans="1:8" x14ac:dyDescent="0.25">
      <c r="A610" s="1" t="s">
        <v>1337</v>
      </c>
      <c r="B610" s="1" t="s">
        <v>1488</v>
      </c>
      <c r="C610" s="2">
        <v>46154</v>
      </c>
      <c r="D610">
        <v>35</v>
      </c>
      <c r="E610">
        <v>137.05000000000001</v>
      </c>
      <c r="F610" s="1" t="s">
        <v>1458</v>
      </c>
      <c r="G610" s="2">
        <v>46164</v>
      </c>
      <c r="H610">
        <f>COUNTIF(purchase_orders[PO Number], purchase_orders[[#This Row],[PO Number]])</f>
        <v>1</v>
      </c>
    </row>
    <row r="611" spans="1:8" x14ac:dyDescent="0.25">
      <c r="A611" s="1" t="s">
        <v>558</v>
      </c>
      <c r="B611" s="1" t="s">
        <v>1473</v>
      </c>
      <c r="C611" s="2">
        <v>46126</v>
      </c>
      <c r="D611">
        <v>447</v>
      </c>
      <c r="E611">
        <v>93.18</v>
      </c>
      <c r="F611" s="1" t="s">
        <v>1490</v>
      </c>
      <c r="G611" s="2">
        <v>46138</v>
      </c>
      <c r="H611">
        <f>COUNTIF(purchase_orders[PO Number], purchase_orders[[#This Row],[PO Number]])</f>
        <v>1</v>
      </c>
    </row>
    <row r="612" spans="1:8" x14ac:dyDescent="0.25">
      <c r="A612" s="1" t="s">
        <v>559</v>
      </c>
      <c r="B612" s="1" t="s">
        <v>1450</v>
      </c>
      <c r="C612" s="2">
        <v>46141</v>
      </c>
      <c r="D612">
        <v>62</v>
      </c>
      <c r="E612">
        <v>161.76</v>
      </c>
      <c r="F612" s="1" t="s">
        <v>1485</v>
      </c>
      <c r="G612" s="2">
        <v>46149</v>
      </c>
      <c r="H612">
        <f>COUNTIF(purchase_orders[PO Number], purchase_orders[[#This Row],[PO Number]])</f>
        <v>1</v>
      </c>
    </row>
    <row r="613" spans="1:8" x14ac:dyDescent="0.25">
      <c r="A613" s="1" t="s">
        <v>560</v>
      </c>
      <c r="B613" s="1" t="s">
        <v>1481</v>
      </c>
      <c r="C613" s="2">
        <v>46038</v>
      </c>
      <c r="D613">
        <v>435</v>
      </c>
      <c r="E613">
        <v>157.29</v>
      </c>
      <c r="F613" s="1" t="s">
        <v>1440</v>
      </c>
      <c r="G613" s="2">
        <v>46047</v>
      </c>
      <c r="H613">
        <f>COUNTIF(purchase_orders[PO Number], purchase_orders[[#This Row],[PO Number]])</f>
        <v>1</v>
      </c>
    </row>
    <row r="614" spans="1:8" x14ac:dyDescent="0.25">
      <c r="A614" s="1" t="s">
        <v>561</v>
      </c>
      <c r="B614" s="1" t="s">
        <v>1505</v>
      </c>
      <c r="C614" s="2">
        <v>46125</v>
      </c>
      <c r="D614">
        <v>200</v>
      </c>
      <c r="E614">
        <v>138.83000000000001</v>
      </c>
      <c r="F614" s="1" t="s">
        <v>1446</v>
      </c>
      <c r="G614" s="2">
        <v>46132</v>
      </c>
      <c r="H614">
        <f>COUNTIF(purchase_orders[PO Number], purchase_orders[[#This Row],[PO Number]])</f>
        <v>1</v>
      </c>
    </row>
    <row r="615" spans="1:8" x14ac:dyDescent="0.25">
      <c r="A615" s="1" t="s">
        <v>562</v>
      </c>
      <c r="B615" s="1" t="s">
        <v>1443</v>
      </c>
      <c r="C615" s="2">
        <v>46173</v>
      </c>
      <c r="D615">
        <v>142</v>
      </c>
      <c r="E615">
        <v>183.9</v>
      </c>
      <c r="F615" s="1" t="s">
        <v>1476</v>
      </c>
      <c r="G615" s="2">
        <v>46178</v>
      </c>
      <c r="H615">
        <f>COUNTIF(purchase_orders[PO Number], purchase_orders[[#This Row],[PO Number]])</f>
        <v>1</v>
      </c>
    </row>
    <row r="616" spans="1:8" x14ac:dyDescent="0.25">
      <c r="A616" s="1" t="s">
        <v>563</v>
      </c>
      <c r="B616" s="1" t="s">
        <v>1492</v>
      </c>
      <c r="C616" s="2">
        <v>46073</v>
      </c>
      <c r="D616">
        <v>472</v>
      </c>
      <c r="E616">
        <v>130.97</v>
      </c>
      <c r="F616" s="1" t="s">
        <v>1485</v>
      </c>
      <c r="G616" s="2">
        <v>46080</v>
      </c>
      <c r="H616">
        <f>COUNTIF(purchase_orders[PO Number], purchase_orders[[#This Row],[PO Number]])</f>
        <v>1</v>
      </c>
    </row>
    <row r="617" spans="1:8" x14ac:dyDescent="0.25">
      <c r="A617" s="1" t="s">
        <v>564</v>
      </c>
      <c r="B617" s="1" t="s">
        <v>1479</v>
      </c>
      <c r="C617" s="2">
        <v>46054</v>
      </c>
      <c r="D617">
        <v>31</v>
      </c>
      <c r="E617">
        <v>188.74</v>
      </c>
      <c r="F617" s="1" t="s">
        <v>1462</v>
      </c>
      <c r="G617" s="2">
        <v>46064</v>
      </c>
      <c r="H617">
        <f>COUNTIF(purchase_orders[PO Number], purchase_orders[[#This Row],[PO Number]])</f>
        <v>1</v>
      </c>
    </row>
    <row r="618" spans="1:8" x14ac:dyDescent="0.25">
      <c r="A618" s="1" t="s">
        <v>565</v>
      </c>
      <c r="B618" s="1" t="s">
        <v>1493</v>
      </c>
      <c r="C618" s="2">
        <v>46133</v>
      </c>
      <c r="D618">
        <v>430</v>
      </c>
      <c r="E618">
        <v>146.26</v>
      </c>
      <c r="F618" s="1" t="s">
        <v>1487</v>
      </c>
      <c r="G618" s="2">
        <v>46138</v>
      </c>
      <c r="H618">
        <f>COUNTIF(purchase_orders[PO Number], purchase_orders[[#This Row],[PO Number]])</f>
        <v>1</v>
      </c>
    </row>
    <row r="619" spans="1:8" x14ac:dyDescent="0.25">
      <c r="A619" s="1" t="s">
        <v>566</v>
      </c>
      <c r="B619" s="1" t="s">
        <v>1502</v>
      </c>
      <c r="C619" s="2">
        <v>46132</v>
      </c>
      <c r="D619">
        <v>98</v>
      </c>
      <c r="E619">
        <v>74.02</v>
      </c>
      <c r="F619" s="1" t="s">
        <v>1501</v>
      </c>
      <c r="G619" s="2">
        <v>46145</v>
      </c>
      <c r="H619">
        <f>COUNTIF(purchase_orders[PO Number], purchase_orders[[#This Row],[PO Number]])</f>
        <v>1</v>
      </c>
    </row>
    <row r="620" spans="1:8" x14ac:dyDescent="0.25">
      <c r="A620" s="1" t="s">
        <v>567</v>
      </c>
      <c r="B620" s="1" t="s">
        <v>1511</v>
      </c>
      <c r="C620" s="2">
        <v>46137</v>
      </c>
      <c r="D620">
        <v>462</v>
      </c>
      <c r="E620">
        <v>33.979999999999997</v>
      </c>
      <c r="F620" s="1" t="s">
        <v>1494</v>
      </c>
      <c r="G620" s="2">
        <v>46149</v>
      </c>
      <c r="H620">
        <f>COUNTIF(purchase_orders[PO Number], purchase_orders[[#This Row],[PO Number]])</f>
        <v>1</v>
      </c>
    </row>
    <row r="621" spans="1:8" x14ac:dyDescent="0.25">
      <c r="A621" s="1" t="s">
        <v>568</v>
      </c>
      <c r="B621" s="1" t="s">
        <v>1508</v>
      </c>
      <c r="C621" s="2">
        <v>46098</v>
      </c>
      <c r="D621">
        <v>265</v>
      </c>
      <c r="E621">
        <v>85.34</v>
      </c>
      <c r="F621" s="1" t="s">
        <v>1442</v>
      </c>
      <c r="G621" s="2">
        <v>46118</v>
      </c>
      <c r="H621">
        <f>COUNTIF(purchase_orders[PO Number], purchase_orders[[#This Row],[PO Number]])</f>
        <v>1</v>
      </c>
    </row>
    <row r="622" spans="1:8" x14ac:dyDescent="0.25">
      <c r="A622" s="1" t="s">
        <v>569</v>
      </c>
      <c r="B622" s="1" t="s">
        <v>1475</v>
      </c>
      <c r="C622" s="2">
        <v>46045</v>
      </c>
      <c r="D622">
        <v>153</v>
      </c>
      <c r="E622">
        <v>79.69</v>
      </c>
      <c r="F622" s="1" t="s">
        <v>1507</v>
      </c>
      <c r="G622" s="2">
        <v>46056</v>
      </c>
      <c r="H622">
        <f>COUNTIF(purchase_orders[PO Number], purchase_orders[[#This Row],[PO Number]])</f>
        <v>1</v>
      </c>
    </row>
    <row r="623" spans="1:8" x14ac:dyDescent="0.25">
      <c r="A623" s="1" t="s">
        <v>570</v>
      </c>
      <c r="B623" s="1" t="s">
        <v>1508</v>
      </c>
      <c r="C623" s="2">
        <v>46157</v>
      </c>
      <c r="D623">
        <v>137</v>
      </c>
      <c r="E623">
        <v>128</v>
      </c>
      <c r="F623" s="1" t="s">
        <v>1442</v>
      </c>
      <c r="G623" s="2">
        <v>46162</v>
      </c>
      <c r="H623">
        <f>COUNTIF(purchase_orders[PO Number], purchase_orders[[#This Row],[PO Number]])</f>
        <v>1</v>
      </c>
    </row>
    <row r="624" spans="1:8" x14ac:dyDescent="0.25">
      <c r="A624" s="1" t="s">
        <v>571</v>
      </c>
      <c r="B624" s="1" t="s">
        <v>1502</v>
      </c>
      <c r="C624" s="2">
        <v>46114</v>
      </c>
      <c r="D624">
        <v>255</v>
      </c>
      <c r="E624">
        <v>111.18</v>
      </c>
      <c r="F624" s="1" t="s">
        <v>1487</v>
      </c>
      <c r="G624" s="2">
        <v>46130</v>
      </c>
      <c r="H624">
        <f>COUNTIF(purchase_orders[PO Number], purchase_orders[[#This Row],[PO Number]])</f>
        <v>1</v>
      </c>
    </row>
    <row r="625" spans="1:8" x14ac:dyDescent="0.25">
      <c r="A625" s="1" t="s">
        <v>572</v>
      </c>
      <c r="B625" s="1" t="s">
        <v>1493</v>
      </c>
      <c r="C625" s="2">
        <v>46151</v>
      </c>
      <c r="D625">
        <v>174</v>
      </c>
      <c r="E625">
        <v>80.73</v>
      </c>
      <c r="F625" s="1" t="s">
        <v>1501</v>
      </c>
      <c r="G625" s="2">
        <v>46156</v>
      </c>
      <c r="H625">
        <f>COUNTIF(purchase_orders[PO Number], purchase_orders[[#This Row],[PO Number]])</f>
        <v>1</v>
      </c>
    </row>
    <row r="626" spans="1:8" x14ac:dyDescent="0.25">
      <c r="A626" s="1" t="s">
        <v>573</v>
      </c>
      <c r="B626" s="1" t="s">
        <v>1509</v>
      </c>
      <c r="C626" s="2">
        <v>46079</v>
      </c>
      <c r="D626">
        <v>25</v>
      </c>
      <c r="E626">
        <v>179.67</v>
      </c>
      <c r="F626" s="1" t="s">
        <v>1456</v>
      </c>
      <c r="G626" s="2">
        <v>46092</v>
      </c>
      <c r="H626">
        <f>COUNTIF(purchase_orders[PO Number], purchase_orders[[#This Row],[PO Number]])</f>
        <v>1</v>
      </c>
    </row>
    <row r="627" spans="1:8" x14ac:dyDescent="0.25">
      <c r="A627" s="1" t="s">
        <v>574</v>
      </c>
      <c r="B627" s="1" t="s">
        <v>1475</v>
      </c>
      <c r="C627" s="2">
        <v>46143</v>
      </c>
      <c r="D627">
        <v>281</v>
      </c>
      <c r="E627">
        <v>74.7</v>
      </c>
      <c r="F627" s="1" t="s">
        <v>1480</v>
      </c>
      <c r="G627" s="2">
        <v>46155</v>
      </c>
      <c r="H627">
        <f>COUNTIF(purchase_orders[PO Number], purchase_orders[[#This Row],[PO Number]])</f>
        <v>1</v>
      </c>
    </row>
    <row r="628" spans="1:8" x14ac:dyDescent="0.25">
      <c r="A628" s="1" t="s">
        <v>575</v>
      </c>
      <c r="B628" s="1" t="s">
        <v>1460</v>
      </c>
      <c r="C628" s="2">
        <v>46048</v>
      </c>
      <c r="D628">
        <v>136</v>
      </c>
      <c r="E628">
        <v>133.09</v>
      </c>
      <c r="F628" s="1" t="s">
        <v>1458</v>
      </c>
      <c r="G628" s="2">
        <v>46054</v>
      </c>
      <c r="H628">
        <f>COUNTIF(purchase_orders[PO Number], purchase_orders[[#This Row],[PO Number]])</f>
        <v>1</v>
      </c>
    </row>
    <row r="629" spans="1:8" x14ac:dyDescent="0.25">
      <c r="A629" s="1" t="s">
        <v>576</v>
      </c>
      <c r="B629" s="1" t="s">
        <v>1447</v>
      </c>
      <c r="C629" s="2">
        <v>46170</v>
      </c>
      <c r="D629">
        <v>443</v>
      </c>
      <c r="E629">
        <v>196.62</v>
      </c>
      <c r="F629" s="1" t="s">
        <v>1453</v>
      </c>
      <c r="G629" s="2">
        <v>46186</v>
      </c>
      <c r="H629">
        <f>COUNTIF(purchase_orders[PO Number], purchase_orders[[#This Row],[PO Number]])</f>
        <v>1</v>
      </c>
    </row>
    <row r="630" spans="1:8" x14ac:dyDescent="0.25">
      <c r="A630" s="1" t="s">
        <v>577</v>
      </c>
      <c r="B630" s="1" t="s">
        <v>1486</v>
      </c>
      <c r="C630" s="2">
        <v>46068</v>
      </c>
      <c r="D630">
        <v>131</v>
      </c>
      <c r="E630">
        <v>120.54</v>
      </c>
      <c r="F630" s="1" t="s">
        <v>1490</v>
      </c>
      <c r="G630" s="2">
        <v>46084</v>
      </c>
      <c r="H630">
        <f>COUNTIF(purchase_orders[PO Number], purchase_orders[[#This Row],[PO Number]])</f>
        <v>1</v>
      </c>
    </row>
    <row r="631" spans="1:8" x14ac:dyDescent="0.25">
      <c r="A631" s="1" t="s">
        <v>578</v>
      </c>
      <c r="B631" s="1" t="s">
        <v>1443</v>
      </c>
      <c r="C631" s="2">
        <v>46030</v>
      </c>
      <c r="D631">
        <v>370</v>
      </c>
      <c r="E631">
        <v>141.61000000000001</v>
      </c>
      <c r="F631" s="1" t="s">
        <v>1480</v>
      </c>
      <c r="G631" s="2">
        <v>46039</v>
      </c>
      <c r="H631">
        <f>COUNTIF(purchase_orders[PO Number], purchase_orders[[#This Row],[PO Number]])</f>
        <v>1</v>
      </c>
    </row>
    <row r="632" spans="1:8" x14ac:dyDescent="0.25">
      <c r="A632" s="1" t="s">
        <v>579</v>
      </c>
      <c r="B632" s="1" t="s">
        <v>1493</v>
      </c>
      <c r="C632" s="2">
        <v>46071</v>
      </c>
      <c r="D632">
        <v>438</v>
      </c>
      <c r="E632">
        <v>197.66</v>
      </c>
      <c r="F632" s="1" t="s">
        <v>1487</v>
      </c>
      <c r="G632" s="2">
        <v>46085</v>
      </c>
      <c r="H632">
        <f>COUNTIF(purchase_orders[PO Number], purchase_orders[[#This Row],[PO Number]])</f>
        <v>1</v>
      </c>
    </row>
    <row r="633" spans="1:8" x14ac:dyDescent="0.25">
      <c r="A633" s="1" t="s">
        <v>580</v>
      </c>
      <c r="B633" s="1" t="s">
        <v>1486</v>
      </c>
      <c r="C633" s="2">
        <v>46148</v>
      </c>
      <c r="D633">
        <v>29</v>
      </c>
      <c r="E633">
        <v>22.6</v>
      </c>
      <c r="F633" s="1" t="s">
        <v>1440</v>
      </c>
      <c r="G633" s="2">
        <v>46160</v>
      </c>
      <c r="H633">
        <f>COUNTIF(purchase_orders[PO Number], purchase_orders[[#This Row],[PO Number]])</f>
        <v>1</v>
      </c>
    </row>
    <row r="634" spans="1:8" x14ac:dyDescent="0.25">
      <c r="A634" s="1" t="s">
        <v>581</v>
      </c>
      <c r="B634" s="1" t="s">
        <v>1473</v>
      </c>
      <c r="C634" s="2">
        <v>46157</v>
      </c>
      <c r="D634">
        <v>254</v>
      </c>
      <c r="E634">
        <v>5.13</v>
      </c>
      <c r="F634" s="1" t="s">
        <v>1494</v>
      </c>
      <c r="G634" s="2">
        <v>46168</v>
      </c>
      <c r="H634">
        <f>COUNTIF(purchase_orders[PO Number], purchase_orders[[#This Row],[PO Number]])</f>
        <v>1</v>
      </c>
    </row>
    <row r="635" spans="1:8" x14ac:dyDescent="0.25">
      <c r="A635" s="1" t="s">
        <v>582</v>
      </c>
      <c r="B635" s="1" t="s">
        <v>1441</v>
      </c>
      <c r="C635" s="2">
        <v>46110</v>
      </c>
      <c r="D635">
        <v>377</v>
      </c>
      <c r="E635">
        <v>39.6</v>
      </c>
      <c r="F635" s="1" t="s">
        <v>1472</v>
      </c>
      <c r="G635" s="2">
        <v>46116</v>
      </c>
      <c r="H635">
        <f>COUNTIF(purchase_orders[PO Number], purchase_orders[[#This Row],[PO Number]])</f>
        <v>1</v>
      </c>
    </row>
    <row r="636" spans="1:8" x14ac:dyDescent="0.25">
      <c r="A636" s="1" t="s">
        <v>583</v>
      </c>
      <c r="B636" s="1" t="s">
        <v>1473</v>
      </c>
      <c r="C636" s="2">
        <v>46060</v>
      </c>
      <c r="D636">
        <v>310</v>
      </c>
      <c r="E636">
        <v>142.41999999999999</v>
      </c>
      <c r="F636" s="1" t="s">
        <v>1485</v>
      </c>
      <c r="G636" s="2">
        <v>46068</v>
      </c>
      <c r="H636">
        <f>COUNTIF(purchase_orders[PO Number], purchase_orders[[#This Row],[PO Number]])</f>
        <v>1</v>
      </c>
    </row>
    <row r="637" spans="1:8" x14ac:dyDescent="0.25">
      <c r="A637" s="1" t="s">
        <v>1365</v>
      </c>
      <c r="B637" s="1" t="s">
        <v>1491</v>
      </c>
      <c r="C637" s="2">
        <v>46116</v>
      </c>
      <c r="D637">
        <v>47</v>
      </c>
      <c r="E637">
        <v>77.849999999999994</v>
      </c>
      <c r="F637" s="1" t="s">
        <v>1459</v>
      </c>
      <c r="G637" s="2">
        <v>46133</v>
      </c>
      <c r="H637">
        <f>COUNTIF(purchase_orders[PO Number], purchase_orders[[#This Row],[PO Number]])</f>
        <v>1</v>
      </c>
    </row>
    <row r="638" spans="1:8" x14ac:dyDescent="0.25">
      <c r="A638" s="1" t="s">
        <v>584</v>
      </c>
      <c r="B638" s="1" t="s">
        <v>1443</v>
      </c>
      <c r="C638" s="2">
        <v>46048</v>
      </c>
      <c r="D638">
        <v>182</v>
      </c>
      <c r="E638">
        <v>63.84</v>
      </c>
      <c r="F638" s="1" t="s">
        <v>1485</v>
      </c>
      <c r="G638" s="2">
        <v>46058</v>
      </c>
      <c r="H638">
        <f>COUNTIF(purchase_orders[PO Number], purchase_orders[[#This Row],[PO Number]])</f>
        <v>1</v>
      </c>
    </row>
    <row r="639" spans="1:8" x14ac:dyDescent="0.25">
      <c r="A639" s="1" t="s">
        <v>585</v>
      </c>
      <c r="B639" s="1" t="s">
        <v>1477</v>
      </c>
      <c r="C639" s="2">
        <v>46134</v>
      </c>
      <c r="D639">
        <v>415</v>
      </c>
      <c r="E639">
        <v>129.66</v>
      </c>
      <c r="F639" s="1" t="s">
        <v>1487</v>
      </c>
      <c r="G639" s="2">
        <v>46149</v>
      </c>
      <c r="H639">
        <f>COUNTIF(purchase_orders[PO Number], purchase_orders[[#This Row],[PO Number]])</f>
        <v>1</v>
      </c>
    </row>
    <row r="640" spans="1:8" x14ac:dyDescent="0.25">
      <c r="A640" s="1" t="s">
        <v>586</v>
      </c>
      <c r="B640" s="1" t="s">
        <v>1486</v>
      </c>
      <c r="C640" s="2">
        <v>46166</v>
      </c>
      <c r="D640">
        <v>365</v>
      </c>
      <c r="E640">
        <v>178.47</v>
      </c>
      <c r="F640" s="1" t="s">
        <v>1494</v>
      </c>
      <c r="G640" s="2">
        <v>46182</v>
      </c>
      <c r="H640">
        <f>COUNTIF(purchase_orders[PO Number], purchase_orders[[#This Row],[PO Number]])</f>
        <v>1</v>
      </c>
    </row>
    <row r="641" spans="1:8" x14ac:dyDescent="0.25">
      <c r="A641" s="1" t="s">
        <v>587</v>
      </c>
      <c r="B641" s="1" t="s">
        <v>1447</v>
      </c>
      <c r="C641" s="2">
        <v>46173</v>
      </c>
      <c r="D641">
        <v>427</v>
      </c>
      <c r="E641">
        <v>39.19</v>
      </c>
      <c r="F641" s="1" t="s">
        <v>1474</v>
      </c>
      <c r="G641" s="2">
        <v>46187</v>
      </c>
      <c r="H641">
        <f>COUNTIF(purchase_orders[PO Number], purchase_orders[[#This Row],[PO Number]])</f>
        <v>1</v>
      </c>
    </row>
    <row r="642" spans="1:8" x14ac:dyDescent="0.25">
      <c r="A642" s="1" t="s">
        <v>588</v>
      </c>
      <c r="B642" s="1" t="s">
        <v>1441</v>
      </c>
      <c r="C642" s="2">
        <v>46068</v>
      </c>
      <c r="D642">
        <v>383</v>
      </c>
      <c r="E642">
        <v>5.35</v>
      </c>
      <c r="F642" s="1" t="s">
        <v>1499</v>
      </c>
      <c r="G642" s="2">
        <v>46085</v>
      </c>
      <c r="H642">
        <f>COUNTIF(purchase_orders[PO Number], purchase_orders[[#This Row],[PO Number]])</f>
        <v>1</v>
      </c>
    </row>
    <row r="643" spans="1:8" x14ac:dyDescent="0.25">
      <c r="A643" s="1" t="s">
        <v>589</v>
      </c>
      <c r="B643" s="1" t="s">
        <v>1493</v>
      </c>
      <c r="C643" s="2">
        <v>46031</v>
      </c>
      <c r="D643">
        <v>103</v>
      </c>
      <c r="E643">
        <v>122.47</v>
      </c>
      <c r="F643" s="1" t="s">
        <v>1494</v>
      </c>
      <c r="G643" s="2">
        <v>46043</v>
      </c>
      <c r="H643">
        <f>COUNTIF(purchase_orders[PO Number], purchase_orders[[#This Row],[PO Number]])</f>
        <v>1</v>
      </c>
    </row>
    <row r="644" spans="1:8" x14ac:dyDescent="0.25">
      <c r="A644" s="1" t="s">
        <v>590</v>
      </c>
      <c r="B644" s="1" t="s">
        <v>1439</v>
      </c>
      <c r="C644" s="2">
        <v>46167</v>
      </c>
      <c r="D644">
        <v>63</v>
      </c>
      <c r="E644">
        <v>187.65</v>
      </c>
      <c r="F644" s="1" t="s">
        <v>1485</v>
      </c>
      <c r="G644" s="2">
        <v>46182</v>
      </c>
      <c r="H644">
        <f>COUNTIF(purchase_orders[PO Number], purchase_orders[[#This Row],[PO Number]])</f>
        <v>1</v>
      </c>
    </row>
    <row r="645" spans="1:8" x14ac:dyDescent="0.25">
      <c r="A645" s="1" t="s">
        <v>591</v>
      </c>
      <c r="B645" s="1" t="s">
        <v>1465</v>
      </c>
      <c r="C645" s="2">
        <v>46042</v>
      </c>
      <c r="D645">
        <v>131</v>
      </c>
      <c r="E645">
        <v>72.63</v>
      </c>
      <c r="F645" s="1" t="s">
        <v>1472</v>
      </c>
      <c r="G645" s="2">
        <v>46052</v>
      </c>
      <c r="H645">
        <f>COUNTIF(purchase_orders[PO Number], purchase_orders[[#This Row],[PO Number]])</f>
        <v>1</v>
      </c>
    </row>
    <row r="646" spans="1:8" x14ac:dyDescent="0.25">
      <c r="A646" s="1" t="s">
        <v>592</v>
      </c>
      <c r="B646" s="1" t="s">
        <v>1439</v>
      </c>
      <c r="C646" s="2">
        <v>46045</v>
      </c>
      <c r="D646">
        <v>430</v>
      </c>
      <c r="E646">
        <v>143.25</v>
      </c>
      <c r="F646" s="1" t="s">
        <v>1446</v>
      </c>
      <c r="G646" s="2">
        <v>46060</v>
      </c>
      <c r="H646">
        <f>COUNTIF(purchase_orders[PO Number], purchase_orders[[#This Row],[PO Number]])</f>
        <v>1</v>
      </c>
    </row>
    <row r="647" spans="1:8" x14ac:dyDescent="0.25">
      <c r="A647" s="1" t="s">
        <v>593</v>
      </c>
      <c r="B647" s="1" t="s">
        <v>1478</v>
      </c>
      <c r="C647" s="2">
        <v>46025</v>
      </c>
      <c r="D647">
        <v>145</v>
      </c>
      <c r="E647">
        <v>45.89</v>
      </c>
      <c r="F647" s="1" t="s">
        <v>1499</v>
      </c>
      <c r="G647" s="2">
        <v>46032</v>
      </c>
      <c r="H647">
        <f>COUNTIF(purchase_orders[PO Number], purchase_orders[[#This Row],[PO Number]])</f>
        <v>1</v>
      </c>
    </row>
    <row r="648" spans="1:8" x14ac:dyDescent="0.25">
      <c r="A648" s="1" t="s">
        <v>594</v>
      </c>
      <c r="B648" s="1" t="s">
        <v>1503</v>
      </c>
      <c r="C648" s="2">
        <v>46088</v>
      </c>
      <c r="D648">
        <v>412</v>
      </c>
      <c r="E648">
        <v>26.07</v>
      </c>
      <c r="F648" s="1" t="s">
        <v>1448</v>
      </c>
      <c r="G648" s="2">
        <v>46094</v>
      </c>
      <c r="H648">
        <f>COUNTIF(purchase_orders[PO Number], purchase_orders[[#This Row],[PO Number]])</f>
        <v>1</v>
      </c>
    </row>
    <row r="649" spans="1:8" x14ac:dyDescent="0.25">
      <c r="A649" s="1" t="s">
        <v>595</v>
      </c>
      <c r="B649" s="1" t="s">
        <v>1502</v>
      </c>
      <c r="C649" s="2">
        <v>46135</v>
      </c>
      <c r="D649">
        <v>385</v>
      </c>
      <c r="E649">
        <v>86.83</v>
      </c>
      <c r="F649" s="1" t="s">
        <v>1501</v>
      </c>
      <c r="G649" s="2">
        <v>46153</v>
      </c>
      <c r="H649">
        <f>COUNTIF(purchase_orders[PO Number], purchase_orders[[#This Row],[PO Number]])</f>
        <v>1</v>
      </c>
    </row>
    <row r="650" spans="1:8" x14ac:dyDescent="0.25">
      <c r="A650" s="1" t="s">
        <v>596</v>
      </c>
      <c r="B650" s="1" t="s">
        <v>1498</v>
      </c>
      <c r="C650" s="2">
        <v>46119</v>
      </c>
      <c r="D650">
        <v>189</v>
      </c>
      <c r="E650">
        <v>111.47</v>
      </c>
      <c r="F650" s="1" t="s">
        <v>1483</v>
      </c>
      <c r="G650" s="2">
        <v>46139</v>
      </c>
      <c r="H650">
        <f>COUNTIF(purchase_orders[PO Number], purchase_orders[[#This Row],[PO Number]])</f>
        <v>1</v>
      </c>
    </row>
    <row r="651" spans="1:8" x14ac:dyDescent="0.25">
      <c r="A651" s="1" t="s">
        <v>597</v>
      </c>
      <c r="B651" s="1" t="s">
        <v>1493</v>
      </c>
      <c r="C651" s="2">
        <v>46080</v>
      </c>
      <c r="D651">
        <v>93</v>
      </c>
      <c r="E651">
        <v>93</v>
      </c>
      <c r="F651" s="1" t="s">
        <v>1459</v>
      </c>
      <c r="G651" s="2">
        <v>46094</v>
      </c>
      <c r="H651">
        <f>COUNTIF(purchase_orders[PO Number], purchase_orders[[#This Row],[PO Number]])</f>
        <v>1</v>
      </c>
    </row>
    <row r="652" spans="1:8" x14ac:dyDescent="0.25">
      <c r="A652" s="1" t="s">
        <v>598</v>
      </c>
      <c r="B652" s="1" t="s">
        <v>1473</v>
      </c>
      <c r="C652" s="2">
        <v>46104</v>
      </c>
      <c r="D652">
        <v>143</v>
      </c>
      <c r="E652">
        <v>190.57</v>
      </c>
      <c r="F652" s="1" t="s">
        <v>1476</v>
      </c>
      <c r="G652" s="2">
        <v>46119</v>
      </c>
      <c r="H652">
        <f>COUNTIF(purchase_orders[PO Number], purchase_orders[[#This Row],[PO Number]])</f>
        <v>1</v>
      </c>
    </row>
    <row r="653" spans="1:8" x14ac:dyDescent="0.25">
      <c r="A653" s="1" t="s">
        <v>599</v>
      </c>
      <c r="B653" s="1" t="s">
        <v>1460</v>
      </c>
      <c r="C653" s="2">
        <v>46119</v>
      </c>
      <c r="D653">
        <v>92</v>
      </c>
      <c r="E653">
        <v>147.74</v>
      </c>
      <c r="F653" s="1" t="s">
        <v>1442</v>
      </c>
      <c r="G653" s="2">
        <v>46126</v>
      </c>
      <c r="H653">
        <f>COUNTIF(purchase_orders[PO Number], purchase_orders[[#This Row],[PO Number]])</f>
        <v>1</v>
      </c>
    </row>
    <row r="654" spans="1:8" x14ac:dyDescent="0.25">
      <c r="A654" s="1" t="s">
        <v>600</v>
      </c>
      <c r="B654" s="1" t="s">
        <v>1479</v>
      </c>
      <c r="C654" s="2">
        <v>46146</v>
      </c>
      <c r="D654">
        <v>370</v>
      </c>
      <c r="E654">
        <v>11.04</v>
      </c>
      <c r="F654" s="1" t="s">
        <v>1446</v>
      </c>
      <c r="G654" s="2">
        <v>46156</v>
      </c>
      <c r="H654">
        <f>COUNTIF(purchase_orders[PO Number], purchase_orders[[#This Row],[PO Number]])</f>
        <v>1</v>
      </c>
    </row>
    <row r="655" spans="1:8" x14ac:dyDescent="0.25">
      <c r="A655" s="1" t="s">
        <v>601</v>
      </c>
      <c r="B655" s="1" t="s">
        <v>1468</v>
      </c>
      <c r="C655" s="2">
        <v>46134</v>
      </c>
      <c r="D655">
        <v>90</v>
      </c>
      <c r="E655">
        <v>15.44</v>
      </c>
      <c r="F655" s="1" t="s">
        <v>1472</v>
      </c>
      <c r="G655" s="2">
        <v>46145</v>
      </c>
      <c r="H655">
        <f>COUNTIF(purchase_orders[PO Number], purchase_orders[[#This Row],[PO Number]])</f>
        <v>1</v>
      </c>
    </row>
    <row r="656" spans="1:8" x14ac:dyDescent="0.25">
      <c r="A656" s="1" t="s">
        <v>602</v>
      </c>
      <c r="B656" s="1" t="s">
        <v>1505</v>
      </c>
      <c r="C656" s="2">
        <v>46127</v>
      </c>
      <c r="D656">
        <v>366</v>
      </c>
      <c r="E656">
        <v>113.05</v>
      </c>
      <c r="F656" s="1" t="s">
        <v>1490</v>
      </c>
      <c r="G656" s="2">
        <v>46140</v>
      </c>
      <c r="H656">
        <f>COUNTIF(purchase_orders[PO Number], purchase_orders[[#This Row],[PO Number]])</f>
        <v>1</v>
      </c>
    </row>
    <row r="657" spans="1:8" x14ac:dyDescent="0.25">
      <c r="A657" s="1" t="s">
        <v>603</v>
      </c>
      <c r="B657" s="1" t="s">
        <v>1484</v>
      </c>
      <c r="C657" s="2">
        <v>46095</v>
      </c>
      <c r="D657">
        <v>162</v>
      </c>
      <c r="E657">
        <v>51.32</v>
      </c>
      <c r="F657" s="1" t="s">
        <v>1462</v>
      </c>
      <c r="G657" s="2">
        <v>46112</v>
      </c>
      <c r="H657">
        <f>COUNTIF(purchase_orders[PO Number], purchase_orders[[#This Row],[PO Number]])</f>
        <v>1</v>
      </c>
    </row>
    <row r="658" spans="1:8" x14ac:dyDescent="0.25">
      <c r="A658" s="1" t="s">
        <v>604</v>
      </c>
      <c r="B658" s="1" t="s">
        <v>1493</v>
      </c>
      <c r="C658" s="2">
        <v>46163</v>
      </c>
      <c r="D658">
        <v>440</v>
      </c>
      <c r="E658">
        <v>100.73</v>
      </c>
      <c r="F658" s="1" t="s">
        <v>1462</v>
      </c>
      <c r="G658" s="2">
        <v>46179</v>
      </c>
      <c r="H658">
        <f>COUNTIF(purchase_orders[PO Number], purchase_orders[[#This Row],[PO Number]])</f>
        <v>1</v>
      </c>
    </row>
    <row r="659" spans="1:8" x14ac:dyDescent="0.25">
      <c r="A659" s="1" t="s">
        <v>605</v>
      </c>
      <c r="B659" s="1" t="s">
        <v>1481</v>
      </c>
      <c r="C659" s="2">
        <v>46132</v>
      </c>
      <c r="D659">
        <v>54</v>
      </c>
      <c r="E659">
        <v>62.44</v>
      </c>
      <c r="F659" s="1" t="s">
        <v>1467</v>
      </c>
      <c r="G659" s="2">
        <v>46152</v>
      </c>
      <c r="H659">
        <f>COUNTIF(purchase_orders[PO Number], purchase_orders[[#This Row],[PO Number]])</f>
        <v>1</v>
      </c>
    </row>
    <row r="660" spans="1:8" x14ac:dyDescent="0.25">
      <c r="A660" s="1" t="s">
        <v>606</v>
      </c>
      <c r="B660" s="1" t="s">
        <v>1505</v>
      </c>
      <c r="C660" s="2">
        <v>46047</v>
      </c>
      <c r="D660">
        <v>23</v>
      </c>
      <c r="E660">
        <v>45.36</v>
      </c>
      <c r="F660" s="1" t="s">
        <v>1446</v>
      </c>
      <c r="G660" s="2">
        <v>46061</v>
      </c>
      <c r="H660">
        <f>COUNTIF(purchase_orders[PO Number], purchase_orders[[#This Row],[PO Number]])</f>
        <v>1</v>
      </c>
    </row>
    <row r="661" spans="1:8" x14ac:dyDescent="0.25">
      <c r="A661" s="1" t="s">
        <v>607</v>
      </c>
      <c r="B661" s="1" t="s">
        <v>1457</v>
      </c>
      <c r="C661" s="2">
        <v>46144</v>
      </c>
      <c r="D661">
        <v>442</v>
      </c>
      <c r="E661">
        <v>27.52</v>
      </c>
      <c r="F661" s="1" t="s">
        <v>1453</v>
      </c>
      <c r="G661" s="2">
        <v>46164</v>
      </c>
      <c r="H661">
        <f>COUNTIF(purchase_orders[PO Number], purchase_orders[[#This Row],[PO Number]])</f>
        <v>1</v>
      </c>
    </row>
    <row r="662" spans="1:8" x14ac:dyDescent="0.25">
      <c r="A662" s="1" t="s">
        <v>608</v>
      </c>
      <c r="B662" s="1" t="s">
        <v>1498</v>
      </c>
      <c r="C662" s="2">
        <v>46090</v>
      </c>
      <c r="D662">
        <v>56</v>
      </c>
      <c r="E662">
        <v>130.16</v>
      </c>
      <c r="F662" s="1" t="s">
        <v>1453</v>
      </c>
      <c r="G662" s="2">
        <v>46100</v>
      </c>
      <c r="H662">
        <f>COUNTIF(purchase_orders[PO Number], purchase_orders[[#This Row],[PO Number]])</f>
        <v>1</v>
      </c>
    </row>
    <row r="663" spans="1:8" x14ac:dyDescent="0.25">
      <c r="A663" s="1" t="s">
        <v>609</v>
      </c>
      <c r="B663" s="1" t="s">
        <v>1496</v>
      </c>
      <c r="C663" s="2">
        <v>46120</v>
      </c>
      <c r="D663">
        <v>199</v>
      </c>
      <c r="E663">
        <v>41.38</v>
      </c>
      <c r="F663" s="1" t="s">
        <v>1462</v>
      </c>
      <c r="G663" s="2">
        <v>46133</v>
      </c>
      <c r="H663">
        <f>COUNTIF(purchase_orders[PO Number], purchase_orders[[#This Row],[PO Number]])</f>
        <v>1</v>
      </c>
    </row>
    <row r="664" spans="1:8" x14ac:dyDescent="0.25">
      <c r="A664" s="1" t="s">
        <v>610</v>
      </c>
      <c r="B664" s="1" t="s">
        <v>1478</v>
      </c>
      <c r="C664" s="2">
        <v>46142</v>
      </c>
      <c r="D664">
        <v>144</v>
      </c>
      <c r="E664">
        <v>49.12</v>
      </c>
      <c r="F664" s="1" t="s">
        <v>1458</v>
      </c>
      <c r="G664" s="2">
        <v>46148</v>
      </c>
      <c r="H664">
        <f>COUNTIF(purchase_orders[PO Number], purchase_orders[[#This Row],[PO Number]])</f>
        <v>1</v>
      </c>
    </row>
    <row r="665" spans="1:8" x14ac:dyDescent="0.25">
      <c r="A665" s="1" t="s">
        <v>611</v>
      </c>
      <c r="B665" s="1" t="s">
        <v>1464</v>
      </c>
      <c r="C665" s="2">
        <v>46047</v>
      </c>
      <c r="D665">
        <v>53</v>
      </c>
      <c r="E665">
        <v>135.29</v>
      </c>
      <c r="F665" s="1" t="s">
        <v>1459</v>
      </c>
      <c r="G665" s="2">
        <v>46065</v>
      </c>
      <c r="H665">
        <f>COUNTIF(purchase_orders[PO Number], purchase_orders[[#This Row],[PO Number]])</f>
        <v>1</v>
      </c>
    </row>
    <row r="666" spans="1:8" x14ac:dyDescent="0.25">
      <c r="A666" s="1" t="s">
        <v>612</v>
      </c>
      <c r="B666" s="1" t="s">
        <v>1443</v>
      </c>
      <c r="C666" s="2">
        <v>46081</v>
      </c>
      <c r="D666">
        <v>293</v>
      </c>
      <c r="E666">
        <v>16.89</v>
      </c>
      <c r="F666" s="1" t="s">
        <v>1453</v>
      </c>
      <c r="G666" s="2">
        <v>46102</v>
      </c>
      <c r="H666">
        <f>COUNTIF(purchase_orders[PO Number], purchase_orders[[#This Row],[PO Number]])</f>
        <v>1</v>
      </c>
    </row>
    <row r="667" spans="1:8" x14ac:dyDescent="0.25">
      <c r="A667" s="1" t="s">
        <v>613</v>
      </c>
      <c r="B667" s="1" t="s">
        <v>1495</v>
      </c>
      <c r="C667" s="2">
        <v>46160</v>
      </c>
      <c r="D667">
        <v>361</v>
      </c>
      <c r="E667">
        <v>174.04</v>
      </c>
      <c r="F667" s="1" t="s">
        <v>1487</v>
      </c>
      <c r="G667" s="2">
        <v>46172</v>
      </c>
      <c r="H667">
        <f>COUNTIF(purchase_orders[PO Number], purchase_orders[[#This Row],[PO Number]])</f>
        <v>1</v>
      </c>
    </row>
    <row r="668" spans="1:8" x14ac:dyDescent="0.25">
      <c r="A668" s="1" t="s">
        <v>614</v>
      </c>
      <c r="B668" s="1" t="s">
        <v>1510</v>
      </c>
      <c r="C668" s="2">
        <v>46099</v>
      </c>
      <c r="D668">
        <v>50</v>
      </c>
      <c r="E668">
        <v>81.99</v>
      </c>
      <c r="F668" s="1" t="s">
        <v>1499</v>
      </c>
      <c r="G668" s="2">
        <v>46105</v>
      </c>
      <c r="H668">
        <f>COUNTIF(purchase_orders[PO Number], purchase_orders[[#This Row],[PO Number]])</f>
        <v>1</v>
      </c>
    </row>
    <row r="669" spans="1:8" x14ac:dyDescent="0.25">
      <c r="A669" s="1" t="s">
        <v>615</v>
      </c>
      <c r="B669" s="1" t="s">
        <v>1445</v>
      </c>
      <c r="C669" s="2">
        <v>46169</v>
      </c>
      <c r="D669">
        <v>471</v>
      </c>
      <c r="E669">
        <v>105.78</v>
      </c>
      <c r="F669" s="1" t="s">
        <v>1480</v>
      </c>
      <c r="G669" s="2">
        <v>46178</v>
      </c>
      <c r="H669">
        <f>COUNTIF(purchase_orders[PO Number], purchase_orders[[#This Row],[PO Number]])</f>
        <v>1</v>
      </c>
    </row>
    <row r="670" spans="1:8" x14ac:dyDescent="0.25">
      <c r="A670" s="1" t="s">
        <v>616</v>
      </c>
      <c r="B670" s="1" t="s">
        <v>1466</v>
      </c>
      <c r="C670" s="2">
        <v>46137</v>
      </c>
      <c r="D670">
        <v>98</v>
      </c>
      <c r="E670">
        <v>190.07</v>
      </c>
      <c r="F670" s="1" t="s">
        <v>1501</v>
      </c>
      <c r="G670" s="2">
        <v>46148</v>
      </c>
      <c r="H670">
        <f>COUNTIF(purchase_orders[PO Number], purchase_orders[[#This Row],[PO Number]])</f>
        <v>1</v>
      </c>
    </row>
    <row r="671" spans="1:8" x14ac:dyDescent="0.25">
      <c r="A671" s="1" t="s">
        <v>617</v>
      </c>
      <c r="B671" s="1" t="s">
        <v>1505</v>
      </c>
      <c r="C671" s="2">
        <v>46055</v>
      </c>
      <c r="D671">
        <v>31</v>
      </c>
      <c r="E671">
        <v>87.56</v>
      </c>
      <c r="F671" s="1" t="s">
        <v>1467</v>
      </c>
      <c r="G671" s="2">
        <v>46073</v>
      </c>
      <c r="H671">
        <f>COUNTIF(purchase_orders[PO Number], purchase_orders[[#This Row],[PO Number]])</f>
        <v>1</v>
      </c>
    </row>
    <row r="672" spans="1:8" x14ac:dyDescent="0.25">
      <c r="A672" s="1" t="s">
        <v>618</v>
      </c>
      <c r="B672" s="1" t="s">
        <v>1505</v>
      </c>
      <c r="C672" s="2">
        <v>46060</v>
      </c>
      <c r="D672">
        <v>437</v>
      </c>
      <c r="E672">
        <v>121.03</v>
      </c>
      <c r="F672" s="1" t="s">
        <v>1472</v>
      </c>
      <c r="G672" s="2">
        <v>46067</v>
      </c>
      <c r="H672">
        <f>COUNTIF(purchase_orders[PO Number], purchase_orders[[#This Row],[PO Number]])</f>
        <v>1</v>
      </c>
    </row>
    <row r="673" spans="1:8" x14ac:dyDescent="0.25">
      <c r="A673" s="1" t="s">
        <v>619</v>
      </c>
      <c r="B673" s="1" t="s">
        <v>1457</v>
      </c>
      <c r="C673" s="2">
        <v>46122</v>
      </c>
      <c r="D673">
        <v>294</v>
      </c>
      <c r="E673">
        <v>82.48</v>
      </c>
      <c r="F673" s="1" t="s">
        <v>1472</v>
      </c>
      <c r="G673" s="2">
        <v>46135</v>
      </c>
      <c r="H673">
        <f>COUNTIF(purchase_orders[PO Number], purchase_orders[[#This Row],[PO Number]])</f>
        <v>1</v>
      </c>
    </row>
    <row r="674" spans="1:8" x14ac:dyDescent="0.25">
      <c r="A674" s="1" t="s">
        <v>620</v>
      </c>
      <c r="B674" s="1" t="s">
        <v>1491</v>
      </c>
      <c r="C674" s="2">
        <v>46140</v>
      </c>
      <c r="D674">
        <v>479</v>
      </c>
      <c r="E674">
        <v>175.33</v>
      </c>
      <c r="F674" s="1" t="s">
        <v>1499</v>
      </c>
      <c r="G674" s="2">
        <v>46161</v>
      </c>
      <c r="H674">
        <f>COUNTIF(purchase_orders[PO Number], purchase_orders[[#This Row],[PO Number]])</f>
        <v>1</v>
      </c>
    </row>
    <row r="675" spans="1:8" x14ac:dyDescent="0.25">
      <c r="A675" s="1" t="s">
        <v>621</v>
      </c>
      <c r="B675" s="1" t="s">
        <v>1495</v>
      </c>
      <c r="C675" s="2">
        <v>46051</v>
      </c>
      <c r="D675">
        <v>222</v>
      </c>
      <c r="E675">
        <v>34.18</v>
      </c>
      <c r="F675" s="1" t="s">
        <v>1480</v>
      </c>
      <c r="G675" s="2">
        <v>46059</v>
      </c>
      <c r="H675">
        <f>COUNTIF(purchase_orders[PO Number], purchase_orders[[#This Row],[PO Number]])</f>
        <v>1</v>
      </c>
    </row>
    <row r="676" spans="1:8" x14ac:dyDescent="0.25">
      <c r="A676" s="1" t="s">
        <v>622</v>
      </c>
      <c r="B676" s="1" t="s">
        <v>1450</v>
      </c>
      <c r="C676" s="2">
        <v>46167</v>
      </c>
      <c r="D676">
        <v>409</v>
      </c>
      <c r="E676">
        <v>24.69</v>
      </c>
      <c r="F676" s="1" t="s">
        <v>1459</v>
      </c>
      <c r="G676" s="2">
        <v>46183</v>
      </c>
      <c r="H676">
        <f>COUNTIF(purchase_orders[PO Number], purchase_orders[[#This Row],[PO Number]])</f>
        <v>1</v>
      </c>
    </row>
    <row r="677" spans="1:8" x14ac:dyDescent="0.25">
      <c r="A677" s="1" t="s">
        <v>623</v>
      </c>
      <c r="B677" s="1" t="s">
        <v>1495</v>
      </c>
      <c r="C677" s="2">
        <v>46090</v>
      </c>
      <c r="D677">
        <v>206</v>
      </c>
      <c r="E677">
        <v>132.68</v>
      </c>
      <c r="F677" s="1" t="s">
        <v>1480</v>
      </c>
      <c r="G677" s="2">
        <v>46110</v>
      </c>
      <c r="H677">
        <f>COUNTIF(purchase_orders[PO Number], purchase_orders[[#This Row],[PO Number]])</f>
        <v>1</v>
      </c>
    </row>
    <row r="678" spans="1:8" x14ac:dyDescent="0.25">
      <c r="A678" s="1" t="s">
        <v>624</v>
      </c>
      <c r="B678" s="1" t="s">
        <v>1452</v>
      </c>
      <c r="C678" s="2">
        <v>46067</v>
      </c>
      <c r="D678">
        <v>151</v>
      </c>
      <c r="E678">
        <v>83.58</v>
      </c>
      <c r="F678" s="1" t="s">
        <v>1494</v>
      </c>
      <c r="G678" s="2">
        <v>46084</v>
      </c>
      <c r="H678">
        <f>COUNTIF(purchase_orders[PO Number], purchase_orders[[#This Row],[PO Number]])</f>
        <v>1</v>
      </c>
    </row>
    <row r="679" spans="1:8" x14ac:dyDescent="0.25">
      <c r="A679" s="1" t="s">
        <v>625</v>
      </c>
      <c r="B679" s="1" t="s">
        <v>1452</v>
      </c>
      <c r="C679" s="2">
        <v>46124</v>
      </c>
      <c r="D679">
        <v>465</v>
      </c>
      <c r="E679">
        <v>176.4</v>
      </c>
      <c r="F679" s="1" t="s">
        <v>1499</v>
      </c>
      <c r="G679" s="2">
        <v>46136</v>
      </c>
      <c r="H679">
        <f>COUNTIF(purchase_orders[PO Number], purchase_orders[[#This Row],[PO Number]])</f>
        <v>1</v>
      </c>
    </row>
    <row r="680" spans="1:8" x14ac:dyDescent="0.25">
      <c r="A680" s="1" t="s">
        <v>626</v>
      </c>
      <c r="B680" s="1" t="s">
        <v>1475</v>
      </c>
      <c r="C680" s="2">
        <v>46144</v>
      </c>
      <c r="D680">
        <v>481</v>
      </c>
      <c r="E680">
        <v>57.37</v>
      </c>
      <c r="F680" s="1" t="s">
        <v>1451</v>
      </c>
      <c r="G680" s="2">
        <v>46149</v>
      </c>
      <c r="H680">
        <f>COUNTIF(purchase_orders[PO Number], purchase_orders[[#This Row],[PO Number]])</f>
        <v>1</v>
      </c>
    </row>
    <row r="681" spans="1:8" x14ac:dyDescent="0.25">
      <c r="A681" s="1" t="s">
        <v>627</v>
      </c>
      <c r="B681" s="1" t="s">
        <v>1479</v>
      </c>
      <c r="C681" s="2">
        <v>46100</v>
      </c>
      <c r="D681">
        <v>169</v>
      </c>
      <c r="E681">
        <v>59.67</v>
      </c>
      <c r="F681" s="1" t="s">
        <v>1487</v>
      </c>
      <c r="G681" s="2">
        <v>46108</v>
      </c>
      <c r="H681">
        <f>COUNTIF(purchase_orders[PO Number], purchase_orders[[#This Row],[PO Number]])</f>
        <v>1</v>
      </c>
    </row>
    <row r="682" spans="1:8" x14ac:dyDescent="0.25">
      <c r="A682" s="1" t="s">
        <v>628</v>
      </c>
      <c r="B682" s="1" t="s">
        <v>1447</v>
      </c>
      <c r="C682" s="2">
        <v>46057</v>
      </c>
      <c r="D682">
        <v>163</v>
      </c>
      <c r="E682">
        <v>194.97</v>
      </c>
      <c r="F682" s="1" t="s">
        <v>1469</v>
      </c>
      <c r="G682" s="2">
        <v>46072</v>
      </c>
      <c r="H682">
        <f>COUNTIF(purchase_orders[PO Number], purchase_orders[[#This Row],[PO Number]])</f>
        <v>1</v>
      </c>
    </row>
    <row r="683" spans="1:8" x14ac:dyDescent="0.25">
      <c r="A683" s="1" t="s">
        <v>629</v>
      </c>
      <c r="B683" s="1" t="s">
        <v>1511</v>
      </c>
      <c r="C683" s="2">
        <v>46129</v>
      </c>
      <c r="D683">
        <v>319</v>
      </c>
      <c r="E683">
        <v>130.88</v>
      </c>
      <c r="F683" s="1" t="s">
        <v>1444</v>
      </c>
      <c r="G683" s="2">
        <v>46148</v>
      </c>
      <c r="H683">
        <f>COUNTIF(purchase_orders[PO Number], purchase_orders[[#This Row],[PO Number]])</f>
        <v>1</v>
      </c>
    </row>
    <row r="684" spans="1:8" x14ac:dyDescent="0.25">
      <c r="A684" s="1" t="s">
        <v>630</v>
      </c>
      <c r="B684" s="1" t="s">
        <v>1463</v>
      </c>
      <c r="C684" s="2">
        <v>46127</v>
      </c>
      <c r="D684">
        <v>389</v>
      </c>
      <c r="E684">
        <v>99.47</v>
      </c>
      <c r="F684" s="1" t="s">
        <v>1504</v>
      </c>
      <c r="G684" s="2">
        <v>46143</v>
      </c>
      <c r="H684">
        <f>COUNTIF(purchase_orders[PO Number], purchase_orders[[#This Row],[PO Number]])</f>
        <v>1</v>
      </c>
    </row>
    <row r="685" spans="1:8" x14ac:dyDescent="0.25">
      <c r="A685" s="1" t="s">
        <v>631</v>
      </c>
      <c r="B685" s="1" t="s">
        <v>1475</v>
      </c>
      <c r="C685" s="2">
        <v>46154</v>
      </c>
      <c r="D685">
        <v>415</v>
      </c>
      <c r="E685">
        <v>36</v>
      </c>
      <c r="F685" s="1" t="s">
        <v>1474</v>
      </c>
      <c r="G685" s="2">
        <v>46175</v>
      </c>
      <c r="H685">
        <f>COUNTIF(purchase_orders[PO Number], purchase_orders[[#This Row],[PO Number]])</f>
        <v>1</v>
      </c>
    </row>
    <row r="686" spans="1:8" x14ac:dyDescent="0.25">
      <c r="A686" s="1" t="s">
        <v>632</v>
      </c>
      <c r="B686" s="1" t="s">
        <v>1488</v>
      </c>
      <c r="C686" s="2">
        <v>46057</v>
      </c>
      <c r="D686">
        <v>409</v>
      </c>
      <c r="E686">
        <v>171</v>
      </c>
      <c r="F686" s="1" t="s">
        <v>1480</v>
      </c>
      <c r="G686" s="2">
        <v>46062</v>
      </c>
      <c r="H686">
        <f>COUNTIF(purchase_orders[PO Number], purchase_orders[[#This Row],[PO Number]])</f>
        <v>1</v>
      </c>
    </row>
    <row r="687" spans="1:8" x14ac:dyDescent="0.25">
      <c r="A687" s="1" t="s">
        <v>633</v>
      </c>
      <c r="B687" s="1" t="s">
        <v>1486</v>
      </c>
      <c r="C687" s="2">
        <v>46072</v>
      </c>
      <c r="D687">
        <v>458</v>
      </c>
      <c r="E687">
        <v>167.42</v>
      </c>
      <c r="F687" s="1" t="s">
        <v>1462</v>
      </c>
      <c r="G687" s="2">
        <v>46084</v>
      </c>
      <c r="H687">
        <f>COUNTIF(purchase_orders[PO Number], purchase_orders[[#This Row],[PO Number]])</f>
        <v>1</v>
      </c>
    </row>
    <row r="688" spans="1:8" x14ac:dyDescent="0.25">
      <c r="A688" s="1" t="s">
        <v>634</v>
      </c>
      <c r="B688" s="1" t="s">
        <v>1452</v>
      </c>
      <c r="C688" s="2">
        <v>46139</v>
      </c>
      <c r="D688">
        <v>35</v>
      </c>
      <c r="E688">
        <v>184.02</v>
      </c>
      <c r="F688" s="1" t="s">
        <v>1499</v>
      </c>
      <c r="G688" s="2">
        <v>46150</v>
      </c>
      <c r="H688">
        <f>COUNTIF(purchase_orders[PO Number], purchase_orders[[#This Row],[PO Number]])</f>
        <v>1</v>
      </c>
    </row>
    <row r="689" spans="1:8" x14ac:dyDescent="0.25">
      <c r="A689" s="1" t="s">
        <v>635</v>
      </c>
      <c r="B689" s="1" t="s">
        <v>1511</v>
      </c>
      <c r="C689" s="2">
        <v>46117</v>
      </c>
      <c r="D689">
        <v>431</v>
      </c>
      <c r="E689">
        <v>95.52</v>
      </c>
      <c r="F689" s="1" t="s">
        <v>1453</v>
      </c>
      <c r="G689" s="2">
        <v>46125</v>
      </c>
      <c r="H689">
        <f>COUNTIF(purchase_orders[PO Number], purchase_orders[[#This Row],[PO Number]])</f>
        <v>1</v>
      </c>
    </row>
    <row r="690" spans="1:8" x14ac:dyDescent="0.25">
      <c r="A690" s="1" t="s">
        <v>636</v>
      </c>
      <c r="B690" s="1" t="s">
        <v>1461</v>
      </c>
      <c r="C690" s="2">
        <v>46030</v>
      </c>
      <c r="D690">
        <v>133</v>
      </c>
      <c r="E690">
        <v>77.63</v>
      </c>
      <c r="F690" s="1" t="s">
        <v>1494</v>
      </c>
      <c r="G690" s="2">
        <v>46049</v>
      </c>
      <c r="H690">
        <f>COUNTIF(purchase_orders[PO Number], purchase_orders[[#This Row],[PO Number]])</f>
        <v>1</v>
      </c>
    </row>
    <row r="691" spans="1:8" x14ac:dyDescent="0.25">
      <c r="A691" s="1" t="s">
        <v>637</v>
      </c>
      <c r="B691" s="1" t="s">
        <v>1486</v>
      </c>
      <c r="C691" s="2">
        <v>46144</v>
      </c>
      <c r="D691">
        <v>310</v>
      </c>
      <c r="E691">
        <v>112.51</v>
      </c>
      <c r="F691" s="1" t="s">
        <v>1451</v>
      </c>
      <c r="G691" s="2">
        <v>46154</v>
      </c>
      <c r="H691">
        <f>COUNTIF(purchase_orders[PO Number], purchase_orders[[#This Row],[PO Number]])</f>
        <v>1</v>
      </c>
    </row>
    <row r="692" spans="1:8" x14ac:dyDescent="0.25">
      <c r="A692" s="1" t="s">
        <v>638</v>
      </c>
      <c r="B692" s="1" t="s">
        <v>1470</v>
      </c>
      <c r="C692" s="2">
        <v>46046</v>
      </c>
      <c r="D692">
        <v>155</v>
      </c>
      <c r="E692">
        <v>10.35</v>
      </c>
      <c r="F692" s="1" t="s">
        <v>1462</v>
      </c>
      <c r="G692" s="2">
        <v>46056</v>
      </c>
      <c r="H692">
        <f>COUNTIF(purchase_orders[PO Number], purchase_orders[[#This Row],[PO Number]])</f>
        <v>1</v>
      </c>
    </row>
    <row r="693" spans="1:8" x14ac:dyDescent="0.25">
      <c r="A693" s="1" t="s">
        <v>639</v>
      </c>
      <c r="B693" s="1" t="s">
        <v>1493</v>
      </c>
      <c r="C693" s="2">
        <v>46077</v>
      </c>
      <c r="D693">
        <v>448</v>
      </c>
      <c r="E693">
        <v>48.16</v>
      </c>
      <c r="F693" s="1" t="s">
        <v>1440</v>
      </c>
      <c r="G693" s="2">
        <v>46088</v>
      </c>
      <c r="H693">
        <f>COUNTIF(purchase_orders[PO Number], purchase_orders[[#This Row],[PO Number]])</f>
        <v>1</v>
      </c>
    </row>
    <row r="694" spans="1:8" x14ac:dyDescent="0.25">
      <c r="A694" s="1" t="s">
        <v>640</v>
      </c>
      <c r="B694" s="1" t="s">
        <v>1511</v>
      </c>
      <c r="C694" s="2">
        <v>46127</v>
      </c>
      <c r="D694">
        <v>272</v>
      </c>
      <c r="E694">
        <v>8.91</v>
      </c>
      <c r="F694" s="1" t="s">
        <v>1456</v>
      </c>
      <c r="G694" s="2">
        <v>46132</v>
      </c>
      <c r="H694">
        <f>COUNTIF(purchase_orders[PO Number], purchase_orders[[#This Row],[PO Number]])</f>
        <v>1</v>
      </c>
    </row>
    <row r="695" spans="1:8" x14ac:dyDescent="0.25">
      <c r="A695" s="1" t="s">
        <v>641</v>
      </c>
      <c r="B695" s="1" t="s">
        <v>1510</v>
      </c>
      <c r="C695" s="2">
        <v>46056</v>
      </c>
      <c r="D695">
        <v>341</v>
      </c>
      <c r="E695">
        <v>38.770000000000003</v>
      </c>
      <c r="F695" s="1" t="s">
        <v>1448</v>
      </c>
      <c r="G695" s="2">
        <v>46068</v>
      </c>
      <c r="H695">
        <f>COUNTIF(purchase_orders[PO Number], purchase_orders[[#This Row],[PO Number]])</f>
        <v>1</v>
      </c>
    </row>
    <row r="696" spans="1:8" x14ac:dyDescent="0.25">
      <c r="A696" s="1" t="s">
        <v>1426</v>
      </c>
      <c r="B696" s="1" t="s">
        <v>1470</v>
      </c>
      <c r="C696" s="2">
        <v>46101</v>
      </c>
      <c r="D696">
        <v>374</v>
      </c>
      <c r="E696">
        <v>193.57</v>
      </c>
      <c r="F696" s="1" t="s">
        <v>1446</v>
      </c>
      <c r="G696" s="2">
        <v>46114</v>
      </c>
      <c r="H696">
        <f>COUNTIF(purchase_orders[PO Number], purchase_orders[[#This Row],[PO Number]])</f>
        <v>1</v>
      </c>
    </row>
    <row r="697" spans="1:8" x14ac:dyDescent="0.25">
      <c r="A697" s="1" t="s">
        <v>642</v>
      </c>
      <c r="B697" s="1" t="s">
        <v>1500</v>
      </c>
      <c r="C697" s="2">
        <v>46119</v>
      </c>
      <c r="D697">
        <v>446</v>
      </c>
      <c r="E697">
        <v>73</v>
      </c>
      <c r="F697" s="1" t="s">
        <v>1458</v>
      </c>
      <c r="G697" s="2">
        <v>46130</v>
      </c>
      <c r="H697">
        <f>COUNTIF(purchase_orders[PO Number], purchase_orders[[#This Row],[PO Number]])</f>
        <v>1</v>
      </c>
    </row>
    <row r="698" spans="1:8" x14ac:dyDescent="0.25">
      <c r="A698" s="1" t="s">
        <v>643</v>
      </c>
      <c r="B698" s="1" t="s">
        <v>1489</v>
      </c>
      <c r="C698" s="2">
        <v>46100</v>
      </c>
      <c r="D698">
        <v>356</v>
      </c>
      <c r="E698">
        <v>106.52</v>
      </c>
      <c r="F698" s="1" t="s">
        <v>1459</v>
      </c>
      <c r="G698" s="2">
        <v>46117</v>
      </c>
      <c r="H698">
        <f>COUNTIF(purchase_orders[PO Number], purchase_orders[[#This Row],[PO Number]])</f>
        <v>1</v>
      </c>
    </row>
    <row r="699" spans="1:8" x14ac:dyDescent="0.25">
      <c r="A699" s="1" t="s">
        <v>644</v>
      </c>
      <c r="B699" s="1" t="s">
        <v>1443</v>
      </c>
      <c r="C699" s="2">
        <v>46049</v>
      </c>
      <c r="D699">
        <v>13</v>
      </c>
      <c r="E699">
        <v>104.75</v>
      </c>
      <c r="F699" s="1" t="s">
        <v>1467</v>
      </c>
      <c r="G699" s="2">
        <v>46065</v>
      </c>
      <c r="H699">
        <f>COUNTIF(purchase_orders[PO Number], purchase_orders[[#This Row],[PO Number]])</f>
        <v>1</v>
      </c>
    </row>
    <row r="700" spans="1:8" x14ac:dyDescent="0.25">
      <c r="A700" s="1" t="s">
        <v>645</v>
      </c>
      <c r="B700" s="1" t="s">
        <v>1454</v>
      </c>
      <c r="C700" s="2">
        <v>46095</v>
      </c>
      <c r="D700">
        <v>162</v>
      </c>
      <c r="E700">
        <v>138.46</v>
      </c>
      <c r="F700" s="1" t="s">
        <v>1487</v>
      </c>
      <c r="G700" s="2">
        <v>46102</v>
      </c>
      <c r="H700">
        <f>COUNTIF(purchase_orders[PO Number], purchase_orders[[#This Row],[PO Number]])</f>
        <v>1</v>
      </c>
    </row>
    <row r="701" spans="1:8" x14ac:dyDescent="0.25">
      <c r="A701" s="1" t="s">
        <v>646</v>
      </c>
      <c r="B701" s="1" t="s">
        <v>1479</v>
      </c>
      <c r="C701" s="2">
        <v>46093</v>
      </c>
      <c r="D701">
        <v>337</v>
      </c>
      <c r="E701">
        <v>68.400000000000006</v>
      </c>
      <c r="F701" s="1" t="s">
        <v>1458</v>
      </c>
      <c r="G701" s="2">
        <v>46106</v>
      </c>
      <c r="H701">
        <f>COUNTIF(purchase_orders[PO Number], purchase_orders[[#This Row],[PO Number]])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088A7-D804-4DA4-9E27-9D146ED6C335}">
  <dimension ref="A1:E727"/>
  <sheetViews>
    <sheetView workbookViewId="0"/>
  </sheetViews>
  <sheetFormatPr defaultRowHeight="15" x14ac:dyDescent="0.25"/>
  <cols>
    <col min="1" max="1" width="13.5703125" bestFit="1" customWidth="1"/>
    <col min="2" max="2" width="17.7109375" bestFit="1" customWidth="1"/>
    <col min="3" max="3" width="18.140625" bestFit="1" customWidth="1"/>
    <col min="4" max="4" width="19.140625" bestFit="1" customWidth="1"/>
    <col min="5" max="5" width="14.5703125" bestFit="1" customWidth="1"/>
  </cols>
  <sheetData>
    <row r="1" spans="1:5" x14ac:dyDescent="0.25">
      <c r="A1" t="s">
        <v>0</v>
      </c>
      <c r="B1" t="s">
        <v>647</v>
      </c>
      <c r="C1" t="s">
        <v>648</v>
      </c>
      <c r="D1" t="s">
        <v>649</v>
      </c>
      <c r="E1" t="s">
        <v>650</v>
      </c>
    </row>
    <row r="2" spans="1:5" x14ac:dyDescent="0.25">
      <c r="A2" s="1" t="s">
        <v>3</v>
      </c>
      <c r="B2" s="1" t="s">
        <v>651</v>
      </c>
      <c r="C2">
        <v>22</v>
      </c>
      <c r="D2">
        <v>149.6</v>
      </c>
      <c r="E2" s="2">
        <v>46073</v>
      </c>
    </row>
    <row r="3" spans="1:5" x14ac:dyDescent="0.25">
      <c r="A3" s="1" t="s">
        <v>4</v>
      </c>
      <c r="B3" s="1" t="s">
        <v>652</v>
      </c>
      <c r="C3">
        <v>356</v>
      </c>
      <c r="D3">
        <v>149.43</v>
      </c>
      <c r="E3" s="2">
        <v>46066</v>
      </c>
    </row>
    <row r="4" spans="1:5" x14ac:dyDescent="0.25">
      <c r="A4" s="1" t="s">
        <v>5</v>
      </c>
      <c r="B4" s="1" t="s">
        <v>653</v>
      </c>
      <c r="C4">
        <v>26</v>
      </c>
      <c r="D4">
        <v>12.59</v>
      </c>
      <c r="E4" s="2">
        <v>46146</v>
      </c>
    </row>
    <row r="5" spans="1:5" x14ac:dyDescent="0.25">
      <c r="A5" s="1" t="s">
        <v>6</v>
      </c>
      <c r="B5" s="1" t="s">
        <v>654</v>
      </c>
      <c r="C5">
        <v>297</v>
      </c>
      <c r="D5">
        <v>51</v>
      </c>
      <c r="E5" s="2">
        <v>46049</v>
      </c>
    </row>
    <row r="6" spans="1:5" x14ac:dyDescent="0.25">
      <c r="A6" s="1" t="s">
        <v>7</v>
      </c>
      <c r="B6" s="1" t="s">
        <v>655</v>
      </c>
      <c r="C6">
        <v>311</v>
      </c>
      <c r="D6">
        <v>68.27</v>
      </c>
      <c r="E6" s="2">
        <v>46149</v>
      </c>
    </row>
    <row r="7" spans="1:5" x14ac:dyDescent="0.25">
      <c r="A7" s="1" t="s">
        <v>8</v>
      </c>
      <c r="B7" s="1" t="s">
        <v>656</v>
      </c>
      <c r="C7">
        <v>184</v>
      </c>
      <c r="D7">
        <v>59.18</v>
      </c>
      <c r="E7" s="2">
        <v>46148</v>
      </c>
    </row>
    <row r="8" spans="1:5" x14ac:dyDescent="0.25">
      <c r="A8" s="1" t="s">
        <v>9</v>
      </c>
      <c r="B8" s="1" t="s">
        <v>657</v>
      </c>
      <c r="C8">
        <v>204</v>
      </c>
      <c r="D8">
        <v>23.86</v>
      </c>
      <c r="E8" s="2">
        <v>46061</v>
      </c>
    </row>
    <row r="9" spans="1:5" x14ac:dyDescent="0.25">
      <c r="A9" s="1" t="s">
        <v>10</v>
      </c>
      <c r="B9" s="1" t="s">
        <v>658</v>
      </c>
      <c r="C9">
        <v>284</v>
      </c>
      <c r="D9">
        <v>29.34</v>
      </c>
      <c r="E9" s="2">
        <v>46155</v>
      </c>
    </row>
    <row r="10" spans="1:5" x14ac:dyDescent="0.25">
      <c r="A10" s="1" t="s">
        <v>11</v>
      </c>
      <c r="B10" s="1" t="s">
        <v>659</v>
      </c>
      <c r="C10">
        <v>434</v>
      </c>
      <c r="D10">
        <v>127.58</v>
      </c>
      <c r="E10" s="2">
        <v>46119</v>
      </c>
    </row>
    <row r="11" spans="1:5" x14ac:dyDescent="0.25">
      <c r="A11" s="1" t="s">
        <v>12</v>
      </c>
      <c r="B11" s="1" t="s">
        <v>660</v>
      </c>
      <c r="C11">
        <v>33</v>
      </c>
      <c r="D11">
        <v>133.94999999999999</v>
      </c>
      <c r="E11" s="2">
        <v>46055</v>
      </c>
    </row>
    <row r="12" spans="1:5" x14ac:dyDescent="0.25">
      <c r="A12" s="1" t="s">
        <v>13</v>
      </c>
      <c r="B12" s="1" t="s">
        <v>661</v>
      </c>
      <c r="C12">
        <v>453</v>
      </c>
      <c r="D12">
        <v>24.7</v>
      </c>
      <c r="E12" s="2">
        <v>46107</v>
      </c>
    </row>
    <row r="13" spans="1:5" x14ac:dyDescent="0.25">
      <c r="A13" s="1" t="s">
        <v>14</v>
      </c>
      <c r="B13" s="1" t="s">
        <v>662</v>
      </c>
      <c r="C13">
        <v>93</v>
      </c>
      <c r="D13">
        <v>77.19</v>
      </c>
      <c r="E13" s="2">
        <v>46139</v>
      </c>
    </row>
    <row r="14" spans="1:5" x14ac:dyDescent="0.25">
      <c r="A14" s="1" t="s">
        <v>15</v>
      </c>
      <c r="B14" s="1" t="s">
        <v>663</v>
      </c>
      <c r="C14">
        <v>321</v>
      </c>
      <c r="D14">
        <v>128.82</v>
      </c>
      <c r="E14" s="2">
        <v>46058</v>
      </c>
    </row>
    <row r="15" spans="1:5" x14ac:dyDescent="0.25">
      <c r="A15" s="1" t="s">
        <v>16</v>
      </c>
      <c r="B15" s="1" t="s">
        <v>664</v>
      </c>
      <c r="C15">
        <v>204</v>
      </c>
      <c r="D15">
        <v>61.13</v>
      </c>
      <c r="E15" s="2">
        <v>46163</v>
      </c>
    </row>
    <row r="16" spans="1:5" x14ac:dyDescent="0.25">
      <c r="A16" s="1" t="s">
        <v>17</v>
      </c>
      <c r="B16" s="1" t="s">
        <v>665</v>
      </c>
      <c r="C16">
        <v>441</v>
      </c>
      <c r="D16">
        <v>154.82</v>
      </c>
      <c r="E16" s="2">
        <v>46121</v>
      </c>
    </row>
    <row r="17" spans="1:5" x14ac:dyDescent="0.25">
      <c r="A17" s="1" t="s">
        <v>18</v>
      </c>
      <c r="B17" s="1" t="s">
        <v>666</v>
      </c>
      <c r="C17">
        <v>215</v>
      </c>
      <c r="D17">
        <v>57.21</v>
      </c>
      <c r="E17" s="2">
        <v>46125</v>
      </c>
    </row>
    <row r="18" spans="1:5" x14ac:dyDescent="0.25">
      <c r="A18" s="1" t="s">
        <v>19</v>
      </c>
      <c r="B18" s="1" t="s">
        <v>667</v>
      </c>
      <c r="C18">
        <v>212</v>
      </c>
      <c r="D18">
        <v>177.51</v>
      </c>
      <c r="E18" s="2">
        <v>46172</v>
      </c>
    </row>
    <row r="19" spans="1:5" x14ac:dyDescent="0.25">
      <c r="A19" s="1" t="s">
        <v>20</v>
      </c>
      <c r="B19" s="1" t="s">
        <v>668</v>
      </c>
      <c r="C19">
        <v>81</v>
      </c>
      <c r="D19">
        <v>53.09</v>
      </c>
      <c r="E19" s="2">
        <v>46106</v>
      </c>
    </row>
    <row r="20" spans="1:5" x14ac:dyDescent="0.25">
      <c r="A20" s="1" t="s">
        <v>21</v>
      </c>
      <c r="B20" s="1" t="s">
        <v>669</v>
      </c>
      <c r="C20">
        <v>229</v>
      </c>
      <c r="D20">
        <v>180.08</v>
      </c>
      <c r="E20" s="2">
        <v>46195</v>
      </c>
    </row>
    <row r="21" spans="1:5" x14ac:dyDescent="0.25">
      <c r="A21" s="1" t="s">
        <v>22</v>
      </c>
      <c r="B21" s="1" t="s">
        <v>670</v>
      </c>
      <c r="C21">
        <v>270</v>
      </c>
      <c r="D21">
        <v>101.24</v>
      </c>
      <c r="E21" s="2">
        <v>46074</v>
      </c>
    </row>
    <row r="22" spans="1:5" x14ac:dyDescent="0.25">
      <c r="A22" s="1" t="s">
        <v>23</v>
      </c>
      <c r="B22" s="1" t="s">
        <v>671</v>
      </c>
      <c r="C22">
        <v>331</v>
      </c>
      <c r="D22">
        <v>36.200000000000003</v>
      </c>
      <c r="E22" s="2">
        <v>46086</v>
      </c>
    </row>
    <row r="23" spans="1:5" x14ac:dyDescent="0.25">
      <c r="A23" s="1" t="s">
        <v>24</v>
      </c>
      <c r="B23" s="1" t="s">
        <v>672</v>
      </c>
      <c r="C23">
        <v>207</v>
      </c>
      <c r="D23">
        <v>79.42</v>
      </c>
      <c r="E23" s="2">
        <v>46067</v>
      </c>
    </row>
    <row r="24" spans="1:5" x14ac:dyDescent="0.25">
      <c r="A24" s="1" t="s">
        <v>25</v>
      </c>
      <c r="B24" s="1" t="s">
        <v>673</v>
      </c>
      <c r="C24">
        <v>450</v>
      </c>
      <c r="D24">
        <v>188.77</v>
      </c>
      <c r="E24" s="2">
        <v>46179</v>
      </c>
    </row>
    <row r="25" spans="1:5" x14ac:dyDescent="0.25">
      <c r="A25" s="1" t="s">
        <v>26</v>
      </c>
      <c r="B25" s="1" t="s">
        <v>674</v>
      </c>
      <c r="C25">
        <v>394</v>
      </c>
      <c r="D25">
        <v>57.03</v>
      </c>
      <c r="E25" s="2">
        <v>46181</v>
      </c>
    </row>
    <row r="26" spans="1:5" x14ac:dyDescent="0.25">
      <c r="A26" s="1" t="s">
        <v>27</v>
      </c>
      <c r="B26" s="1" t="s">
        <v>675</v>
      </c>
      <c r="C26">
        <v>232</v>
      </c>
      <c r="D26">
        <v>35.840000000000003</v>
      </c>
      <c r="E26" s="2">
        <v>46118</v>
      </c>
    </row>
    <row r="27" spans="1:5" x14ac:dyDescent="0.25">
      <c r="A27" s="1" t="s">
        <v>28</v>
      </c>
      <c r="B27" s="1" t="s">
        <v>676</v>
      </c>
      <c r="C27">
        <v>269</v>
      </c>
      <c r="D27">
        <v>182.96</v>
      </c>
      <c r="E27" s="2">
        <v>46090</v>
      </c>
    </row>
    <row r="28" spans="1:5" x14ac:dyDescent="0.25">
      <c r="A28" s="1" t="s">
        <v>29</v>
      </c>
      <c r="B28" s="1" t="s">
        <v>677</v>
      </c>
      <c r="C28">
        <v>321</v>
      </c>
      <c r="D28">
        <v>43.79</v>
      </c>
      <c r="E28" s="2">
        <v>46165</v>
      </c>
    </row>
    <row r="29" spans="1:5" x14ac:dyDescent="0.25">
      <c r="A29" s="1" t="s">
        <v>30</v>
      </c>
      <c r="B29" s="1" t="s">
        <v>678</v>
      </c>
      <c r="C29">
        <v>480</v>
      </c>
      <c r="D29">
        <v>5.1100000000000003</v>
      </c>
      <c r="E29" s="2">
        <v>46187</v>
      </c>
    </row>
    <row r="30" spans="1:5" x14ac:dyDescent="0.25">
      <c r="A30" s="1" t="s">
        <v>31</v>
      </c>
      <c r="B30" s="1" t="s">
        <v>679</v>
      </c>
      <c r="C30">
        <v>485</v>
      </c>
      <c r="D30">
        <v>75.78</v>
      </c>
      <c r="E30" s="2">
        <v>46065</v>
      </c>
    </row>
    <row r="31" spans="1:5" x14ac:dyDescent="0.25">
      <c r="A31" s="1" t="s">
        <v>32</v>
      </c>
      <c r="B31" s="1" t="s">
        <v>680</v>
      </c>
      <c r="C31">
        <v>459</v>
      </c>
      <c r="D31">
        <v>115.63</v>
      </c>
      <c r="E31" s="2">
        <v>46094</v>
      </c>
    </row>
    <row r="32" spans="1:5" x14ac:dyDescent="0.25">
      <c r="A32" s="1" t="s">
        <v>33</v>
      </c>
      <c r="B32" s="1" t="s">
        <v>681</v>
      </c>
      <c r="C32">
        <v>427</v>
      </c>
      <c r="D32">
        <v>18.5</v>
      </c>
      <c r="E32" s="2">
        <v>46161</v>
      </c>
    </row>
    <row r="33" spans="1:5" x14ac:dyDescent="0.25">
      <c r="A33" s="1" t="s">
        <v>34</v>
      </c>
      <c r="B33" s="1" t="s">
        <v>682</v>
      </c>
      <c r="C33">
        <v>494</v>
      </c>
      <c r="D33">
        <v>112.21</v>
      </c>
      <c r="E33" s="2">
        <v>46170</v>
      </c>
    </row>
    <row r="34" spans="1:5" x14ac:dyDescent="0.25">
      <c r="A34" s="1" t="s">
        <v>35</v>
      </c>
      <c r="B34" s="1" t="s">
        <v>683</v>
      </c>
      <c r="C34">
        <v>118</v>
      </c>
      <c r="D34">
        <v>186.14</v>
      </c>
      <c r="E34" s="2">
        <v>46143</v>
      </c>
    </row>
    <row r="35" spans="1:5" x14ac:dyDescent="0.25">
      <c r="A35" s="1" t="s">
        <v>36</v>
      </c>
      <c r="B35" s="1" t="s">
        <v>684</v>
      </c>
      <c r="C35">
        <v>214</v>
      </c>
      <c r="D35">
        <v>199.05</v>
      </c>
      <c r="E35" s="2">
        <v>46125</v>
      </c>
    </row>
    <row r="36" spans="1:5" x14ac:dyDescent="0.25">
      <c r="A36" s="1" t="s">
        <v>37</v>
      </c>
      <c r="B36" s="1" t="s">
        <v>685</v>
      </c>
      <c r="C36">
        <v>241</v>
      </c>
      <c r="D36">
        <v>28.6</v>
      </c>
      <c r="E36" s="2">
        <v>46172</v>
      </c>
    </row>
    <row r="37" spans="1:5" x14ac:dyDescent="0.25">
      <c r="A37" s="1" t="s">
        <v>686</v>
      </c>
      <c r="B37" s="1" t="s">
        <v>687</v>
      </c>
      <c r="C37">
        <v>311</v>
      </c>
      <c r="D37">
        <v>113.01</v>
      </c>
      <c r="E37" s="2">
        <v>46050</v>
      </c>
    </row>
    <row r="38" spans="1:5" x14ac:dyDescent="0.25">
      <c r="A38" s="1" t="s">
        <v>38</v>
      </c>
      <c r="B38" s="1" t="s">
        <v>688</v>
      </c>
      <c r="C38">
        <v>372</v>
      </c>
      <c r="D38">
        <v>128.07</v>
      </c>
      <c r="E38" s="2">
        <v>46050</v>
      </c>
    </row>
    <row r="39" spans="1:5" x14ac:dyDescent="0.25">
      <c r="A39" s="1" t="s">
        <v>39</v>
      </c>
      <c r="B39" s="1" t="s">
        <v>689</v>
      </c>
      <c r="C39">
        <v>46</v>
      </c>
      <c r="D39">
        <v>105.26</v>
      </c>
      <c r="E39" s="2">
        <v>46130</v>
      </c>
    </row>
    <row r="40" spans="1:5" x14ac:dyDescent="0.25">
      <c r="A40" s="1" t="s">
        <v>40</v>
      </c>
      <c r="B40" s="1" t="s">
        <v>690</v>
      </c>
      <c r="C40">
        <v>77</v>
      </c>
      <c r="D40">
        <v>162.47</v>
      </c>
      <c r="E40" s="2">
        <v>46186</v>
      </c>
    </row>
    <row r="41" spans="1:5" x14ac:dyDescent="0.25">
      <c r="A41" s="1" t="s">
        <v>41</v>
      </c>
      <c r="B41" s="1" t="s">
        <v>691</v>
      </c>
      <c r="C41">
        <v>423</v>
      </c>
      <c r="D41">
        <v>84.38</v>
      </c>
      <c r="E41" s="2">
        <v>46160</v>
      </c>
    </row>
    <row r="42" spans="1:5" x14ac:dyDescent="0.25">
      <c r="A42" s="1" t="s">
        <v>42</v>
      </c>
      <c r="B42" s="1" t="s">
        <v>692</v>
      </c>
      <c r="C42">
        <v>191</v>
      </c>
      <c r="D42">
        <v>87.6</v>
      </c>
      <c r="E42" s="2">
        <v>46142</v>
      </c>
    </row>
    <row r="43" spans="1:5" x14ac:dyDescent="0.25">
      <c r="A43" s="1" t="s">
        <v>43</v>
      </c>
      <c r="B43" s="1" t="s">
        <v>693</v>
      </c>
      <c r="C43">
        <v>41</v>
      </c>
      <c r="D43">
        <v>99.99</v>
      </c>
      <c r="E43" s="2">
        <v>46061</v>
      </c>
    </row>
    <row r="44" spans="1:5" x14ac:dyDescent="0.25">
      <c r="A44" s="1" t="s">
        <v>44</v>
      </c>
      <c r="B44" s="1" t="s">
        <v>694</v>
      </c>
      <c r="C44">
        <v>107</v>
      </c>
      <c r="D44">
        <v>109.58</v>
      </c>
      <c r="E44" s="2">
        <v>46099</v>
      </c>
    </row>
    <row r="45" spans="1:5" x14ac:dyDescent="0.25">
      <c r="A45" s="1" t="s">
        <v>44</v>
      </c>
      <c r="B45" s="1" t="s">
        <v>695</v>
      </c>
      <c r="C45">
        <v>107</v>
      </c>
      <c r="D45">
        <v>109.58</v>
      </c>
      <c r="E45" s="2">
        <v>46103</v>
      </c>
    </row>
    <row r="46" spans="1:5" x14ac:dyDescent="0.25">
      <c r="A46" s="1" t="s">
        <v>45</v>
      </c>
      <c r="B46" s="1" t="s">
        <v>696</v>
      </c>
      <c r="C46">
        <v>246</v>
      </c>
      <c r="D46">
        <v>53.71</v>
      </c>
      <c r="E46" s="2">
        <v>46116</v>
      </c>
    </row>
    <row r="47" spans="1:5" x14ac:dyDescent="0.25">
      <c r="A47" s="1" t="s">
        <v>46</v>
      </c>
      <c r="B47" s="1" t="s">
        <v>697</v>
      </c>
      <c r="C47">
        <v>35</v>
      </c>
      <c r="D47">
        <v>132.16999999999999</v>
      </c>
      <c r="E47" s="2">
        <v>46060</v>
      </c>
    </row>
    <row r="48" spans="1:5" x14ac:dyDescent="0.25">
      <c r="A48" s="1" t="s">
        <v>47</v>
      </c>
      <c r="B48" s="1" t="s">
        <v>698</v>
      </c>
      <c r="C48">
        <v>95</v>
      </c>
      <c r="D48">
        <v>84.25</v>
      </c>
      <c r="E48" s="2">
        <v>46104</v>
      </c>
    </row>
    <row r="49" spans="1:5" x14ac:dyDescent="0.25">
      <c r="A49" s="1" t="s">
        <v>48</v>
      </c>
      <c r="B49" s="1" t="s">
        <v>699</v>
      </c>
      <c r="C49">
        <v>94</v>
      </c>
      <c r="D49">
        <v>78.900000000000006</v>
      </c>
      <c r="E49" s="2">
        <v>46061</v>
      </c>
    </row>
    <row r="50" spans="1:5" x14ac:dyDescent="0.25">
      <c r="A50" s="1" t="s">
        <v>49</v>
      </c>
      <c r="B50" s="1" t="s">
        <v>700</v>
      </c>
      <c r="C50">
        <v>226</v>
      </c>
      <c r="D50">
        <v>140.84</v>
      </c>
      <c r="E50" s="2">
        <v>46123</v>
      </c>
    </row>
    <row r="51" spans="1:5" x14ac:dyDescent="0.25">
      <c r="A51" s="1" t="s">
        <v>50</v>
      </c>
      <c r="B51" s="1" t="s">
        <v>701</v>
      </c>
      <c r="C51">
        <v>161</v>
      </c>
      <c r="D51">
        <v>50.78</v>
      </c>
      <c r="E51" s="2">
        <v>46081</v>
      </c>
    </row>
    <row r="52" spans="1:5" x14ac:dyDescent="0.25">
      <c r="A52" s="1" t="s">
        <v>51</v>
      </c>
      <c r="B52" s="1" t="s">
        <v>702</v>
      </c>
      <c r="C52">
        <v>39</v>
      </c>
      <c r="D52">
        <v>17.670000000000002</v>
      </c>
      <c r="E52" s="2">
        <v>46125</v>
      </c>
    </row>
    <row r="53" spans="1:5" x14ac:dyDescent="0.25">
      <c r="A53" s="1" t="s">
        <v>52</v>
      </c>
      <c r="B53" s="1" t="s">
        <v>703</v>
      </c>
      <c r="C53">
        <v>39</v>
      </c>
      <c r="D53">
        <v>192.35</v>
      </c>
      <c r="E53" s="2">
        <v>46077</v>
      </c>
    </row>
    <row r="54" spans="1:5" x14ac:dyDescent="0.25">
      <c r="A54" s="1" t="s">
        <v>53</v>
      </c>
      <c r="B54" s="1" t="s">
        <v>704</v>
      </c>
      <c r="C54">
        <v>355</v>
      </c>
      <c r="D54">
        <v>173.05</v>
      </c>
      <c r="E54" s="2">
        <v>46057</v>
      </c>
    </row>
    <row r="55" spans="1:5" x14ac:dyDescent="0.25">
      <c r="A55" s="1" t="s">
        <v>54</v>
      </c>
      <c r="B55" s="1" t="s">
        <v>705</v>
      </c>
      <c r="C55">
        <v>306</v>
      </c>
      <c r="D55">
        <v>120.93</v>
      </c>
      <c r="E55" s="2">
        <v>46101</v>
      </c>
    </row>
    <row r="56" spans="1:5" x14ac:dyDescent="0.25">
      <c r="A56" s="1" t="s">
        <v>55</v>
      </c>
      <c r="B56" s="1" t="s">
        <v>706</v>
      </c>
      <c r="C56">
        <v>299</v>
      </c>
      <c r="D56">
        <v>106.94</v>
      </c>
      <c r="E56" s="2">
        <v>46185</v>
      </c>
    </row>
    <row r="57" spans="1:5" x14ac:dyDescent="0.25">
      <c r="A57" s="1" t="s">
        <v>707</v>
      </c>
      <c r="B57" s="1" t="s">
        <v>708</v>
      </c>
      <c r="C57">
        <v>132</v>
      </c>
      <c r="D57">
        <v>56.79</v>
      </c>
      <c r="E57" s="2">
        <v>46125</v>
      </c>
    </row>
    <row r="58" spans="1:5" x14ac:dyDescent="0.25">
      <c r="A58" s="1" t="s">
        <v>56</v>
      </c>
      <c r="B58" s="1" t="s">
        <v>709</v>
      </c>
      <c r="C58">
        <v>485</v>
      </c>
      <c r="D58">
        <v>151.61000000000001</v>
      </c>
      <c r="E58" s="2">
        <v>46116</v>
      </c>
    </row>
    <row r="59" spans="1:5" x14ac:dyDescent="0.25">
      <c r="A59" s="1" t="s">
        <v>57</v>
      </c>
      <c r="B59" s="1" t="s">
        <v>710</v>
      </c>
      <c r="C59">
        <v>61</v>
      </c>
      <c r="D59">
        <v>19.29</v>
      </c>
      <c r="E59" s="2">
        <v>46198</v>
      </c>
    </row>
    <row r="60" spans="1:5" x14ac:dyDescent="0.25">
      <c r="A60" s="1" t="s">
        <v>58</v>
      </c>
      <c r="B60" s="1" t="s">
        <v>711</v>
      </c>
      <c r="C60">
        <v>487</v>
      </c>
      <c r="D60">
        <v>73.06</v>
      </c>
      <c r="E60" s="2">
        <v>46074</v>
      </c>
    </row>
    <row r="61" spans="1:5" x14ac:dyDescent="0.25">
      <c r="A61" s="1" t="s">
        <v>58</v>
      </c>
      <c r="B61" s="1" t="s">
        <v>712</v>
      </c>
      <c r="C61">
        <v>487</v>
      </c>
      <c r="D61">
        <v>73.06</v>
      </c>
      <c r="E61" s="2">
        <v>46078</v>
      </c>
    </row>
    <row r="62" spans="1:5" x14ac:dyDescent="0.25">
      <c r="A62" s="1" t="s">
        <v>59</v>
      </c>
      <c r="B62" s="1" t="s">
        <v>713</v>
      </c>
      <c r="C62">
        <v>90</v>
      </c>
      <c r="D62">
        <v>90.45</v>
      </c>
      <c r="E62" s="2">
        <v>46117</v>
      </c>
    </row>
    <row r="63" spans="1:5" x14ac:dyDescent="0.25">
      <c r="A63" s="1" t="s">
        <v>60</v>
      </c>
      <c r="B63" s="1" t="s">
        <v>714</v>
      </c>
      <c r="C63">
        <v>14</v>
      </c>
      <c r="D63">
        <v>135.22999999999999</v>
      </c>
      <c r="E63" s="2">
        <v>46181</v>
      </c>
    </row>
    <row r="64" spans="1:5" x14ac:dyDescent="0.25">
      <c r="A64" s="1" t="s">
        <v>61</v>
      </c>
      <c r="B64" s="1" t="s">
        <v>715</v>
      </c>
      <c r="C64">
        <v>490</v>
      </c>
      <c r="D64">
        <v>195.61</v>
      </c>
      <c r="E64" s="2">
        <v>46066</v>
      </c>
    </row>
    <row r="65" spans="1:5" x14ac:dyDescent="0.25">
      <c r="A65" s="1" t="s">
        <v>62</v>
      </c>
      <c r="B65" s="1" t="s">
        <v>716</v>
      </c>
      <c r="C65">
        <v>89</v>
      </c>
      <c r="D65">
        <v>58.11</v>
      </c>
      <c r="E65" s="2">
        <v>46183</v>
      </c>
    </row>
    <row r="66" spans="1:5" x14ac:dyDescent="0.25">
      <c r="A66" s="1" t="s">
        <v>63</v>
      </c>
      <c r="B66" s="1" t="s">
        <v>717</v>
      </c>
      <c r="C66">
        <v>114</v>
      </c>
      <c r="D66">
        <v>146.41</v>
      </c>
      <c r="E66" s="2">
        <v>46141</v>
      </c>
    </row>
    <row r="67" spans="1:5" x14ac:dyDescent="0.25">
      <c r="A67" s="1" t="s">
        <v>64</v>
      </c>
      <c r="B67" s="1" t="s">
        <v>718</v>
      </c>
      <c r="C67">
        <v>473</v>
      </c>
      <c r="D67">
        <v>215.58</v>
      </c>
      <c r="E67" s="2">
        <v>46101</v>
      </c>
    </row>
    <row r="68" spans="1:5" x14ac:dyDescent="0.25">
      <c r="A68" s="1" t="s">
        <v>65</v>
      </c>
      <c r="B68" s="1" t="s">
        <v>719</v>
      </c>
      <c r="C68">
        <v>434</v>
      </c>
      <c r="D68">
        <v>58.95</v>
      </c>
      <c r="E68" s="2">
        <v>46156</v>
      </c>
    </row>
    <row r="69" spans="1:5" x14ac:dyDescent="0.25">
      <c r="A69" s="1" t="s">
        <v>66</v>
      </c>
      <c r="B69" s="1" t="s">
        <v>720</v>
      </c>
      <c r="C69">
        <v>92</v>
      </c>
      <c r="D69">
        <v>149.54</v>
      </c>
      <c r="E69" s="2">
        <v>46115</v>
      </c>
    </row>
    <row r="70" spans="1:5" x14ac:dyDescent="0.25">
      <c r="A70" s="1" t="s">
        <v>66</v>
      </c>
      <c r="B70" s="1" t="s">
        <v>721</v>
      </c>
      <c r="C70">
        <v>92</v>
      </c>
      <c r="D70">
        <v>149.54</v>
      </c>
      <c r="E70" s="2">
        <v>46118</v>
      </c>
    </row>
    <row r="71" spans="1:5" x14ac:dyDescent="0.25">
      <c r="A71" s="1" t="s">
        <v>67</v>
      </c>
      <c r="B71" s="1" t="s">
        <v>722</v>
      </c>
      <c r="C71">
        <v>67</v>
      </c>
      <c r="D71">
        <v>19.670000000000002</v>
      </c>
      <c r="E71" s="2">
        <v>46042</v>
      </c>
    </row>
    <row r="72" spans="1:5" x14ac:dyDescent="0.25">
      <c r="A72" s="1" t="s">
        <v>68</v>
      </c>
      <c r="B72" s="1" t="s">
        <v>723</v>
      </c>
      <c r="C72">
        <v>437</v>
      </c>
      <c r="D72">
        <v>77</v>
      </c>
      <c r="E72" s="2">
        <v>46045</v>
      </c>
    </row>
    <row r="73" spans="1:5" x14ac:dyDescent="0.25">
      <c r="A73" s="1" t="s">
        <v>69</v>
      </c>
      <c r="B73" s="1" t="s">
        <v>724</v>
      </c>
      <c r="C73">
        <v>31</v>
      </c>
      <c r="D73">
        <v>65.11</v>
      </c>
      <c r="E73" s="2">
        <v>46081</v>
      </c>
    </row>
    <row r="74" spans="1:5" x14ac:dyDescent="0.25">
      <c r="A74" s="1" t="s">
        <v>70</v>
      </c>
      <c r="B74" s="1" t="s">
        <v>725</v>
      </c>
      <c r="C74">
        <v>351</v>
      </c>
      <c r="D74">
        <v>25.04</v>
      </c>
      <c r="E74" s="2">
        <v>46112</v>
      </c>
    </row>
    <row r="75" spans="1:5" x14ac:dyDescent="0.25">
      <c r="A75" s="1" t="s">
        <v>71</v>
      </c>
      <c r="B75" s="1" t="s">
        <v>726</v>
      </c>
      <c r="C75">
        <v>483</v>
      </c>
      <c r="D75">
        <v>186.33</v>
      </c>
      <c r="E75" s="2">
        <v>46079</v>
      </c>
    </row>
    <row r="76" spans="1:5" x14ac:dyDescent="0.25">
      <c r="A76" s="1" t="s">
        <v>72</v>
      </c>
      <c r="B76" s="1" t="s">
        <v>727</v>
      </c>
      <c r="C76">
        <v>101</v>
      </c>
      <c r="D76">
        <v>148.63</v>
      </c>
      <c r="E76" s="2">
        <v>46053</v>
      </c>
    </row>
    <row r="77" spans="1:5" x14ac:dyDescent="0.25">
      <c r="A77" s="1" t="s">
        <v>73</v>
      </c>
      <c r="B77" s="1" t="s">
        <v>728</v>
      </c>
      <c r="C77">
        <v>146</v>
      </c>
      <c r="D77">
        <v>36.04</v>
      </c>
      <c r="E77" s="2">
        <v>46097</v>
      </c>
    </row>
    <row r="78" spans="1:5" x14ac:dyDescent="0.25">
      <c r="A78" s="1" t="s">
        <v>74</v>
      </c>
      <c r="B78" s="1" t="s">
        <v>729</v>
      </c>
      <c r="C78">
        <v>449</v>
      </c>
      <c r="D78">
        <v>96.78</v>
      </c>
      <c r="E78" s="2">
        <v>46053</v>
      </c>
    </row>
    <row r="79" spans="1:5" x14ac:dyDescent="0.25">
      <c r="A79" s="1" t="s">
        <v>75</v>
      </c>
      <c r="B79" s="1" t="s">
        <v>730</v>
      </c>
      <c r="C79">
        <v>430</v>
      </c>
      <c r="D79">
        <v>160.09</v>
      </c>
      <c r="E79" s="2">
        <v>46117</v>
      </c>
    </row>
    <row r="80" spans="1:5" x14ac:dyDescent="0.25">
      <c r="A80" s="1" t="s">
        <v>76</v>
      </c>
      <c r="B80" s="1" t="s">
        <v>731</v>
      </c>
      <c r="C80">
        <v>214</v>
      </c>
      <c r="D80">
        <v>69.010000000000005</v>
      </c>
      <c r="E80" s="2">
        <v>46092</v>
      </c>
    </row>
    <row r="81" spans="1:5" x14ac:dyDescent="0.25">
      <c r="A81" s="1" t="s">
        <v>77</v>
      </c>
      <c r="B81" s="1" t="s">
        <v>732</v>
      </c>
      <c r="C81">
        <v>214</v>
      </c>
      <c r="D81">
        <v>137.51</v>
      </c>
      <c r="E81" s="2">
        <v>46172</v>
      </c>
    </row>
    <row r="82" spans="1:5" x14ac:dyDescent="0.25">
      <c r="A82" s="1" t="s">
        <v>733</v>
      </c>
      <c r="B82" s="1" t="s">
        <v>734</v>
      </c>
      <c r="C82">
        <v>459</v>
      </c>
      <c r="D82">
        <v>204.47</v>
      </c>
      <c r="E82" s="2">
        <v>46070</v>
      </c>
    </row>
    <row r="83" spans="1:5" x14ac:dyDescent="0.25">
      <c r="A83" s="1" t="s">
        <v>78</v>
      </c>
      <c r="B83" s="1" t="s">
        <v>735</v>
      </c>
      <c r="C83">
        <v>315</v>
      </c>
      <c r="D83">
        <v>89.74</v>
      </c>
      <c r="E83" s="2">
        <v>46074</v>
      </c>
    </row>
    <row r="84" spans="1:5" x14ac:dyDescent="0.25">
      <c r="A84" s="1" t="s">
        <v>78</v>
      </c>
      <c r="B84" s="1" t="s">
        <v>736</v>
      </c>
      <c r="C84">
        <v>315</v>
      </c>
      <c r="D84">
        <v>89.74</v>
      </c>
      <c r="E84" s="2">
        <v>46075</v>
      </c>
    </row>
    <row r="85" spans="1:5" x14ac:dyDescent="0.25">
      <c r="A85" s="1" t="s">
        <v>79</v>
      </c>
      <c r="B85" s="1" t="s">
        <v>737</v>
      </c>
      <c r="C85">
        <v>69</v>
      </c>
      <c r="D85">
        <v>80.11</v>
      </c>
      <c r="E85" s="2">
        <v>46166</v>
      </c>
    </row>
    <row r="86" spans="1:5" x14ac:dyDescent="0.25">
      <c r="A86" s="1" t="s">
        <v>80</v>
      </c>
      <c r="B86" s="1" t="s">
        <v>738</v>
      </c>
      <c r="C86">
        <v>372</v>
      </c>
      <c r="D86">
        <v>90.03</v>
      </c>
      <c r="E86" s="2">
        <v>46049</v>
      </c>
    </row>
    <row r="87" spans="1:5" x14ac:dyDescent="0.25">
      <c r="A87" s="1" t="s">
        <v>81</v>
      </c>
      <c r="B87" s="1" t="s">
        <v>739</v>
      </c>
      <c r="C87">
        <v>45</v>
      </c>
      <c r="D87">
        <v>190.03</v>
      </c>
      <c r="E87" s="2">
        <v>46154</v>
      </c>
    </row>
    <row r="88" spans="1:5" x14ac:dyDescent="0.25">
      <c r="A88" s="1" t="s">
        <v>82</v>
      </c>
      <c r="B88" s="1" t="s">
        <v>740</v>
      </c>
      <c r="C88">
        <v>378</v>
      </c>
      <c r="D88">
        <v>180.51</v>
      </c>
      <c r="E88" s="2">
        <v>46077</v>
      </c>
    </row>
    <row r="89" spans="1:5" x14ac:dyDescent="0.25">
      <c r="A89" s="1" t="s">
        <v>83</v>
      </c>
      <c r="B89" s="1" t="s">
        <v>741</v>
      </c>
      <c r="C89">
        <v>177</v>
      </c>
      <c r="D89">
        <v>83.47</v>
      </c>
      <c r="E89" s="2">
        <v>46145</v>
      </c>
    </row>
    <row r="90" spans="1:5" x14ac:dyDescent="0.25">
      <c r="A90" s="1" t="s">
        <v>84</v>
      </c>
      <c r="B90" s="1" t="s">
        <v>742</v>
      </c>
      <c r="C90">
        <v>350</v>
      </c>
      <c r="D90">
        <v>188.37</v>
      </c>
      <c r="E90" s="2">
        <v>46141</v>
      </c>
    </row>
    <row r="91" spans="1:5" x14ac:dyDescent="0.25">
      <c r="A91" s="1" t="s">
        <v>85</v>
      </c>
      <c r="B91" s="1" t="s">
        <v>743</v>
      </c>
      <c r="C91">
        <v>164</v>
      </c>
      <c r="D91">
        <v>84.18</v>
      </c>
      <c r="E91" s="2">
        <v>46190</v>
      </c>
    </row>
    <row r="92" spans="1:5" x14ac:dyDescent="0.25">
      <c r="A92" s="1" t="s">
        <v>86</v>
      </c>
      <c r="B92" s="1" t="s">
        <v>744</v>
      </c>
      <c r="C92">
        <v>230</v>
      </c>
      <c r="D92">
        <v>158.22</v>
      </c>
      <c r="E92" s="2">
        <v>46093</v>
      </c>
    </row>
    <row r="93" spans="1:5" x14ac:dyDescent="0.25">
      <c r="A93" s="1" t="s">
        <v>87</v>
      </c>
      <c r="B93" s="1" t="s">
        <v>745</v>
      </c>
      <c r="C93">
        <v>236</v>
      </c>
      <c r="D93">
        <v>136.75</v>
      </c>
      <c r="E93" s="2">
        <v>46158</v>
      </c>
    </row>
    <row r="94" spans="1:5" x14ac:dyDescent="0.25">
      <c r="A94" s="1" t="s">
        <v>88</v>
      </c>
      <c r="B94" s="1" t="s">
        <v>746</v>
      </c>
      <c r="C94">
        <v>347</v>
      </c>
      <c r="D94">
        <v>22.96</v>
      </c>
      <c r="E94" s="2">
        <v>46083</v>
      </c>
    </row>
    <row r="95" spans="1:5" x14ac:dyDescent="0.25">
      <c r="A95" s="1" t="s">
        <v>89</v>
      </c>
      <c r="B95" s="1" t="s">
        <v>747</v>
      </c>
      <c r="C95">
        <v>354</v>
      </c>
      <c r="D95">
        <v>65.53</v>
      </c>
      <c r="E95" s="2">
        <v>46095</v>
      </c>
    </row>
    <row r="96" spans="1:5" x14ac:dyDescent="0.25">
      <c r="A96" s="1" t="s">
        <v>90</v>
      </c>
      <c r="B96" s="1" t="s">
        <v>748</v>
      </c>
      <c r="C96">
        <v>135</v>
      </c>
      <c r="D96">
        <v>196.87</v>
      </c>
      <c r="E96" s="2">
        <v>46050</v>
      </c>
    </row>
    <row r="97" spans="1:5" x14ac:dyDescent="0.25">
      <c r="A97" s="1" t="s">
        <v>91</v>
      </c>
      <c r="B97" s="1" t="s">
        <v>749</v>
      </c>
      <c r="C97">
        <v>463</v>
      </c>
      <c r="D97">
        <v>127.8</v>
      </c>
      <c r="E97" s="2">
        <v>46149</v>
      </c>
    </row>
    <row r="98" spans="1:5" x14ac:dyDescent="0.25">
      <c r="A98" s="1" t="s">
        <v>92</v>
      </c>
      <c r="B98" s="1" t="s">
        <v>750</v>
      </c>
      <c r="C98">
        <v>134</v>
      </c>
      <c r="D98">
        <v>33.78</v>
      </c>
      <c r="E98" s="2">
        <v>46133</v>
      </c>
    </row>
    <row r="99" spans="1:5" x14ac:dyDescent="0.25">
      <c r="A99" s="1" t="s">
        <v>751</v>
      </c>
      <c r="B99" s="1" t="s">
        <v>752</v>
      </c>
      <c r="C99">
        <v>122</v>
      </c>
      <c r="D99">
        <v>39.299999999999997</v>
      </c>
      <c r="E99" s="2">
        <v>46159</v>
      </c>
    </row>
    <row r="100" spans="1:5" x14ac:dyDescent="0.25">
      <c r="A100" s="1" t="s">
        <v>93</v>
      </c>
      <c r="B100" s="1" t="s">
        <v>753</v>
      </c>
      <c r="C100">
        <v>295</v>
      </c>
      <c r="D100">
        <v>62.98</v>
      </c>
      <c r="E100" s="2">
        <v>46062</v>
      </c>
    </row>
    <row r="101" spans="1:5" x14ac:dyDescent="0.25">
      <c r="A101" s="1" t="s">
        <v>94</v>
      </c>
      <c r="B101" s="1" t="s">
        <v>754</v>
      </c>
      <c r="C101">
        <v>351</v>
      </c>
      <c r="D101">
        <v>108.57</v>
      </c>
      <c r="E101" s="2">
        <v>46158</v>
      </c>
    </row>
    <row r="102" spans="1:5" x14ac:dyDescent="0.25">
      <c r="A102" s="1" t="s">
        <v>755</v>
      </c>
      <c r="B102" s="1" t="s">
        <v>756</v>
      </c>
      <c r="C102">
        <v>228</v>
      </c>
      <c r="D102">
        <v>166.96</v>
      </c>
      <c r="E102" s="2">
        <v>46178</v>
      </c>
    </row>
    <row r="103" spans="1:5" x14ac:dyDescent="0.25">
      <c r="A103" s="1" t="s">
        <v>95</v>
      </c>
      <c r="B103" s="1" t="s">
        <v>757</v>
      </c>
      <c r="C103">
        <v>240</v>
      </c>
      <c r="D103">
        <v>55.54</v>
      </c>
      <c r="E103" s="2">
        <v>46160</v>
      </c>
    </row>
    <row r="104" spans="1:5" x14ac:dyDescent="0.25">
      <c r="A104" s="1" t="s">
        <v>96</v>
      </c>
      <c r="B104" s="1" t="s">
        <v>758</v>
      </c>
      <c r="C104">
        <v>330</v>
      </c>
      <c r="D104">
        <v>51.65</v>
      </c>
      <c r="E104" s="2">
        <v>46158</v>
      </c>
    </row>
    <row r="105" spans="1:5" x14ac:dyDescent="0.25">
      <c r="A105" s="1" t="s">
        <v>97</v>
      </c>
      <c r="B105" s="1" t="s">
        <v>759</v>
      </c>
      <c r="C105">
        <v>130</v>
      </c>
      <c r="D105">
        <v>57.98</v>
      </c>
      <c r="E105" s="2">
        <v>46110</v>
      </c>
    </row>
    <row r="106" spans="1:5" x14ac:dyDescent="0.25">
      <c r="A106" s="1" t="s">
        <v>760</v>
      </c>
      <c r="B106" s="1" t="s">
        <v>761</v>
      </c>
      <c r="C106">
        <v>128</v>
      </c>
      <c r="D106">
        <v>79.69</v>
      </c>
      <c r="E106" s="2">
        <v>46081</v>
      </c>
    </row>
    <row r="107" spans="1:5" x14ac:dyDescent="0.25">
      <c r="A107" s="1" t="s">
        <v>98</v>
      </c>
      <c r="B107" s="1" t="s">
        <v>762</v>
      </c>
      <c r="C107">
        <v>218</v>
      </c>
      <c r="D107">
        <v>69.52</v>
      </c>
      <c r="E107" s="2">
        <v>46148</v>
      </c>
    </row>
    <row r="108" spans="1:5" x14ac:dyDescent="0.25">
      <c r="A108" s="1" t="s">
        <v>99</v>
      </c>
      <c r="B108" s="1" t="s">
        <v>763</v>
      </c>
      <c r="C108">
        <v>436</v>
      </c>
      <c r="D108">
        <v>86.93</v>
      </c>
      <c r="E108" s="2">
        <v>46089</v>
      </c>
    </row>
    <row r="109" spans="1:5" x14ac:dyDescent="0.25">
      <c r="A109" s="1" t="s">
        <v>100</v>
      </c>
      <c r="B109" s="1" t="s">
        <v>764</v>
      </c>
      <c r="C109">
        <v>254</v>
      </c>
      <c r="D109">
        <v>6.75</v>
      </c>
      <c r="E109" s="2">
        <v>46137</v>
      </c>
    </row>
    <row r="110" spans="1:5" x14ac:dyDescent="0.25">
      <c r="A110" s="1" t="s">
        <v>101</v>
      </c>
      <c r="B110" s="1" t="s">
        <v>765</v>
      </c>
      <c r="C110">
        <v>285</v>
      </c>
      <c r="D110">
        <v>150.77000000000001</v>
      </c>
      <c r="E110" s="2">
        <v>46143</v>
      </c>
    </row>
    <row r="111" spans="1:5" x14ac:dyDescent="0.25">
      <c r="A111" s="1" t="s">
        <v>102</v>
      </c>
      <c r="B111" s="1" t="s">
        <v>766</v>
      </c>
      <c r="C111">
        <v>149</v>
      </c>
      <c r="D111">
        <v>89.99</v>
      </c>
      <c r="E111" s="2">
        <v>46106</v>
      </c>
    </row>
    <row r="112" spans="1:5" x14ac:dyDescent="0.25">
      <c r="A112" s="1" t="s">
        <v>103</v>
      </c>
      <c r="B112" s="1" t="s">
        <v>767</v>
      </c>
      <c r="C112">
        <v>380</v>
      </c>
      <c r="D112">
        <v>37.18</v>
      </c>
      <c r="E112" s="2">
        <v>46144</v>
      </c>
    </row>
    <row r="113" spans="1:5" x14ac:dyDescent="0.25">
      <c r="A113" s="1" t="s">
        <v>104</v>
      </c>
      <c r="B113" s="1" t="s">
        <v>768</v>
      </c>
      <c r="C113">
        <v>23</v>
      </c>
      <c r="D113">
        <v>181.85</v>
      </c>
      <c r="E113" s="2">
        <v>46173</v>
      </c>
    </row>
    <row r="114" spans="1:5" x14ac:dyDescent="0.25">
      <c r="A114" s="1" t="s">
        <v>105</v>
      </c>
      <c r="B114" s="1" t="s">
        <v>769</v>
      </c>
      <c r="C114">
        <v>79</v>
      </c>
      <c r="D114">
        <v>174.04</v>
      </c>
      <c r="E114" s="2">
        <v>46144</v>
      </c>
    </row>
    <row r="115" spans="1:5" x14ac:dyDescent="0.25">
      <c r="A115" s="1" t="s">
        <v>770</v>
      </c>
      <c r="B115" s="1" t="s">
        <v>771</v>
      </c>
      <c r="C115">
        <v>177</v>
      </c>
      <c r="D115">
        <v>50.53</v>
      </c>
      <c r="E115" s="2">
        <v>46144</v>
      </c>
    </row>
    <row r="116" spans="1:5" x14ac:dyDescent="0.25">
      <c r="A116" s="1" t="s">
        <v>106</v>
      </c>
      <c r="B116" s="1" t="s">
        <v>772</v>
      </c>
      <c r="C116">
        <v>395</v>
      </c>
      <c r="D116">
        <v>190.48</v>
      </c>
      <c r="E116" s="2">
        <v>46114</v>
      </c>
    </row>
    <row r="117" spans="1:5" x14ac:dyDescent="0.25">
      <c r="A117" s="1" t="s">
        <v>107</v>
      </c>
      <c r="B117" s="1" t="s">
        <v>773</v>
      </c>
      <c r="C117">
        <v>19</v>
      </c>
      <c r="D117">
        <v>151.06</v>
      </c>
      <c r="E117" s="2">
        <v>46168</v>
      </c>
    </row>
    <row r="118" spans="1:5" x14ac:dyDescent="0.25">
      <c r="A118" s="1" t="s">
        <v>774</v>
      </c>
      <c r="B118" s="1" t="s">
        <v>775</v>
      </c>
      <c r="C118">
        <v>409</v>
      </c>
      <c r="D118">
        <v>191.67</v>
      </c>
      <c r="E118" s="2">
        <v>46053</v>
      </c>
    </row>
    <row r="119" spans="1:5" x14ac:dyDescent="0.25">
      <c r="A119" s="1" t="s">
        <v>108</v>
      </c>
      <c r="B119" s="1" t="s">
        <v>776</v>
      </c>
      <c r="C119">
        <v>439</v>
      </c>
      <c r="D119">
        <v>8.9700000000000006</v>
      </c>
      <c r="E119" s="2">
        <v>46093</v>
      </c>
    </row>
    <row r="120" spans="1:5" x14ac:dyDescent="0.25">
      <c r="A120" s="1" t="s">
        <v>109</v>
      </c>
      <c r="B120" s="1" t="s">
        <v>777</v>
      </c>
      <c r="C120">
        <v>352</v>
      </c>
      <c r="D120">
        <v>27.31</v>
      </c>
      <c r="E120" s="2">
        <v>46165</v>
      </c>
    </row>
    <row r="121" spans="1:5" x14ac:dyDescent="0.25">
      <c r="A121" s="1" t="s">
        <v>109</v>
      </c>
      <c r="B121" s="1" t="s">
        <v>778</v>
      </c>
      <c r="C121">
        <v>352</v>
      </c>
      <c r="D121">
        <v>27.31</v>
      </c>
      <c r="E121" s="2">
        <v>46168</v>
      </c>
    </row>
    <row r="122" spans="1:5" x14ac:dyDescent="0.25">
      <c r="A122" s="1" t="s">
        <v>110</v>
      </c>
      <c r="B122" s="1" t="s">
        <v>779</v>
      </c>
      <c r="C122">
        <v>402</v>
      </c>
      <c r="D122">
        <v>76.930000000000007</v>
      </c>
      <c r="E122" s="2">
        <v>46099</v>
      </c>
    </row>
    <row r="123" spans="1:5" x14ac:dyDescent="0.25">
      <c r="A123" s="1" t="s">
        <v>111</v>
      </c>
      <c r="B123" s="1" t="s">
        <v>780</v>
      </c>
      <c r="C123">
        <v>65</v>
      </c>
      <c r="D123">
        <v>117.84</v>
      </c>
      <c r="E123" s="2">
        <v>46123</v>
      </c>
    </row>
    <row r="124" spans="1:5" x14ac:dyDescent="0.25">
      <c r="A124" s="1" t="s">
        <v>112</v>
      </c>
      <c r="B124" s="1" t="s">
        <v>781</v>
      </c>
      <c r="C124">
        <v>48</v>
      </c>
      <c r="D124">
        <v>120.46</v>
      </c>
      <c r="E124" s="2">
        <v>46094</v>
      </c>
    </row>
    <row r="125" spans="1:5" x14ac:dyDescent="0.25">
      <c r="A125" s="1" t="s">
        <v>113</v>
      </c>
      <c r="B125" s="1" t="s">
        <v>782</v>
      </c>
      <c r="C125">
        <v>445</v>
      </c>
      <c r="D125">
        <v>138.43</v>
      </c>
      <c r="E125" s="2">
        <v>46107</v>
      </c>
    </row>
    <row r="126" spans="1:5" x14ac:dyDescent="0.25">
      <c r="A126" s="1" t="s">
        <v>113</v>
      </c>
      <c r="B126" s="1" t="s">
        <v>783</v>
      </c>
      <c r="C126">
        <v>445</v>
      </c>
      <c r="D126">
        <v>138.43</v>
      </c>
      <c r="E126" s="2">
        <v>46112</v>
      </c>
    </row>
    <row r="127" spans="1:5" x14ac:dyDescent="0.25">
      <c r="A127" s="1" t="s">
        <v>114</v>
      </c>
      <c r="B127" s="1" t="s">
        <v>784</v>
      </c>
      <c r="C127">
        <v>229</v>
      </c>
      <c r="D127">
        <v>134</v>
      </c>
      <c r="E127" s="2">
        <v>46184</v>
      </c>
    </row>
    <row r="128" spans="1:5" x14ac:dyDescent="0.25">
      <c r="A128" s="1" t="s">
        <v>115</v>
      </c>
      <c r="B128" s="1" t="s">
        <v>785</v>
      </c>
      <c r="C128">
        <v>16</v>
      </c>
      <c r="D128">
        <v>170.67</v>
      </c>
      <c r="E128" s="2">
        <v>46125</v>
      </c>
    </row>
    <row r="129" spans="1:5" x14ac:dyDescent="0.25">
      <c r="A129" s="1" t="s">
        <v>116</v>
      </c>
      <c r="B129" s="1" t="s">
        <v>786</v>
      </c>
      <c r="C129">
        <v>335</v>
      </c>
      <c r="D129">
        <v>178.86</v>
      </c>
      <c r="E129" s="2">
        <v>46125</v>
      </c>
    </row>
    <row r="130" spans="1:5" x14ac:dyDescent="0.25">
      <c r="A130" s="1" t="s">
        <v>117</v>
      </c>
      <c r="B130" s="1" t="s">
        <v>787</v>
      </c>
      <c r="C130">
        <v>385</v>
      </c>
      <c r="D130">
        <v>106.74</v>
      </c>
      <c r="E130" s="2">
        <v>46090</v>
      </c>
    </row>
    <row r="131" spans="1:5" x14ac:dyDescent="0.25">
      <c r="A131" s="1" t="s">
        <v>118</v>
      </c>
      <c r="B131" s="1" t="s">
        <v>788</v>
      </c>
      <c r="C131">
        <v>406</v>
      </c>
      <c r="D131">
        <v>113.94</v>
      </c>
      <c r="E131" s="2">
        <v>46175</v>
      </c>
    </row>
    <row r="132" spans="1:5" x14ac:dyDescent="0.25">
      <c r="A132" s="1" t="s">
        <v>789</v>
      </c>
      <c r="B132" s="1" t="s">
        <v>790</v>
      </c>
      <c r="C132">
        <v>435</v>
      </c>
      <c r="D132">
        <v>187.25</v>
      </c>
      <c r="E132" s="2">
        <v>46105</v>
      </c>
    </row>
    <row r="133" spans="1:5" x14ac:dyDescent="0.25">
      <c r="A133" s="1" t="s">
        <v>119</v>
      </c>
      <c r="B133" s="1" t="s">
        <v>791</v>
      </c>
      <c r="C133">
        <v>301</v>
      </c>
      <c r="D133">
        <v>124.01</v>
      </c>
      <c r="E133" s="2">
        <v>46166</v>
      </c>
    </row>
    <row r="134" spans="1:5" x14ac:dyDescent="0.25">
      <c r="A134" s="1" t="s">
        <v>120</v>
      </c>
      <c r="B134" s="1" t="s">
        <v>792</v>
      </c>
      <c r="C134">
        <v>445</v>
      </c>
      <c r="D134">
        <v>68.38</v>
      </c>
      <c r="E134" s="2">
        <v>46169</v>
      </c>
    </row>
    <row r="135" spans="1:5" x14ac:dyDescent="0.25">
      <c r="A135" s="1" t="s">
        <v>121</v>
      </c>
      <c r="B135" s="1" t="s">
        <v>793</v>
      </c>
      <c r="C135">
        <v>184</v>
      </c>
      <c r="D135">
        <v>59.53</v>
      </c>
      <c r="E135" s="2">
        <v>46107</v>
      </c>
    </row>
    <row r="136" spans="1:5" x14ac:dyDescent="0.25">
      <c r="A136" s="1" t="s">
        <v>794</v>
      </c>
      <c r="B136" s="1" t="s">
        <v>795</v>
      </c>
      <c r="C136">
        <v>274</v>
      </c>
      <c r="D136">
        <v>189.87</v>
      </c>
      <c r="E136" s="2">
        <v>46047</v>
      </c>
    </row>
    <row r="137" spans="1:5" x14ac:dyDescent="0.25">
      <c r="A137" s="1" t="s">
        <v>122</v>
      </c>
      <c r="B137" s="1" t="s">
        <v>796</v>
      </c>
      <c r="C137">
        <v>260</v>
      </c>
      <c r="D137">
        <v>113.26</v>
      </c>
      <c r="E137" s="2">
        <v>46156</v>
      </c>
    </row>
    <row r="138" spans="1:5" x14ac:dyDescent="0.25">
      <c r="A138" s="1" t="s">
        <v>123</v>
      </c>
      <c r="B138" s="1" t="s">
        <v>797</v>
      </c>
      <c r="C138">
        <v>239</v>
      </c>
      <c r="D138">
        <v>159.62</v>
      </c>
      <c r="E138" s="2">
        <v>46171</v>
      </c>
    </row>
    <row r="139" spans="1:5" x14ac:dyDescent="0.25">
      <c r="A139" s="1" t="s">
        <v>124</v>
      </c>
      <c r="B139" s="1" t="s">
        <v>798</v>
      </c>
      <c r="C139">
        <v>364</v>
      </c>
      <c r="D139">
        <v>52.44</v>
      </c>
      <c r="E139" s="2">
        <v>46148</v>
      </c>
    </row>
    <row r="140" spans="1:5" x14ac:dyDescent="0.25">
      <c r="A140" s="1" t="s">
        <v>125</v>
      </c>
      <c r="B140" s="1" t="s">
        <v>799</v>
      </c>
      <c r="C140">
        <v>281</v>
      </c>
      <c r="D140">
        <v>72.03</v>
      </c>
      <c r="E140" s="2">
        <v>46186</v>
      </c>
    </row>
    <row r="141" spans="1:5" x14ac:dyDescent="0.25">
      <c r="A141" s="1" t="s">
        <v>800</v>
      </c>
      <c r="B141" s="1" t="s">
        <v>801</v>
      </c>
      <c r="C141">
        <v>148</v>
      </c>
      <c r="D141">
        <v>68.63</v>
      </c>
      <c r="E141" s="2">
        <v>46150</v>
      </c>
    </row>
    <row r="142" spans="1:5" x14ac:dyDescent="0.25">
      <c r="A142" s="1" t="s">
        <v>126</v>
      </c>
      <c r="B142" s="1" t="s">
        <v>802</v>
      </c>
      <c r="C142">
        <v>171</v>
      </c>
      <c r="D142">
        <v>28.31</v>
      </c>
      <c r="E142" s="2">
        <v>46088</v>
      </c>
    </row>
    <row r="143" spans="1:5" x14ac:dyDescent="0.25">
      <c r="A143" s="1" t="s">
        <v>127</v>
      </c>
      <c r="B143" s="1" t="s">
        <v>803</v>
      </c>
      <c r="C143">
        <v>388</v>
      </c>
      <c r="D143">
        <v>99.42</v>
      </c>
      <c r="E143" s="2">
        <v>46108</v>
      </c>
    </row>
    <row r="144" spans="1:5" x14ac:dyDescent="0.25">
      <c r="A144" s="1" t="s">
        <v>128</v>
      </c>
      <c r="B144" s="1" t="s">
        <v>804</v>
      </c>
      <c r="C144">
        <v>61</v>
      </c>
      <c r="D144">
        <v>167.36</v>
      </c>
      <c r="E144" s="2">
        <v>46112</v>
      </c>
    </row>
    <row r="145" spans="1:5" x14ac:dyDescent="0.25">
      <c r="A145" s="1" t="s">
        <v>129</v>
      </c>
      <c r="B145" s="1" t="s">
        <v>805</v>
      </c>
      <c r="C145">
        <v>164</v>
      </c>
      <c r="D145">
        <v>7.76</v>
      </c>
      <c r="E145" s="2">
        <v>46085</v>
      </c>
    </row>
    <row r="146" spans="1:5" x14ac:dyDescent="0.25">
      <c r="A146" s="1" t="s">
        <v>130</v>
      </c>
      <c r="B146" s="1" t="s">
        <v>806</v>
      </c>
      <c r="C146">
        <v>37</v>
      </c>
      <c r="D146">
        <v>112.9</v>
      </c>
      <c r="E146" s="2">
        <v>46050</v>
      </c>
    </row>
    <row r="147" spans="1:5" x14ac:dyDescent="0.25">
      <c r="A147" s="1" t="s">
        <v>131</v>
      </c>
      <c r="B147" s="1" t="s">
        <v>807</v>
      </c>
      <c r="C147">
        <v>62</v>
      </c>
      <c r="D147">
        <v>175.18</v>
      </c>
      <c r="E147" s="2">
        <v>46165</v>
      </c>
    </row>
    <row r="148" spans="1:5" x14ac:dyDescent="0.25">
      <c r="A148" s="1" t="s">
        <v>132</v>
      </c>
      <c r="B148" s="1" t="s">
        <v>808</v>
      </c>
      <c r="C148">
        <v>235</v>
      </c>
      <c r="D148">
        <v>71.44</v>
      </c>
      <c r="E148" s="2">
        <v>46167</v>
      </c>
    </row>
    <row r="149" spans="1:5" x14ac:dyDescent="0.25">
      <c r="A149" s="1" t="s">
        <v>133</v>
      </c>
      <c r="B149" s="1" t="s">
        <v>809</v>
      </c>
      <c r="C149">
        <v>430</v>
      </c>
      <c r="D149">
        <v>17.739999999999998</v>
      </c>
      <c r="E149" s="2">
        <v>46063</v>
      </c>
    </row>
    <row r="150" spans="1:5" x14ac:dyDescent="0.25">
      <c r="A150" s="1" t="s">
        <v>134</v>
      </c>
      <c r="B150" s="1" t="s">
        <v>810</v>
      </c>
      <c r="C150">
        <v>87</v>
      </c>
      <c r="D150">
        <v>36.6</v>
      </c>
      <c r="E150" s="2">
        <v>46059</v>
      </c>
    </row>
    <row r="151" spans="1:5" x14ac:dyDescent="0.25">
      <c r="A151" s="1" t="s">
        <v>135</v>
      </c>
      <c r="B151" s="1" t="s">
        <v>811</v>
      </c>
      <c r="C151">
        <v>70</v>
      </c>
      <c r="D151">
        <v>113.82</v>
      </c>
      <c r="E151" s="2">
        <v>46108</v>
      </c>
    </row>
    <row r="152" spans="1:5" x14ac:dyDescent="0.25">
      <c r="A152" s="1" t="s">
        <v>136</v>
      </c>
      <c r="B152" s="1" t="s">
        <v>812</v>
      </c>
      <c r="C152">
        <v>240</v>
      </c>
      <c r="D152">
        <v>182.16</v>
      </c>
      <c r="E152" s="2">
        <v>46144</v>
      </c>
    </row>
    <row r="153" spans="1:5" x14ac:dyDescent="0.25">
      <c r="A153" s="1" t="s">
        <v>137</v>
      </c>
      <c r="B153" s="1" t="s">
        <v>813</v>
      </c>
      <c r="C153">
        <v>327</v>
      </c>
      <c r="D153">
        <v>17.96</v>
      </c>
      <c r="E153" s="2">
        <v>46182</v>
      </c>
    </row>
    <row r="154" spans="1:5" x14ac:dyDescent="0.25">
      <c r="A154" s="1" t="s">
        <v>138</v>
      </c>
      <c r="B154" s="1" t="s">
        <v>814</v>
      </c>
      <c r="C154">
        <v>145</v>
      </c>
      <c r="D154">
        <v>133.78</v>
      </c>
      <c r="E154" s="2">
        <v>46094</v>
      </c>
    </row>
    <row r="155" spans="1:5" x14ac:dyDescent="0.25">
      <c r="A155" s="1" t="s">
        <v>139</v>
      </c>
      <c r="B155" s="1" t="s">
        <v>815</v>
      </c>
      <c r="C155">
        <v>48</v>
      </c>
      <c r="D155">
        <v>35.520000000000003</v>
      </c>
      <c r="E155" s="2">
        <v>46186</v>
      </c>
    </row>
    <row r="156" spans="1:5" x14ac:dyDescent="0.25">
      <c r="A156" s="1" t="s">
        <v>140</v>
      </c>
      <c r="B156" s="1" t="s">
        <v>816</v>
      </c>
      <c r="C156">
        <v>159</v>
      </c>
      <c r="D156">
        <v>11.36</v>
      </c>
      <c r="E156" s="2">
        <v>46162</v>
      </c>
    </row>
    <row r="157" spans="1:5" x14ac:dyDescent="0.25">
      <c r="A157" s="1" t="s">
        <v>141</v>
      </c>
      <c r="B157" s="1" t="s">
        <v>817</v>
      </c>
      <c r="C157">
        <v>46</v>
      </c>
      <c r="D157">
        <v>139.04</v>
      </c>
      <c r="E157" s="2">
        <v>46158</v>
      </c>
    </row>
    <row r="158" spans="1:5" x14ac:dyDescent="0.25">
      <c r="A158" s="1" t="s">
        <v>141</v>
      </c>
      <c r="B158" s="1" t="s">
        <v>818</v>
      </c>
      <c r="C158">
        <v>46</v>
      </c>
      <c r="D158">
        <v>139.04</v>
      </c>
      <c r="E158" s="2">
        <v>46163</v>
      </c>
    </row>
    <row r="159" spans="1:5" x14ac:dyDescent="0.25">
      <c r="A159" s="1" t="s">
        <v>819</v>
      </c>
      <c r="B159" s="1" t="s">
        <v>820</v>
      </c>
      <c r="C159">
        <v>288</v>
      </c>
      <c r="D159">
        <v>48.84</v>
      </c>
      <c r="E159" s="2">
        <v>46066</v>
      </c>
    </row>
    <row r="160" spans="1:5" x14ac:dyDescent="0.25">
      <c r="A160" s="1" t="s">
        <v>142</v>
      </c>
      <c r="B160" s="1" t="s">
        <v>821</v>
      </c>
      <c r="C160">
        <v>40</v>
      </c>
      <c r="D160">
        <v>37.35</v>
      </c>
      <c r="E160" s="2">
        <v>46065</v>
      </c>
    </row>
    <row r="161" spans="1:5" x14ac:dyDescent="0.25">
      <c r="A161" s="1" t="s">
        <v>143</v>
      </c>
      <c r="B161" s="1" t="s">
        <v>822</v>
      </c>
      <c r="C161">
        <v>249</v>
      </c>
      <c r="D161">
        <v>139.29</v>
      </c>
      <c r="E161" s="2">
        <v>46078</v>
      </c>
    </row>
    <row r="162" spans="1:5" x14ac:dyDescent="0.25">
      <c r="A162" s="1" t="s">
        <v>144</v>
      </c>
      <c r="B162" s="1" t="s">
        <v>823</v>
      </c>
      <c r="C162">
        <v>286</v>
      </c>
      <c r="D162">
        <v>101.29</v>
      </c>
      <c r="E162" s="2">
        <v>46167</v>
      </c>
    </row>
    <row r="163" spans="1:5" x14ac:dyDescent="0.25">
      <c r="A163" s="1" t="s">
        <v>824</v>
      </c>
      <c r="B163" s="1" t="s">
        <v>825</v>
      </c>
      <c r="C163">
        <v>319</v>
      </c>
      <c r="D163">
        <v>53.82</v>
      </c>
      <c r="E163" s="2">
        <v>46125</v>
      </c>
    </row>
    <row r="164" spans="1:5" x14ac:dyDescent="0.25">
      <c r="A164" s="1" t="s">
        <v>145</v>
      </c>
      <c r="B164" s="1" t="s">
        <v>826</v>
      </c>
      <c r="C164">
        <v>310</v>
      </c>
      <c r="D164">
        <v>190.4</v>
      </c>
      <c r="E164" s="2">
        <v>46186</v>
      </c>
    </row>
    <row r="165" spans="1:5" x14ac:dyDescent="0.25">
      <c r="A165" s="1" t="s">
        <v>146</v>
      </c>
      <c r="B165" s="1" t="s">
        <v>827</v>
      </c>
      <c r="C165">
        <v>400</v>
      </c>
      <c r="D165">
        <v>152.47</v>
      </c>
      <c r="E165" s="2">
        <v>46064</v>
      </c>
    </row>
    <row r="166" spans="1:5" x14ac:dyDescent="0.25">
      <c r="A166" s="1" t="s">
        <v>147</v>
      </c>
      <c r="B166" s="1" t="s">
        <v>828</v>
      </c>
      <c r="C166">
        <v>479</v>
      </c>
      <c r="D166">
        <v>59.24</v>
      </c>
      <c r="E166" s="2">
        <v>46158</v>
      </c>
    </row>
    <row r="167" spans="1:5" x14ac:dyDescent="0.25">
      <c r="A167" s="1" t="s">
        <v>148</v>
      </c>
      <c r="B167" s="1" t="s">
        <v>829</v>
      </c>
      <c r="C167">
        <v>56</v>
      </c>
      <c r="D167">
        <v>96.65</v>
      </c>
      <c r="E167" s="2">
        <v>46164</v>
      </c>
    </row>
    <row r="168" spans="1:5" x14ac:dyDescent="0.25">
      <c r="A168" s="1" t="s">
        <v>830</v>
      </c>
      <c r="B168" s="1" t="s">
        <v>831</v>
      </c>
      <c r="C168">
        <v>449</v>
      </c>
      <c r="D168">
        <v>36.36</v>
      </c>
      <c r="E168" s="2">
        <v>46074</v>
      </c>
    </row>
    <row r="169" spans="1:5" x14ac:dyDescent="0.25">
      <c r="A169" s="1" t="s">
        <v>149</v>
      </c>
      <c r="B169" s="1" t="s">
        <v>832</v>
      </c>
      <c r="C169">
        <v>426</v>
      </c>
      <c r="D169">
        <v>153.30000000000001</v>
      </c>
      <c r="E169" s="2">
        <v>46145</v>
      </c>
    </row>
    <row r="170" spans="1:5" x14ac:dyDescent="0.25">
      <c r="A170" s="1" t="s">
        <v>150</v>
      </c>
      <c r="B170" s="1" t="s">
        <v>833</v>
      </c>
      <c r="C170">
        <v>139</v>
      </c>
      <c r="D170">
        <v>68.040000000000006</v>
      </c>
      <c r="E170" s="2">
        <v>46125</v>
      </c>
    </row>
    <row r="171" spans="1:5" x14ac:dyDescent="0.25">
      <c r="A171" s="1" t="s">
        <v>151</v>
      </c>
      <c r="B171" s="1" t="s">
        <v>834</v>
      </c>
      <c r="C171">
        <v>346</v>
      </c>
      <c r="D171">
        <v>174.53</v>
      </c>
      <c r="E171" s="2">
        <v>46050</v>
      </c>
    </row>
    <row r="172" spans="1:5" x14ac:dyDescent="0.25">
      <c r="A172" s="1" t="s">
        <v>152</v>
      </c>
      <c r="B172" s="1" t="s">
        <v>835</v>
      </c>
      <c r="C172">
        <v>275</v>
      </c>
      <c r="D172">
        <v>75.55</v>
      </c>
      <c r="E172" s="2">
        <v>46100</v>
      </c>
    </row>
    <row r="173" spans="1:5" x14ac:dyDescent="0.25">
      <c r="A173" s="1" t="s">
        <v>153</v>
      </c>
      <c r="B173" s="1" t="s">
        <v>836</v>
      </c>
      <c r="C173">
        <v>399</v>
      </c>
      <c r="D173">
        <v>17.100000000000001</v>
      </c>
      <c r="E173" s="2">
        <v>46149</v>
      </c>
    </row>
    <row r="174" spans="1:5" x14ac:dyDescent="0.25">
      <c r="A174" s="1" t="s">
        <v>154</v>
      </c>
      <c r="B174" s="1" t="s">
        <v>837</v>
      </c>
      <c r="C174">
        <v>460</v>
      </c>
      <c r="D174">
        <v>141.16</v>
      </c>
      <c r="E174" s="2">
        <v>46141</v>
      </c>
    </row>
    <row r="175" spans="1:5" x14ac:dyDescent="0.25">
      <c r="A175" s="1" t="s">
        <v>155</v>
      </c>
      <c r="B175" s="1" t="s">
        <v>838</v>
      </c>
      <c r="C175">
        <v>373</v>
      </c>
      <c r="D175">
        <v>35.880000000000003</v>
      </c>
      <c r="E175" s="2">
        <v>46092</v>
      </c>
    </row>
    <row r="176" spans="1:5" x14ac:dyDescent="0.25">
      <c r="A176" s="1" t="s">
        <v>156</v>
      </c>
      <c r="B176" s="1" t="s">
        <v>839</v>
      </c>
      <c r="C176">
        <v>57</v>
      </c>
      <c r="D176">
        <v>48.82</v>
      </c>
      <c r="E176" s="2">
        <v>46150</v>
      </c>
    </row>
    <row r="177" spans="1:5" x14ac:dyDescent="0.25">
      <c r="A177" s="1" t="s">
        <v>157</v>
      </c>
      <c r="B177" s="1" t="s">
        <v>840</v>
      </c>
      <c r="C177">
        <v>265</v>
      </c>
      <c r="D177">
        <v>186.87</v>
      </c>
      <c r="E177" s="2">
        <v>46093</v>
      </c>
    </row>
    <row r="178" spans="1:5" x14ac:dyDescent="0.25">
      <c r="A178" s="1" t="s">
        <v>158</v>
      </c>
      <c r="B178" s="1" t="s">
        <v>841</v>
      </c>
      <c r="C178">
        <v>222</v>
      </c>
      <c r="D178">
        <v>167.77</v>
      </c>
      <c r="E178" s="2">
        <v>46114</v>
      </c>
    </row>
    <row r="179" spans="1:5" x14ac:dyDescent="0.25">
      <c r="A179" s="1" t="s">
        <v>159</v>
      </c>
      <c r="B179" s="1" t="s">
        <v>842</v>
      </c>
      <c r="C179">
        <v>84</v>
      </c>
      <c r="D179">
        <v>79.8</v>
      </c>
      <c r="E179" s="2">
        <v>46193</v>
      </c>
    </row>
    <row r="180" spans="1:5" x14ac:dyDescent="0.25">
      <c r="A180" s="1" t="s">
        <v>160</v>
      </c>
      <c r="B180" s="1" t="s">
        <v>843</v>
      </c>
      <c r="C180">
        <v>452</v>
      </c>
      <c r="D180">
        <v>20.76</v>
      </c>
      <c r="E180" s="2">
        <v>46082</v>
      </c>
    </row>
    <row r="181" spans="1:5" x14ac:dyDescent="0.25">
      <c r="A181" s="1" t="s">
        <v>160</v>
      </c>
      <c r="B181" s="1" t="s">
        <v>844</v>
      </c>
      <c r="C181">
        <v>452</v>
      </c>
      <c r="D181">
        <v>20.76</v>
      </c>
      <c r="E181" s="2">
        <v>46087</v>
      </c>
    </row>
    <row r="182" spans="1:5" x14ac:dyDescent="0.25">
      <c r="A182" s="1" t="s">
        <v>161</v>
      </c>
      <c r="B182" s="1" t="s">
        <v>845</v>
      </c>
      <c r="C182">
        <v>146</v>
      </c>
      <c r="D182">
        <v>165.01</v>
      </c>
      <c r="E182" s="2">
        <v>46171</v>
      </c>
    </row>
    <row r="183" spans="1:5" x14ac:dyDescent="0.25">
      <c r="A183" s="1" t="s">
        <v>162</v>
      </c>
      <c r="B183" s="1" t="s">
        <v>846</v>
      </c>
      <c r="C183">
        <v>347</v>
      </c>
      <c r="D183">
        <v>100.48</v>
      </c>
      <c r="E183" s="2">
        <v>46199</v>
      </c>
    </row>
    <row r="184" spans="1:5" x14ac:dyDescent="0.25">
      <c r="A184" s="1" t="s">
        <v>847</v>
      </c>
      <c r="B184" s="1" t="s">
        <v>848</v>
      </c>
      <c r="C184">
        <v>186</v>
      </c>
      <c r="D184">
        <v>69.83</v>
      </c>
      <c r="E184" s="2">
        <v>46168</v>
      </c>
    </row>
    <row r="185" spans="1:5" x14ac:dyDescent="0.25">
      <c r="A185" s="1" t="s">
        <v>849</v>
      </c>
      <c r="B185" s="1" t="s">
        <v>850</v>
      </c>
      <c r="C185">
        <v>455</v>
      </c>
      <c r="D185">
        <v>41.79</v>
      </c>
      <c r="E185" s="2">
        <v>46124</v>
      </c>
    </row>
    <row r="186" spans="1:5" x14ac:dyDescent="0.25">
      <c r="A186" s="1" t="s">
        <v>163</v>
      </c>
      <c r="B186" s="1" t="s">
        <v>851</v>
      </c>
      <c r="C186">
        <v>129</v>
      </c>
      <c r="D186">
        <v>205.3</v>
      </c>
      <c r="E186" s="2">
        <v>46130</v>
      </c>
    </row>
    <row r="187" spans="1:5" x14ac:dyDescent="0.25">
      <c r="A187" s="1" t="s">
        <v>163</v>
      </c>
      <c r="B187" s="1" t="s">
        <v>852</v>
      </c>
      <c r="C187">
        <v>129</v>
      </c>
      <c r="D187">
        <v>205.3</v>
      </c>
      <c r="E187" s="2">
        <v>46131</v>
      </c>
    </row>
    <row r="188" spans="1:5" x14ac:dyDescent="0.25">
      <c r="A188" s="1" t="s">
        <v>164</v>
      </c>
      <c r="B188" s="1" t="s">
        <v>853</v>
      </c>
      <c r="C188">
        <v>371</v>
      </c>
      <c r="D188">
        <v>183.12</v>
      </c>
      <c r="E188" s="2">
        <v>46163</v>
      </c>
    </row>
    <row r="189" spans="1:5" x14ac:dyDescent="0.25">
      <c r="A189" s="1" t="s">
        <v>165</v>
      </c>
      <c r="B189" s="1" t="s">
        <v>854</v>
      </c>
      <c r="C189">
        <v>263</v>
      </c>
      <c r="D189">
        <v>193.14</v>
      </c>
      <c r="E189" s="2">
        <v>46088</v>
      </c>
    </row>
    <row r="190" spans="1:5" x14ac:dyDescent="0.25">
      <c r="A190" s="1" t="s">
        <v>166</v>
      </c>
      <c r="B190" s="1" t="s">
        <v>855</v>
      </c>
      <c r="C190">
        <v>455</v>
      </c>
      <c r="D190">
        <v>24.57</v>
      </c>
      <c r="E190" s="2">
        <v>46117</v>
      </c>
    </row>
    <row r="191" spans="1:5" x14ac:dyDescent="0.25">
      <c r="A191" s="1" t="s">
        <v>167</v>
      </c>
      <c r="B191" s="1" t="s">
        <v>856</v>
      </c>
      <c r="C191">
        <v>17</v>
      </c>
      <c r="D191">
        <v>145.88</v>
      </c>
      <c r="E191" s="2">
        <v>46158</v>
      </c>
    </row>
    <row r="192" spans="1:5" x14ac:dyDescent="0.25">
      <c r="A192" s="1" t="s">
        <v>168</v>
      </c>
      <c r="B192" s="1" t="s">
        <v>857</v>
      </c>
      <c r="C192">
        <v>410</v>
      </c>
      <c r="D192">
        <v>193.99</v>
      </c>
      <c r="E192" s="2">
        <v>46169</v>
      </c>
    </row>
    <row r="193" spans="1:5" x14ac:dyDescent="0.25">
      <c r="A193" s="1" t="s">
        <v>169</v>
      </c>
      <c r="B193" s="1" t="s">
        <v>858</v>
      </c>
      <c r="C193">
        <v>446</v>
      </c>
      <c r="D193">
        <v>69.069999999999993</v>
      </c>
      <c r="E193" s="2">
        <v>46061</v>
      </c>
    </row>
    <row r="194" spans="1:5" x14ac:dyDescent="0.25">
      <c r="A194" s="1" t="s">
        <v>170</v>
      </c>
      <c r="B194" s="1" t="s">
        <v>859</v>
      </c>
      <c r="C194">
        <v>456</v>
      </c>
      <c r="D194">
        <v>110.5</v>
      </c>
      <c r="E194" s="2">
        <v>46156</v>
      </c>
    </row>
    <row r="195" spans="1:5" x14ac:dyDescent="0.25">
      <c r="A195" s="1" t="s">
        <v>171</v>
      </c>
      <c r="B195" s="1" t="s">
        <v>860</v>
      </c>
      <c r="C195">
        <v>126</v>
      </c>
      <c r="D195">
        <v>150.62</v>
      </c>
      <c r="E195" s="2">
        <v>46108</v>
      </c>
    </row>
    <row r="196" spans="1:5" x14ac:dyDescent="0.25">
      <c r="A196" s="1" t="s">
        <v>172</v>
      </c>
      <c r="B196" s="1" t="s">
        <v>861</v>
      </c>
      <c r="C196">
        <v>237</v>
      </c>
      <c r="D196">
        <v>42.42</v>
      </c>
      <c r="E196" s="2">
        <v>46063</v>
      </c>
    </row>
    <row r="197" spans="1:5" x14ac:dyDescent="0.25">
      <c r="A197" s="1" t="s">
        <v>173</v>
      </c>
      <c r="B197" s="1" t="s">
        <v>862</v>
      </c>
      <c r="C197">
        <v>417</v>
      </c>
      <c r="D197">
        <v>15.94</v>
      </c>
      <c r="E197" s="2">
        <v>46131</v>
      </c>
    </row>
    <row r="198" spans="1:5" x14ac:dyDescent="0.25">
      <c r="A198" s="1" t="s">
        <v>174</v>
      </c>
      <c r="B198" s="1" t="s">
        <v>863</v>
      </c>
      <c r="C198">
        <v>135</v>
      </c>
      <c r="D198">
        <v>108.58</v>
      </c>
      <c r="E198" s="2">
        <v>46080</v>
      </c>
    </row>
    <row r="199" spans="1:5" x14ac:dyDescent="0.25">
      <c r="A199" s="1" t="s">
        <v>175</v>
      </c>
      <c r="B199" s="1" t="s">
        <v>864</v>
      </c>
      <c r="C199">
        <v>50</v>
      </c>
      <c r="D199">
        <v>141.85</v>
      </c>
      <c r="E199" s="2">
        <v>46083</v>
      </c>
    </row>
    <row r="200" spans="1:5" x14ac:dyDescent="0.25">
      <c r="A200" s="1" t="s">
        <v>865</v>
      </c>
      <c r="B200" s="1" t="s">
        <v>866</v>
      </c>
      <c r="C200">
        <v>83</v>
      </c>
      <c r="D200">
        <v>50.28</v>
      </c>
      <c r="E200" s="2">
        <v>46194</v>
      </c>
    </row>
    <row r="201" spans="1:5" x14ac:dyDescent="0.25">
      <c r="A201" s="1" t="s">
        <v>176</v>
      </c>
      <c r="B201" s="1" t="s">
        <v>867</v>
      </c>
      <c r="C201">
        <v>351</v>
      </c>
      <c r="D201">
        <v>6.83</v>
      </c>
      <c r="E201" s="2">
        <v>46111</v>
      </c>
    </row>
    <row r="202" spans="1:5" x14ac:dyDescent="0.25">
      <c r="A202" s="1" t="s">
        <v>177</v>
      </c>
      <c r="B202" s="1" t="s">
        <v>868</v>
      </c>
      <c r="C202">
        <v>90</v>
      </c>
      <c r="D202">
        <v>19.399999999999999</v>
      </c>
      <c r="E202" s="2">
        <v>46185</v>
      </c>
    </row>
    <row r="203" spans="1:5" x14ac:dyDescent="0.25">
      <c r="A203" s="1" t="s">
        <v>178</v>
      </c>
      <c r="B203" s="1" t="s">
        <v>869</v>
      </c>
      <c r="C203">
        <v>363</v>
      </c>
      <c r="D203">
        <v>60.21</v>
      </c>
      <c r="E203" s="2">
        <v>46152</v>
      </c>
    </row>
    <row r="204" spans="1:5" x14ac:dyDescent="0.25">
      <c r="A204" s="1" t="s">
        <v>179</v>
      </c>
      <c r="B204" s="1" t="s">
        <v>870</v>
      </c>
      <c r="C204">
        <v>64</v>
      </c>
      <c r="D204">
        <v>51.26</v>
      </c>
      <c r="E204" s="2">
        <v>46163</v>
      </c>
    </row>
    <row r="205" spans="1:5" x14ac:dyDescent="0.25">
      <c r="A205" s="1" t="s">
        <v>180</v>
      </c>
      <c r="B205" s="1" t="s">
        <v>871</v>
      </c>
      <c r="C205">
        <v>368</v>
      </c>
      <c r="D205">
        <v>62.57</v>
      </c>
      <c r="E205" s="2">
        <v>46120</v>
      </c>
    </row>
    <row r="206" spans="1:5" x14ac:dyDescent="0.25">
      <c r="A206" s="1" t="s">
        <v>181</v>
      </c>
      <c r="B206" s="1" t="s">
        <v>872</v>
      </c>
      <c r="C206">
        <v>299</v>
      </c>
      <c r="D206">
        <v>173.69</v>
      </c>
      <c r="E206" s="2">
        <v>46038</v>
      </c>
    </row>
    <row r="207" spans="1:5" x14ac:dyDescent="0.25">
      <c r="A207" s="1" t="s">
        <v>182</v>
      </c>
      <c r="B207" s="1" t="s">
        <v>873</v>
      </c>
      <c r="C207">
        <v>436</v>
      </c>
      <c r="D207">
        <v>181.31</v>
      </c>
      <c r="E207" s="2">
        <v>46166</v>
      </c>
    </row>
    <row r="208" spans="1:5" x14ac:dyDescent="0.25">
      <c r="A208" s="1" t="s">
        <v>183</v>
      </c>
      <c r="B208" s="1" t="s">
        <v>874</v>
      </c>
      <c r="C208">
        <v>122</v>
      </c>
      <c r="D208">
        <v>129.13999999999999</v>
      </c>
      <c r="E208" s="2">
        <v>46127</v>
      </c>
    </row>
    <row r="209" spans="1:5" x14ac:dyDescent="0.25">
      <c r="A209" s="1" t="s">
        <v>875</v>
      </c>
      <c r="B209" s="1" t="s">
        <v>876</v>
      </c>
      <c r="C209">
        <v>331</v>
      </c>
      <c r="D209">
        <v>23.95</v>
      </c>
      <c r="E209" s="2">
        <v>46066</v>
      </c>
    </row>
    <row r="210" spans="1:5" x14ac:dyDescent="0.25">
      <c r="A210" s="1" t="s">
        <v>184</v>
      </c>
      <c r="B210" s="1" t="s">
        <v>877</v>
      </c>
      <c r="C210">
        <v>27</v>
      </c>
      <c r="D210">
        <v>118.02</v>
      </c>
      <c r="E210" s="2">
        <v>46146</v>
      </c>
    </row>
    <row r="211" spans="1:5" x14ac:dyDescent="0.25">
      <c r="A211" s="1" t="s">
        <v>185</v>
      </c>
      <c r="B211" s="1" t="s">
        <v>878</v>
      </c>
      <c r="C211">
        <v>177</v>
      </c>
      <c r="D211">
        <v>150.76</v>
      </c>
      <c r="E211" s="2">
        <v>46114</v>
      </c>
    </row>
    <row r="212" spans="1:5" x14ac:dyDescent="0.25">
      <c r="A212" s="1" t="s">
        <v>186</v>
      </c>
      <c r="B212" s="1" t="s">
        <v>879</v>
      </c>
      <c r="C212">
        <v>458</v>
      </c>
      <c r="D212">
        <v>194.44</v>
      </c>
      <c r="E212" s="2">
        <v>46191</v>
      </c>
    </row>
    <row r="213" spans="1:5" x14ac:dyDescent="0.25">
      <c r="A213" s="1" t="s">
        <v>187</v>
      </c>
      <c r="B213" s="1" t="s">
        <v>880</v>
      </c>
      <c r="C213">
        <v>141</v>
      </c>
      <c r="D213">
        <v>183.24</v>
      </c>
      <c r="E213" s="2">
        <v>46085</v>
      </c>
    </row>
    <row r="214" spans="1:5" x14ac:dyDescent="0.25">
      <c r="A214" s="1" t="s">
        <v>188</v>
      </c>
      <c r="B214" s="1" t="s">
        <v>881</v>
      </c>
      <c r="C214">
        <v>421</v>
      </c>
      <c r="D214">
        <v>27.46</v>
      </c>
      <c r="E214" s="2">
        <v>46126</v>
      </c>
    </row>
    <row r="215" spans="1:5" x14ac:dyDescent="0.25">
      <c r="A215" s="1" t="s">
        <v>189</v>
      </c>
      <c r="B215" s="1" t="s">
        <v>882</v>
      </c>
      <c r="C215">
        <v>443</v>
      </c>
      <c r="D215">
        <v>161.88999999999999</v>
      </c>
      <c r="E215" s="2">
        <v>46137</v>
      </c>
    </row>
    <row r="216" spans="1:5" x14ac:dyDescent="0.25">
      <c r="A216" s="1" t="s">
        <v>190</v>
      </c>
      <c r="B216" s="1" t="s">
        <v>883</v>
      </c>
      <c r="C216">
        <v>145</v>
      </c>
      <c r="D216">
        <v>109.63</v>
      </c>
      <c r="E216" s="2">
        <v>46052</v>
      </c>
    </row>
    <row r="217" spans="1:5" x14ac:dyDescent="0.25">
      <c r="A217" s="1" t="s">
        <v>191</v>
      </c>
      <c r="B217" s="1" t="s">
        <v>884</v>
      </c>
      <c r="C217">
        <v>309</v>
      </c>
      <c r="D217">
        <v>79.3</v>
      </c>
      <c r="E217" s="2">
        <v>46109</v>
      </c>
    </row>
    <row r="218" spans="1:5" x14ac:dyDescent="0.25">
      <c r="A218" s="1" t="s">
        <v>192</v>
      </c>
      <c r="B218" s="1" t="s">
        <v>885</v>
      </c>
      <c r="C218">
        <v>251</v>
      </c>
      <c r="D218">
        <v>11.08</v>
      </c>
      <c r="E218" s="2">
        <v>46098</v>
      </c>
    </row>
    <row r="219" spans="1:5" x14ac:dyDescent="0.25">
      <c r="A219" s="1" t="s">
        <v>193</v>
      </c>
      <c r="B219" s="1" t="s">
        <v>886</v>
      </c>
      <c r="C219">
        <v>341</v>
      </c>
      <c r="D219">
        <v>17.329999999999998</v>
      </c>
      <c r="E219" s="2">
        <v>46101</v>
      </c>
    </row>
    <row r="220" spans="1:5" x14ac:dyDescent="0.25">
      <c r="A220" s="1" t="s">
        <v>194</v>
      </c>
      <c r="B220" s="1" t="s">
        <v>887</v>
      </c>
      <c r="C220">
        <v>69</v>
      </c>
      <c r="D220">
        <v>32.26</v>
      </c>
      <c r="E220" s="2">
        <v>46143</v>
      </c>
    </row>
    <row r="221" spans="1:5" x14ac:dyDescent="0.25">
      <c r="A221" s="1" t="s">
        <v>195</v>
      </c>
      <c r="B221" s="1" t="s">
        <v>888</v>
      </c>
      <c r="C221">
        <v>59</v>
      </c>
      <c r="D221">
        <v>50.79</v>
      </c>
      <c r="E221" s="2">
        <v>46069</v>
      </c>
    </row>
    <row r="222" spans="1:5" x14ac:dyDescent="0.25">
      <c r="A222" s="1" t="s">
        <v>196</v>
      </c>
      <c r="B222" s="1" t="s">
        <v>889</v>
      </c>
      <c r="C222">
        <v>199</v>
      </c>
      <c r="D222">
        <v>135.74</v>
      </c>
      <c r="E222" s="2">
        <v>46164</v>
      </c>
    </row>
    <row r="223" spans="1:5" x14ac:dyDescent="0.25">
      <c r="A223" s="1" t="s">
        <v>197</v>
      </c>
      <c r="B223" s="1" t="s">
        <v>890</v>
      </c>
      <c r="C223">
        <v>463</v>
      </c>
      <c r="D223">
        <v>85.9</v>
      </c>
      <c r="E223" s="2">
        <v>46085</v>
      </c>
    </row>
    <row r="224" spans="1:5" x14ac:dyDescent="0.25">
      <c r="A224" s="1" t="s">
        <v>198</v>
      </c>
      <c r="B224" s="1" t="s">
        <v>891</v>
      </c>
      <c r="C224">
        <v>490</v>
      </c>
      <c r="D224">
        <v>190.55</v>
      </c>
      <c r="E224" s="2">
        <v>46144</v>
      </c>
    </row>
    <row r="225" spans="1:5" x14ac:dyDescent="0.25">
      <c r="A225" s="1" t="s">
        <v>892</v>
      </c>
      <c r="B225" s="1" t="s">
        <v>893</v>
      </c>
      <c r="C225">
        <v>237</v>
      </c>
      <c r="D225">
        <v>190.36</v>
      </c>
      <c r="E225" s="2">
        <v>46148</v>
      </c>
    </row>
    <row r="226" spans="1:5" x14ac:dyDescent="0.25">
      <c r="A226" s="1" t="s">
        <v>199</v>
      </c>
      <c r="B226" s="1" t="s">
        <v>894</v>
      </c>
      <c r="C226">
        <v>288</v>
      </c>
      <c r="D226">
        <v>180.83</v>
      </c>
      <c r="E226" s="2">
        <v>46134</v>
      </c>
    </row>
    <row r="227" spans="1:5" x14ac:dyDescent="0.25">
      <c r="A227" s="1" t="s">
        <v>200</v>
      </c>
      <c r="B227" s="1" t="s">
        <v>895</v>
      </c>
      <c r="C227">
        <v>151</v>
      </c>
      <c r="D227">
        <v>42.01</v>
      </c>
      <c r="E227" s="2">
        <v>46149</v>
      </c>
    </row>
    <row r="228" spans="1:5" x14ac:dyDescent="0.25">
      <c r="A228" s="1" t="s">
        <v>201</v>
      </c>
      <c r="B228" s="1" t="s">
        <v>896</v>
      </c>
      <c r="C228">
        <v>338</v>
      </c>
      <c r="D228">
        <v>129.69999999999999</v>
      </c>
      <c r="E228" s="2">
        <v>46088</v>
      </c>
    </row>
    <row r="229" spans="1:5" x14ac:dyDescent="0.25">
      <c r="A229" s="1" t="s">
        <v>202</v>
      </c>
      <c r="B229" s="1" t="s">
        <v>897</v>
      </c>
      <c r="C229">
        <v>74</v>
      </c>
      <c r="D229">
        <v>158.46</v>
      </c>
      <c r="E229" s="2">
        <v>46100</v>
      </c>
    </row>
    <row r="230" spans="1:5" x14ac:dyDescent="0.25">
      <c r="A230" s="1" t="s">
        <v>203</v>
      </c>
      <c r="B230" s="1" t="s">
        <v>898</v>
      </c>
      <c r="C230">
        <v>310</v>
      </c>
      <c r="D230">
        <v>52.95</v>
      </c>
      <c r="E230" s="2">
        <v>46101</v>
      </c>
    </row>
    <row r="231" spans="1:5" x14ac:dyDescent="0.25">
      <c r="A231" s="1" t="s">
        <v>204</v>
      </c>
      <c r="B231" s="1" t="s">
        <v>899</v>
      </c>
      <c r="C231">
        <v>151</v>
      </c>
      <c r="D231">
        <v>172.39</v>
      </c>
      <c r="E231" s="2">
        <v>46039</v>
      </c>
    </row>
    <row r="232" spans="1:5" x14ac:dyDescent="0.25">
      <c r="A232" s="1" t="s">
        <v>900</v>
      </c>
      <c r="B232" s="1" t="s">
        <v>901</v>
      </c>
      <c r="C232">
        <v>418</v>
      </c>
      <c r="D232">
        <v>39.03</v>
      </c>
      <c r="E232" s="2">
        <v>46101</v>
      </c>
    </row>
    <row r="233" spans="1:5" x14ac:dyDescent="0.25">
      <c r="A233" s="1" t="s">
        <v>205</v>
      </c>
      <c r="B233" s="1" t="s">
        <v>902</v>
      </c>
      <c r="C233">
        <v>193</v>
      </c>
      <c r="D233">
        <v>159.05000000000001</v>
      </c>
      <c r="E233" s="2">
        <v>46051</v>
      </c>
    </row>
    <row r="234" spans="1:5" x14ac:dyDescent="0.25">
      <c r="A234" s="1" t="s">
        <v>206</v>
      </c>
      <c r="B234" s="1" t="s">
        <v>903</v>
      </c>
      <c r="C234">
        <v>145</v>
      </c>
      <c r="D234">
        <v>15.22</v>
      </c>
      <c r="E234" s="2">
        <v>46088</v>
      </c>
    </row>
    <row r="235" spans="1:5" x14ac:dyDescent="0.25">
      <c r="A235" s="1" t="s">
        <v>207</v>
      </c>
      <c r="B235" s="1" t="s">
        <v>904</v>
      </c>
      <c r="C235">
        <v>391</v>
      </c>
      <c r="D235">
        <v>17.39</v>
      </c>
      <c r="E235" s="2">
        <v>46070</v>
      </c>
    </row>
    <row r="236" spans="1:5" x14ac:dyDescent="0.25">
      <c r="A236" s="1" t="s">
        <v>208</v>
      </c>
      <c r="B236" s="1" t="s">
        <v>905</v>
      </c>
      <c r="C236">
        <v>241</v>
      </c>
      <c r="D236">
        <v>103.25</v>
      </c>
      <c r="E236" s="2">
        <v>46060</v>
      </c>
    </row>
    <row r="237" spans="1:5" x14ac:dyDescent="0.25">
      <c r="A237" s="1" t="s">
        <v>209</v>
      </c>
      <c r="B237" s="1" t="s">
        <v>906</v>
      </c>
      <c r="C237">
        <v>164</v>
      </c>
      <c r="D237">
        <v>94.32</v>
      </c>
      <c r="E237" s="2">
        <v>46167</v>
      </c>
    </row>
    <row r="238" spans="1:5" x14ac:dyDescent="0.25">
      <c r="A238" s="1" t="s">
        <v>210</v>
      </c>
      <c r="B238" s="1" t="s">
        <v>907</v>
      </c>
      <c r="C238">
        <v>228</v>
      </c>
      <c r="D238">
        <v>138.79</v>
      </c>
      <c r="E238" s="2">
        <v>46153</v>
      </c>
    </row>
    <row r="239" spans="1:5" x14ac:dyDescent="0.25">
      <c r="A239" s="1" t="s">
        <v>211</v>
      </c>
      <c r="B239" s="1" t="s">
        <v>908</v>
      </c>
      <c r="C239">
        <v>174</v>
      </c>
      <c r="D239">
        <v>123.62</v>
      </c>
      <c r="E239" s="2">
        <v>46060</v>
      </c>
    </row>
    <row r="240" spans="1:5" x14ac:dyDescent="0.25">
      <c r="A240" s="1" t="s">
        <v>211</v>
      </c>
      <c r="B240" s="1" t="s">
        <v>909</v>
      </c>
      <c r="C240">
        <v>174</v>
      </c>
      <c r="D240">
        <v>123.62</v>
      </c>
      <c r="E240" s="2">
        <v>46064</v>
      </c>
    </row>
    <row r="241" spans="1:5" x14ac:dyDescent="0.25">
      <c r="A241" s="1" t="s">
        <v>212</v>
      </c>
      <c r="B241" s="1" t="s">
        <v>910</v>
      </c>
      <c r="C241">
        <v>290</v>
      </c>
      <c r="D241">
        <v>143.87</v>
      </c>
      <c r="E241" s="2">
        <v>46194</v>
      </c>
    </row>
    <row r="242" spans="1:5" x14ac:dyDescent="0.25">
      <c r="A242" s="1" t="s">
        <v>213</v>
      </c>
      <c r="B242" s="1" t="s">
        <v>911</v>
      </c>
      <c r="C242">
        <v>268</v>
      </c>
      <c r="D242">
        <v>123.06</v>
      </c>
      <c r="E242" s="2">
        <v>46154</v>
      </c>
    </row>
    <row r="243" spans="1:5" x14ac:dyDescent="0.25">
      <c r="A243" s="1" t="s">
        <v>214</v>
      </c>
      <c r="B243" s="1" t="s">
        <v>912</v>
      </c>
      <c r="C243">
        <v>379</v>
      </c>
      <c r="D243">
        <v>173.77</v>
      </c>
      <c r="E243" s="2">
        <v>46191</v>
      </c>
    </row>
    <row r="244" spans="1:5" x14ac:dyDescent="0.25">
      <c r="A244" s="1" t="s">
        <v>215</v>
      </c>
      <c r="B244" s="1" t="s">
        <v>913</v>
      </c>
      <c r="C244">
        <v>183</v>
      </c>
      <c r="D244">
        <v>166.35</v>
      </c>
      <c r="E244" s="2">
        <v>46147</v>
      </c>
    </row>
    <row r="245" spans="1:5" x14ac:dyDescent="0.25">
      <c r="A245" s="1" t="s">
        <v>216</v>
      </c>
      <c r="B245" s="1" t="s">
        <v>914</v>
      </c>
      <c r="C245">
        <v>170</v>
      </c>
      <c r="D245">
        <v>88.22</v>
      </c>
      <c r="E245" s="2">
        <v>46065</v>
      </c>
    </row>
    <row r="246" spans="1:5" x14ac:dyDescent="0.25">
      <c r="A246" s="1" t="s">
        <v>217</v>
      </c>
      <c r="B246" s="1" t="s">
        <v>915</v>
      </c>
      <c r="C246">
        <v>361</v>
      </c>
      <c r="D246">
        <v>184.98</v>
      </c>
      <c r="E246" s="2">
        <v>46075</v>
      </c>
    </row>
    <row r="247" spans="1:5" x14ac:dyDescent="0.25">
      <c r="A247" s="1" t="s">
        <v>217</v>
      </c>
      <c r="B247" s="1" t="s">
        <v>916</v>
      </c>
      <c r="C247">
        <v>361</v>
      </c>
      <c r="D247">
        <v>184.98</v>
      </c>
      <c r="E247" s="2">
        <v>46077</v>
      </c>
    </row>
    <row r="248" spans="1:5" x14ac:dyDescent="0.25">
      <c r="A248" s="1" t="s">
        <v>218</v>
      </c>
      <c r="B248" s="1" t="s">
        <v>917</v>
      </c>
      <c r="C248">
        <v>231</v>
      </c>
      <c r="D248">
        <v>23.83</v>
      </c>
      <c r="E248" s="2">
        <v>46072</v>
      </c>
    </row>
    <row r="249" spans="1:5" x14ac:dyDescent="0.25">
      <c r="A249" s="1" t="s">
        <v>219</v>
      </c>
      <c r="B249" s="1" t="s">
        <v>918</v>
      </c>
      <c r="C249">
        <v>40</v>
      </c>
      <c r="D249">
        <v>119.36</v>
      </c>
      <c r="E249" s="2">
        <v>46184</v>
      </c>
    </row>
    <row r="250" spans="1:5" x14ac:dyDescent="0.25">
      <c r="A250" s="1" t="s">
        <v>220</v>
      </c>
      <c r="B250" s="1" t="s">
        <v>919</v>
      </c>
      <c r="C250">
        <v>220</v>
      </c>
      <c r="D250">
        <v>73.95</v>
      </c>
      <c r="E250" s="2">
        <v>46074</v>
      </c>
    </row>
    <row r="251" spans="1:5" x14ac:dyDescent="0.25">
      <c r="A251" s="1" t="s">
        <v>221</v>
      </c>
      <c r="B251" s="1" t="s">
        <v>920</v>
      </c>
      <c r="C251">
        <v>157</v>
      </c>
      <c r="D251">
        <v>122.08</v>
      </c>
      <c r="E251" s="2">
        <v>46050</v>
      </c>
    </row>
    <row r="252" spans="1:5" x14ac:dyDescent="0.25">
      <c r="A252" s="1" t="s">
        <v>222</v>
      </c>
      <c r="B252" s="1" t="s">
        <v>921</v>
      </c>
      <c r="C252">
        <v>118</v>
      </c>
      <c r="D252">
        <v>35.17</v>
      </c>
      <c r="E252" s="2">
        <v>46166</v>
      </c>
    </row>
    <row r="253" spans="1:5" x14ac:dyDescent="0.25">
      <c r="A253" s="1" t="s">
        <v>222</v>
      </c>
      <c r="B253" s="1" t="s">
        <v>922</v>
      </c>
      <c r="C253">
        <v>118</v>
      </c>
      <c r="D253">
        <v>35.17</v>
      </c>
      <c r="E253" s="2">
        <v>46170</v>
      </c>
    </row>
    <row r="254" spans="1:5" x14ac:dyDescent="0.25">
      <c r="A254" s="1" t="s">
        <v>223</v>
      </c>
      <c r="B254" s="1" t="s">
        <v>923</v>
      </c>
      <c r="C254">
        <v>442</v>
      </c>
      <c r="D254">
        <v>113.47</v>
      </c>
      <c r="E254" s="2">
        <v>46135</v>
      </c>
    </row>
    <row r="255" spans="1:5" x14ac:dyDescent="0.25">
      <c r="A255" s="1" t="s">
        <v>224</v>
      </c>
      <c r="B255" s="1" t="s">
        <v>924</v>
      </c>
      <c r="C255">
        <v>423</v>
      </c>
      <c r="D255">
        <v>88.68</v>
      </c>
      <c r="E255" s="2">
        <v>46090</v>
      </c>
    </row>
    <row r="256" spans="1:5" x14ac:dyDescent="0.25">
      <c r="A256" s="1" t="s">
        <v>225</v>
      </c>
      <c r="B256" s="1" t="s">
        <v>925</v>
      </c>
      <c r="C256">
        <v>24</v>
      </c>
      <c r="D256">
        <v>40.18</v>
      </c>
      <c r="E256" s="2">
        <v>46111</v>
      </c>
    </row>
    <row r="257" spans="1:5" x14ac:dyDescent="0.25">
      <c r="A257" s="1" t="s">
        <v>926</v>
      </c>
      <c r="B257" s="1" t="s">
        <v>927</v>
      </c>
      <c r="C257">
        <v>13</v>
      </c>
      <c r="D257">
        <v>40.369999999999997</v>
      </c>
      <c r="E257" s="2">
        <v>46138</v>
      </c>
    </row>
    <row r="258" spans="1:5" x14ac:dyDescent="0.25">
      <c r="A258" s="1" t="s">
        <v>226</v>
      </c>
      <c r="B258" s="1" t="s">
        <v>928</v>
      </c>
      <c r="C258">
        <v>389</v>
      </c>
      <c r="D258">
        <v>128.47</v>
      </c>
      <c r="E258" s="2">
        <v>46076</v>
      </c>
    </row>
    <row r="259" spans="1:5" x14ac:dyDescent="0.25">
      <c r="A259" s="1" t="s">
        <v>227</v>
      </c>
      <c r="B259" s="1" t="s">
        <v>929</v>
      </c>
      <c r="C259">
        <v>120</v>
      </c>
      <c r="D259">
        <v>78.36</v>
      </c>
      <c r="E259" s="2">
        <v>46181</v>
      </c>
    </row>
    <row r="260" spans="1:5" x14ac:dyDescent="0.25">
      <c r="A260" s="1" t="s">
        <v>228</v>
      </c>
      <c r="B260" s="1" t="s">
        <v>930</v>
      </c>
      <c r="C260">
        <v>169</v>
      </c>
      <c r="D260">
        <v>154.32</v>
      </c>
      <c r="E260" s="2">
        <v>46125</v>
      </c>
    </row>
    <row r="261" spans="1:5" x14ac:dyDescent="0.25">
      <c r="A261" s="1" t="s">
        <v>229</v>
      </c>
      <c r="B261" s="1" t="s">
        <v>931</v>
      </c>
      <c r="C261">
        <v>90</v>
      </c>
      <c r="D261">
        <v>152.11000000000001</v>
      </c>
      <c r="E261" s="2">
        <v>46071</v>
      </c>
    </row>
    <row r="262" spans="1:5" x14ac:dyDescent="0.25">
      <c r="A262" s="1" t="s">
        <v>230</v>
      </c>
      <c r="B262" s="1" t="s">
        <v>932</v>
      </c>
      <c r="C262">
        <v>348</v>
      </c>
      <c r="D262">
        <v>102.62</v>
      </c>
      <c r="E262" s="2">
        <v>46156</v>
      </c>
    </row>
    <row r="263" spans="1:5" x14ac:dyDescent="0.25">
      <c r="A263" s="1" t="s">
        <v>231</v>
      </c>
      <c r="B263" s="1" t="s">
        <v>933</v>
      </c>
      <c r="C263">
        <v>120</v>
      </c>
      <c r="D263">
        <v>152.21</v>
      </c>
      <c r="E263" s="2">
        <v>46110</v>
      </c>
    </row>
    <row r="264" spans="1:5" x14ac:dyDescent="0.25">
      <c r="A264" s="1" t="s">
        <v>232</v>
      </c>
      <c r="B264" s="1" t="s">
        <v>934</v>
      </c>
      <c r="C264">
        <v>155</v>
      </c>
      <c r="D264">
        <v>145.19</v>
      </c>
      <c r="E264" s="2">
        <v>46078</v>
      </c>
    </row>
    <row r="265" spans="1:5" x14ac:dyDescent="0.25">
      <c r="A265" s="1" t="s">
        <v>233</v>
      </c>
      <c r="B265" s="1" t="s">
        <v>935</v>
      </c>
      <c r="C265">
        <v>33</v>
      </c>
      <c r="D265">
        <v>48</v>
      </c>
      <c r="E265" s="2">
        <v>46114</v>
      </c>
    </row>
    <row r="266" spans="1:5" x14ac:dyDescent="0.25">
      <c r="A266" s="1" t="s">
        <v>234</v>
      </c>
      <c r="B266" s="1" t="s">
        <v>936</v>
      </c>
      <c r="C266">
        <v>164</v>
      </c>
      <c r="D266">
        <v>189.34</v>
      </c>
      <c r="E266" s="2">
        <v>46094</v>
      </c>
    </row>
    <row r="267" spans="1:5" x14ac:dyDescent="0.25">
      <c r="A267" s="1" t="s">
        <v>234</v>
      </c>
      <c r="B267" s="1" t="s">
        <v>937</v>
      </c>
      <c r="C267">
        <v>164</v>
      </c>
      <c r="D267">
        <v>189.34</v>
      </c>
      <c r="E267" s="2">
        <v>46098</v>
      </c>
    </row>
    <row r="268" spans="1:5" x14ac:dyDescent="0.25">
      <c r="A268" s="1" t="s">
        <v>235</v>
      </c>
      <c r="B268" s="1" t="s">
        <v>938</v>
      </c>
      <c r="C268">
        <v>177</v>
      </c>
      <c r="D268">
        <v>28.4</v>
      </c>
      <c r="E268" s="2">
        <v>46122</v>
      </c>
    </row>
    <row r="269" spans="1:5" x14ac:dyDescent="0.25">
      <c r="A269" s="1" t="s">
        <v>236</v>
      </c>
      <c r="B269" s="1" t="s">
        <v>939</v>
      </c>
      <c r="C269">
        <v>204</v>
      </c>
      <c r="D269">
        <v>108.85</v>
      </c>
      <c r="E269" s="2">
        <v>46083</v>
      </c>
    </row>
    <row r="270" spans="1:5" x14ac:dyDescent="0.25">
      <c r="A270" s="1" t="s">
        <v>237</v>
      </c>
      <c r="B270" s="1" t="s">
        <v>940</v>
      </c>
      <c r="C270">
        <v>46</v>
      </c>
      <c r="D270">
        <v>82.43</v>
      </c>
      <c r="E270" s="2">
        <v>46120</v>
      </c>
    </row>
    <row r="271" spans="1:5" x14ac:dyDescent="0.25">
      <c r="A271" s="1" t="s">
        <v>238</v>
      </c>
      <c r="B271" s="1" t="s">
        <v>941</v>
      </c>
      <c r="C271">
        <v>245</v>
      </c>
      <c r="D271">
        <v>184.63</v>
      </c>
      <c r="E271" s="2">
        <v>46049</v>
      </c>
    </row>
    <row r="272" spans="1:5" x14ac:dyDescent="0.25">
      <c r="A272" s="1" t="s">
        <v>239</v>
      </c>
      <c r="B272" s="1" t="s">
        <v>942</v>
      </c>
      <c r="C272">
        <v>373</v>
      </c>
      <c r="D272">
        <v>150.21</v>
      </c>
      <c r="E272" s="2">
        <v>46144</v>
      </c>
    </row>
    <row r="273" spans="1:5" x14ac:dyDescent="0.25">
      <c r="A273" s="1" t="s">
        <v>240</v>
      </c>
      <c r="B273" s="1" t="s">
        <v>943</v>
      </c>
      <c r="C273">
        <v>176</v>
      </c>
      <c r="D273">
        <v>38.520000000000003</v>
      </c>
      <c r="E273" s="2">
        <v>46057</v>
      </c>
    </row>
    <row r="274" spans="1:5" x14ac:dyDescent="0.25">
      <c r="A274" s="1" t="s">
        <v>241</v>
      </c>
      <c r="B274" s="1" t="s">
        <v>944</v>
      </c>
      <c r="C274">
        <v>55</v>
      </c>
      <c r="D274">
        <v>90.16</v>
      </c>
      <c r="E274" s="2">
        <v>46133</v>
      </c>
    </row>
    <row r="275" spans="1:5" x14ac:dyDescent="0.25">
      <c r="A275" s="1" t="s">
        <v>242</v>
      </c>
      <c r="B275" s="1" t="s">
        <v>945</v>
      </c>
      <c r="C275">
        <v>215</v>
      </c>
      <c r="D275">
        <v>107.17</v>
      </c>
      <c r="E275" s="2">
        <v>46195</v>
      </c>
    </row>
    <row r="276" spans="1:5" x14ac:dyDescent="0.25">
      <c r="A276" s="1" t="s">
        <v>243</v>
      </c>
      <c r="B276" s="1" t="s">
        <v>946</v>
      </c>
      <c r="C276">
        <v>123</v>
      </c>
      <c r="D276">
        <v>69.95</v>
      </c>
      <c r="E276" s="2">
        <v>46117</v>
      </c>
    </row>
    <row r="277" spans="1:5" x14ac:dyDescent="0.25">
      <c r="A277" s="1" t="s">
        <v>244</v>
      </c>
      <c r="B277" s="1" t="s">
        <v>947</v>
      </c>
      <c r="C277">
        <v>281</v>
      </c>
      <c r="D277">
        <v>104.44</v>
      </c>
      <c r="E277" s="2">
        <v>46075</v>
      </c>
    </row>
    <row r="278" spans="1:5" x14ac:dyDescent="0.25">
      <c r="A278" s="1" t="s">
        <v>245</v>
      </c>
      <c r="B278" s="1" t="s">
        <v>948</v>
      </c>
      <c r="C278">
        <v>130</v>
      </c>
      <c r="D278">
        <v>25.05</v>
      </c>
      <c r="E278" s="2">
        <v>46077</v>
      </c>
    </row>
    <row r="279" spans="1:5" x14ac:dyDescent="0.25">
      <c r="A279" s="1" t="s">
        <v>246</v>
      </c>
      <c r="B279" s="1" t="s">
        <v>949</v>
      </c>
      <c r="C279">
        <v>399</v>
      </c>
      <c r="D279">
        <v>153.03</v>
      </c>
      <c r="E279" s="2">
        <v>46075</v>
      </c>
    </row>
    <row r="280" spans="1:5" x14ac:dyDescent="0.25">
      <c r="A280" s="1" t="s">
        <v>950</v>
      </c>
      <c r="B280" s="1" t="s">
        <v>951</v>
      </c>
      <c r="C280">
        <v>247</v>
      </c>
      <c r="D280">
        <v>152.12</v>
      </c>
      <c r="E280" s="2">
        <v>46174</v>
      </c>
    </row>
    <row r="281" spans="1:5" x14ac:dyDescent="0.25">
      <c r="A281" s="1" t="s">
        <v>247</v>
      </c>
      <c r="B281" s="1" t="s">
        <v>952</v>
      </c>
      <c r="C281">
        <v>339</v>
      </c>
      <c r="D281">
        <v>128.88</v>
      </c>
      <c r="E281" s="2">
        <v>46191</v>
      </c>
    </row>
    <row r="282" spans="1:5" x14ac:dyDescent="0.25">
      <c r="A282" s="1" t="s">
        <v>248</v>
      </c>
      <c r="B282" s="1" t="s">
        <v>953</v>
      </c>
      <c r="C282">
        <v>87</v>
      </c>
      <c r="D282">
        <v>90.75</v>
      </c>
      <c r="E282" s="2">
        <v>46123</v>
      </c>
    </row>
    <row r="283" spans="1:5" x14ac:dyDescent="0.25">
      <c r="A283" s="1" t="s">
        <v>249</v>
      </c>
      <c r="B283" s="1" t="s">
        <v>954</v>
      </c>
      <c r="C283">
        <v>417</v>
      </c>
      <c r="D283">
        <v>58.56</v>
      </c>
      <c r="E283" s="2">
        <v>46125</v>
      </c>
    </row>
    <row r="284" spans="1:5" x14ac:dyDescent="0.25">
      <c r="A284" s="1" t="s">
        <v>250</v>
      </c>
      <c r="B284" s="1" t="s">
        <v>955</v>
      </c>
      <c r="C284">
        <v>168</v>
      </c>
      <c r="D284">
        <v>95.04</v>
      </c>
      <c r="E284" s="2">
        <v>46051</v>
      </c>
    </row>
    <row r="285" spans="1:5" x14ac:dyDescent="0.25">
      <c r="A285" s="1" t="s">
        <v>251</v>
      </c>
      <c r="B285" s="1" t="s">
        <v>956</v>
      </c>
      <c r="C285">
        <v>49</v>
      </c>
      <c r="D285">
        <v>130.71</v>
      </c>
      <c r="E285" s="2">
        <v>46121</v>
      </c>
    </row>
    <row r="286" spans="1:5" x14ac:dyDescent="0.25">
      <c r="A286" s="1" t="s">
        <v>957</v>
      </c>
      <c r="B286" s="1" t="s">
        <v>958</v>
      </c>
      <c r="C286">
        <v>307</v>
      </c>
      <c r="D286">
        <v>113.09</v>
      </c>
      <c r="E286" s="2">
        <v>46155</v>
      </c>
    </row>
    <row r="287" spans="1:5" x14ac:dyDescent="0.25">
      <c r="A287" s="1" t="s">
        <v>252</v>
      </c>
      <c r="B287" s="1" t="s">
        <v>959</v>
      </c>
      <c r="C287">
        <v>343</v>
      </c>
      <c r="D287">
        <v>41.71</v>
      </c>
      <c r="E287" s="2">
        <v>46199</v>
      </c>
    </row>
    <row r="288" spans="1:5" x14ac:dyDescent="0.25">
      <c r="A288" s="1" t="s">
        <v>253</v>
      </c>
      <c r="B288" s="1" t="s">
        <v>960</v>
      </c>
      <c r="C288">
        <v>500</v>
      </c>
      <c r="D288">
        <v>17.07</v>
      </c>
      <c r="E288" s="2">
        <v>46086</v>
      </c>
    </row>
    <row r="289" spans="1:5" x14ac:dyDescent="0.25">
      <c r="A289" s="1" t="s">
        <v>254</v>
      </c>
      <c r="B289" s="1" t="s">
        <v>961</v>
      </c>
      <c r="C289">
        <v>268</v>
      </c>
      <c r="D289">
        <v>130.99</v>
      </c>
      <c r="E289" s="2">
        <v>46063</v>
      </c>
    </row>
    <row r="290" spans="1:5" x14ac:dyDescent="0.25">
      <c r="A290" s="1" t="s">
        <v>255</v>
      </c>
      <c r="B290" s="1" t="s">
        <v>962</v>
      </c>
      <c r="C290">
        <v>234</v>
      </c>
      <c r="D290">
        <v>107.19</v>
      </c>
      <c r="E290" s="2">
        <v>46146</v>
      </c>
    </row>
    <row r="291" spans="1:5" x14ac:dyDescent="0.25">
      <c r="A291" s="1" t="s">
        <v>963</v>
      </c>
      <c r="B291" s="1" t="s">
        <v>964</v>
      </c>
      <c r="C291">
        <v>479</v>
      </c>
      <c r="D291">
        <v>60.16</v>
      </c>
      <c r="E291" s="2">
        <v>46137</v>
      </c>
    </row>
    <row r="292" spans="1:5" x14ac:dyDescent="0.25">
      <c r="A292" s="1" t="s">
        <v>256</v>
      </c>
      <c r="B292" s="1" t="s">
        <v>965</v>
      </c>
      <c r="C292">
        <v>414</v>
      </c>
      <c r="D292">
        <v>128.02000000000001</v>
      </c>
      <c r="E292" s="2">
        <v>46047</v>
      </c>
    </row>
    <row r="293" spans="1:5" x14ac:dyDescent="0.25">
      <c r="A293" s="1" t="s">
        <v>257</v>
      </c>
      <c r="B293" s="1" t="s">
        <v>966</v>
      </c>
      <c r="C293">
        <v>295</v>
      </c>
      <c r="D293">
        <v>137.28</v>
      </c>
      <c r="E293" s="2">
        <v>46066</v>
      </c>
    </row>
    <row r="294" spans="1:5" x14ac:dyDescent="0.25">
      <c r="A294" s="1" t="s">
        <v>258</v>
      </c>
      <c r="B294" s="1" t="s">
        <v>967</v>
      </c>
      <c r="C294">
        <v>180</v>
      </c>
      <c r="D294">
        <v>20.89</v>
      </c>
      <c r="E294" s="2">
        <v>46077</v>
      </c>
    </row>
    <row r="295" spans="1:5" x14ac:dyDescent="0.25">
      <c r="A295" s="1" t="s">
        <v>259</v>
      </c>
      <c r="B295" s="1" t="s">
        <v>968</v>
      </c>
      <c r="C295">
        <v>345</v>
      </c>
      <c r="D295">
        <v>141.19999999999999</v>
      </c>
      <c r="E295" s="2">
        <v>46117</v>
      </c>
    </row>
    <row r="296" spans="1:5" x14ac:dyDescent="0.25">
      <c r="A296" s="1" t="s">
        <v>259</v>
      </c>
      <c r="B296" s="1" t="s">
        <v>969</v>
      </c>
      <c r="C296">
        <v>345</v>
      </c>
      <c r="D296">
        <v>141.19999999999999</v>
      </c>
      <c r="E296" s="2">
        <v>46120</v>
      </c>
    </row>
    <row r="297" spans="1:5" x14ac:dyDescent="0.25">
      <c r="A297" s="1" t="s">
        <v>260</v>
      </c>
      <c r="B297" s="1" t="s">
        <v>970</v>
      </c>
      <c r="C297">
        <v>168</v>
      </c>
      <c r="D297">
        <v>121.66</v>
      </c>
      <c r="E297" s="2">
        <v>46064</v>
      </c>
    </row>
    <row r="298" spans="1:5" x14ac:dyDescent="0.25">
      <c r="A298" s="1" t="s">
        <v>261</v>
      </c>
      <c r="B298" s="1" t="s">
        <v>971</v>
      </c>
      <c r="C298">
        <v>57</v>
      </c>
      <c r="D298">
        <v>130.97</v>
      </c>
      <c r="E298" s="2">
        <v>46184</v>
      </c>
    </row>
    <row r="299" spans="1:5" x14ac:dyDescent="0.25">
      <c r="A299" s="1" t="s">
        <v>262</v>
      </c>
      <c r="B299" s="1" t="s">
        <v>972</v>
      </c>
      <c r="C299">
        <v>195</v>
      </c>
      <c r="D299">
        <v>70.430000000000007</v>
      </c>
      <c r="E299" s="2">
        <v>46045</v>
      </c>
    </row>
    <row r="300" spans="1:5" x14ac:dyDescent="0.25">
      <c r="A300" s="1" t="s">
        <v>263</v>
      </c>
      <c r="B300" s="1" t="s">
        <v>973</v>
      </c>
      <c r="C300">
        <v>125</v>
      </c>
      <c r="D300">
        <v>200</v>
      </c>
      <c r="E300" s="2">
        <v>46082</v>
      </c>
    </row>
    <row r="301" spans="1:5" x14ac:dyDescent="0.25">
      <c r="A301" s="1" t="s">
        <v>264</v>
      </c>
      <c r="B301" s="1" t="s">
        <v>974</v>
      </c>
      <c r="C301">
        <v>269</v>
      </c>
      <c r="D301">
        <v>155.32</v>
      </c>
      <c r="E301" s="2">
        <v>46072</v>
      </c>
    </row>
    <row r="302" spans="1:5" x14ac:dyDescent="0.25">
      <c r="A302" s="1" t="s">
        <v>265</v>
      </c>
      <c r="B302" s="1" t="s">
        <v>975</v>
      </c>
      <c r="C302">
        <v>458</v>
      </c>
      <c r="D302">
        <v>154.43</v>
      </c>
      <c r="E302" s="2">
        <v>46131</v>
      </c>
    </row>
    <row r="303" spans="1:5" x14ac:dyDescent="0.25">
      <c r="A303" s="1" t="s">
        <v>266</v>
      </c>
      <c r="B303" s="1" t="s">
        <v>976</v>
      </c>
      <c r="C303">
        <v>102</v>
      </c>
      <c r="D303">
        <v>192.45</v>
      </c>
      <c r="E303" s="2">
        <v>46081</v>
      </c>
    </row>
    <row r="304" spans="1:5" x14ac:dyDescent="0.25">
      <c r="A304" s="1" t="s">
        <v>267</v>
      </c>
      <c r="B304" s="1" t="s">
        <v>977</v>
      </c>
      <c r="C304">
        <v>32</v>
      </c>
      <c r="D304">
        <v>85.12</v>
      </c>
      <c r="E304" s="2">
        <v>46153</v>
      </c>
    </row>
    <row r="305" spans="1:5" x14ac:dyDescent="0.25">
      <c r="A305" s="1" t="s">
        <v>268</v>
      </c>
      <c r="B305" s="1" t="s">
        <v>978</v>
      </c>
      <c r="C305">
        <v>395</v>
      </c>
      <c r="D305">
        <v>150.96</v>
      </c>
      <c r="E305" s="2">
        <v>46111</v>
      </c>
    </row>
    <row r="306" spans="1:5" x14ac:dyDescent="0.25">
      <c r="A306" s="1" t="s">
        <v>269</v>
      </c>
      <c r="B306" s="1" t="s">
        <v>979</v>
      </c>
      <c r="C306">
        <v>168</v>
      </c>
      <c r="D306">
        <v>193.29</v>
      </c>
      <c r="E306" s="2">
        <v>46098</v>
      </c>
    </row>
    <row r="307" spans="1:5" x14ac:dyDescent="0.25">
      <c r="A307" s="1" t="s">
        <v>980</v>
      </c>
      <c r="B307" s="1" t="s">
        <v>981</v>
      </c>
      <c r="C307">
        <v>235</v>
      </c>
      <c r="D307">
        <v>95.03</v>
      </c>
      <c r="E307" s="2">
        <v>46196</v>
      </c>
    </row>
    <row r="308" spans="1:5" x14ac:dyDescent="0.25">
      <c r="A308" s="1" t="s">
        <v>270</v>
      </c>
      <c r="B308" s="1" t="s">
        <v>982</v>
      </c>
      <c r="C308">
        <v>224</v>
      </c>
      <c r="D308">
        <v>193.42</v>
      </c>
      <c r="E308" s="2">
        <v>46169</v>
      </c>
    </row>
    <row r="309" spans="1:5" x14ac:dyDescent="0.25">
      <c r="A309" s="1" t="s">
        <v>983</v>
      </c>
      <c r="B309" s="1" t="s">
        <v>984</v>
      </c>
      <c r="C309">
        <v>338</v>
      </c>
      <c r="D309">
        <v>98.72</v>
      </c>
      <c r="E309" s="2">
        <v>46047</v>
      </c>
    </row>
    <row r="310" spans="1:5" x14ac:dyDescent="0.25">
      <c r="A310" s="1" t="s">
        <v>271</v>
      </c>
      <c r="B310" s="1" t="s">
        <v>985</v>
      </c>
      <c r="C310">
        <v>445</v>
      </c>
      <c r="D310">
        <v>29.31</v>
      </c>
      <c r="E310" s="2">
        <v>46172</v>
      </c>
    </row>
    <row r="311" spans="1:5" x14ac:dyDescent="0.25">
      <c r="A311" s="1" t="s">
        <v>272</v>
      </c>
      <c r="B311" s="1" t="s">
        <v>986</v>
      </c>
      <c r="C311">
        <v>473</v>
      </c>
      <c r="D311">
        <v>105.1</v>
      </c>
      <c r="E311" s="2">
        <v>46152</v>
      </c>
    </row>
    <row r="312" spans="1:5" x14ac:dyDescent="0.25">
      <c r="A312" s="1" t="s">
        <v>273</v>
      </c>
      <c r="B312" s="1" t="s">
        <v>987</v>
      </c>
      <c r="C312">
        <v>462</v>
      </c>
      <c r="D312">
        <v>73.17</v>
      </c>
      <c r="E312" s="2">
        <v>46157</v>
      </c>
    </row>
    <row r="313" spans="1:5" x14ac:dyDescent="0.25">
      <c r="A313" s="1" t="s">
        <v>274</v>
      </c>
      <c r="B313" s="1" t="s">
        <v>988</v>
      </c>
      <c r="C313">
        <v>267</v>
      </c>
      <c r="D313">
        <v>77.92</v>
      </c>
      <c r="E313" s="2">
        <v>46140</v>
      </c>
    </row>
    <row r="314" spans="1:5" x14ac:dyDescent="0.25">
      <c r="A314" s="1" t="s">
        <v>275</v>
      </c>
      <c r="B314" s="1" t="s">
        <v>989</v>
      </c>
      <c r="C314">
        <v>24</v>
      </c>
      <c r="D314">
        <v>67.14</v>
      </c>
      <c r="E314" s="2">
        <v>46099</v>
      </c>
    </row>
    <row r="315" spans="1:5" x14ac:dyDescent="0.25">
      <c r="A315" s="1" t="s">
        <v>990</v>
      </c>
      <c r="B315" s="1" t="s">
        <v>991</v>
      </c>
      <c r="C315">
        <v>29</v>
      </c>
      <c r="D315">
        <v>60.94</v>
      </c>
      <c r="E315" s="2">
        <v>46070</v>
      </c>
    </row>
    <row r="316" spans="1:5" x14ac:dyDescent="0.25">
      <c r="A316" s="1" t="s">
        <v>276</v>
      </c>
      <c r="B316" s="1" t="s">
        <v>992</v>
      </c>
      <c r="C316">
        <v>239</v>
      </c>
      <c r="D316">
        <v>124.99</v>
      </c>
      <c r="E316" s="2">
        <v>46156</v>
      </c>
    </row>
    <row r="317" spans="1:5" x14ac:dyDescent="0.25">
      <c r="A317" s="1" t="s">
        <v>277</v>
      </c>
      <c r="B317" s="1" t="s">
        <v>993</v>
      </c>
      <c r="C317">
        <v>437</v>
      </c>
      <c r="D317">
        <v>38.28</v>
      </c>
      <c r="E317" s="2">
        <v>46109</v>
      </c>
    </row>
    <row r="318" spans="1:5" x14ac:dyDescent="0.25">
      <c r="A318" s="1" t="s">
        <v>278</v>
      </c>
      <c r="B318" s="1" t="s">
        <v>994</v>
      </c>
      <c r="C318">
        <v>407</v>
      </c>
      <c r="D318">
        <v>61.18</v>
      </c>
      <c r="E318" s="2">
        <v>46068</v>
      </c>
    </row>
    <row r="319" spans="1:5" x14ac:dyDescent="0.25">
      <c r="A319" s="1" t="s">
        <v>279</v>
      </c>
      <c r="B319" s="1" t="s">
        <v>995</v>
      </c>
      <c r="C319">
        <v>224</v>
      </c>
      <c r="D319">
        <v>129.6</v>
      </c>
      <c r="E319" s="2">
        <v>46106</v>
      </c>
    </row>
    <row r="320" spans="1:5" x14ac:dyDescent="0.25">
      <c r="A320" s="1" t="s">
        <v>280</v>
      </c>
      <c r="B320" s="1" t="s">
        <v>996</v>
      </c>
      <c r="C320">
        <v>438</v>
      </c>
      <c r="D320">
        <v>181.5</v>
      </c>
      <c r="E320" s="2">
        <v>46064</v>
      </c>
    </row>
    <row r="321" spans="1:5" x14ac:dyDescent="0.25">
      <c r="A321" s="1" t="s">
        <v>281</v>
      </c>
      <c r="B321" s="1" t="s">
        <v>997</v>
      </c>
      <c r="C321">
        <v>304</v>
      </c>
      <c r="D321">
        <v>52.18</v>
      </c>
      <c r="E321" s="2">
        <v>46173</v>
      </c>
    </row>
    <row r="322" spans="1:5" x14ac:dyDescent="0.25">
      <c r="A322" s="1" t="s">
        <v>282</v>
      </c>
      <c r="B322" s="1" t="s">
        <v>998</v>
      </c>
      <c r="C322">
        <v>324</v>
      </c>
      <c r="D322">
        <v>73.8</v>
      </c>
      <c r="E322" s="2">
        <v>46051</v>
      </c>
    </row>
    <row r="323" spans="1:5" x14ac:dyDescent="0.25">
      <c r="A323" s="1" t="s">
        <v>283</v>
      </c>
      <c r="B323" s="1" t="s">
        <v>999</v>
      </c>
      <c r="C323">
        <v>278</v>
      </c>
      <c r="D323">
        <v>195.06</v>
      </c>
      <c r="E323" s="2">
        <v>46069</v>
      </c>
    </row>
    <row r="324" spans="1:5" x14ac:dyDescent="0.25">
      <c r="A324" s="1" t="s">
        <v>284</v>
      </c>
      <c r="B324" s="1" t="s">
        <v>1000</v>
      </c>
      <c r="C324">
        <v>412</v>
      </c>
      <c r="D324">
        <v>197.72</v>
      </c>
      <c r="E324" s="2">
        <v>46161</v>
      </c>
    </row>
    <row r="325" spans="1:5" x14ac:dyDescent="0.25">
      <c r="A325" s="1" t="s">
        <v>285</v>
      </c>
      <c r="B325" s="1" t="s">
        <v>1001</v>
      </c>
      <c r="C325">
        <v>32</v>
      </c>
      <c r="D325">
        <v>128.96</v>
      </c>
      <c r="E325" s="2">
        <v>46166</v>
      </c>
    </row>
    <row r="326" spans="1:5" x14ac:dyDescent="0.25">
      <c r="A326" s="1" t="s">
        <v>1002</v>
      </c>
      <c r="B326" s="1" t="s">
        <v>1003</v>
      </c>
      <c r="C326">
        <v>192</v>
      </c>
      <c r="D326">
        <v>158.76</v>
      </c>
      <c r="E326" s="2">
        <v>46044</v>
      </c>
    </row>
    <row r="327" spans="1:5" x14ac:dyDescent="0.25">
      <c r="A327" s="1" t="s">
        <v>286</v>
      </c>
      <c r="B327" s="1" t="s">
        <v>1004</v>
      </c>
      <c r="C327">
        <v>405</v>
      </c>
      <c r="D327">
        <v>118.47</v>
      </c>
      <c r="E327" s="2">
        <v>46066</v>
      </c>
    </row>
    <row r="328" spans="1:5" x14ac:dyDescent="0.25">
      <c r="A328" s="1" t="s">
        <v>287</v>
      </c>
      <c r="B328" s="1" t="s">
        <v>1005</v>
      </c>
      <c r="C328">
        <v>190</v>
      </c>
      <c r="D328">
        <v>111.47</v>
      </c>
      <c r="E328" s="2">
        <v>46048</v>
      </c>
    </row>
    <row r="329" spans="1:5" x14ac:dyDescent="0.25">
      <c r="A329" s="1" t="s">
        <v>288</v>
      </c>
      <c r="B329" s="1" t="s">
        <v>1006</v>
      </c>
      <c r="C329">
        <v>366</v>
      </c>
      <c r="D329">
        <v>98.31</v>
      </c>
      <c r="E329" s="2">
        <v>46160</v>
      </c>
    </row>
    <row r="330" spans="1:5" x14ac:dyDescent="0.25">
      <c r="A330" s="1" t="s">
        <v>289</v>
      </c>
      <c r="B330" s="1" t="s">
        <v>1007</v>
      </c>
      <c r="C330">
        <v>28</v>
      </c>
      <c r="D330">
        <v>62.22</v>
      </c>
      <c r="E330" s="2">
        <v>46158</v>
      </c>
    </row>
    <row r="331" spans="1:5" x14ac:dyDescent="0.25">
      <c r="A331" s="1" t="s">
        <v>290</v>
      </c>
      <c r="B331" s="1" t="s">
        <v>1008</v>
      </c>
      <c r="C331">
        <v>487</v>
      </c>
      <c r="D331">
        <v>65.459999999999994</v>
      </c>
      <c r="E331" s="2">
        <v>46129</v>
      </c>
    </row>
    <row r="332" spans="1:5" x14ac:dyDescent="0.25">
      <c r="A332" s="1" t="s">
        <v>291</v>
      </c>
      <c r="B332" s="1" t="s">
        <v>1009</v>
      </c>
      <c r="C332">
        <v>395</v>
      </c>
      <c r="D332">
        <v>146.4</v>
      </c>
      <c r="E332" s="2">
        <v>46053</v>
      </c>
    </row>
    <row r="333" spans="1:5" x14ac:dyDescent="0.25">
      <c r="A333" s="1" t="s">
        <v>292</v>
      </c>
      <c r="B333" s="1" t="s">
        <v>1010</v>
      </c>
      <c r="C333">
        <v>149</v>
      </c>
      <c r="D333">
        <v>29.27</v>
      </c>
      <c r="E333" s="2">
        <v>46127</v>
      </c>
    </row>
    <row r="334" spans="1:5" x14ac:dyDescent="0.25">
      <c r="A334" s="1" t="s">
        <v>293</v>
      </c>
      <c r="B334" s="1" t="s">
        <v>1011</v>
      </c>
      <c r="C334">
        <v>468</v>
      </c>
      <c r="D334">
        <v>191.51</v>
      </c>
      <c r="E334" s="2">
        <v>46154</v>
      </c>
    </row>
    <row r="335" spans="1:5" x14ac:dyDescent="0.25">
      <c r="A335" s="1" t="s">
        <v>1012</v>
      </c>
      <c r="B335" s="1" t="s">
        <v>1013</v>
      </c>
      <c r="C335">
        <v>198</v>
      </c>
      <c r="D335">
        <v>185.24</v>
      </c>
      <c r="E335" s="2">
        <v>46167</v>
      </c>
    </row>
    <row r="336" spans="1:5" x14ac:dyDescent="0.25">
      <c r="A336" s="1" t="s">
        <v>294</v>
      </c>
      <c r="B336" s="1" t="s">
        <v>1014</v>
      </c>
      <c r="C336">
        <v>50</v>
      </c>
      <c r="D336">
        <v>93.93</v>
      </c>
      <c r="E336" s="2">
        <v>46149</v>
      </c>
    </row>
    <row r="337" spans="1:5" x14ac:dyDescent="0.25">
      <c r="A337" s="1" t="s">
        <v>295</v>
      </c>
      <c r="B337" s="1" t="s">
        <v>1015</v>
      </c>
      <c r="C337">
        <v>50</v>
      </c>
      <c r="D337">
        <v>68.94</v>
      </c>
      <c r="E337" s="2">
        <v>46068</v>
      </c>
    </row>
    <row r="338" spans="1:5" x14ac:dyDescent="0.25">
      <c r="A338" s="1" t="s">
        <v>296</v>
      </c>
      <c r="B338" s="1" t="s">
        <v>1016</v>
      </c>
      <c r="C338">
        <v>95</v>
      </c>
      <c r="D338">
        <v>139.5</v>
      </c>
      <c r="E338" s="2">
        <v>46156</v>
      </c>
    </row>
    <row r="339" spans="1:5" x14ac:dyDescent="0.25">
      <c r="A339" s="1" t="s">
        <v>297</v>
      </c>
      <c r="B339" s="1" t="s">
        <v>1017</v>
      </c>
      <c r="C339">
        <v>324</v>
      </c>
      <c r="D339">
        <v>199.64</v>
      </c>
      <c r="E339" s="2">
        <v>46122</v>
      </c>
    </row>
    <row r="340" spans="1:5" x14ac:dyDescent="0.25">
      <c r="A340" s="1" t="s">
        <v>298</v>
      </c>
      <c r="B340" s="1" t="s">
        <v>1018</v>
      </c>
      <c r="C340">
        <v>196</v>
      </c>
      <c r="D340">
        <v>105.05</v>
      </c>
      <c r="E340" s="2">
        <v>46145</v>
      </c>
    </row>
    <row r="341" spans="1:5" x14ac:dyDescent="0.25">
      <c r="A341" s="1" t="s">
        <v>299</v>
      </c>
      <c r="B341" s="1" t="s">
        <v>1019</v>
      </c>
      <c r="C341">
        <v>444</v>
      </c>
      <c r="D341">
        <v>135.19999999999999</v>
      </c>
      <c r="E341" s="2">
        <v>46071</v>
      </c>
    </row>
    <row r="342" spans="1:5" x14ac:dyDescent="0.25">
      <c r="A342" s="1" t="s">
        <v>300</v>
      </c>
      <c r="B342" s="1" t="s">
        <v>1020</v>
      </c>
      <c r="C342">
        <v>130</v>
      </c>
      <c r="D342">
        <v>156.81</v>
      </c>
      <c r="E342" s="2">
        <v>46063</v>
      </c>
    </row>
    <row r="343" spans="1:5" x14ac:dyDescent="0.25">
      <c r="A343" s="1" t="s">
        <v>301</v>
      </c>
      <c r="B343" s="1" t="s">
        <v>1021</v>
      </c>
      <c r="C343">
        <v>26</v>
      </c>
      <c r="D343">
        <v>122.99</v>
      </c>
      <c r="E343" s="2">
        <v>46188</v>
      </c>
    </row>
    <row r="344" spans="1:5" x14ac:dyDescent="0.25">
      <c r="A344" s="1" t="s">
        <v>302</v>
      </c>
      <c r="B344" s="1" t="s">
        <v>1022</v>
      </c>
      <c r="C344">
        <v>237</v>
      </c>
      <c r="D344">
        <v>153.80000000000001</v>
      </c>
      <c r="E344" s="2">
        <v>46130</v>
      </c>
    </row>
    <row r="345" spans="1:5" x14ac:dyDescent="0.25">
      <c r="A345" s="1" t="s">
        <v>303</v>
      </c>
      <c r="B345" s="1" t="s">
        <v>1023</v>
      </c>
      <c r="C345">
        <v>213</v>
      </c>
      <c r="D345">
        <v>66.31</v>
      </c>
      <c r="E345" s="2">
        <v>46132</v>
      </c>
    </row>
    <row r="346" spans="1:5" x14ac:dyDescent="0.25">
      <c r="A346" s="1" t="s">
        <v>304</v>
      </c>
      <c r="B346" s="1" t="s">
        <v>1024</v>
      </c>
      <c r="C346">
        <v>386</v>
      </c>
      <c r="D346">
        <v>41.28</v>
      </c>
      <c r="E346" s="2">
        <v>46055</v>
      </c>
    </row>
    <row r="347" spans="1:5" x14ac:dyDescent="0.25">
      <c r="A347" s="1" t="s">
        <v>305</v>
      </c>
      <c r="B347" s="1" t="s">
        <v>1025</v>
      </c>
      <c r="C347">
        <v>144</v>
      </c>
      <c r="D347">
        <v>156.12</v>
      </c>
      <c r="E347" s="2">
        <v>46080</v>
      </c>
    </row>
    <row r="348" spans="1:5" x14ac:dyDescent="0.25">
      <c r="A348" s="1" t="s">
        <v>306</v>
      </c>
      <c r="B348" s="1" t="s">
        <v>1026</v>
      </c>
      <c r="C348">
        <v>365</v>
      </c>
      <c r="D348">
        <v>216.2</v>
      </c>
      <c r="E348" s="2">
        <v>46114</v>
      </c>
    </row>
    <row r="349" spans="1:5" x14ac:dyDescent="0.25">
      <c r="A349" s="1" t="s">
        <v>307</v>
      </c>
      <c r="B349" s="1" t="s">
        <v>1027</v>
      </c>
      <c r="C349">
        <v>446</v>
      </c>
      <c r="D349">
        <v>19.440000000000001</v>
      </c>
      <c r="E349" s="2">
        <v>46080</v>
      </c>
    </row>
    <row r="350" spans="1:5" x14ac:dyDescent="0.25">
      <c r="A350" s="1" t="s">
        <v>308</v>
      </c>
      <c r="B350" s="1" t="s">
        <v>1028</v>
      </c>
      <c r="C350">
        <v>351</v>
      </c>
      <c r="D350">
        <v>72.75</v>
      </c>
      <c r="E350" s="2">
        <v>46119</v>
      </c>
    </row>
    <row r="351" spans="1:5" x14ac:dyDescent="0.25">
      <c r="A351" s="1" t="s">
        <v>309</v>
      </c>
      <c r="B351" s="1" t="s">
        <v>1029</v>
      </c>
      <c r="C351">
        <v>374</v>
      </c>
      <c r="D351">
        <v>143.36000000000001</v>
      </c>
      <c r="E351" s="2">
        <v>46076</v>
      </c>
    </row>
    <row r="352" spans="1:5" x14ac:dyDescent="0.25">
      <c r="A352" s="1" t="s">
        <v>310</v>
      </c>
      <c r="B352" s="1" t="s">
        <v>1030</v>
      </c>
      <c r="C352">
        <v>124</v>
      </c>
      <c r="D352">
        <v>28.67</v>
      </c>
      <c r="E352" s="2">
        <v>46170</v>
      </c>
    </row>
    <row r="353" spans="1:5" x14ac:dyDescent="0.25">
      <c r="A353" s="1" t="s">
        <v>1031</v>
      </c>
      <c r="B353" s="1" t="s">
        <v>1032</v>
      </c>
      <c r="C353">
        <v>23</v>
      </c>
      <c r="D353">
        <v>75.37</v>
      </c>
      <c r="E353" s="2">
        <v>46171</v>
      </c>
    </row>
    <row r="354" spans="1:5" x14ac:dyDescent="0.25">
      <c r="A354" s="1" t="s">
        <v>311</v>
      </c>
      <c r="B354" s="1" t="s">
        <v>1033</v>
      </c>
      <c r="C354">
        <v>76</v>
      </c>
      <c r="D354">
        <v>124.33</v>
      </c>
      <c r="E354" s="2">
        <v>46178</v>
      </c>
    </row>
    <row r="355" spans="1:5" x14ac:dyDescent="0.25">
      <c r="A355" s="1" t="s">
        <v>312</v>
      </c>
      <c r="B355" s="1" t="s">
        <v>1034</v>
      </c>
      <c r="C355">
        <v>377</v>
      </c>
      <c r="D355">
        <v>145.18</v>
      </c>
      <c r="E355" s="2">
        <v>46147</v>
      </c>
    </row>
    <row r="356" spans="1:5" x14ac:dyDescent="0.25">
      <c r="A356" s="1" t="s">
        <v>313</v>
      </c>
      <c r="B356" s="1" t="s">
        <v>1035</v>
      </c>
      <c r="C356">
        <v>47</v>
      </c>
      <c r="D356">
        <v>34.380000000000003</v>
      </c>
      <c r="E356" s="2">
        <v>46180</v>
      </c>
    </row>
    <row r="357" spans="1:5" x14ac:dyDescent="0.25">
      <c r="A357" s="1" t="s">
        <v>314</v>
      </c>
      <c r="B357" s="1" t="s">
        <v>1036</v>
      </c>
      <c r="C357">
        <v>358</v>
      </c>
      <c r="D357">
        <v>105.89</v>
      </c>
      <c r="E357" s="2">
        <v>46158</v>
      </c>
    </row>
    <row r="358" spans="1:5" x14ac:dyDescent="0.25">
      <c r="A358" s="1" t="s">
        <v>315</v>
      </c>
      <c r="B358" s="1" t="s">
        <v>1037</v>
      </c>
      <c r="C358">
        <v>267</v>
      </c>
      <c r="D358">
        <v>182.59</v>
      </c>
      <c r="E358" s="2">
        <v>46151</v>
      </c>
    </row>
    <row r="359" spans="1:5" x14ac:dyDescent="0.25">
      <c r="A359" s="1" t="s">
        <v>316</v>
      </c>
      <c r="B359" s="1" t="s">
        <v>1038</v>
      </c>
      <c r="C359">
        <v>165</v>
      </c>
      <c r="D359">
        <v>37.11</v>
      </c>
      <c r="E359" s="2">
        <v>46081</v>
      </c>
    </row>
    <row r="360" spans="1:5" x14ac:dyDescent="0.25">
      <c r="A360" s="1" t="s">
        <v>317</v>
      </c>
      <c r="B360" s="1" t="s">
        <v>1039</v>
      </c>
      <c r="C360">
        <v>468</v>
      </c>
      <c r="D360">
        <v>60.39</v>
      </c>
      <c r="E360" s="2">
        <v>46177</v>
      </c>
    </row>
    <row r="361" spans="1:5" x14ac:dyDescent="0.25">
      <c r="A361" s="1" t="s">
        <v>318</v>
      </c>
      <c r="B361" s="1" t="s">
        <v>1040</v>
      </c>
      <c r="C361">
        <v>150</v>
      </c>
      <c r="D361">
        <v>29.41</v>
      </c>
      <c r="E361" s="2">
        <v>46177</v>
      </c>
    </row>
    <row r="362" spans="1:5" x14ac:dyDescent="0.25">
      <c r="A362" s="1" t="s">
        <v>319</v>
      </c>
      <c r="B362" s="1" t="s">
        <v>1041</v>
      </c>
      <c r="C362">
        <v>313</v>
      </c>
      <c r="D362">
        <v>188.61</v>
      </c>
      <c r="E362" s="2">
        <v>46081</v>
      </c>
    </row>
    <row r="363" spans="1:5" x14ac:dyDescent="0.25">
      <c r="A363" s="1" t="s">
        <v>320</v>
      </c>
      <c r="B363" s="1" t="s">
        <v>1042</v>
      </c>
      <c r="C363">
        <v>441</v>
      </c>
      <c r="D363">
        <v>185.17</v>
      </c>
      <c r="E363" s="2">
        <v>46123</v>
      </c>
    </row>
    <row r="364" spans="1:5" x14ac:dyDescent="0.25">
      <c r="A364" s="1" t="s">
        <v>321</v>
      </c>
      <c r="B364" s="1" t="s">
        <v>1043</v>
      </c>
      <c r="C364">
        <v>495</v>
      </c>
      <c r="D364">
        <v>130.08000000000001</v>
      </c>
      <c r="E364" s="2">
        <v>46057</v>
      </c>
    </row>
    <row r="365" spans="1:5" x14ac:dyDescent="0.25">
      <c r="A365" s="1" t="s">
        <v>322</v>
      </c>
      <c r="B365" s="1" t="s">
        <v>1044</v>
      </c>
      <c r="C365">
        <v>402</v>
      </c>
      <c r="D365">
        <v>116.57</v>
      </c>
      <c r="E365" s="2">
        <v>46083</v>
      </c>
    </row>
    <row r="366" spans="1:5" x14ac:dyDescent="0.25">
      <c r="A366" s="1" t="s">
        <v>323</v>
      </c>
      <c r="B366" s="1" t="s">
        <v>1045</v>
      </c>
      <c r="C366">
        <v>158</v>
      </c>
      <c r="D366">
        <v>130.16999999999999</v>
      </c>
      <c r="E366" s="2">
        <v>46186</v>
      </c>
    </row>
    <row r="367" spans="1:5" x14ac:dyDescent="0.25">
      <c r="A367" s="1" t="s">
        <v>324</v>
      </c>
      <c r="B367" s="1" t="s">
        <v>1046</v>
      </c>
      <c r="C367">
        <v>162</v>
      </c>
      <c r="D367">
        <v>93.44</v>
      </c>
      <c r="E367" s="2">
        <v>46134</v>
      </c>
    </row>
    <row r="368" spans="1:5" x14ac:dyDescent="0.25">
      <c r="A368" s="1" t="s">
        <v>325</v>
      </c>
      <c r="B368" s="1" t="s">
        <v>1047</v>
      </c>
      <c r="C368">
        <v>222</v>
      </c>
      <c r="D368">
        <v>99.43</v>
      </c>
      <c r="E368" s="2">
        <v>46151</v>
      </c>
    </row>
    <row r="369" spans="1:5" x14ac:dyDescent="0.25">
      <c r="A369" s="1" t="s">
        <v>326</v>
      </c>
      <c r="B369" s="1" t="s">
        <v>1048</v>
      </c>
      <c r="C369">
        <v>170</v>
      </c>
      <c r="D369">
        <v>172.99</v>
      </c>
      <c r="E369" s="2">
        <v>46082</v>
      </c>
    </row>
    <row r="370" spans="1:5" x14ac:dyDescent="0.25">
      <c r="A370" s="1" t="s">
        <v>327</v>
      </c>
      <c r="B370" s="1" t="s">
        <v>1049</v>
      </c>
      <c r="C370">
        <v>399</v>
      </c>
      <c r="D370">
        <v>77.260000000000005</v>
      </c>
      <c r="E370" s="2">
        <v>46067</v>
      </c>
    </row>
    <row r="371" spans="1:5" x14ac:dyDescent="0.25">
      <c r="A371" s="1" t="s">
        <v>328</v>
      </c>
      <c r="B371" s="1" t="s">
        <v>1050</v>
      </c>
      <c r="C371">
        <v>248</v>
      </c>
      <c r="D371">
        <v>28.89</v>
      </c>
      <c r="E371" s="2">
        <v>46098</v>
      </c>
    </row>
    <row r="372" spans="1:5" x14ac:dyDescent="0.25">
      <c r="A372" s="1" t="s">
        <v>329</v>
      </c>
      <c r="B372" s="1" t="s">
        <v>1051</v>
      </c>
      <c r="C372">
        <v>35</v>
      </c>
      <c r="D372">
        <v>61.59</v>
      </c>
      <c r="E372" s="2">
        <v>46069</v>
      </c>
    </row>
    <row r="373" spans="1:5" x14ac:dyDescent="0.25">
      <c r="A373" s="1" t="s">
        <v>330</v>
      </c>
      <c r="B373" s="1" t="s">
        <v>1052</v>
      </c>
      <c r="C373">
        <v>426</v>
      </c>
      <c r="D373">
        <v>68.849999999999994</v>
      </c>
      <c r="E373" s="2">
        <v>46085</v>
      </c>
    </row>
    <row r="374" spans="1:5" x14ac:dyDescent="0.25">
      <c r="A374" s="1" t="s">
        <v>331</v>
      </c>
      <c r="B374" s="1" t="s">
        <v>1053</v>
      </c>
      <c r="C374">
        <v>265</v>
      </c>
      <c r="D374">
        <v>199.21</v>
      </c>
      <c r="E374" s="2">
        <v>46086</v>
      </c>
    </row>
    <row r="375" spans="1:5" x14ac:dyDescent="0.25">
      <c r="A375" s="1" t="s">
        <v>332</v>
      </c>
      <c r="B375" s="1" t="s">
        <v>1054</v>
      </c>
      <c r="C375">
        <v>21</v>
      </c>
      <c r="D375">
        <v>22.56</v>
      </c>
      <c r="E375" s="2">
        <v>46181</v>
      </c>
    </row>
    <row r="376" spans="1:5" x14ac:dyDescent="0.25">
      <c r="A376" s="1" t="s">
        <v>333</v>
      </c>
      <c r="B376" s="1" t="s">
        <v>1055</v>
      </c>
      <c r="C376">
        <v>120</v>
      </c>
      <c r="D376">
        <v>118.75</v>
      </c>
      <c r="E376" s="2">
        <v>46098</v>
      </c>
    </row>
    <row r="377" spans="1:5" x14ac:dyDescent="0.25">
      <c r="A377" s="1" t="s">
        <v>334</v>
      </c>
      <c r="B377" s="1" t="s">
        <v>1056</v>
      </c>
      <c r="C377">
        <v>315</v>
      </c>
      <c r="D377">
        <v>189.7</v>
      </c>
      <c r="E377" s="2">
        <v>46171</v>
      </c>
    </row>
    <row r="378" spans="1:5" x14ac:dyDescent="0.25">
      <c r="A378" s="1" t="s">
        <v>335</v>
      </c>
      <c r="B378" s="1" t="s">
        <v>1057</v>
      </c>
      <c r="C378">
        <v>14</v>
      </c>
      <c r="D378">
        <v>170.2</v>
      </c>
      <c r="E378" s="2">
        <v>46173</v>
      </c>
    </row>
    <row r="379" spans="1:5" x14ac:dyDescent="0.25">
      <c r="A379" s="1" t="s">
        <v>336</v>
      </c>
      <c r="B379" s="1" t="s">
        <v>1058</v>
      </c>
      <c r="C379">
        <v>401</v>
      </c>
      <c r="D379">
        <v>83.63</v>
      </c>
      <c r="E379" s="2">
        <v>46141</v>
      </c>
    </row>
    <row r="380" spans="1:5" x14ac:dyDescent="0.25">
      <c r="A380" s="1" t="s">
        <v>337</v>
      </c>
      <c r="B380" s="1" t="s">
        <v>1059</v>
      </c>
      <c r="C380">
        <v>297</v>
      </c>
      <c r="D380">
        <v>42.96</v>
      </c>
      <c r="E380" s="2">
        <v>46184</v>
      </c>
    </row>
    <row r="381" spans="1:5" x14ac:dyDescent="0.25">
      <c r="A381" s="1" t="s">
        <v>338</v>
      </c>
      <c r="B381" s="1" t="s">
        <v>1060</v>
      </c>
      <c r="C381">
        <v>268</v>
      </c>
      <c r="D381">
        <v>92.82</v>
      </c>
      <c r="E381" s="2">
        <v>46142</v>
      </c>
    </row>
    <row r="382" spans="1:5" x14ac:dyDescent="0.25">
      <c r="A382" s="1" t="s">
        <v>339</v>
      </c>
      <c r="B382" s="1" t="s">
        <v>1061</v>
      </c>
      <c r="C382">
        <v>75</v>
      </c>
      <c r="D382">
        <v>195.14</v>
      </c>
      <c r="E382" s="2">
        <v>46074</v>
      </c>
    </row>
    <row r="383" spans="1:5" x14ac:dyDescent="0.25">
      <c r="A383" s="1" t="s">
        <v>340</v>
      </c>
      <c r="B383" s="1" t="s">
        <v>1062</v>
      </c>
      <c r="C383">
        <v>490</v>
      </c>
      <c r="D383">
        <v>76.290000000000006</v>
      </c>
      <c r="E383" s="2">
        <v>46179</v>
      </c>
    </row>
    <row r="384" spans="1:5" x14ac:dyDescent="0.25">
      <c r="A384" s="1" t="s">
        <v>341</v>
      </c>
      <c r="B384" s="1" t="s">
        <v>1063</v>
      </c>
      <c r="C384">
        <v>215</v>
      </c>
      <c r="D384">
        <v>102.52</v>
      </c>
      <c r="E384" s="2">
        <v>46169</v>
      </c>
    </row>
    <row r="385" spans="1:5" x14ac:dyDescent="0.25">
      <c r="A385" s="1" t="s">
        <v>1064</v>
      </c>
      <c r="B385" s="1" t="s">
        <v>1065</v>
      </c>
      <c r="C385">
        <v>421</v>
      </c>
      <c r="D385">
        <v>97.38</v>
      </c>
      <c r="E385" s="2">
        <v>46120</v>
      </c>
    </row>
    <row r="386" spans="1:5" x14ac:dyDescent="0.25">
      <c r="A386" s="1" t="s">
        <v>342</v>
      </c>
      <c r="B386" s="1" t="s">
        <v>1066</v>
      </c>
      <c r="C386">
        <v>81</v>
      </c>
      <c r="D386">
        <v>79.62</v>
      </c>
      <c r="E386" s="2">
        <v>46170</v>
      </c>
    </row>
    <row r="387" spans="1:5" x14ac:dyDescent="0.25">
      <c r="A387" s="1" t="s">
        <v>343</v>
      </c>
      <c r="B387" s="1" t="s">
        <v>1067</v>
      </c>
      <c r="C387">
        <v>325</v>
      </c>
      <c r="D387">
        <v>149.16999999999999</v>
      </c>
      <c r="E387" s="2">
        <v>46143</v>
      </c>
    </row>
    <row r="388" spans="1:5" x14ac:dyDescent="0.25">
      <c r="A388" s="1" t="s">
        <v>344</v>
      </c>
      <c r="B388" s="1" t="s">
        <v>1068</v>
      </c>
      <c r="C388">
        <v>282</v>
      </c>
      <c r="D388">
        <v>100.52</v>
      </c>
      <c r="E388" s="2">
        <v>46169</v>
      </c>
    </row>
    <row r="389" spans="1:5" x14ac:dyDescent="0.25">
      <c r="A389" s="1" t="s">
        <v>345</v>
      </c>
      <c r="B389" s="1" t="s">
        <v>1069</v>
      </c>
      <c r="C389">
        <v>198</v>
      </c>
      <c r="D389">
        <v>69.59</v>
      </c>
      <c r="E389" s="2">
        <v>46049</v>
      </c>
    </row>
    <row r="390" spans="1:5" x14ac:dyDescent="0.25">
      <c r="A390" s="1" t="s">
        <v>346</v>
      </c>
      <c r="B390" s="1" t="s">
        <v>1070</v>
      </c>
      <c r="C390">
        <v>417</v>
      </c>
      <c r="D390">
        <v>180.26</v>
      </c>
      <c r="E390" s="2">
        <v>46115</v>
      </c>
    </row>
    <row r="391" spans="1:5" x14ac:dyDescent="0.25">
      <c r="A391" s="1" t="s">
        <v>347</v>
      </c>
      <c r="B391" s="1" t="s">
        <v>1071</v>
      </c>
      <c r="C391">
        <v>145</v>
      </c>
      <c r="D391">
        <v>193.58</v>
      </c>
      <c r="E391" s="2">
        <v>46158</v>
      </c>
    </row>
    <row r="392" spans="1:5" x14ac:dyDescent="0.25">
      <c r="A392" s="1" t="s">
        <v>348</v>
      </c>
      <c r="B392" s="1" t="s">
        <v>1072</v>
      </c>
      <c r="C392">
        <v>308</v>
      </c>
      <c r="D392">
        <v>98.69</v>
      </c>
      <c r="E392" s="2">
        <v>46060</v>
      </c>
    </row>
    <row r="393" spans="1:5" x14ac:dyDescent="0.25">
      <c r="A393" s="1" t="s">
        <v>349</v>
      </c>
      <c r="B393" s="1" t="s">
        <v>1073</v>
      </c>
      <c r="C393">
        <v>26</v>
      </c>
      <c r="D393">
        <v>116.65</v>
      </c>
      <c r="E393" s="2">
        <v>46102</v>
      </c>
    </row>
    <row r="394" spans="1:5" x14ac:dyDescent="0.25">
      <c r="A394" s="1" t="s">
        <v>350</v>
      </c>
      <c r="B394" s="1" t="s">
        <v>1074</v>
      </c>
      <c r="C394">
        <v>235</v>
      </c>
      <c r="D394">
        <v>75.819999999999993</v>
      </c>
      <c r="E394" s="2">
        <v>46053</v>
      </c>
    </row>
    <row r="395" spans="1:5" x14ac:dyDescent="0.25">
      <c r="A395" s="1" t="s">
        <v>351</v>
      </c>
      <c r="B395" s="1" t="s">
        <v>1075</v>
      </c>
      <c r="C395">
        <v>220</v>
      </c>
      <c r="D395">
        <v>102.85</v>
      </c>
      <c r="E395" s="2">
        <v>46099</v>
      </c>
    </row>
    <row r="396" spans="1:5" x14ac:dyDescent="0.25">
      <c r="A396" s="1" t="s">
        <v>352</v>
      </c>
      <c r="B396" s="1" t="s">
        <v>1076</v>
      </c>
      <c r="C396">
        <v>371</v>
      </c>
      <c r="D396">
        <v>34.08</v>
      </c>
      <c r="E396" s="2">
        <v>46056</v>
      </c>
    </row>
    <row r="397" spans="1:5" x14ac:dyDescent="0.25">
      <c r="A397" s="1" t="s">
        <v>353</v>
      </c>
      <c r="B397" s="1" t="s">
        <v>1077</v>
      </c>
      <c r="C397">
        <v>279</v>
      </c>
      <c r="D397">
        <v>78.48</v>
      </c>
      <c r="E397" s="2">
        <v>46172</v>
      </c>
    </row>
    <row r="398" spans="1:5" x14ac:dyDescent="0.25">
      <c r="A398" s="1" t="s">
        <v>354</v>
      </c>
      <c r="B398" s="1" t="s">
        <v>1078</v>
      </c>
      <c r="C398">
        <v>289</v>
      </c>
      <c r="D398">
        <v>85.1</v>
      </c>
      <c r="E398" s="2">
        <v>46131</v>
      </c>
    </row>
    <row r="399" spans="1:5" x14ac:dyDescent="0.25">
      <c r="A399" s="1" t="s">
        <v>355</v>
      </c>
      <c r="B399" s="1" t="s">
        <v>1079</v>
      </c>
      <c r="C399">
        <v>108</v>
      </c>
      <c r="D399">
        <v>191.68</v>
      </c>
      <c r="E399" s="2">
        <v>46163</v>
      </c>
    </row>
    <row r="400" spans="1:5" x14ac:dyDescent="0.25">
      <c r="A400" s="1" t="s">
        <v>1080</v>
      </c>
      <c r="B400" s="1" t="s">
        <v>1081</v>
      </c>
      <c r="C400">
        <v>404</v>
      </c>
      <c r="D400">
        <v>65.349999999999994</v>
      </c>
      <c r="E400" s="2">
        <v>46124</v>
      </c>
    </row>
    <row r="401" spans="1:5" x14ac:dyDescent="0.25">
      <c r="A401" s="1" t="s">
        <v>356</v>
      </c>
      <c r="B401" s="1" t="s">
        <v>1082</v>
      </c>
      <c r="C401">
        <v>188</v>
      </c>
      <c r="D401">
        <v>114.3</v>
      </c>
      <c r="E401" s="2">
        <v>46161</v>
      </c>
    </row>
    <row r="402" spans="1:5" x14ac:dyDescent="0.25">
      <c r="A402" s="1" t="s">
        <v>357</v>
      </c>
      <c r="B402" s="1" t="s">
        <v>1083</v>
      </c>
      <c r="C402">
        <v>303</v>
      </c>
      <c r="D402">
        <v>136.94</v>
      </c>
      <c r="E402" s="2">
        <v>46076</v>
      </c>
    </row>
    <row r="403" spans="1:5" x14ac:dyDescent="0.25">
      <c r="A403" s="1" t="s">
        <v>358</v>
      </c>
      <c r="B403" s="1" t="s">
        <v>1084</v>
      </c>
      <c r="C403">
        <v>158</v>
      </c>
      <c r="D403">
        <v>13.2</v>
      </c>
      <c r="E403" s="2">
        <v>46071</v>
      </c>
    </row>
    <row r="404" spans="1:5" x14ac:dyDescent="0.25">
      <c r="A404" s="1" t="s">
        <v>359</v>
      </c>
      <c r="B404" s="1" t="s">
        <v>1085</v>
      </c>
      <c r="C404">
        <v>345</v>
      </c>
      <c r="D404">
        <v>55.01</v>
      </c>
      <c r="E404" s="2">
        <v>46156</v>
      </c>
    </row>
    <row r="405" spans="1:5" x14ac:dyDescent="0.25">
      <c r="A405" s="1" t="s">
        <v>360</v>
      </c>
      <c r="B405" s="1" t="s">
        <v>1086</v>
      </c>
      <c r="C405">
        <v>148</v>
      </c>
      <c r="D405">
        <v>186.94</v>
      </c>
      <c r="E405" s="2">
        <v>46182</v>
      </c>
    </row>
    <row r="406" spans="1:5" x14ac:dyDescent="0.25">
      <c r="A406" s="1" t="s">
        <v>361</v>
      </c>
      <c r="B406" s="1" t="s">
        <v>1087</v>
      </c>
      <c r="C406">
        <v>325</v>
      </c>
      <c r="D406">
        <v>149.47</v>
      </c>
      <c r="E406" s="2">
        <v>46064</v>
      </c>
    </row>
    <row r="407" spans="1:5" x14ac:dyDescent="0.25">
      <c r="A407" s="1" t="s">
        <v>1088</v>
      </c>
      <c r="B407" s="1" t="s">
        <v>1089</v>
      </c>
      <c r="C407">
        <v>125</v>
      </c>
      <c r="D407">
        <v>129.4</v>
      </c>
      <c r="E407" s="2">
        <v>46167</v>
      </c>
    </row>
    <row r="408" spans="1:5" x14ac:dyDescent="0.25">
      <c r="A408" s="1" t="s">
        <v>1090</v>
      </c>
      <c r="B408" s="1" t="s">
        <v>1091</v>
      </c>
      <c r="C408">
        <v>377</v>
      </c>
      <c r="D408">
        <v>107.47</v>
      </c>
      <c r="E408" s="2">
        <v>46120</v>
      </c>
    </row>
    <row r="409" spans="1:5" x14ac:dyDescent="0.25">
      <c r="A409" s="1" t="s">
        <v>1092</v>
      </c>
      <c r="B409" s="1" t="s">
        <v>1093</v>
      </c>
      <c r="C409">
        <v>485</v>
      </c>
      <c r="D409">
        <v>35.799999999999997</v>
      </c>
      <c r="E409" s="2">
        <v>46187</v>
      </c>
    </row>
    <row r="410" spans="1:5" x14ac:dyDescent="0.25">
      <c r="A410" s="1" t="s">
        <v>362</v>
      </c>
      <c r="B410" s="1" t="s">
        <v>1094</v>
      </c>
      <c r="C410">
        <v>397</v>
      </c>
      <c r="D410">
        <v>203.42</v>
      </c>
      <c r="E410" s="2">
        <v>46089</v>
      </c>
    </row>
    <row r="411" spans="1:5" x14ac:dyDescent="0.25">
      <c r="A411" s="1" t="s">
        <v>363</v>
      </c>
      <c r="B411" s="1" t="s">
        <v>1095</v>
      </c>
      <c r="C411">
        <v>474</v>
      </c>
      <c r="D411">
        <v>154.9</v>
      </c>
      <c r="E411" s="2">
        <v>46052</v>
      </c>
    </row>
    <row r="412" spans="1:5" x14ac:dyDescent="0.25">
      <c r="A412" s="1" t="s">
        <v>1096</v>
      </c>
      <c r="B412" s="1" t="s">
        <v>1097</v>
      </c>
      <c r="C412">
        <v>477</v>
      </c>
      <c r="D412">
        <v>184.69</v>
      </c>
      <c r="E412" s="2">
        <v>46045</v>
      </c>
    </row>
    <row r="413" spans="1:5" x14ac:dyDescent="0.25">
      <c r="A413" s="1" t="s">
        <v>364</v>
      </c>
      <c r="B413" s="1" t="s">
        <v>1098</v>
      </c>
      <c r="C413">
        <v>413</v>
      </c>
      <c r="D413">
        <v>114.49</v>
      </c>
      <c r="E413" s="2">
        <v>46144</v>
      </c>
    </row>
    <row r="414" spans="1:5" x14ac:dyDescent="0.25">
      <c r="A414" s="1" t="s">
        <v>365</v>
      </c>
      <c r="B414" s="1" t="s">
        <v>1099</v>
      </c>
      <c r="C414">
        <v>162</v>
      </c>
      <c r="D414">
        <v>115.75</v>
      </c>
      <c r="E414" s="2">
        <v>46050</v>
      </c>
    </row>
    <row r="415" spans="1:5" x14ac:dyDescent="0.25">
      <c r="A415" s="1" t="s">
        <v>366</v>
      </c>
      <c r="B415" s="1" t="s">
        <v>1100</v>
      </c>
      <c r="C415">
        <v>338</v>
      </c>
      <c r="D415">
        <v>110.94</v>
      </c>
      <c r="E415" s="2">
        <v>46155</v>
      </c>
    </row>
    <row r="416" spans="1:5" x14ac:dyDescent="0.25">
      <c r="A416" s="1" t="s">
        <v>367</v>
      </c>
      <c r="B416" s="1" t="s">
        <v>1101</v>
      </c>
      <c r="C416">
        <v>149</v>
      </c>
      <c r="D416">
        <v>42.6</v>
      </c>
      <c r="E416" s="2">
        <v>46163</v>
      </c>
    </row>
    <row r="417" spans="1:5" x14ac:dyDescent="0.25">
      <c r="A417" s="1" t="s">
        <v>368</v>
      </c>
      <c r="B417" s="1" t="s">
        <v>1102</v>
      </c>
      <c r="C417">
        <v>341</v>
      </c>
      <c r="D417">
        <v>63.34</v>
      </c>
      <c r="E417" s="2">
        <v>46146</v>
      </c>
    </row>
    <row r="418" spans="1:5" x14ac:dyDescent="0.25">
      <c r="A418" s="1" t="s">
        <v>369</v>
      </c>
      <c r="B418" s="1" t="s">
        <v>1103</v>
      </c>
      <c r="C418">
        <v>414</v>
      </c>
      <c r="D418">
        <v>62.53</v>
      </c>
      <c r="E418" s="2">
        <v>46122</v>
      </c>
    </row>
    <row r="419" spans="1:5" x14ac:dyDescent="0.25">
      <c r="A419" s="1" t="s">
        <v>370</v>
      </c>
      <c r="B419" s="1" t="s">
        <v>1104</v>
      </c>
      <c r="C419">
        <v>433</v>
      </c>
      <c r="D419">
        <v>88.4</v>
      </c>
      <c r="E419" s="2">
        <v>46143</v>
      </c>
    </row>
    <row r="420" spans="1:5" x14ac:dyDescent="0.25">
      <c r="A420" s="1" t="s">
        <v>371</v>
      </c>
      <c r="B420" s="1" t="s">
        <v>1105</v>
      </c>
      <c r="C420">
        <v>104</v>
      </c>
      <c r="D420">
        <v>212.69</v>
      </c>
      <c r="E420" s="2">
        <v>46067</v>
      </c>
    </row>
    <row r="421" spans="1:5" x14ac:dyDescent="0.25">
      <c r="A421" s="1" t="s">
        <v>372</v>
      </c>
      <c r="B421" s="1" t="s">
        <v>1106</v>
      </c>
      <c r="C421">
        <v>143</v>
      </c>
      <c r="D421">
        <v>79.8</v>
      </c>
      <c r="E421" s="2">
        <v>46039</v>
      </c>
    </row>
    <row r="422" spans="1:5" x14ac:dyDescent="0.25">
      <c r="A422" s="1" t="s">
        <v>373</v>
      </c>
      <c r="B422" s="1" t="s">
        <v>1107</v>
      </c>
      <c r="C422">
        <v>308</v>
      </c>
      <c r="D422">
        <v>145.96</v>
      </c>
      <c r="E422" s="2">
        <v>46123</v>
      </c>
    </row>
    <row r="423" spans="1:5" x14ac:dyDescent="0.25">
      <c r="A423" s="1" t="s">
        <v>374</v>
      </c>
      <c r="B423" s="1" t="s">
        <v>1108</v>
      </c>
      <c r="C423">
        <v>364</v>
      </c>
      <c r="D423">
        <v>51.08</v>
      </c>
      <c r="E423" s="2">
        <v>46133</v>
      </c>
    </row>
    <row r="424" spans="1:5" x14ac:dyDescent="0.25">
      <c r="A424" s="1" t="s">
        <v>375</v>
      </c>
      <c r="B424" s="1" t="s">
        <v>1109</v>
      </c>
      <c r="C424">
        <v>91</v>
      </c>
      <c r="D424">
        <v>84.06</v>
      </c>
      <c r="E424" s="2">
        <v>46122</v>
      </c>
    </row>
    <row r="425" spans="1:5" x14ac:dyDescent="0.25">
      <c r="A425" s="1" t="s">
        <v>376</v>
      </c>
      <c r="B425" s="1" t="s">
        <v>1110</v>
      </c>
      <c r="C425">
        <v>337</v>
      </c>
      <c r="D425">
        <v>183.65</v>
      </c>
      <c r="E425" s="2">
        <v>46072</v>
      </c>
    </row>
    <row r="426" spans="1:5" x14ac:dyDescent="0.25">
      <c r="A426" s="1" t="s">
        <v>377</v>
      </c>
      <c r="B426" s="1" t="s">
        <v>1111</v>
      </c>
      <c r="C426">
        <v>122</v>
      </c>
      <c r="D426">
        <v>191.69</v>
      </c>
      <c r="E426" s="2">
        <v>46094</v>
      </c>
    </row>
    <row r="427" spans="1:5" x14ac:dyDescent="0.25">
      <c r="A427" s="1" t="s">
        <v>378</v>
      </c>
      <c r="B427" s="1" t="s">
        <v>1112</v>
      </c>
      <c r="C427">
        <v>222</v>
      </c>
      <c r="D427">
        <v>141.88</v>
      </c>
      <c r="E427" s="2">
        <v>46131</v>
      </c>
    </row>
    <row r="428" spans="1:5" x14ac:dyDescent="0.25">
      <c r="A428" s="1" t="s">
        <v>1113</v>
      </c>
      <c r="B428" s="1" t="s">
        <v>1114</v>
      </c>
      <c r="C428">
        <v>279</v>
      </c>
      <c r="D428">
        <v>92.12</v>
      </c>
      <c r="E428" s="2">
        <v>46069</v>
      </c>
    </row>
    <row r="429" spans="1:5" x14ac:dyDescent="0.25">
      <c r="A429" s="1" t="s">
        <v>379</v>
      </c>
      <c r="B429" s="1" t="s">
        <v>1115</v>
      </c>
      <c r="C429">
        <v>67</v>
      </c>
      <c r="D429">
        <v>17.04</v>
      </c>
      <c r="E429" s="2">
        <v>46192</v>
      </c>
    </row>
    <row r="430" spans="1:5" x14ac:dyDescent="0.25">
      <c r="A430" s="1" t="s">
        <v>380</v>
      </c>
      <c r="B430" s="1" t="s">
        <v>1116</v>
      </c>
      <c r="C430">
        <v>284</v>
      </c>
      <c r="D430">
        <v>34.22</v>
      </c>
      <c r="E430" s="2">
        <v>46191</v>
      </c>
    </row>
    <row r="431" spans="1:5" x14ac:dyDescent="0.25">
      <c r="A431" s="1" t="s">
        <v>381</v>
      </c>
      <c r="B431" s="1" t="s">
        <v>1117</v>
      </c>
      <c r="C431">
        <v>358</v>
      </c>
      <c r="D431">
        <v>45.05</v>
      </c>
      <c r="E431" s="2">
        <v>46074</v>
      </c>
    </row>
    <row r="432" spans="1:5" x14ac:dyDescent="0.25">
      <c r="A432" s="1" t="s">
        <v>382</v>
      </c>
      <c r="B432" s="1" t="s">
        <v>1118</v>
      </c>
      <c r="C432">
        <v>238</v>
      </c>
      <c r="D432">
        <v>162.69</v>
      </c>
      <c r="E432" s="2">
        <v>46166</v>
      </c>
    </row>
    <row r="433" spans="1:5" x14ac:dyDescent="0.25">
      <c r="A433" s="1" t="s">
        <v>383</v>
      </c>
      <c r="B433" s="1" t="s">
        <v>1119</v>
      </c>
      <c r="C433">
        <v>243</v>
      </c>
      <c r="D433">
        <v>127.17</v>
      </c>
      <c r="E433" s="2">
        <v>46153</v>
      </c>
    </row>
    <row r="434" spans="1:5" x14ac:dyDescent="0.25">
      <c r="A434" s="1" t="s">
        <v>384</v>
      </c>
      <c r="B434" s="1" t="s">
        <v>1120</v>
      </c>
      <c r="C434">
        <v>380</v>
      </c>
      <c r="D434">
        <v>9.25</v>
      </c>
      <c r="E434" s="2">
        <v>46107</v>
      </c>
    </row>
    <row r="435" spans="1:5" x14ac:dyDescent="0.25">
      <c r="A435" s="1" t="s">
        <v>385</v>
      </c>
      <c r="B435" s="1" t="s">
        <v>1121</v>
      </c>
      <c r="C435">
        <v>306</v>
      </c>
      <c r="D435">
        <v>19.239999999999998</v>
      </c>
      <c r="E435" s="2">
        <v>46102</v>
      </c>
    </row>
    <row r="436" spans="1:5" x14ac:dyDescent="0.25">
      <c r="A436" s="1" t="s">
        <v>1122</v>
      </c>
      <c r="B436" s="1" t="s">
        <v>1123</v>
      </c>
      <c r="C436">
        <v>287</v>
      </c>
      <c r="D436">
        <v>198.85</v>
      </c>
      <c r="E436" s="2">
        <v>46064</v>
      </c>
    </row>
    <row r="437" spans="1:5" x14ac:dyDescent="0.25">
      <c r="A437" s="1" t="s">
        <v>386</v>
      </c>
      <c r="B437" s="1" t="s">
        <v>1124</v>
      </c>
      <c r="C437">
        <v>219</v>
      </c>
      <c r="D437">
        <v>40.1</v>
      </c>
      <c r="E437" s="2">
        <v>46115</v>
      </c>
    </row>
    <row r="438" spans="1:5" x14ac:dyDescent="0.25">
      <c r="A438" s="1" t="s">
        <v>387</v>
      </c>
      <c r="B438" s="1" t="s">
        <v>1125</v>
      </c>
      <c r="C438">
        <v>239</v>
      </c>
      <c r="D438">
        <v>174.58</v>
      </c>
      <c r="E438" s="2">
        <v>46142</v>
      </c>
    </row>
    <row r="439" spans="1:5" x14ac:dyDescent="0.25">
      <c r="A439" s="1" t="s">
        <v>1126</v>
      </c>
      <c r="B439" s="1" t="s">
        <v>1127</v>
      </c>
      <c r="C439">
        <v>78</v>
      </c>
      <c r="D439">
        <v>132.44</v>
      </c>
      <c r="E439" s="2">
        <v>46175</v>
      </c>
    </row>
    <row r="440" spans="1:5" x14ac:dyDescent="0.25">
      <c r="A440" s="1" t="s">
        <v>388</v>
      </c>
      <c r="B440" s="1" t="s">
        <v>1128</v>
      </c>
      <c r="C440">
        <v>211</v>
      </c>
      <c r="D440">
        <v>108.12</v>
      </c>
      <c r="E440" s="2">
        <v>46173</v>
      </c>
    </row>
    <row r="441" spans="1:5" x14ac:dyDescent="0.25">
      <c r="A441" s="1" t="s">
        <v>389</v>
      </c>
      <c r="B441" s="1" t="s">
        <v>1129</v>
      </c>
      <c r="C441">
        <v>162</v>
      </c>
      <c r="D441">
        <v>95.29</v>
      </c>
      <c r="E441" s="2">
        <v>46050</v>
      </c>
    </row>
    <row r="442" spans="1:5" x14ac:dyDescent="0.25">
      <c r="A442" s="1" t="s">
        <v>390</v>
      </c>
      <c r="B442" s="1" t="s">
        <v>1130</v>
      </c>
      <c r="C442">
        <v>431</v>
      </c>
      <c r="D442">
        <v>49.78</v>
      </c>
      <c r="E442" s="2">
        <v>46140</v>
      </c>
    </row>
    <row r="443" spans="1:5" x14ac:dyDescent="0.25">
      <c r="A443" s="1" t="s">
        <v>391</v>
      </c>
      <c r="B443" s="1" t="s">
        <v>1131</v>
      </c>
      <c r="C443">
        <v>106</v>
      </c>
      <c r="D443">
        <v>187.8</v>
      </c>
      <c r="E443" s="2">
        <v>46107</v>
      </c>
    </row>
    <row r="444" spans="1:5" x14ac:dyDescent="0.25">
      <c r="A444" s="1" t="s">
        <v>392</v>
      </c>
      <c r="B444" s="1" t="s">
        <v>1132</v>
      </c>
      <c r="C444">
        <v>324</v>
      </c>
      <c r="D444">
        <v>154.38</v>
      </c>
      <c r="E444" s="2">
        <v>46144</v>
      </c>
    </row>
    <row r="445" spans="1:5" x14ac:dyDescent="0.25">
      <c r="A445" s="1" t="s">
        <v>393</v>
      </c>
      <c r="B445" s="1" t="s">
        <v>1133</v>
      </c>
      <c r="C445">
        <v>61</v>
      </c>
      <c r="D445">
        <v>130.35</v>
      </c>
      <c r="E445" s="2">
        <v>46049</v>
      </c>
    </row>
    <row r="446" spans="1:5" x14ac:dyDescent="0.25">
      <c r="A446" s="1" t="s">
        <v>394</v>
      </c>
      <c r="B446" s="1" t="s">
        <v>1134</v>
      </c>
      <c r="C446">
        <v>215</v>
      </c>
      <c r="D446">
        <v>90.6</v>
      </c>
      <c r="E446" s="2">
        <v>46048</v>
      </c>
    </row>
    <row r="447" spans="1:5" x14ac:dyDescent="0.25">
      <c r="A447" s="1" t="s">
        <v>1135</v>
      </c>
      <c r="B447" s="1" t="s">
        <v>1136</v>
      </c>
      <c r="C447">
        <v>267</v>
      </c>
      <c r="D447">
        <v>198.73</v>
      </c>
      <c r="E447" s="2">
        <v>46077</v>
      </c>
    </row>
    <row r="448" spans="1:5" x14ac:dyDescent="0.25">
      <c r="A448" s="1" t="s">
        <v>395</v>
      </c>
      <c r="B448" s="1" t="s">
        <v>1137</v>
      </c>
      <c r="C448">
        <v>131</v>
      </c>
      <c r="D448">
        <v>73.97</v>
      </c>
      <c r="E448" s="2">
        <v>46131</v>
      </c>
    </row>
    <row r="449" spans="1:5" x14ac:dyDescent="0.25">
      <c r="A449" s="1" t="s">
        <v>396</v>
      </c>
      <c r="B449" s="1" t="s">
        <v>1138</v>
      </c>
      <c r="C449">
        <v>163</v>
      </c>
      <c r="D449">
        <v>58.66</v>
      </c>
      <c r="E449" s="2">
        <v>46145</v>
      </c>
    </row>
    <row r="450" spans="1:5" x14ac:dyDescent="0.25">
      <c r="A450" s="1" t="s">
        <v>397</v>
      </c>
      <c r="B450" s="1" t="s">
        <v>1139</v>
      </c>
      <c r="C450">
        <v>294</v>
      </c>
      <c r="D450">
        <v>101.65</v>
      </c>
      <c r="E450" s="2">
        <v>46154</v>
      </c>
    </row>
    <row r="451" spans="1:5" x14ac:dyDescent="0.25">
      <c r="A451" s="1" t="s">
        <v>398</v>
      </c>
      <c r="B451" s="1" t="s">
        <v>1140</v>
      </c>
      <c r="C451">
        <v>366</v>
      </c>
      <c r="D451">
        <v>86.18</v>
      </c>
      <c r="E451" s="2">
        <v>46122</v>
      </c>
    </row>
    <row r="452" spans="1:5" x14ac:dyDescent="0.25">
      <c r="A452" s="1" t="s">
        <v>399</v>
      </c>
      <c r="B452" s="1" t="s">
        <v>1141</v>
      </c>
      <c r="C452">
        <v>396</v>
      </c>
      <c r="D452">
        <v>109.9</v>
      </c>
      <c r="E452" s="2">
        <v>46084</v>
      </c>
    </row>
    <row r="453" spans="1:5" x14ac:dyDescent="0.25">
      <c r="A453" s="1" t="s">
        <v>400</v>
      </c>
      <c r="B453" s="1" t="s">
        <v>1142</v>
      </c>
      <c r="C453">
        <v>422</v>
      </c>
      <c r="D453">
        <v>95.29</v>
      </c>
      <c r="E453" s="2">
        <v>46084</v>
      </c>
    </row>
    <row r="454" spans="1:5" x14ac:dyDescent="0.25">
      <c r="A454" s="1" t="s">
        <v>1143</v>
      </c>
      <c r="B454" s="1" t="s">
        <v>1144</v>
      </c>
      <c r="C454">
        <v>281</v>
      </c>
      <c r="D454">
        <v>31.15</v>
      </c>
      <c r="E454" s="2">
        <v>46187</v>
      </c>
    </row>
    <row r="455" spans="1:5" x14ac:dyDescent="0.25">
      <c r="A455" s="1" t="s">
        <v>401</v>
      </c>
      <c r="B455" s="1" t="s">
        <v>1145</v>
      </c>
      <c r="C455">
        <v>341</v>
      </c>
      <c r="D455">
        <v>20.420000000000002</v>
      </c>
      <c r="E455" s="2">
        <v>46126</v>
      </c>
    </row>
    <row r="456" spans="1:5" x14ac:dyDescent="0.25">
      <c r="A456" s="1" t="s">
        <v>402</v>
      </c>
      <c r="B456" s="1" t="s">
        <v>1146</v>
      </c>
      <c r="C456">
        <v>380</v>
      </c>
      <c r="D456">
        <v>166.73</v>
      </c>
      <c r="E456" s="2">
        <v>46174</v>
      </c>
    </row>
    <row r="457" spans="1:5" x14ac:dyDescent="0.25">
      <c r="A457" s="1" t="s">
        <v>403</v>
      </c>
      <c r="B457" s="1" t="s">
        <v>1147</v>
      </c>
      <c r="C457">
        <v>457</v>
      </c>
      <c r="D457">
        <v>19.190000000000001</v>
      </c>
      <c r="E457" s="2">
        <v>46046</v>
      </c>
    </row>
    <row r="458" spans="1:5" x14ac:dyDescent="0.25">
      <c r="A458" s="1" t="s">
        <v>404</v>
      </c>
      <c r="B458" s="1" t="s">
        <v>1148</v>
      </c>
      <c r="C458">
        <v>455</v>
      </c>
      <c r="D458">
        <v>181.87</v>
      </c>
      <c r="E458" s="2">
        <v>46091</v>
      </c>
    </row>
    <row r="459" spans="1:5" x14ac:dyDescent="0.25">
      <c r="A459" s="1" t="s">
        <v>405</v>
      </c>
      <c r="B459" s="1" t="s">
        <v>1149</v>
      </c>
      <c r="C459">
        <v>389</v>
      </c>
      <c r="D459">
        <v>27.88</v>
      </c>
      <c r="E459" s="2">
        <v>46094</v>
      </c>
    </row>
    <row r="460" spans="1:5" x14ac:dyDescent="0.25">
      <c r="A460" s="1" t="s">
        <v>406</v>
      </c>
      <c r="B460" s="1" t="s">
        <v>1150</v>
      </c>
      <c r="C460">
        <v>213</v>
      </c>
      <c r="D460">
        <v>183.45</v>
      </c>
      <c r="E460" s="2">
        <v>46098</v>
      </c>
    </row>
    <row r="461" spans="1:5" x14ac:dyDescent="0.25">
      <c r="A461" s="1" t="s">
        <v>407</v>
      </c>
      <c r="B461" s="1" t="s">
        <v>1151</v>
      </c>
      <c r="C461">
        <v>248</v>
      </c>
      <c r="D461">
        <v>109.06</v>
      </c>
      <c r="E461" s="2">
        <v>46142</v>
      </c>
    </row>
    <row r="462" spans="1:5" x14ac:dyDescent="0.25">
      <c r="A462" s="1" t="s">
        <v>408</v>
      </c>
      <c r="B462" s="1" t="s">
        <v>1152</v>
      </c>
      <c r="C462">
        <v>272</v>
      </c>
      <c r="D462">
        <v>177.15</v>
      </c>
      <c r="E462" s="2">
        <v>46131</v>
      </c>
    </row>
    <row r="463" spans="1:5" x14ac:dyDescent="0.25">
      <c r="A463" s="1" t="s">
        <v>409</v>
      </c>
      <c r="B463" s="1" t="s">
        <v>1153</v>
      </c>
      <c r="C463">
        <v>399</v>
      </c>
      <c r="D463">
        <v>168.75</v>
      </c>
      <c r="E463" s="2">
        <v>46160</v>
      </c>
    </row>
    <row r="464" spans="1:5" x14ac:dyDescent="0.25">
      <c r="A464" s="1" t="s">
        <v>409</v>
      </c>
      <c r="B464" s="1" t="s">
        <v>1154</v>
      </c>
      <c r="C464">
        <v>399</v>
      </c>
      <c r="D464">
        <v>168.75</v>
      </c>
      <c r="E464" s="2">
        <v>46165</v>
      </c>
    </row>
    <row r="465" spans="1:5" x14ac:dyDescent="0.25">
      <c r="A465" s="1" t="s">
        <v>410</v>
      </c>
      <c r="B465" s="1" t="s">
        <v>1155</v>
      </c>
      <c r="C465">
        <v>33</v>
      </c>
      <c r="D465">
        <v>114.69</v>
      </c>
      <c r="E465" s="2">
        <v>46143</v>
      </c>
    </row>
    <row r="466" spans="1:5" x14ac:dyDescent="0.25">
      <c r="A466" s="1" t="s">
        <v>411</v>
      </c>
      <c r="B466" s="1" t="s">
        <v>1156</v>
      </c>
      <c r="C466">
        <v>293</v>
      </c>
      <c r="D466">
        <v>187.28</v>
      </c>
      <c r="E466" s="2">
        <v>46114</v>
      </c>
    </row>
    <row r="467" spans="1:5" x14ac:dyDescent="0.25">
      <c r="A467" s="1" t="s">
        <v>412</v>
      </c>
      <c r="B467" s="1" t="s">
        <v>1157</v>
      </c>
      <c r="C467">
        <v>110</v>
      </c>
      <c r="D467">
        <v>69.319999999999993</v>
      </c>
      <c r="E467" s="2">
        <v>46082</v>
      </c>
    </row>
    <row r="468" spans="1:5" x14ac:dyDescent="0.25">
      <c r="A468" s="1" t="s">
        <v>413</v>
      </c>
      <c r="B468" s="1" t="s">
        <v>1158</v>
      </c>
      <c r="C468">
        <v>345</v>
      </c>
      <c r="D468">
        <v>188.98</v>
      </c>
      <c r="E468" s="2">
        <v>46178</v>
      </c>
    </row>
    <row r="469" spans="1:5" x14ac:dyDescent="0.25">
      <c r="A469" s="1" t="s">
        <v>414</v>
      </c>
      <c r="B469" s="1" t="s">
        <v>1159</v>
      </c>
      <c r="C469">
        <v>245</v>
      </c>
      <c r="D469">
        <v>44.93</v>
      </c>
      <c r="E469" s="2">
        <v>46165</v>
      </c>
    </row>
    <row r="470" spans="1:5" x14ac:dyDescent="0.25">
      <c r="A470" s="1" t="s">
        <v>415</v>
      </c>
      <c r="B470" s="1" t="s">
        <v>1160</v>
      </c>
      <c r="C470">
        <v>260</v>
      </c>
      <c r="D470">
        <v>40.89</v>
      </c>
      <c r="E470" s="2">
        <v>46175</v>
      </c>
    </row>
    <row r="471" spans="1:5" x14ac:dyDescent="0.25">
      <c r="A471" s="1" t="s">
        <v>416</v>
      </c>
      <c r="B471" s="1" t="s">
        <v>1161</v>
      </c>
      <c r="C471">
        <v>439</v>
      </c>
      <c r="D471">
        <v>170.11</v>
      </c>
      <c r="E471" s="2">
        <v>46043</v>
      </c>
    </row>
    <row r="472" spans="1:5" x14ac:dyDescent="0.25">
      <c r="A472" s="1" t="s">
        <v>417</v>
      </c>
      <c r="B472" s="1" t="s">
        <v>1162</v>
      </c>
      <c r="C472">
        <v>80</v>
      </c>
      <c r="D472">
        <v>169.3</v>
      </c>
      <c r="E472" s="2">
        <v>46141</v>
      </c>
    </row>
    <row r="473" spans="1:5" x14ac:dyDescent="0.25">
      <c r="A473" s="1" t="s">
        <v>418</v>
      </c>
      <c r="B473" s="1" t="s">
        <v>1163</v>
      </c>
      <c r="C473">
        <v>14</v>
      </c>
      <c r="D473">
        <v>47.65</v>
      </c>
      <c r="E473" s="2">
        <v>46084</v>
      </c>
    </row>
    <row r="474" spans="1:5" x14ac:dyDescent="0.25">
      <c r="A474" s="1" t="s">
        <v>1164</v>
      </c>
      <c r="B474" s="1" t="s">
        <v>1165</v>
      </c>
      <c r="C474">
        <v>347</v>
      </c>
      <c r="D474">
        <v>100.13</v>
      </c>
      <c r="E474" s="2">
        <v>46165</v>
      </c>
    </row>
    <row r="475" spans="1:5" x14ac:dyDescent="0.25">
      <c r="A475" s="1" t="s">
        <v>419</v>
      </c>
      <c r="B475" s="1" t="s">
        <v>1166</v>
      </c>
      <c r="C475">
        <v>281</v>
      </c>
      <c r="D475">
        <v>145.83000000000001</v>
      </c>
      <c r="E475" s="2">
        <v>46042</v>
      </c>
    </row>
    <row r="476" spans="1:5" x14ac:dyDescent="0.25">
      <c r="A476" s="1" t="s">
        <v>420</v>
      </c>
      <c r="B476" s="1" t="s">
        <v>1167</v>
      </c>
      <c r="C476">
        <v>426</v>
      </c>
      <c r="D476">
        <v>141.08000000000001</v>
      </c>
      <c r="E476" s="2">
        <v>46166</v>
      </c>
    </row>
    <row r="477" spans="1:5" x14ac:dyDescent="0.25">
      <c r="A477" s="1" t="s">
        <v>421</v>
      </c>
      <c r="B477" s="1" t="s">
        <v>1168</v>
      </c>
      <c r="C477">
        <v>278</v>
      </c>
      <c r="D477">
        <v>34.04</v>
      </c>
      <c r="E477" s="2">
        <v>46071</v>
      </c>
    </row>
    <row r="478" spans="1:5" x14ac:dyDescent="0.25">
      <c r="A478" s="1" t="s">
        <v>422</v>
      </c>
      <c r="B478" s="1" t="s">
        <v>1169</v>
      </c>
      <c r="C478">
        <v>146</v>
      </c>
      <c r="D478">
        <v>160.01</v>
      </c>
      <c r="E478" s="2">
        <v>46132</v>
      </c>
    </row>
    <row r="479" spans="1:5" x14ac:dyDescent="0.25">
      <c r="A479" s="1" t="s">
        <v>422</v>
      </c>
      <c r="B479" s="1" t="s">
        <v>1170</v>
      </c>
      <c r="C479">
        <v>146</v>
      </c>
      <c r="D479">
        <v>160.01</v>
      </c>
      <c r="E479" s="2">
        <v>46133</v>
      </c>
    </row>
    <row r="480" spans="1:5" x14ac:dyDescent="0.25">
      <c r="A480" s="1" t="s">
        <v>423</v>
      </c>
      <c r="B480" s="1" t="s">
        <v>1171</v>
      </c>
      <c r="C480">
        <v>299</v>
      </c>
      <c r="D480">
        <v>52.43</v>
      </c>
      <c r="E480" s="2">
        <v>46159</v>
      </c>
    </row>
    <row r="481" spans="1:5" x14ac:dyDescent="0.25">
      <c r="A481" s="1" t="s">
        <v>424</v>
      </c>
      <c r="B481" s="1" t="s">
        <v>1172</v>
      </c>
      <c r="C481">
        <v>344</v>
      </c>
      <c r="D481">
        <v>198.38</v>
      </c>
      <c r="E481" s="2">
        <v>46051</v>
      </c>
    </row>
    <row r="482" spans="1:5" x14ac:dyDescent="0.25">
      <c r="A482" s="1" t="s">
        <v>425</v>
      </c>
      <c r="B482" s="1" t="s">
        <v>1173</v>
      </c>
      <c r="C482">
        <v>204</v>
      </c>
      <c r="D482">
        <v>78.55</v>
      </c>
      <c r="E482" s="2">
        <v>46139</v>
      </c>
    </row>
    <row r="483" spans="1:5" x14ac:dyDescent="0.25">
      <c r="A483" s="1" t="s">
        <v>426</v>
      </c>
      <c r="B483" s="1" t="s">
        <v>1174</v>
      </c>
      <c r="C483">
        <v>369</v>
      </c>
      <c r="D483">
        <v>38.42</v>
      </c>
      <c r="E483" s="2">
        <v>46048</v>
      </c>
    </row>
    <row r="484" spans="1:5" x14ac:dyDescent="0.25">
      <c r="A484" s="1" t="s">
        <v>427</v>
      </c>
      <c r="B484" s="1" t="s">
        <v>1175</v>
      </c>
      <c r="C484">
        <v>299</v>
      </c>
      <c r="D484">
        <v>195.58</v>
      </c>
      <c r="E484" s="2">
        <v>46135</v>
      </c>
    </row>
    <row r="485" spans="1:5" x14ac:dyDescent="0.25">
      <c r="A485" s="1" t="s">
        <v>428</v>
      </c>
      <c r="B485" s="1" t="s">
        <v>1176</v>
      </c>
      <c r="C485">
        <v>118</v>
      </c>
      <c r="D485">
        <v>180.75</v>
      </c>
      <c r="E485" s="2">
        <v>46103</v>
      </c>
    </row>
    <row r="486" spans="1:5" x14ac:dyDescent="0.25">
      <c r="A486" s="1" t="s">
        <v>429</v>
      </c>
      <c r="B486" s="1" t="s">
        <v>1177</v>
      </c>
      <c r="C486">
        <v>483</v>
      </c>
      <c r="D486">
        <v>19.5</v>
      </c>
      <c r="E486" s="2">
        <v>46046</v>
      </c>
    </row>
    <row r="487" spans="1:5" x14ac:dyDescent="0.25">
      <c r="A487" s="1" t="s">
        <v>1178</v>
      </c>
      <c r="B487" s="1" t="s">
        <v>1179</v>
      </c>
      <c r="C487">
        <v>18</v>
      </c>
      <c r="D487">
        <v>192.49</v>
      </c>
      <c r="E487" s="2">
        <v>46116</v>
      </c>
    </row>
    <row r="488" spans="1:5" x14ac:dyDescent="0.25">
      <c r="A488" s="1" t="s">
        <v>430</v>
      </c>
      <c r="B488" s="1" t="s">
        <v>1180</v>
      </c>
      <c r="C488">
        <v>485</v>
      </c>
      <c r="D488">
        <v>20</v>
      </c>
      <c r="E488" s="2">
        <v>46141</v>
      </c>
    </row>
    <row r="489" spans="1:5" x14ac:dyDescent="0.25">
      <c r="A489" s="1" t="s">
        <v>430</v>
      </c>
      <c r="B489" s="1" t="s">
        <v>1181</v>
      </c>
      <c r="C489">
        <v>485</v>
      </c>
      <c r="D489">
        <v>20</v>
      </c>
      <c r="E489" s="2">
        <v>46143</v>
      </c>
    </row>
    <row r="490" spans="1:5" x14ac:dyDescent="0.25">
      <c r="A490" s="1" t="s">
        <v>431</v>
      </c>
      <c r="B490" s="1" t="s">
        <v>1182</v>
      </c>
      <c r="C490">
        <v>356</v>
      </c>
      <c r="D490">
        <v>179.82</v>
      </c>
      <c r="E490" s="2">
        <v>46140</v>
      </c>
    </row>
    <row r="491" spans="1:5" x14ac:dyDescent="0.25">
      <c r="A491" s="1" t="s">
        <v>432</v>
      </c>
      <c r="B491" s="1" t="s">
        <v>1183</v>
      </c>
      <c r="C491">
        <v>414</v>
      </c>
      <c r="D491">
        <v>197.75</v>
      </c>
      <c r="E491" s="2">
        <v>46072</v>
      </c>
    </row>
    <row r="492" spans="1:5" x14ac:dyDescent="0.25">
      <c r="A492" s="1" t="s">
        <v>433</v>
      </c>
      <c r="B492" s="1" t="s">
        <v>1184</v>
      </c>
      <c r="C492">
        <v>37</v>
      </c>
      <c r="D492">
        <v>24.05</v>
      </c>
      <c r="E492" s="2">
        <v>46125</v>
      </c>
    </row>
    <row r="493" spans="1:5" x14ac:dyDescent="0.25">
      <c r="A493" s="1" t="s">
        <v>434</v>
      </c>
      <c r="B493" s="1" t="s">
        <v>1185</v>
      </c>
      <c r="C493">
        <v>406</v>
      </c>
      <c r="D493">
        <v>68.64</v>
      </c>
      <c r="E493" s="2">
        <v>46140</v>
      </c>
    </row>
    <row r="494" spans="1:5" x14ac:dyDescent="0.25">
      <c r="A494" s="1" t="s">
        <v>435</v>
      </c>
      <c r="B494" s="1" t="s">
        <v>1186</v>
      </c>
      <c r="C494">
        <v>126</v>
      </c>
      <c r="D494">
        <v>74.38</v>
      </c>
      <c r="E494" s="2">
        <v>46168</v>
      </c>
    </row>
    <row r="495" spans="1:5" x14ac:dyDescent="0.25">
      <c r="A495" s="1" t="s">
        <v>1187</v>
      </c>
      <c r="B495" s="1" t="s">
        <v>1188</v>
      </c>
      <c r="C495">
        <v>348</v>
      </c>
      <c r="D495">
        <v>79.11</v>
      </c>
      <c r="E495" s="2">
        <v>46189</v>
      </c>
    </row>
    <row r="496" spans="1:5" x14ac:dyDescent="0.25">
      <c r="A496" s="1" t="s">
        <v>436</v>
      </c>
      <c r="B496" s="1" t="s">
        <v>1189</v>
      </c>
      <c r="C496">
        <v>52</v>
      </c>
      <c r="D496">
        <v>57.25</v>
      </c>
      <c r="E496" s="2">
        <v>46054</v>
      </c>
    </row>
    <row r="497" spans="1:5" x14ac:dyDescent="0.25">
      <c r="A497" s="1" t="s">
        <v>437</v>
      </c>
      <c r="B497" s="1" t="s">
        <v>1190</v>
      </c>
      <c r="C497">
        <v>172</v>
      </c>
      <c r="D497">
        <v>75.34</v>
      </c>
      <c r="E497" s="2">
        <v>46134</v>
      </c>
    </row>
    <row r="498" spans="1:5" x14ac:dyDescent="0.25">
      <c r="A498" s="1" t="s">
        <v>1191</v>
      </c>
      <c r="B498" s="1" t="s">
        <v>1192</v>
      </c>
      <c r="C498">
        <v>194</v>
      </c>
      <c r="D498">
        <v>153.46</v>
      </c>
      <c r="E498" s="2">
        <v>46147</v>
      </c>
    </row>
    <row r="499" spans="1:5" x14ac:dyDescent="0.25">
      <c r="A499" s="1" t="s">
        <v>438</v>
      </c>
      <c r="B499" s="1" t="s">
        <v>1193</v>
      </c>
      <c r="C499">
        <v>230</v>
      </c>
      <c r="D499">
        <v>92.52</v>
      </c>
      <c r="E499" s="2">
        <v>46096</v>
      </c>
    </row>
    <row r="500" spans="1:5" x14ac:dyDescent="0.25">
      <c r="A500" s="1" t="s">
        <v>439</v>
      </c>
      <c r="B500" s="1" t="s">
        <v>1194</v>
      </c>
      <c r="C500">
        <v>23</v>
      </c>
      <c r="D500">
        <v>22.48</v>
      </c>
      <c r="E500" s="2">
        <v>46058</v>
      </c>
    </row>
    <row r="501" spans="1:5" x14ac:dyDescent="0.25">
      <c r="A501" s="1" t="s">
        <v>440</v>
      </c>
      <c r="B501" s="1" t="s">
        <v>1195</v>
      </c>
      <c r="C501">
        <v>452</v>
      </c>
      <c r="D501">
        <v>80.12</v>
      </c>
      <c r="E501" s="2">
        <v>46132</v>
      </c>
    </row>
    <row r="502" spans="1:5" x14ac:dyDescent="0.25">
      <c r="A502" s="1" t="s">
        <v>441</v>
      </c>
      <c r="B502" s="1" t="s">
        <v>1196</v>
      </c>
      <c r="C502">
        <v>381</v>
      </c>
      <c r="D502">
        <v>180.72</v>
      </c>
      <c r="E502" s="2">
        <v>46066</v>
      </c>
    </row>
    <row r="503" spans="1:5" x14ac:dyDescent="0.25">
      <c r="A503" s="1" t="s">
        <v>442</v>
      </c>
      <c r="B503" s="1" t="s">
        <v>1197</v>
      </c>
      <c r="C503">
        <v>96</v>
      </c>
      <c r="D503">
        <v>32.07</v>
      </c>
      <c r="E503" s="2">
        <v>46134</v>
      </c>
    </row>
    <row r="504" spans="1:5" x14ac:dyDescent="0.25">
      <c r="A504" s="1" t="s">
        <v>443</v>
      </c>
      <c r="B504" s="1" t="s">
        <v>1198</v>
      </c>
      <c r="C504">
        <v>42</v>
      </c>
      <c r="D504">
        <v>37.61</v>
      </c>
      <c r="E504" s="2">
        <v>46079</v>
      </c>
    </row>
    <row r="505" spans="1:5" x14ac:dyDescent="0.25">
      <c r="A505" s="1" t="s">
        <v>444</v>
      </c>
      <c r="B505" s="1" t="s">
        <v>1199</v>
      </c>
      <c r="C505">
        <v>410</v>
      </c>
      <c r="D505">
        <v>20</v>
      </c>
      <c r="E505" s="2">
        <v>46159</v>
      </c>
    </row>
    <row r="506" spans="1:5" x14ac:dyDescent="0.25">
      <c r="A506" s="1" t="s">
        <v>445</v>
      </c>
      <c r="B506" s="1" t="s">
        <v>1200</v>
      </c>
      <c r="C506">
        <v>314</v>
      </c>
      <c r="D506">
        <v>125.25</v>
      </c>
      <c r="E506" s="2">
        <v>46162</v>
      </c>
    </row>
    <row r="507" spans="1:5" x14ac:dyDescent="0.25">
      <c r="A507" s="1" t="s">
        <v>446</v>
      </c>
      <c r="B507" s="1" t="s">
        <v>1201</v>
      </c>
      <c r="C507">
        <v>13</v>
      </c>
      <c r="D507">
        <v>190.02</v>
      </c>
      <c r="E507" s="2">
        <v>46123</v>
      </c>
    </row>
    <row r="508" spans="1:5" x14ac:dyDescent="0.25">
      <c r="A508" s="1" t="s">
        <v>447</v>
      </c>
      <c r="B508" s="1" t="s">
        <v>1202</v>
      </c>
      <c r="C508">
        <v>181</v>
      </c>
      <c r="D508">
        <v>88.97</v>
      </c>
      <c r="E508" s="2">
        <v>46150</v>
      </c>
    </row>
    <row r="509" spans="1:5" x14ac:dyDescent="0.25">
      <c r="A509" s="1" t="s">
        <v>448</v>
      </c>
      <c r="B509" s="1" t="s">
        <v>1203</v>
      </c>
      <c r="C509">
        <v>318</v>
      </c>
      <c r="D509">
        <v>189.72</v>
      </c>
      <c r="E509" s="2">
        <v>46131</v>
      </c>
    </row>
    <row r="510" spans="1:5" x14ac:dyDescent="0.25">
      <c r="A510" s="1" t="s">
        <v>449</v>
      </c>
      <c r="B510" s="1" t="s">
        <v>1204</v>
      </c>
      <c r="C510">
        <v>213</v>
      </c>
      <c r="D510">
        <v>193.9</v>
      </c>
      <c r="E510" s="2">
        <v>46089</v>
      </c>
    </row>
    <row r="511" spans="1:5" x14ac:dyDescent="0.25">
      <c r="A511" s="1" t="s">
        <v>450</v>
      </c>
      <c r="B511" s="1" t="s">
        <v>1205</v>
      </c>
      <c r="C511">
        <v>176</v>
      </c>
      <c r="D511">
        <v>78.33</v>
      </c>
      <c r="E511" s="2">
        <v>46103</v>
      </c>
    </row>
    <row r="512" spans="1:5" x14ac:dyDescent="0.25">
      <c r="A512" s="1" t="s">
        <v>450</v>
      </c>
      <c r="B512" s="1" t="s">
        <v>1206</v>
      </c>
      <c r="C512">
        <v>176</v>
      </c>
      <c r="D512">
        <v>78.33</v>
      </c>
      <c r="E512" s="2">
        <v>46107</v>
      </c>
    </row>
    <row r="513" spans="1:5" x14ac:dyDescent="0.25">
      <c r="A513" s="1" t="s">
        <v>451</v>
      </c>
      <c r="B513" s="1" t="s">
        <v>1207</v>
      </c>
      <c r="C513">
        <v>112</v>
      </c>
      <c r="D513">
        <v>120.48</v>
      </c>
      <c r="E513" s="2">
        <v>46180</v>
      </c>
    </row>
    <row r="514" spans="1:5" x14ac:dyDescent="0.25">
      <c r="A514" s="1" t="s">
        <v>451</v>
      </c>
      <c r="B514" s="1" t="s">
        <v>1208</v>
      </c>
      <c r="C514">
        <v>112</v>
      </c>
      <c r="D514">
        <v>120.48</v>
      </c>
      <c r="E514" s="2">
        <v>46181</v>
      </c>
    </row>
    <row r="515" spans="1:5" x14ac:dyDescent="0.25">
      <c r="A515" s="1" t="s">
        <v>452</v>
      </c>
      <c r="B515" s="1" t="s">
        <v>1209</v>
      </c>
      <c r="C515">
        <v>23</v>
      </c>
      <c r="D515">
        <v>190.84</v>
      </c>
      <c r="E515" s="2">
        <v>46179</v>
      </c>
    </row>
    <row r="516" spans="1:5" x14ac:dyDescent="0.25">
      <c r="A516" s="1" t="s">
        <v>453</v>
      </c>
      <c r="B516" s="1" t="s">
        <v>1210</v>
      </c>
      <c r="C516">
        <v>435</v>
      </c>
      <c r="D516">
        <v>140.1</v>
      </c>
      <c r="E516" s="2">
        <v>46121</v>
      </c>
    </row>
    <row r="517" spans="1:5" x14ac:dyDescent="0.25">
      <c r="A517" s="1" t="s">
        <v>454</v>
      </c>
      <c r="B517" s="1" t="s">
        <v>1211</v>
      </c>
      <c r="C517">
        <v>133</v>
      </c>
      <c r="D517">
        <v>54.27</v>
      </c>
      <c r="E517" s="2">
        <v>46126</v>
      </c>
    </row>
    <row r="518" spans="1:5" x14ac:dyDescent="0.25">
      <c r="A518" s="1" t="s">
        <v>455</v>
      </c>
      <c r="B518" s="1" t="s">
        <v>1212</v>
      </c>
      <c r="C518">
        <v>239</v>
      </c>
      <c r="D518">
        <v>198.19</v>
      </c>
      <c r="E518" s="2">
        <v>46059</v>
      </c>
    </row>
    <row r="519" spans="1:5" x14ac:dyDescent="0.25">
      <c r="A519" s="1" t="s">
        <v>456</v>
      </c>
      <c r="B519" s="1" t="s">
        <v>1213</v>
      </c>
      <c r="C519">
        <v>482</v>
      </c>
      <c r="D519">
        <v>184.48</v>
      </c>
      <c r="E519" s="2">
        <v>46176</v>
      </c>
    </row>
    <row r="520" spans="1:5" x14ac:dyDescent="0.25">
      <c r="A520" s="1" t="s">
        <v>456</v>
      </c>
      <c r="B520" s="1" t="s">
        <v>1214</v>
      </c>
      <c r="C520">
        <v>482</v>
      </c>
      <c r="D520">
        <v>184.48</v>
      </c>
      <c r="E520" s="2">
        <v>46179</v>
      </c>
    </row>
    <row r="521" spans="1:5" x14ac:dyDescent="0.25">
      <c r="A521" s="1" t="s">
        <v>457</v>
      </c>
      <c r="B521" s="1" t="s">
        <v>1215</v>
      </c>
      <c r="C521">
        <v>414</v>
      </c>
      <c r="D521">
        <v>193.84</v>
      </c>
      <c r="E521" s="2">
        <v>46045</v>
      </c>
    </row>
    <row r="522" spans="1:5" x14ac:dyDescent="0.25">
      <c r="A522" s="1" t="s">
        <v>1216</v>
      </c>
      <c r="B522" s="1" t="s">
        <v>1217</v>
      </c>
      <c r="C522">
        <v>346</v>
      </c>
      <c r="D522">
        <v>134.62</v>
      </c>
      <c r="E522" s="2">
        <v>46100</v>
      </c>
    </row>
    <row r="523" spans="1:5" x14ac:dyDescent="0.25">
      <c r="A523" s="1" t="s">
        <v>458</v>
      </c>
      <c r="B523" s="1" t="s">
        <v>1218</v>
      </c>
      <c r="C523">
        <v>395</v>
      </c>
      <c r="D523">
        <v>69.66</v>
      </c>
      <c r="E523" s="2">
        <v>46135</v>
      </c>
    </row>
    <row r="524" spans="1:5" x14ac:dyDescent="0.25">
      <c r="A524" s="1" t="s">
        <v>459</v>
      </c>
      <c r="B524" s="1" t="s">
        <v>1219</v>
      </c>
      <c r="C524">
        <v>142</v>
      </c>
      <c r="D524">
        <v>48.29</v>
      </c>
      <c r="E524" s="2">
        <v>46077</v>
      </c>
    </row>
    <row r="525" spans="1:5" x14ac:dyDescent="0.25">
      <c r="A525" s="1" t="s">
        <v>460</v>
      </c>
      <c r="B525" s="1" t="s">
        <v>1220</v>
      </c>
      <c r="C525">
        <v>362</v>
      </c>
      <c r="D525">
        <v>117.17</v>
      </c>
      <c r="E525" s="2">
        <v>46189</v>
      </c>
    </row>
    <row r="526" spans="1:5" x14ac:dyDescent="0.25">
      <c r="A526" s="1" t="s">
        <v>461</v>
      </c>
      <c r="B526" s="1" t="s">
        <v>1221</v>
      </c>
      <c r="C526">
        <v>405</v>
      </c>
      <c r="D526">
        <v>137.51</v>
      </c>
      <c r="E526" s="2">
        <v>46166</v>
      </c>
    </row>
    <row r="527" spans="1:5" x14ac:dyDescent="0.25">
      <c r="A527" s="1" t="s">
        <v>462</v>
      </c>
      <c r="B527" s="1" t="s">
        <v>1222</v>
      </c>
      <c r="C527">
        <v>22</v>
      </c>
      <c r="D527">
        <v>99.14</v>
      </c>
      <c r="E527" s="2">
        <v>46139</v>
      </c>
    </row>
    <row r="528" spans="1:5" x14ac:dyDescent="0.25">
      <c r="A528" s="1" t="s">
        <v>1223</v>
      </c>
      <c r="B528" s="1" t="s">
        <v>1224</v>
      </c>
      <c r="C528">
        <v>435</v>
      </c>
      <c r="D528">
        <v>188.43</v>
      </c>
      <c r="E528" s="2">
        <v>46069</v>
      </c>
    </row>
    <row r="529" spans="1:5" x14ac:dyDescent="0.25">
      <c r="A529" s="1" t="s">
        <v>463</v>
      </c>
      <c r="B529" s="1" t="s">
        <v>1225</v>
      </c>
      <c r="C529">
        <v>243</v>
      </c>
      <c r="D529">
        <v>157.93</v>
      </c>
      <c r="E529" s="2">
        <v>46135</v>
      </c>
    </row>
    <row r="530" spans="1:5" x14ac:dyDescent="0.25">
      <c r="A530" s="1" t="s">
        <v>464</v>
      </c>
      <c r="B530" s="1" t="s">
        <v>1226</v>
      </c>
      <c r="C530">
        <v>59</v>
      </c>
      <c r="D530">
        <v>90.44</v>
      </c>
      <c r="E530" s="2">
        <v>46171</v>
      </c>
    </row>
    <row r="531" spans="1:5" x14ac:dyDescent="0.25">
      <c r="A531" s="1" t="s">
        <v>465</v>
      </c>
      <c r="B531" s="1" t="s">
        <v>1227</v>
      </c>
      <c r="C531">
        <v>163</v>
      </c>
      <c r="D531">
        <v>13.71</v>
      </c>
      <c r="E531" s="2">
        <v>46050</v>
      </c>
    </row>
    <row r="532" spans="1:5" x14ac:dyDescent="0.25">
      <c r="A532" s="1" t="s">
        <v>466</v>
      </c>
      <c r="B532" s="1" t="s">
        <v>1228</v>
      </c>
      <c r="C532">
        <v>341</v>
      </c>
      <c r="D532">
        <v>26.33</v>
      </c>
      <c r="E532" s="2">
        <v>46126</v>
      </c>
    </row>
    <row r="533" spans="1:5" x14ac:dyDescent="0.25">
      <c r="A533" s="1" t="s">
        <v>467</v>
      </c>
      <c r="B533" s="1" t="s">
        <v>1229</v>
      </c>
      <c r="C533">
        <v>292</v>
      </c>
      <c r="D533">
        <v>36.229999999999997</v>
      </c>
      <c r="E533" s="2">
        <v>46087</v>
      </c>
    </row>
    <row r="534" spans="1:5" x14ac:dyDescent="0.25">
      <c r="A534" s="1" t="s">
        <v>468</v>
      </c>
      <c r="B534" s="1" t="s">
        <v>1230</v>
      </c>
      <c r="C534">
        <v>418</v>
      </c>
      <c r="D534">
        <v>83.98</v>
      </c>
      <c r="E534" s="2">
        <v>46093</v>
      </c>
    </row>
    <row r="535" spans="1:5" x14ac:dyDescent="0.25">
      <c r="A535" s="1" t="s">
        <v>469</v>
      </c>
      <c r="B535" s="1" t="s">
        <v>1231</v>
      </c>
      <c r="C535">
        <v>212</v>
      </c>
      <c r="D535">
        <v>10.69</v>
      </c>
      <c r="E535" s="2">
        <v>46151</v>
      </c>
    </row>
    <row r="536" spans="1:5" x14ac:dyDescent="0.25">
      <c r="A536" s="1" t="s">
        <v>470</v>
      </c>
      <c r="B536" s="1" t="s">
        <v>1232</v>
      </c>
      <c r="C536">
        <v>209</v>
      </c>
      <c r="D536">
        <v>5.87</v>
      </c>
      <c r="E536" s="2">
        <v>46148</v>
      </c>
    </row>
    <row r="537" spans="1:5" x14ac:dyDescent="0.25">
      <c r="A537" s="1" t="s">
        <v>471</v>
      </c>
      <c r="B537" s="1" t="s">
        <v>1233</v>
      </c>
      <c r="C537">
        <v>305</v>
      </c>
      <c r="D537">
        <v>24.84</v>
      </c>
      <c r="E537" s="2">
        <v>46051</v>
      </c>
    </row>
    <row r="538" spans="1:5" x14ac:dyDescent="0.25">
      <c r="A538" s="1" t="s">
        <v>472</v>
      </c>
      <c r="B538" s="1" t="s">
        <v>1234</v>
      </c>
      <c r="C538">
        <v>110</v>
      </c>
      <c r="D538">
        <v>94.22</v>
      </c>
      <c r="E538" s="2">
        <v>46134</v>
      </c>
    </row>
    <row r="539" spans="1:5" x14ac:dyDescent="0.25">
      <c r="A539" s="1" t="s">
        <v>473</v>
      </c>
      <c r="B539" s="1" t="s">
        <v>1235</v>
      </c>
      <c r="C539">
        <v>315</v>
      </c>
      <c r="D539">
        <v>80.78</v>
      </c>
      <c r="E539" s="2">
        <v>46115</v>
      </c>
    </row>
    <row r="540" spans="1:5" x14ac:dyDescent="0.25">
      <c r="A540" s="1" t="s">
        <v>474</v>
      </c>
      <c r="B540" s="1" t="s">
        <v>1236</v>
      </c>
      <c r="C540">
        <v>442</v>
      </c>
      <c r="D540">
        <v>94.28</v>
      </c>
      <c r="E540" s="2">
        <v>46137</v>
      </c>
    </row>
    <row r="541" spans="1:5" x14ac:dyDescent="0.25">
      <c r="A541" s="1" t="s">
        <v>475</v>
      </c>
      <c r="B541" s="1" t="s">
        <v>1237</v>
      </c>
      <c r="C541">
        <v>354</v>
      </c>
      <c r="D541">
        <v>31.12</v>
      </c>
      <c r="E541" s="2">
        <v>46063</v>
      </c>
    </row>
    <row r="542" spans="1:5" x14ac:dyDescent="0.25">
      <c r="A542" s="1" t="s">
        <v>476</v>
      </c>
      <c r="B542" s="1" t="s">
        <v>1238</v>
      </c>
      <c r="C542">
        <v>103</v>
      </c>
      <c r="D542">
        <v>77.790000000000006</v>
      </c>
      <c r="E542" s="2">
        <v>46080</v>
      </c>
    </row>
    <row r="543" spans="1:5" x14ac:dyDescent="0.25">
      <c r="A543" s="1" t="s">
        <v>477</v>
      </c>
      <c r="B543" s="1" t="s">
        <v>1239</v>
      </c>
      <c r="C543">
        <v>315</v>
      </c>
      <c r="D543">
        <v>31.88</v>
      </c>
      <c r="E543" s="2">
        <v>46150</v>
      </c>
    </row>
    <row r="544" spans="1:5" x14ac:dyDescent="0.25">
      <c r="A544" s="1" t="s">
        <v>478</v>
      </c>
      <c r="B544" s="1" t="s">
        <v>1240</v>
      </c>
      <c r="C544">
        <v>335</v>
      </c>
      <c r="D544">
        <v>109.79</v>
      </c>
      <c r="E544" s="2">
        <v>46163</v>
      </c>
    </row>
    <row r="545" spans="1:5" x14ac:dyDescent="0.25">
      <c r="A545" s="1" t="s">
        <v>479</v>
      </c>
      <c r="B545" s="1" t="s">
        <v>1241</v>
      </c>
      <c r="C545">
        <v>260</v>
      </c>
      <c r="D545">
        <v>61.32</v>
      </c>
      <c r="E545" s="2">
        <v>46082</v>
      </c>
    </row>
    <row r="546" spans="1:5" x14ac:dyDescent="0.25">
      <c r="A546" s="1" t="s">
        <v>480</v>
      </c>
      <c r="B546" s="1" t="s">
        <v>1242</v>
      </c>
      <c r="C546">
        <v>453</v>
      </c>
      <c r="D546">
        <v>75.010000000000005</v>
      </c>
      <c r="E546" s="2">
        <v>46062</v>
      </c>
    </row>
    <row r="547" spans="1:5" x14ac:dyDescent="0.25">
      <c r="A547" s="1" t="s">
        <v>481</v>
      </c>
      <c r="B547" s="1" t="s">
        <v>1243</v>
      </c>
      <c r="C547">
        <v>427</v>
      </c>
      <c r="D547">
        <v>79.87</v>
      </c>
      <c r="E547" s="2">
        <v>46094</v>
      </c>
    </row>
    <row r="548" spans="1:5" x14ac:dyDescent="0.25">
      <c r="A548" s="1" t="s">
        <v>482</v>
      </c>
      <c r="B548" s="1" t="s">
        <v>1244</v>
      </c>
      <c r="C548">
        <v>219</v>
      </c>
      <c r="D548">
        <v>138.52000000000001</v>
      </c>
      <c r="E548" s="2">
        <v>46172</v>
      </c>
    </row>
    <row r="549" spans="1:5" x14ac:dyDescent="0.25">
      <c r="A549" s="1" t="s">
        <v>483</v>
      </c>
      <c r="B549" s="1" t="s">
        <v>1245</v>
      </c>
      <c r="C549">
        <v>52</v>
      </c>
      <c r="D549">
        <v>115.25</v>
      </c>
      <c r="E549" s="2">
        <v>46083</v>
      </c>
    </row>
    <row r="550" spans="1:5" x14ac:dyDescent="0.25">
      <c r="A550" s="1" t="s">
        <v>484</v>
      </c>
      <c r="B550" s="1" t="s">
        <v>1246</v>
      </c>
      <c r="C550">
        <v>150</v>
      </c>
      <c r="D550">
        <v>48.84</v>
      </c>
      <c r="E550" s="2">
        <v>46044</v>
      </c>
    </row>
    <row r="551" spans="1:5" x14ac:dyDescent="0.25">
      <c r="A551" s="1" t="s">
        <v>485</v>
      </c>
      <c r="B551" s="1" t="s">
        <v>1247</v>
      </c>
      <c r="C551">
        <v>390</v>
      </c>
      <c r="D551">
        <v>155.65</v>
      </c>
      <c r="E551" s="2">
        <v>46192</v>
      </c>
    </row>
    <row r="552" spans="1:5" x14ac:dyDescent="0.25">
      <c r="A552" s="1" t="s">
        <v>486</v>
      </c>
      <c r="B552" s="1" t="s">
        <v>1248</v>
      </c>
      <c r="C552">
        <v>68</v>
      </c>
      <c r="D552">
        <v>67.42</v>
      </c>
      <c r="E552" s="2">
        <v>46191</v>
      </c>
    </row>
    <row r="553" spans="1:5" x14ac:dyDescent="0.25">
      <c r="A553" s="1" t="s">
        <v>487</v>
      </c>
      <c r="B553" s="1" t="s">
        <v>1249</v>
      </c>
      <c r="C553">
        <v>399</v>
      </c>
      <c r="D553">
        <v>145.19999999999999</v>
      </c>
      <c r="E553" s="2">
        <v>46048</v>
      </c>
    </row>
    <row r="554" spans="1:5" x14ac:dyDescent="0.25">
      <c r="A554" s="1" t="s">
        <v>1250</v>
      </c>
      <c r="B554" s="1" t="s">
        <v>1251</v>
      </c>
      <c r="C554">
        <v>386</v>
      </c>
      <c r="D554">
        <v>166.86</v>
      </c>
      <c r="E554" s="2">
        <v>46071</v>
      </c>
    </row>
    <row r="555" spans="1:5" x14ac:dyDescent="0.25">
      <c r="A555" s="1" t="s">
        <v>488</v>
      </c>
      <c r="B555" s="1" t="s">
        <v>1252</v>
      </c>
      <c r="C555">
        <v>240</v>
      </c>
      <c r="D555">
        <v>56.25</v>
      </c>
      <c r="E555" s="2">
        <v>46051</v>
      </c>
    </row>
    <row r="556" spans="1:5" x14ac:dyDescent="0.25">
      <c r="A556" s="1" t="s">
        <v>489</v>
      </c>
      <c r="B556" s="1" t="s">
        <v>1253</v>
      </c>
      <c r="C556">
        <v>117</v>
      </c>
      <c r="D556">
        <v>163.09</v>
      </c>
      <c r="E556" s="2">
        <v>46101</v>
      </c>
    </row>
    <row r="557" spans="1:5" x14ac:dyDescent="0.25">
      <c r="A557" s="1" t="s">
        <v>490</v>
      </c>
      <c r="B557" s="1" t="s">
        <v>1254</v>
      </c>
      <c r="C557">
        <v>94</v>
      </c>
      <c r="D557">
        <v>125.15</v>
      </c>
      <c r="E557" s="2">
        <v>46153</v>
      </c>
    </row>
    <row r="558" spans="1:5" x14ac:dyDescent="0.25">
      <c r="A558" s="1" t="s">
        <v>491</v>
      </c>
      <c r="B558" s="1" t="s">
        <v>1255</v>
      </c>
      <c r="C558">
        <v>189</v>
      </c>
      <c r="D558">
        <v>108.79</v>
      </c>
      <c r="E558" s="2">
        <v>46186</v>
      </c>
    </row>
    <row r="559" spans="1:5" x14ac:dyDescent="0.25">
      <c r="A559" s="1" t="s">
        <v>492</v>
      </c>
      <c r="B559" s="1" t="s">
        <v>1256</v>
      </c>
      <c r="C559">
        <v>158</v>
      </c>
      <c r="D559">
        <v>116.68</v>
      </c>
      <c r="E559" s="2">
        <v>46106</v>
      </c>
    </row>
    <row r="560" spans="1:5" x14ac:dyDescent="0.25">
      <c r="A560" s="1" t="s">
        <v>493</v>
      </c>
      <c r="B560" s="1" t="s">
        <v>1257</v>
      </c>
      <c r="C560">
        <v>480</v>
      </c>
      <c r="D560">
        <v>16.559999999999999</v>
      </c>
      <c r="E560" s="2">
        <v>46141</v>
      </c>
    </row>
    <row r="561" spans="1:5" x14ac:dyDescent="0.25">
      <c r="A561" s="1" t="s">
        <v>494</v>
      </c>
      <c r="B561" s="1" t="s">
        <v>1258</v>
      </c>
      <c r="C561">
        <v>137</v>
      </c>
      <c r="D561">
        <v>33.520000000000003</v>
      </c>
      <c r="E561" s="2">
        <v>46072</v>
      </c>
    </row>
    <row r="562" spans="1:5" x14ac:dyDescent="0.25">
      <c r="A562" s="1" t="s">
        <v>495</v>
      </c>
      <c r="B562" s="1" t="s">
        <v>1259</v>
      </c>
      <c r="C562">
        <v>260</v>
      </c>
      <c r="D562">
        <v>38.6</v>
      </c>
      <c r="E562" s="2">
        <v>46139</v>
      </c>
    </row>
    <row r="563" spans="1:5" x14ac:dyDescent="0.25">
      <c r="A563" s="1" t="s">
        <v>496</v>
      </c>
      <c r="B563" s="1" t="s">
        <v>1260</v>
      </c>
      <c r="C563">
        <v>202</v>
      </c>
      <c r="D563">
        <v>93.14</v>
      </c>
      <c r="E563" s="2">
        <v>46141</v>
      </c>
    </row>
    <row r="564" spans="1:5" x14ac:dyDescent="0.25">
      <c r="A564" s="1" t="s">
        <v>497</v>
      </c>
      <c r="B564" s="1" t="s">
        <v>1261</v>
      </c>
      <c r="C564">
        <v>393</v>
      </c>
      <c r="D564">
        <v>59.25</v>
      </c>
      <c r="E564" s="2">
        <v>46176</v>
      </c>
    </row>
    <row r="565" spans="1:5" x14ac:dyDescent="0.25">
      <c r="A565" s="1" t="s">
        <v>498</v>
      </c>
      <c r="B565" s="1" t="s">
        <v>1262</v>
      </c>
      <c r="C565">
        <v>307</v>
      </c>
      <c r="D565">
        <v>5.48</v>
      </c>
      <c r="E565" s="2">
        <v>46119</v>
      </c>
    </row>
    <row r="566" spans="1:5" x14ac:dyDescent="0.25">
      <c r="A566" s="1" t="s">
        <v>499</v>
      </c>
      <c r="B566" s="1" t="s">
        <v>1263</v>
      </c>
      <c r="C566">
        <v>335</v>
      </c>
      <c r="D566">
        <v>134.51</v>
      </c>
      <c r="E566" s="2">
        <v>46153</v>
      </c>
    </row>
    <row r="567" spans="1:5" x14ac:dyDescent="0.25">
      <c r="A567" s="1" t="s">
        <v>500</v>
      </c>
      <c r="B567" s="1" t="s">
        <v>1264</v>
      </c>
      <c r="C567">
        <v>121</v>
      </c>
      <c r="D567">
        <v>193.79</v>
      </c>
      <c r="E567" s="2">
        <v>46153</v>
      </c>
    </row>
    <row r="568" spans="1:5" x14ac:dyDescent="0.25">
      <c r="A568" s="1" t="s">
        <v>501</v>
      </c>
      <c r="B568" s="1" t="s">
        <v>1265</v>
      </c>
      <c r="C568">
        <v>434</v>
      </c>
      <c r="D568">
        <v>60.3</v>
      </c>
      <c r="E568" s="2">
        <v>46118</v>
      </c>
    </row>
    <row r="569" spans="1:5" x14ac:dyDescent="0.25">
      <c r="A569" s="1" t="s">
        <v>502</v>
      </c>
      <c r="B569" s="1" t="s">
        <v>1266</v>
      </c>
      <c r="C569">
        <v>413</v>
      </c>
      <c r="D569">
        <v>72.03</v>
      </c>
      <c r="E569" s="2">
        <v>46155</v>
      </c>
    </row>
    <row r="570" spans="1:5" x14ac:dyDescent="0.25">
      <c r="A570" s="1" t="s">
        <v>503</v>
      </c>
      <c r="B570" s="1" t="s">
        <v>1267</v>
      </c>
      <c r="C570">
        <v>330</v>
      </c>
      <c r="D570">
        <v>157.86000000000001</v>
      </c>
      <c r="E570" s="2">
        <v>46063</v>
      </c>
    </row>
    <row r="571" spans="1:5" x14ac:dyDescent="0.25">
      <c r="A571" s="1" t="s">
        <v>504</v>
      </c>
      <c r="B571" s="1" t="s">
        <v>1268</v>
      </c>
      <c r="C571">
        <v>235</v>
      </c>
      <c r="D571">
        <v>111.9</v>
      </c>
      <c r="E571" s="2">
        <v>46079</v>
      </c>
    </row>
    <row r="572" spans="1:5" x14ac:dyDescent="0.25">
      <c r="A572" s="1" t="s">
        <v>505</v>
      </c>
      <c r="B572" s="1" t="s">
        <v>1269</v>
      </c>
      <c r="C572">
        <v>461</v>
      </c>
      <c r="D572">
        <v>131.75</v>
      </c>
      <c r="E572" s="2">
        <v>46072</v>
      </c>
    </row>
    <row r="573" spans="1:5" x14ac:dyDescent="0.25">
      <c r="A573" s="1" t="s">
        <v>506</v>
      </c>
      <c r="B573" s="1" t="s">
        <v>1270</v>
      </c>
      <c r="C573">
        <v>138</v>
      </c>
      <c r="D573">
        <v>21.07</v>
      </c>
      <c r="E573" s="2">
        <v>46128</v>
      </c>
    </row>
    <row r="574" spans="1:5" x14ac:dyDescent="0.25">
      <c r="A574" s="1" t="s">
        <v>507</v>
      </c>
      <c r="B574" s="1" t="s">
        <v>1271</v>
      </c>
      <c r="C574">
        <v>330</v>
      </c>
      <c r="D574">
        <v>64.569999999999993</v>
      </c>
      <c r="E574" s="2">
        <v>46140</v>
      </c>
    </row>
    <row r="575" spans="1:5" x14ac:dyDescent="0.25">
      <c r="A575" s="1" t="s">
        <v>508</v>
      </c>
      <c r="B575" s="1" t="s">
        <v>1272</v>
      </c>
      <c r="C575">
        <v>370</v>
      </c>
      <c r="D575">
        <v>27.3</v>
      </c>
      <c r="E575" s="2">
        <v>46076</v>
      </c>
    </row>
    <row r="576" spans="1:5" x14ac:dyDescent="0.25">
      <c r="A576" s="1" t="s">
        <v>509</v>
      </c>
      <c r="B576" s="1" t="s">
        <v>1273</v>
      </c>
      <c r="C576">
        <v>313</v>
      </c>
      <c r="D576">
        <v>49.11</v>
      </c>
      <c r="E576" s="2">
        <v>46078</v>
      </c>
    </row>
    <row r="577" spans="1:5" x14ac:dyDescent="0.25">
      <c r="A577" s="1" t="s">
        <v>510</v>
      </c>
      <c r="B577" s="1" t="s">
        <v>1274</v>
      </c>
      <c r="C577">
        <v>366</v>
      </c>
      <c r="D577">
        <v>72</v>
      </c>
      <c r="E577" s="2">
        <v>46046</v>
      </c>
    </row>
    <row r="578" spans="1:5" x14ac:dyDescent="0.25">
      <c r="A578" s="1" t="s">
        <v>1275</v>
      </c>
      <c r="B578" s="1" t="s">
        <v>1276</v>
      </c>
      <c r="C578">
        <v>254</v>
      </c>
      <c r="D578">
        <v>22.5</v>
      </c>
      <c r="E578" s="2">
        <v>46066</v>
      </c>
    </row>
    <row r="579" spans="1:5" x14ac:dyDescent="0.25">
      <c r="A579" s="1" t="s">
        <v>511</v>
      </c>
      <c r="B579" s="1" t="s">
        <v>1277</v>
      </c>
      <c r="C579">
        <v>62</v>
      </c>
      <c r="D579">
        <v>66.099999999999994</v>
      </c>
      <c r="E579" s="2">
        <v>46067</v>
      </c>
    </row>
    <row r="580" spans="1:5" x14ac:dyDescent="0.25">
      <c r="A580" s="1" t="s">
        <v>512</v>
      </c>
      <c r="B580" s="1" t="s">
        <v>1278</v>
      </c>
      <c r="C580">
        <v>338</v>
      </c>
      <c r="D580">
        <v>198.62</v>
      </c>
      <c r="E580" s="2">
        <v>46067</v>
      </c>
    </row>
    <row r="581" spans="1:5" x14ac:dyDescent="0.25">
      <c r="A581" s="1" t="s">
        <v>513</v>
      </c>
      <c r="B581" s="1" t="s">
        <v>1279</v>
      </c>
      <c r="C581">
        <v>14</v>
      </c>
      <c r="D581">
        <v>124.01</v>
      </c>
      <c r="E581" s="2">
        <v>46187</v>
      </c>
    </row>
    <row r="582" spans="1:5" x14ac:dyDescent="0.25">
      <c r="A582" s="1" t="s">
        <v>514</v>
      </c>
      <c r="B582" s="1" t="s">
        <v>1280</v>
      </c>
      <c r="C582">
        <v>331</v>
      </c>
      <c r="D582">
        <v>150.91</v>
      </c>
      <c r="E582" s="2">
        <v>46101</v>
      </c>
    </row>
    <row r="583" spans="1:5" x14ac:dyDescent="0.25">
      <c r="A583" s="1" t="s">
        <v>515</v>
      </c>
      <c r="B583" s="1" t="s">
        <v>1281</v>
      </c>
      <c r="C583">
        <v>469</v>
      </c>
      <c r="D583">
        <v>24.59</v>
      </c>
      <c r="E583" s="2">
        <v>46060</v>
      </c>
    </row>
    <row r="584" spans="1:5" x14ac:dyDescent="0.25">
      <c r="A584" s="1" t="s">
        <v>516</v>
      </c>
      <c r="B584" s="1" t="s">
        <v>1282</v>
      </c>
      <c r="C584">
        <v>189</v>
      </c>
      <c r="D584">
        <v>192.83</v>
      </c>
      <c r="E584" s="2">
        <v>46132</v>
      </c>
    </row>
    <row r="585" spans="1:5" x14ac:dyDescent="0.25">
      <c r="A585" s="1" t="s">
        <v>517</v>
      </c>
      <c r="B585" s="1" t="s">
        <v>1283</v>
      </c>
      <c r="C585">
        <v>340</v>
      </c>
      <c r="D585">
        <v>21.43</v>
      </c>
      <c r="E585" s="2">
        <v>46114</v>
      </c>
    </row>
    <row r="586" spans="1:5" x14ac:dyDescent="0.25">
      <c r="A586" s="1" t="s">
        <v>1284</v>
      </c>
      <c r="B586" s="1" t="s">
        <v>1285</v>
      </c>
      <c r="C586">
        <v>444</v>
      </c>
      <c r="D586">
        <v>170.18</v>
      </c>
      <c r="E586" s="2">
        <v>46046</v>
      </c>
    </row>
    <row r="587" spans="1:5" x14ac:dyDescent="0.25">
      <c r="A587" s="1" t="s">
        <v>1284</v>
      </c>
      <c r="B587" s="1" t="s">
        <v>1286</v>
      </c>
      <c r="C587">
        <v>444</v>
      </c>
      <c r="D587">
        <v>170.18</v>
      </c>
      <c r="E587" s="2">
        <v>46047</v>
      </c>
    </row>
    <row r="588" spans="1:5" x14ac:dyDescent="0.25">
      <c r="A588" s="1" t="s">
        <v>518</v>
      </c>
      <c r="B588" s="1" t="s">
        <v>1287</v>
      </c>
      <c r="C588">
        <v>106</v>
      </c>
      <c r="D588">
        <v>169.44</v>
      </c>
      <c r="E588" s="2">
        <v>46168</v>
      </c>
    </row>
    <row r="589" spans="1:5" x14ac:dyDescent="0.25">
      <c r="A589" s="1" t="s">
        <v>1288</v>
      </c>
      <c r="B589" s="1" t="s">
        <v>1289</v>
      </c>
      <c r="C589">
        <v>207</v>
      </c>
      <c r="D589">
        <v>26.99</v>
      </c>
      <c r="E589" s="2">
        <v>46166</v>
      </c>
    </row>
    <row r="590" spans="1:5" x14ac:dyDescent="0.25">
      <c r="A590" s="1" t="s">
        <v>519</v>
      </c>
      <c r="B590" s="1" t="s">
        <v>1290</v>
      </c>
      <c r="C590">
        <v>194</v>
      </c>
      <c r="D590">
        <v>187.12</v>
      </c>
      <c r="E590" s="2">
        <v>46045</v>
      </c>
    </row>
    <row r="591" spans="1:5" x14ac:dyDescent="0.25">
      <c r="A591" s="1" t="s">
        <v>520</v>
      </c>
      <c r="B591" s="1" t="s">
        <v>1291</v>
      </c>
      <c r="C591">
        <v>197</v>
      </c>
      <c r="D591">
        <v>111.54</v>
      </c>
      <c r="E591" s="2">
        <v>46158</v>
      </c>
    </row>
    <row r="592" spans="1:5" x14ac:dyDescent="0.25">
      <c r="A592" s="1" t="s">
        <v>521</v>
      </c>
      <c r="B592" s="1" t="s">
        <v>1292</v>
      </c>
      <c r="C592">
        <v>310</v>
      </c>
      <c r="D592">
        <v>18.170000000000002</v>
      </c>
      <c r="E592" s="2">
        <v>46043</v>
      </c>
    </row>
    <row r="593" spans="1:5" x14ac:dyDescent="0.25">
      <c r="A593" s="1" t="s">
        <v>522</v>
      </c>
      <c r="B593" s="1" t="s">
        <v>1293</v>
      </c>
      <c r="C593">
        <v>495</v>
      </c>
      <c r="D593">
        <v>168.37</v>
      </c>
      <c r="E593" s="2">
        <v>46061</v>
      </c>
    </row>
    <row r="594" spans="1:5" x14ac:dyDescent="0.25">
      <c r="A594" s="1" t="s">
        <v>523</v>
      </c>
      <c r="B594" s="1" t="s">
        <v>1294</v>
      </c>
      <c r="C594">
        <v>402</v>
      </c>
      <c r="D594">
        <v>86.01</v>
      </c>
      <c r="E594" s="2">
        <v>46169</v>
      </c>
    </row>
    <row r="595" spans="1:5" x14ac:dyDescent="0.25">
      <c r="A595" s="1" t="s">
        <v>524</v>
      </c>
      <c r="B595" s="1" t="s">
        <v>1295</v>
      </c>
      <c r="C595">
        <v>285</v>
      </c>
      <c r="D595">
        <v>125.13</v>
      </c>
      <c r="E595" s="2">
        <v>46176</v>
      </c>
    </row>
    <row r="596" spans="1:5" x14ac:dyDescent="0.25">
      <c r="A596" s="1" t="s">
        <v>525</v>
      </c>
      <c r="B596" s="1" t="s">
        <v>1296</v>
      </c>
      <c r="C596">
        <v>271</v>
      </c>
      <c r="D596">
        <v>184.58</v>
      </c>
      <c r="E596" s="2">
        <v>46068</v>
      </c>
    </row>
    <row r="597" spans="1:5" x14ac:dyDescent="0.25">
      <c r="A597" s="1" t="s">
        <v>526</v>
      </c>
      <c r="B597" s="1" t="s">
        <v>1297</v>
      </c>
      <c r="C597">
        <v>334</v>
      </c>
      <c r="D597">
        <v>153.83000000000001</v>
      </c>
      <c r="E597" s="2">
        <v>46182</v>
      </c>
    </row>
    <row r="598" spans="1:5" x14ac:dyDescent="0.25">
      <c r="A598" s="1" t="s">
        <v>527</v>
      </c>
      <c r="B598" s="1" t="s">
        <v>1298</v>
      </c>
      <c r="C598">
        <v>383</v>
      </c>
      <c r="D598">
        <v>190.92</v>
      </c>
      <c r="E598" s="2">
        <v>46142</v>
      </c>
    </row>
    <row r="599" spans="1:5" x14ac:dyDescent="0.25">
      <c r="A599" s="1" t="s">
        <v>528</v>
      </c>
      <c r="B599" s="1" t="s">
        <v>1299</v>
      </c>
      <c r="C599">
        <v>483</v>
      </c>
      <c r="D599">
        <v>89.72</v>
      </c>
      <c r="E599" s="2">
        <v>46054</v>
      </c>
    </row>
    <row r="600" spans="1:5" x14ac:dyDescent="0.25">
      <c r="A600" s="1" t="s">
        <v>528</v>
      </c>
      <c r="B600" s="1" t="s">
        <v>1300</v>
      </c>
      <c r="C600">
        <v>483</v>
      </c>
      <c r="D600">
        <v>89.72</v>
      </c>
      <c r="E600" s="2">
        <v>46058</v>
      </c>
    </row>
    <row r="601" spans="1:5" x14ac:dyDescent="0.25">
      <c r="A601" s="1" t="s">
        <v>529</v>
      </c>
      <c r="B601" s="1" t="s">
        <v>1301</v>
      </c>
      <c r="C601">
        <v>71</v>
      </c>
      <c r="D601">
        <v>7.47</v>
      </c>
      <c r="E601" s="2">
        <v>46074</v>
      </c>
    </row>
    <row r="602" spans="1:5" x14ac:dyDescent="0.25">
      <c r="A602" s="1" t="s">
        <v>529</v>
      </c>
      <c r="B602" s="1" t="s">
        <v>1302</v>
      </c>
      <c r="C602">
        <v>71</v>
      </c>
      <c r="D602">
        <v>7.47</v>
      </c>
      <c r="E602" s="2">
        <v>46079</v>
      </c>
    </row>
    <row r="603" spans="1:5" x14ac:dyDescent="0.25">
      <c r="A603" s="1" t="s">
        <v>530</v>
      </c>
      <c r="B603" s="1" t="s">
        <v>1303</v>
      </c>
      <c r="C603">
        <v>497</v>
      </c>
      <c r="D603">
        <v>72.61</v>
      </c>
      <c r="E603" s="2">
        <v>46166</v>
      </c>
    </row>
    <row r="604" spans="1:5" x14ac:dyDescent="0.25">
      <c r="A604" s="1" t="s">
        <v>531</v>
      </c>
      <c r="B604" s="1" t="s">
        <v>1304</v>
      </c>
      <c r="C604">
        <v>74</v>
      </c>
      <c r="D604">
        <v>151.21</v>
      </c>
      <c r="E604" s="2">
        <v>46127</v>
      </c>
    </row>
    <row r="605" spans="1:5" x14ac:dyDescent="0.25">
      <c r="A605" s="1" t="s">
        <v>532</v>
      </c>
      <c r="B605" s="1" t="s">
        <v>1305</v>
      </c>
      <c r="C605">
        <v>423</v>
      </c>
      <c r="D605">
        <v>88.72</v>
      </c>
      <c r="E605" s="2">
        <v>46120</v>
      </c>
    </row>
    <row r="606" spans="1:5" x14ac:dyDescent="0.25">
      <c r="A606" s="1" t="s">
        <v>533</v>
      </c>
      <c r="B606" s="1" t="s">
        <v>1306</v>
      </c>
      <c r="C606">
        <v>331</v>
      </c>
      <c r="D606">
        <v>20.03</v>
      </c>
      <c r="E606" s="2">
        <v>46198</v>
      </c>
    </row>
    <row r="607" spans="1:5" x14ac:dyDescent="0.25">
      <c r="A607" s="1" t="s">
        <v>534</v>
      </c>
      <c r="B607" s="1" t="s">
        <v>1307</v>
      </c>
      <c r="C607">
        <v>265</v>
      </c>
      <c r="D607">
        <v>172.58</v>
      </c>
      <c r="E607" s="2">
        <v>46057</v>
      </c>
    </row>
    <row r="608" spans="1:5" x14ac:dyDescent="0.25">
      <c r="A608" s="1" t="s">
        <v>535</v>
      </c>
      <c r="B608" s="1" t="s">
        <v>1308</v>
      </c>
      <c r="C608">
        <v>405</v>
      </c>
      <c r="D608">
        <v>25.07</v>
      </c>
      <c r="E608" s="2">
        <v>46105</v>
      </c>
    </row>
    <row r="609" spans="1:5" x14ac:dyDescent="0.25">
      <c r="A609" s="1" t="s">
        <v>536</v>
      </c>
      <c r="B609" s="1" t="s">
        <v>1309</v>
      </c>
      <c r="C609">
        <v>11</v>
      </c>
      <c r="D609">
        <v>13.59</v>
      </c>
      <c r="E609" s="2">
        <v>46174</v>
      </c>
    </row>
    <row r="610" spans="1:5" x14ac:dyDescent="0.25">
      <c r="A610" s="1" t="s">
        <v>537</v>
      </c>
      <c r="B610" s="1" t="s">
        <v>1310</v>
      </c>
      <c r="C610">
        <v>196</v>
      </c>
      <c r="D610">
        <v>79.680000000000007</v>
      </c>
      <c r="E610" s="2">
        <v>46159</v>
      </c>
    </row>
    <row r="611" spans="1:5" x14ac:dyDescent="0.25">
      <c r="A611" s="1" t="s">
        <v>538</v>
      </c>
      <c r="B611" s="1" t="s">
        <v>1311</v>
      </c>
      <c r="C611">
        <v>421</v>
      </c>
      <c r="D611">
        <v>183.22</v>
      </c>
      <c r="E611" s="2">
        <v>46188</v>
      </c>
    </row>
    <row r="612" spans="1:5" x14ac:dyDescent="0.25">
      <c r="A612" s="1" t="s">
        <v>539</v>
      </c>
      <c r="B612" s="1" t="s">
        <v>1312</v>
      </c>
      <c r="C612">
        <v>137</v>
      </c>
      <c r="D612">
        <v>86.17</v>
      </c>
      <c r="E612" s="2">
        <v>46122</v>
      </c>
    </row>
    <row r="613" spans="1:5" x14ac:dyDescent="0.25">
      <c r="A613" s="1" t="s">
        <v>540</v>
      </c>
      <c r="B613" s="1" t="s">
        <v>1313</v>
      </c>
      <c r="C613">
        <v>302</v>
      </c>
      <c r="D613">
        <v>82.01</v>
      </c>
      <c r="E613" s="2">
        <v>46051</v>
      </c>
    </row>
    <row r="614" spans="1:5" x14ac:dyDescent="0.25">
      <c r="A614" s="1" t="s">
        <v>541</v>
      </c>
      <c r="B614" s="1" t="s">
        <v>1314</v>
      </c>
      <c r="C614">
        <v>421</v>
      </c>
      <c r="D614">
        <v>105.58</v>
      </c>
      <c r="E614" s="2">
        <v>46100</v>
      </c>
    </row>
    <row r="615" spans="1:5" x14ac:dyDescent="0.25">
      <c r="A615" s="1" t="s">
        <v>542</v>
      </c>
      <c r="B615" s="1" t="s">
        <v>1315</v>
      </c>
      <c r="C615">
        <v>453</v>
      </c>
      <c r="D615">
        <v>60.05</v>
      </c>
      <c r="E615" s="2">
        <v>46163</v>
      </c>
    </row>
    <row r="616" spans="1:5" x14ac:dyDescent="0.25">
      <c r="A616" s="1" t="s">
        <v>543</v>
      </c>
      <c r="B616" s="1" t="s">
        <v>1316</v>
      </c>
      <c r="C616">
        <v>243</v>
      </c>
      <c r="D616">
        <v>6.55</v>
      </c>
      <c r="E616" s="2">
        <v>46185</v>
      </c>
    </row>
    <row r="617" spans="1:5" x14ac:dyDescent="0.25">
      <c r="A617" s="1" t="s">
        <v>544</v>
      </c>
      <c r="B617" s="1" t="s">
        <v>1317</v>
      </c>
      <c r="C617">
        <v>388</v>
      </c>
      <c r="D617">
        <v>126.43</v>
      </c>
      <c r="E617" s="2">
        <v>46123</v>
      </c>
    </row>
    <row r="618" spans="1:5" x14ac:dyDescent="0.25">
      <c r="A618" s="1" t="s">
        <v>545</v>
      </c>
      <c r="B618" s="1" t="s">
        <v>1318</v>
      </c>
      <c r="C618">
        <v>405</v>
      </c>
      <c r="D618">
        <v>156.30000000000001</v>
      </c>
      <c r="E618" s="2">
        <v>46169</v>
      </c>
    </row>
    <row r="619" spans="1:5" x14ac:dyDescent="0.25">
      <c r="A619" s="1" t="s">
        <v>546</v>
      </c>
      <c r="B619" s="1" t="s">
        <v>1319</v>
      </c>
      <c r="C619">
        <v>487</v>
      </c>
      <c r="D619">
        <v>84.96</v>
      </c>
      <c r="E619" s="2">
        <v>46047</v>
      </c>
    </row>
    <row r="620" spans="1:5" x14ac:dyDescent="0.25">
      <c r="A620" s="1" t="s">
        <v>547</v>
      </c>
      <c r="B620" s="1" t="s">
        <v>1320</v>
      </c>
      <c r="C620">
        <v>496</v>
      </c>
      <c r="D620">
        <v>70.33</v>
      </c>
      <c r="E620" s="2">
        <v>46046</v>
      </c>
    </row>
    <row r="621" spans="1:5" x14ac:dyDescent="0.25">
      <c r="A621" s="1" t="s">
        <v>548</v>
      </c>
      <c r="B621" s="1" t="s">
        <v>1321</v>
      </c>
      <c r="C621">
        <v>63</v>
      </c>
      <c r="D621">
        <v>45.01</v>
      </c>
      <c r="E621" s="2">
        <v>46123</v>
      </c>
    </row>
    <row r="622" spans="1:5" x14ac:dyDescent="0.25">
      <c r="A622" s="1" t="s">
        <v>549</v>
      </c>
      <c r="B622" s="1" t="s">
        <v>1322</v>
      </c>
      <c r="C622">
        <v>82</v>
      </c>
      <c r="D622">
        <v>143.77000000000001</v>
      </c>
      <c r="E622" s="2">
        <v>46053</v>
      </c>
    </row>
    <row r="623" spans="1:5" x14ac:dyDescent="0.25">
      <c r="A623" s="1" t="s">
        <v>550</v>
      </c>
      <c r="B623" s="1" t="s">
        <v>1323</v>
      </c>
      <c r="C623">
        <v>221</v>
      </c>
      <c r="D623">
        <v>141.66999999999999</v>
      </c>
      <c r="E623" s="2">
        <v>46178</v>
      </c>
    </row>
    <row r="624" spans="1:5" x14ac:dyDescent="0.25">
      <c r="A624" s="1" t="s">
        <v>551</v>
      </c>
      <c r="B624" s="1" t="s">
        <v>1324</v>
      </c>
      <c r="C624">
        <v>307</v>
      </c>
      <c r="D624">
        <v>23.64</v>
      </c>
      <c r="E624" s="2">
        <v>46068</v>
      </c>
    </row>
    <row r="625" spans="1:5" x14ac:dyDescent="0.25">
      <c r="A625" s="1" t="s">
        <v>551</v>
      </c>
      <c r="B625" s="1" t="s">
        <v>1325</v>
      </c>
      <c r="C625">
        <v>307</v>
      </c>
      <c r="D625">
        <v>23.64</v>
      </c>
      <c r="E625" s="2">
        <v>46073</v>
      </c>
    </row>
    <row r="626" spans="1:5" x14ac:dyDescent="0.25">
      <c r="A626" s="1" t="s">
        <v>552</v>
      </c>
      <c r="B626" s="1" t="s">
        <v>1326</v>
      </c>
      <c r="C626">
        <v>41</v>
      </c>
      <c r="D626">
        <v>89.82</v>
      </c>
      <c r="E626" s="2">
        <v>46185</v>
      </c>
    </row>
    <row r="627" spans="1:5" x14ac:dyDescent="0.25">
      <c r="A627" s="1" t="s">
        <v>553</v>
      </c>
      <c r="B627" s="1" t="s">
        <v>1327</v>
      </c>
      <c r="C627">
        <v>445</v>
      </c>
      <c r="D627">
        <v>66.430000000000007</v>
      </c>
      <c r="E627" s="2">
        <v>46113</v>
      </c>
    </row>
    <row r="628" spans="1:5" x14ac:dyDescent="0.25">
      <c r="A628" s="1" t="s">
        <v>554</v>
      </c>
      <c r="B628" s="1" t="s">
        <v>1328</v>
      </c>
      <c r="C628">
        <v>149</v>
      </c>
      <c r="D628">
        <v>50.55</v>
      </c>
      <c r="E628" s="2">
        <v>46149</v>
      </c>
    </row>
    <row r="629" spans="1:5" x14ac:dyDescent="0.25">
      <c r="A629" s="1" t="s">
        <v>555</v>
      </c>
      <c r="B629" s="1" t="s">
        <v>1329</v>
      </c>
      <c r="C629">
        <v>89</v>
      </c>
      <c r="D629">
        <v>25.6</v>
      </c>
      <c r="E629" s="2">
        <v>46074</v>
      </c>
    </row>
    <row r="630" spans="1:5" x14ac:dyDescent="0.25">
      <c r="A630" s="1" t="s">
        <v>1330</v>
      </c>
      <c r="B630" s="1" t="s">
        <v>1331</v>
      </c>
      <c r="C630">
        <v>71</v>
      </c>
      <c r="D630">
        <v>109.51</v>
      </c>
      <c r="E630" s="2">
        <v>46143</v>
      </c>
    </row>
    <row r="631" spans="1:5" x14ac:dyDescent="0.25">
      <c r="A631" s="1" t="s">
        <v>1330</v>
      </c>
      <c r="B631" s="1" t="s">
        <v>1332</v>
      </c>
      <c r="C631">
        <v>71</v>
      </c>
      <c r="D631">
        <v>109.51</v>
      </c>
      <c r="E631" s="2">
        <v>46147</v>
      </c>
    </row>
    <row r="632" spans="1:5" x14ac:dyDescent="0.25">
      <c r="A632" s="1" t="s">
        <v>1333</v>
      </c>
      <c r="B632" s="1" t="s">
        <v>1334</v>
      </c>
      <c r="C632">
        <v>247</v>
      </c>
      <c r="D632">
        <v>56.68</v>
      </c>
      <c r="E632" s="2">
        <v>46112</v>
      </c>
    </row>
    <row r="633" spans="1:5" x14ac:dyDescent="0.25">
      <c r="A633" s="1" t="s">
        <v>556</v>
      </c>
      <c r="B633" s="1" t="s">
        <v>1335</v>
      </c>
      <c r="C633">
        <v>433</v>
      </c>
      <c r="D633">
        <v>142.41999999999999</v>
      </c>
      <c r="E633" s="2">
        <v>46108</v>
      </c>
    </row>
    <row r="634" spans="1:5" x14ac:dyDescent="0.25">
      <c r="A634" s="1" t="s">
        <v>557</v>
      </c>
      <c r="B634" s="1" t="s">
        <v>1336</v>
      </c>
      <c r="C634">
        <v>85</v>
      </c>
      <c r="D634">
        <v>22.79</v>
      </c>
      <c r="E634" s="2">
        <v>46127</v>
      </c>
    </row>
    <row r="635" spans="1:5" x14ac:dyDescent="0.25">
      <c r="A635" s="1" t="s">
        <v>1337</v>
      </c>
      <c r="B635" s="1" t="s">
        <v>1338</v>
      </c>
      <c r="C635">
        <v>35</v>
      </c>
      <c r="D635">
        <v>137.05000000000001</v>
      </c>
      <c r="E635" s="2">
        <v>46166</v>
      </c>
    </row>
    <row r="636" spans="1:5" x14ac:dyDescent="0.25">
      <c r="A636" s="1" t="s">
        <v>558</v>
      </c>
      <c r="B636" s="1" t="s">
        <v>1339</v>
      </c>
      <c r="C636">
        <v>447</v>
      </c>
      <c r="D636">
        <v>93.18</v>
      </c>
      <c r="E636" s="2">
        <v>46143</v>
      </c>
    </row>
    <row r="637" spans="1:5" x14ac:dyDescent="0.25">
      <c r="A637" s="1" t="s">
        <v>559</v>
      </c>
      <c r="B637" s="1" t="s">
        <v>1340</v>
      </c>
      <c r="C637">
        <v>62</v>
      </c>
      <c r="D637">
        <v>161.76</v>
      </c>
      <c r="E637" s="2">
        <v>46150</v>
      </c>
    </row>
    <row r="638" spans="1:5" x14ac:dyDescent="0.25">
      <c r="A638" s="1" t="s">
        <v>560</v>
      </c>
      <c r="B638" s="1" t="s">
        <v>1341</v>
      </c>
      <c r="C638">
        <v>435</v>
      </c>
      <c r="D638">
        <v>157.29</v>
      </c>
      <c r="E638" s="2">
        <v>46054</v>
      </c>
    </row>
    <row r="639" spans="1:5" x14ac:dyDescent="0.25">
      <c r="A639" s="1" t="s">
        <v>561</v>
      </c>
      <c r="B639" s="1" t="s">
        <v>1342</v>
      </c>
      <c r="C639">
        <v>200</v>
      </c>
      <c r="D639">
        <v>138.83000000000001</v>
      </c>
      <c r="E639" s="2">
        <v>46141</v>
      </c>
    </row>
    <row r="640" spans="1:5" x14ac:dyDescent="0.25">
      <c r="A640" s="1" t="s">
        <v>562</v>
      </c>
      <c r="B640" s="1" t="s">
        <v>1343</v>
      </c>
      <c r="C640">
        <v>142</v>
      </c>
      <c r="D640">
        <v>183.9</v>
      </c>
      <c r="E640" s="2">
        <v>46185</v>
      </c>
    </row>
    <row r="641" spans="1:5" x14ac:dyDescent="0.25">
      <c r="A641" s="1" t="s">
        <v>563</v>
      </c>
      <c r="B641" s="1" t="s">
        <v>1344</v>
      </c>
      <c r="C641">
        <v>472</v>
      </c>
      <c r="D641">
        <v>130.97</v>
      </c>
      <c r="E641" s="2">
        <v>46081</v>
      </c>
    </row>
    <row r="642" spans="1:5" x14ac:dyDescent="0.25">
      <c r="A642" s="1" t="s">
        <v>564</v>
      </c>
      <c r="B642" s="1" t="s">
        <v>1345</v>
      </c>
      <c r="C642">
        <v>31</v>
      </c>
      <c r="D642">
        <v>188.74</v>
      </c>
      <c r="E642" s="2">
        <v>46067</v>
      </c>
    </row>
    <row r="643" spans="1:5" x14ac:dyDescent="0.25">
      <c r="A643" s="1" t="s">
        <v>565</v>
      </c>
      <c r="B643" s="1" t="s">
        <v>1346</v>
      </c>
      <c r="C643">
        <v>430</v>
      </c>
      <c r="D643">
        <v>146.26</v>
      </c>
      <c r="E643" s="2">
        <v>46143</v>
      </c>
    </row>
    <row r="644" spans="1:5" x14ac:dyDescent="0.25">
      <c r="A644" s="1" t="s">
        <v>566</v>
      </c>
      <c r="B644" s="1" t="s">
        <v>1347</v>
      </c>
      <c r="C644">
        <v>98</v>
      </c>
      <c r="D644">
        <v>74.02</v>
      </c>
      <c r="E644" s="2">
        <v>46151</v>
      </c>
    </row>
    <row r="645" spans="1:5" x14ac:dyDescent="0.25">
      <c r="A645" s="1" t="s">
        <v>567</v>
      </c>
      <c r="B645" s="1" t="s">
        <v>1348</v>
      </c>
      <c r="C645">
        <v>462</v>
      </c>
      <c r="D645">
        <v>33.979999999999997</v>
      </c>
      <c r="E645" s="2">
        <v>46159</v>
      </c>
    </row>
    <row r="646" spans="1:5" x14ac:dyDescent="0.25">
      <c r="A646" s="1" t="s">
        <v>568</v>
      </c>
      <c r="B646" s="1" t="s">
        <v>1349</v>
      </c>
      <c r="C646">
        <v>265</v>
      </c>
      <c r="D646">
        <v>85.34</v>
      </c>
      <c r="E646" s="2">
        <v>46126</v>
      </c>
    </row>
    <row r="647" spans="1:5" x14ac:dyDescent="0.25">
      <c r="A647" s="1" t="s">
        <v>569</v>
      </c>
      <c r="B647" s="1" t="s">
        <v>1350</v>
      </c>
      <c r="C647">
        <v>153</v>
      </c>
      <c r="D647">
        <v>79.69</v>
      </c>
      <c r="E647" s="2">
        <v>46065</v>
      </c>
    </row>
    <row r="648" spans="1:5" x14ac:dyDescent="0.25">
      <c r="A648" s="1" t="s">
        <v>570</v>
      </c>
      <c r="B648" s="1" t="s">
        <v>1351</v>
      </c>
      <c r="C648">
        <v>137</v>
      </c>
      <c r="D648">
        <v>128</v>
      </c>
      <c r="E648" s="2">
        <v>46171</v>
      </c>
    </row>
    <row r="649" spans="1:5" x14ac:dyDescent="0.25">
      <c r="A649" s="1" t="s">
        <v>571</v>
      </c>
      <c r="B649" s="1" t="s">
        <v>1352</v>
      </c>
      <c r="C649">
        <v>255</v>
      </c>
      <c r="D649">
        <v>111.18</v>
      </c>
      <c r="E649" s="2">
        <v>46134</v>
      </c>
    </row>
    <row r="650" spans="1:5" x14ac:dyDescent="0.25">
      <c r="A650" s="1" t="s">
        <v>572</v>
      </c>
      <c r="B650" s="1" t="s">
        <v>1353</v>
      </c>
      <c r="C650">
        <v>174</v>
      </c>
      <c r="D650">
        <v>80.73</v>
      </c>
      <c r="E650" s="2">
        <v>46161</v>
      </c>
    </row>
    <row r="651" spans="1:5" x14ac:dyDescent="0.25">
      <c r="A651" s="1" t="s">
        <v>573</v>
      </c>
      <c r="B651" s="1" t="s">
        <v>1354</v>
      </c>
      <c r="C651">
        <v>25</v>
      </c>
      <c r="D651">
        <v>179.67</v>
      </c>
      <c r="E651" s="2">
        <v>46094</v>
      </c>
    </row>
    <row r="652" spans="1:5" x14ac:dyDescent="0.25">
      <c r="A652" s="1" t="s">
        <v>574</v>
      </c>
      <c r="B652" s="1" t="s">
        <v>1355</v>
      </c>
      <c r="C652">
        <v>281</v>
      </c>
      <c r="D652">
        <v>81.12</v>
      </c>
      <c r="E652" s="2">
        <v>46157</v>
      </c>
    </row>
    <row r="653" spans="1:5" x14ac:dyDescent="0.25">
      <c r="A653" s="1" t="s">
        <v>575</v>
      </c>
      <c r="B653" s="1" t="s">
        <v>1356</v>
      </c>
      <c r="C653">
        <v>136</v>
      </c>
      <c r="D653">
        <v>154.59</v>
      </c>
      <c r="E653" s="2">
        <v>46063</v>
      </c>
    </row>
    <row r="654" spans="1:5" x14ac:dyDescent="0.25">
      <c r="A654" s="1" t="s">
        <v>576</v>
      </c>
      <c r="B654" s="1" t="s">
        <v>1357</v>
      </c>
      <c r="C654">
        <v>443</v>
      </c>
      <c r="D654">
        <v>196.62</v>
      </c>
      <c r="E654" s="2">
        <v>46187</v>
      </c>
    </row>
    <row r="655" spans="1:5" x14ac:dyDescent="0.25">
      <c r="A655" s="1" t="s">
        <v>577</v>
      </c>
      <c r="B655" s="1" t="s">
        <v>1358</v>
      </c>
      <c r="C655">
        <v>131</v>
      </c>
      <c r="D655">
        <v>120.54</v>
      </c>
      <c r="E655" s="2">
        <v>46093</v>
      </c>
    </row>
    <row r="656" spans="1:5" x14ac:dyDescent="0.25">
      <c r="A656" s="1" t="s">
        <v>578</v>
      </c>
      <c r="B656" s="1" t="s">
        <v>1359</v>
      </c>
      <c r="C656">
        <v>370</v>
      </c>
      <c r="D656">
        <v>141.61000000000001</v>
      </c>
      <c r="E656" s="2">
        <v>46047</v>
      </c>
    </row>
    <row r="657" spans="1:5" x14ac:dyDescent="0.25">
      <c r="A657" s="1" t="s">
        <v>579</v>
      </c>
      <c r="B657" s="1" t="s">
        <v>1360</v>
      </c>
      <c r="C657">
        <v>438</v>
      </c>
      <c r="D657">
        <v>197.66</v>
      </c>
      <c r="E657" s="2">
        <v>46094</v>
      </c>
    </row>
    <row r="658" spans="1:5" x14ac:dyDescent="0.25">
      <c r="A658" s="1" t="s">
        <v>580</v>
      </c>
      <c r="B658" s="1" t="s">
        <v>1361</v>
      </c>
      <c r="C658">
        <v>29</v>
      </c>
      <c r="D658">
        <v>22.6</v>
      </c>
      <c r="E658" s="2">
        <v>46170</v>
      </c>
    </row>
    <row r="659" spans="1:5" x14ac:dyDescent="0.25">
      <c r="A659" s="1" t="s">
        <v>581</v>
      </c>
      <c r="B659" s="1" t="s">
        <v>1362</v>
      </c>
      <c r="C659">
        <v>254</v>
      </c>
      <c r="D659">
        <v>5.13</v>
      </c>
      <c r="E659" s="2">
        <v>46169</v>
      </c>
    </row>
    <row r="660" spans="1:5" x14ac:dyDescent="0.25">
      <c r="A660" s="1" t="s">
        <v>582</v>
      </c>
      <c r="B660" s="1" t="s">
        <v>1363</v>
      </c>
      <c r="C660">
        <v>377</v>
      </c>
      <c r="D660">
        <v>39.6</v>
      </c>
      <c r="E660" s="2">
        <v>46122</v>
      </c>
    </row>
    <row r="661" spans="1:5" x14ac:dyDescent="0.25">
      <c r="A661" s="1" t="s">
        <v>583</v>
      </c>
      <c r="B661" s="1" t="s">
        <v>1364</v>
      </c>
      <c r="C661">
        <v>310</v>
      </c>
      <c r="D661">
        <v>142.41999999999999</v>
      </c>
      <c r="E661" s="2">
        <v>46077</v>
      </c>
    </row>
    <row r="662" spans="1:5" x14ac:dyDescent="0.25">
      <c r="A662" s="1" t="s">
        <v>1365</v>
      </c>
      <c r="B662" s="1" t="s">
        <v>1366</v>
      </c>
      <c r="C662">
        <v>47</v>
      </c>
      <c r="D662">
        <v>86.98</v>
      </c>
      <c r="E662" s="2">
        <v>46136</v>
      </c>
    </row>
    <row r="663" spans="1:5" x14ac:dyDescent="0.25">
      <c r="A663" s="1" t="s">
        <v>584</v>
      </c>
      <c r="B663" s="1" t="s">
        <v>1367</v>
      </c>
      <c r="C663">
        <v>182</v>
      </c>
      <c r="D663">
        <v>63.84</v>
      </c>
      <c r="E663" s="2">
        <v>46067</v>
      </c>
    </row>
    <row r="664" spans="1:5" x14ac:dyDescent="0.25">
      <c r="A664" s="1" t="s">
        <v>585</v>
      </c>
      <c r="B664" s="1" t="s">
        <v>1368</v>
      </c>
      <c r="C664">
        <v>415</v>
      </c>
      <c r="D664">
        <v>129.66</v>
      </c>
      <c r="E664" s="2">
        <v>46155</v>
      </c>
    </row>
    <row r="665" spans="1:5" x14ac:dyDescent="0.25">
      <c r="A665" s="1" t="s">
        <v>586</v>
      </c>
      <c r="B665" s="1" t="s">
        <v>1369</v>
      </c>
      <c r="C665">
        <v>365</v>
      </c>
      <c r="D665">
        <v>178.47</v>
      </c>
      <c r="E665" s="2">
        <v>46183</v>
      </c>
    </row>
    <row r="666" spans="1:5" x14ac:dyDescent="0.25">
      <c r="A666" s="1" t="s">
        <v>587</v>
      </c>
      <c r="B666" s="1" t="s">
        <v>1370</v>
      </c>
      <c r="C666">
        <v>427</v>
      </c>
      <c r="D666">
        <v>39.19</v>
      </c>
      <c r="E666" s="2">
        <v>46193</v>
      </c>
    </row>
    <row r="667" spans="1:5" x14ac:dyDescent="0.25">
      <c r="A667" s="1" t="s">
        <v>588</v>
      </c>
      <c r="B667" s="1" t="s">
        <v>1371</v>
      </c>
      <c r="C667">
        <v>383</v>
      </c>
      <c r="D667">
        <v>5.35</v>
      </c>
      <c r="E667" s="2">
        <v>46089</v>
      </c>
    </row>
    <row r="668" spans="1:5" x14ac:dyDescent="0.25">
      <c r="A668" s="1" t="s">
        <v>589</v>
      </c>
      <c r="B668" s="1" t="s">
        <v>1372</v>
      </c>
      <c r="C668">
        <v>103</v>
      </c>
      <c r="D668">
        <v>122.47</v>
      </c>
      <c r="E668" s="2">
        <v>46045</v>
      </c>
    </row>
    <row r="669" spans="1:5" x14ac:dyDescent="0.25">
      <c r="A669" s="1" t="s">
        <v>590</v>
      </c>
      <c r="B669" s="1" t="s">
        <v>1373</v>
      </c>
      <c r="C669">
        <v>63</v>
      </c>
      <c r="D669">
        <v>187.65</v>
      </c>
      <c r="E669" s="2">
        <v>46187</v>
      </c>
    </row>
    <row r="670" spans="1:5" x14ac:dyDescent="0.25">
      <c r="A670" s="1" t="s">
        <v>591</v>
      </c>
      <c r="B670" s="1" t="s">
        <v>1374</v>
      </c>
      <c r="C670">
        <v>131</v>
      </c>
      <c r="D670">
        <v>72.63</v>
      </c>
      <c r="E670" s="2">
        <v>46062</v>
      </c>
    </row>
    <row r="671" spans="1:5" x14ac:dyDescent="0.25">
      <c r="A671" s="1" t="s">
        <v>592</v>
      </c>
      <c r="B671" s="1" t="s">
        <v>1375</v>
      </c>
      <c r="C671">
        <v>430</v>
      </c>
      <c r="D671">
        <v>143.25</v>
      </c>
      <c r="E671" s="2">
        <v>46069</v>
      </c>
    </row>
    <row r="672" spans="1:5" x14ac:dyDescent="0.25">
      <c r="A672" s="1" t="s">
        <v>593</v>
      </c>
      <c r="B672" s="1" t="s">
        <v>1376</v>
      </c>
      <c r="C672">
        <v>145</v>
      </c>
      <c r="D672">
        <v>51.37</v>
      </c>
      <c r="E672" s="2">
        <v>46042</v>
      </c>
    </row>
    <row r="673" spans="1:5" x14ac:dyDescent="0.25">
      <c r="A673" s="1" t="s">
        <v>594</v>
      </c>
      <c r="B673" s="1" t="s">
        <v>1377</v>
      </c>
      <c r="C673">
        <v>412</v>
      </c>
      <c r="D673">
        <v>27.4</v>
      </c>
      <c r="E673" s="2">
        <v>46102</v>
      </c>
    </row>
    <row r="674" spans="1:5" x14ac:dyDescent="0.25">
      <c r="A674" s="1" t="s">
        <v>595</v>
      </c>
      <c r="B674" s="1" t="s">
        <v>1378</v>
      </c>
      <c r="C674">
        <v>385</v>
      </c>
      <c r="D674">
        <v>86.83</v>
      </c>
      <c r="E674" s="2">
        <v>46154</v>
      </c>
    </row>
    <row r="675" spans="1:5" x14ac:dyDescent="0.25">
      <c r="A675" s="1" t="s">
        <v>596</v>
      </c>
      <c r="B675" s="1" t="s">
        <v>1379</v>
      </c>
      <c r="C675">
        <v>189</v>
      </c>
      <c r="D675">
        <v>111.47</v>
      </c>
      <c r="E675" s="2">
        <v>46146</v>
      </c>
    </row>
    <row r="676" spans="1:5" x14ac:dyDescent="0.25">
      <c r="A676" s="1" t="s">
        <v>597</v>
      </c>
      <c r="B676" s="1" t="s">
        <v>1380</v>
      </c>
      <c r="C676">
        <v>93</v>
      </c>
      <c r="D676">
        <v>93</v>
      </c>
      <c r="E676" s="2">
        <v>46102</v>
      </c>
    </row>
    <row r="677" spans="1:5" x14ac:dyDescent="0.25">
      <c r="A677" s="1" t="s">
        <v>598</v>
      </c>
      <c r="B677" s="1" t="s">
        <v>1381</v>
      </c>
      <c r="C677">
        <v>143</v>
      </c>
      <c r="D677">
        <v>190.57</v>
      </c>
      <c r="E677" s="2">
        <v>46122</v>
      </c>
    </row>
    <row r="678" spans="1:5" x14ac:dyDescent="0.25">
      <c r="A678" s="1" t="s">
        <v>599</v>
      </c>
      <c r="B678" s="1" t="s">
        <v>1382</v>
      </c>
      <c r="C678">
        <v>92</v>
      </c>
      <c r="D678">
        <v>147.74</v>
      </c>
      <c r="E678" s="2">
        <v>46127</v>
      </c>
    </row>
    <row r="679" spans="1:5" x14ac:dyDescent="0.25">
      <c r="A679" s="1" t="s">
        <v>600</v>
      </c>
      <c r="B679" s="1" t="s">
        <v>1383</v>
      </c>
      <c r="C679">
        <v>370</v>
      </c>
      <c r="D679">
        <v>11.04</v>
      </c>
      <c r="E679" s="2">
        <v>46160</v>
      </c>
    </row>
    <row r="680" spans="1:5" x14ac:dyDescent="0.25">
      <c r="A680" s="1" t="s">
        <v>601</v>
      </c>
      <c r="B680" s="1" t="s">
        <v>1384</v>
      </c>
      <c r="C680">
        <v>90</v>
      </c>
      <c r="D680">
        <v>15.44</v>
      </c>
      <c r="E680" s="2">
        <v>46151</v>
      </c>
    </row>
    <row r="681" spans="1:5" x14ac:dyDescent="0.25">
      <c r="A681" s="1" t="s">
        <v>602</v>
      </c>
      <c r="B681" s="1" t="s">
        <v>1385</v>
      </c>
      <c r="C681">
        <v>366</v>
      </c>
      <c r="D681">
        <v>113.05</v>
      </c>
      <c r="E681" s="2">
        <v>46145</v>
      </c>
    </row>
    <row r="682" spans="1:5" x14ac:dyDescent="0.25">
      <c r="A682" s="1" t="s">
        <v>603</v>
      </c>
      <c r="B682" s="1" t="s">
        <v>1386</v>
      </c>
      <c r="C682">
        <v>162</v>
      </c>
      <c r="D682">
        <v>51.32</v>
      </c>
      <c r="E682" s="2">
        <v>46120</v>
      </c>
    </row>
    <row r="683" spans="1:5" x14ac:dyDescent="0.25">
      <c r="A683" s="1" t="s">
        <v>604</v>
      </c>
      <c r="B683" s="1" t="s">
        <v>1387</v>
      </c>
      <c r="C683">
        <v>440</v>
      </c>
      <c r="D683">
        <v>100.73</v>
      </c>
      <c r="E683" s="2">
        <v>46186</v>
      </c>
    </row>
    <row r="684" spans="1:5" x14ac:dyDescent="0.25">
      <c r="A684" s="1" t="s">
        <v>604</v>
      </c>
      <c r="B684" s="1" t="s">
        <v>1388</v>
      </c>
      <c r="C684">
        <v>440</v>
      </c>
      <c r="D684">
        <v>100.73</v>
      </c>
      <c r="E684" s="2">
        <v>46188</v>
      </c>
    </row>
    <row r="685" spans="1:5" x14ac:dyDescent="0.25">
      <c r="A685" s="1" t="s">
        <v>605</v>
      </c>
      <c r="B685" s="1" t="s">
        <v>1389</v>
      </c>
      <c r="C685">
        <v>54</v>
      </c>
      <c r="D685">
        <v>62.44</v>
      </c>
      <c r="E685" s="2">
        <v>46157</v>
      </c>
    </row>
    <row r="686" spans="1:5" x14ac:dyDescent="0.25">
      <c r="A686" s="1" t="s">
        <v>606</v>
      </c>
      <c r="B686" s="1" t="s">
        <v>1390</v>
      </c>
      <c r="C686">
        <v>23</v>
      </c>
      <c r="D686">
        <v>45.36</v>
      </c>
      <c r="E686" s="2">
        <v>46067</v>
      </c>
    </row>
    <row r="687" spans="1:5" x14ac:dyDescent="0.25">
      <c r="A687" s="1" t="s">
        <v>607</v>
      </c>
      <c r="B687" s="1" t="s">
        <v>1391</v>
      </c>
      <c r="C687">
        <v>442</v>
      </c>
      <c r="D687">
        <v>27.52</v>
      </c>
      <c r="E687" s="2">
        <v>46168</v>
      </c>
    </row>
    <row r="688" spans="1:5" x14ac:dyDescent="0.25">
      <c r="A688" s="1" t="s">
        <v>608</v>
      </c>
      <c r="B688" s="1" t="s">
        <v>1392</v>
      </c>
      <c r="C688">
        <v>56</v>
      </c>
      <c r="D688">
        <v>130.16</v>
      </c>
      <c r="E688" s="2">
        <v>46105</v>
      </c>
    </row>
    <row r="689" spans="1:5" x14ac:dyDescent="0.25">
      <c r="A689" s="1" t="s">
        <v>609</v>
      </c>
      <c r="B689" s="1" t="s">
        <v>1393</v>
      </c>
      <c r="C689">
        <v>199</v>
      </c>
      <c r="D689">
        <v>41.38</v>
      </c>
      <c r="E689" s="2">
        <v>46141</v>
      </c>
    </row>
    <row r="690" spans="1:5" x14ac:dyDescent="0.25">
      <c r="A690" s="1" t="s">
        <v>610</v>
      </c>
      <c r="B690" s="1" t="s">
        <v>1394</v>
      </c>
      <c r="C690">
        <v>144</v>
      </c>
      <c r="D690">
        <v>49.12</v>
      </c>
      <c r="E690" s="2">
        <v>46154</v>
      </c>
    </row>
    <row r="691" spans="1:5" x14ac:dyDescent="0.25">
      <c r="A691" s="1" t="s">
        <v>611</v>
      </c>
      <c r="B691" s="1" t="s">
        <v>1395</v>
      </c>
      <c r="C691">
        <v>53</v>
      </c>
      <c r="D691">
        <v>135.29</v>
      </c>
      <c r="E691" s="2">
        <v>46072</v>
      </c>
    </row>
    <row r="692" spans="1:5" x14ac:dyDescent="0.25">
      <c r="A692" s="1" t="s">
        <v>612</v>
      </c>
      <c r="B692" s="1" t="s">
        <v>1396</v>
      </c>
      <c r="C692">
        <v>293</v>
      </c>
      <c r="D692">
        <v>16.89</v>
      </c>
      <c r="E692" s="2">
        <v>46109</v>
      </c>
    </row>
    <row r="693" spans="1:5" x14ac:dyDescent="0.25">
      <c r="A693" s="1" t="s">
        <v>613</v>
      </c>
      <c r="B693" s="1" t="s">
        <v>1397</v>
      </c>
      <c r="C693">
        <v>361</v>
      </c>
      <c r="D693">
        <v>174.04</v>
      </c>
      <c r="E693" s="2">
        <v>46173</v>
      </c>
    </row>
    <row r="694" spans="1:5" x14ac:dyDescent="0.25">
      <c r="A694" s="1" t="s">
        <v>614</v>
      </c>
      <c r="B694" s="1" t="s">
        <v>1398</v>
      </c>
      <c r="C694">
        <v>50</v>
      </c>
      <c r="D694">
        <v>81.99</v>
      </c>
      <c r="E694" s="2">
        <v>46106</v>
      </c>
    </row>
    <row r="695" spans="1:5" x14ac:dyDescent="0.25">
      <c r="A695" s="1" t="s">
        <v>615</v>
      </c>
      <c r="B695" s="1" t="s">
        <v>1399</v>
      </c>
      <c r="C695">
        <v>471</v>
      </c>
      <c r="D695">
        <v>105.78</v>
      </c>
      <c r="E695" s="2">
        <v>46184</v>
      </c>
    </row>
    <row r="696" spans="1:5" x14ac:dyDescent="0.25">
      <c r="A696" s="1" t="s">
        <v>616</v>
      </c>
      <c r="B696" s="1" t="s">
        <v>1400</v>
      </c>
      <c r="C696">
        <v>98</v>
      </c>
      <c r="D696">
        <v>190.07</v>
      </c>
      <c r="E696" s="2">
        <v>46149</v>
      </c>
    </row>
    <row r="697" spans="1:5" x14ac:dyDescent="0.25">
      <c r="A697" s="1" t="s">
        <v>617</v>
      </c>
      <c r="B697" s="1" t="s">
        <v>1401</v>
      </c>
      <c r="C697">
        <v>31</v>
      </c>
      <c r="D697">
        <v>87.56</v>
      </c>
      <c r="E697" s="2">
        <v>46081</v>
      </c>
    </row>
    <row r="698" spans="1:5" x14ac:dyDescent="0.25">
      <c r="A698" s="1" t="s">
        <v>618</v>
      </c>
      <c r="B698" s="1" t="s">
        <v>1402</v>
      </c>
      <c r="C698">
        <v>437</v>
      </c>
      <c r="D698">
        <v>121.03</v>
      </c>
      <c r="E698" s="2">
        <v>46077</v>
      </c>
    </row>
    <row r="699" spans="1:5" x14ac:dyDescent="0.25">
      <c r="A699" s="1" t="s">
        <v>619</v>
      </c>
      <c r="B699" s="1" t="s">
        <v>1403</v>
      </c>
      <c r="C699">
        <v>294</v>
      </c>
      <c r="D699">
        <v>82.48</v>
      </c>
      <c r="E699" s="2">
        <v>46139</v>
      </c>
    </row>
    <row r="700" spans="1:5" x14ac:dyDescent="0.25">
      <c r="A700" s="1" t="s">
        <v>620</v>
      </c>
      <c r="B700" s="1" t="s">
        <v>1404</v>
      </c>
      <c r="C700">
        <v>479</v>
      </c>
      <c r="D700">
        <v>175.33</v>
      </c>
      <c r="E700" s="2">
        <v>46166</v>
      </c>
    </row>
    <row r="701" spans="1:5" x14ac:dyDescent="0.25">
      <c r="A701" s="1" t="s">
        <v>621</v>
      </c>
      <c r="B701" s="1" t="s">
        <v>1405</v>
      </c>
      <c r="C701">
        <v>222</v>
      </c>
      <c r="D701">
        <v>34.18</v>
      </c>
      <c r="E701" s="2">
        <v>46066</v>
      </c>
    </row>
    <row r="702" spans="1:5" x14ac:dyDescent="0.25">
      <c r="A702" s="1" t="s">
        <v>622</v>
      </c>
      <c r="B702" s="1" t="s">
        <v>1406</v>
      </c>
      <c r="C702">
        <v>409</v>
      </c>
      <c r="D702">
        <v>24.69</v>
      </c>
      <c r="E702" s="2">
        <v>46185</v>
      </c>
    </row>
    <row r="703" spans="1:5" x14ac:dyDescent="0.25">
      <c r="A703" s="1" t="s">
        <v>623</v>
      </c>
      <c r="B703" s="1" t="s">
        <v>1407</v>
      </c>
      <c r="C703">
        <v>206</v>
      </c>
      <c r="D703">
        <v>132.68</v>
      </c>
      <c r="E703" s="2">
        <v>46113</v>
      </c>
    </row>
    <row r="704" spans="1:5" x14ac:dyDescent="0.25">
      <c r="A704" s="1" t="s">
        <v>624</v>
      </c>
      <c r="B704" s="1" t="s">
        <v>1408</v>
      </c>
      <c r="C704">
        <v>151</v>
      </c>
      <c r="D704">
        <v>83.58</v>
      </c>
      <c r="E704" s="2">
        <v>46087</v>
      </c>
    </row>
    <row r="705" spans="1:5" x14ac:dyDescent="0.25">
      <c r="A705" s="1" t="s">
        <v>625</v>
      </c>
      <c r="B705" s="1" t="s">
        <v>1409</v>
      </c>
      <c r="C705">
        <v>465</v>
      </c>
      <c r="D705">
        <v>176.4</v>
      </c>
      <c r="E705" s="2">
        <v>46137</v>
      </c>
    </row>
    <row r="706" spans="1:5" x14ac:dyDescent="0.25">
      <c r="A706" s="1" t="s">
        <v>626</v>
      </c>
      <c r="B706" s="1" t="s">
        <v>1410</v>
      </c>
      <c r="C706">
        <v>481</v>
      </c>
      <c r="D706">
        <v>57.37</v>
      </c>
      <c r="E706" s="2">
        <v>46152</v>
      </c>
    </row>
    <row r="707" spans="1:5" x14ac:dyDescent="0.25">
      <c r="A707" s="1" t="s">
        <v>627</v>
      </c>
      <c r="B707" s="1" t="s">
        <v>1411</v>
      </c>
      <c r="C707">
        <v>169</v>
      </c>
      <c r="D707">
        <v>59.67</v>
      </c>
      <c r="E707" s="2">
        <v>46110</v>
      </c>
    </row>
    <row r="708" spans="1:5" x14ac:dyDescent="0.25">
      <c r="A708" s="1" t="s">
        <v>628</v>
      </c>
      <c r="B708" s="1" t="s">
        <v>1412</v>
      </c>
      <c r="C708">
        <v>163</v>
      </c>
      <c r="D708">
        <v>194.97</v>
      </c>
      <c r="E708" s="2">
        <v>46081</v>
      </c>
    </row>
    <row r="709" spans="1:5" x14ac:dyDescent="0.25">
      <c r="A709" s="1" t="s">
        <v>629</v>
      </c>
      <c r="B709" s="1" t="s">
        <v>1413</v>
      </c>
      <c r="C709">
        <v>319</v>
      </c>
      <c r="D709">
        <v>130.88</v>
      </c>
      <c r="E709" s="2">
        <v>46152</v>
      </c>
    </row>
    <row r="710" spans="1:5" x14ac:dyDescent="0.25">
      <c r="A710" s="1" t="s">
        <v>630</v>
      </c>
      <c r="B710" s="1" t="s">
        <v>1414</v>
      </c>
      <c r="C710">
        <v>389</v>
      </c>
      <c r="D710">
        <v>99.47</v>
      </c>
      <c r="E710" s="2">
        <v>46144</v>
      </c>
    </row>
    <row r="711" spans="1:5" x14ac:dyDescent="0.25">
      <c r="A711" s="1" t="s">
        <v>631</v>
      </c>
      <c r="B711" s="1" t="s">
        <v>1415</v>
      </c>
      <c r="C711">
        <v>415</v>
      </c>
      <c r="D711">
        <v>36</v>
      </c>
      <c r="E711" s="2">
        <v>46180</v>
      </c>
    </row>
    <row r="712" spans="1:5" x14ac:dyDescent="0.25">
      <c r="A712" s="1" t="s">
        <v>632</v>
      </c>
      <c r="B712" s="1" t="s">
        <v>1416</v>
      </c>
      <c r="C712">
        <v>409</v>
      </c>
      <c r="D712">
        <v>171</v>
      </c>
      <c r="E712" s="2">
        <v>46068</v>
      </c>
    </row>
    <row r="713" spans="1:5" x14ac:dyDescent="0.25">
      <c r="A713" s="1" t="s">
        <v>633</v>
      </c>
      <c r="B713" s="1" t="s">
        <v>1417</v>
      </c>
      <c r="C713">
        <v>458</v>
      </c>
      <c r="D713">
        <v>167.42</v>
      </c>
      <c r="E713" s="2">
        <v>46085</v>
      </c>
    </row>
    <row r="714" spans="1:5" x14ac:dyDescent="0.25">
      <c r="A714" s="1" t="s">
        <v>634</v>
      </c>
      <c r="B714" s="1" t="s">
        <v>1418</v>
      </c>
      <c r="C714">
        <v>35</v>
      </c>
      <c r="D714">
        <v>211.45</v>
      </c>
      <c r="E714" s="2">
        <v>46156</v>
      </c>
    </row>
    <row r="715" spans="1:5" x14ac:dyDescent="0.25">
      <c r="A715" s="1" t="s">
        <v>635</v>
      </c>
      <c r="B715" s="1" t="s">
        <v>1419</v>
      </c>
      <c r="C715">
        <v>431</v>
      </c>
      <c r="D715">
        <v>95.52</v>
      </c>
      <c r="E715" s="2">
        <v>46135</v>
      </c>
    </row>
    <row r="716" spans="1:5" x14ac:dyDescent="0.25">
      <c r="A716" s="1" t="s">
        <v>636</v>
      </c>
      <c r="B716" s="1" t="s">
        <v>1420</v>
      </c>
      <c r="C716">
        <v>133</v>
      </c>
      <c r="D716">
        <v>77.63</v>
      </c>
      <c r="E716" s="2">
        <v>46057</v>
      </c>
    </row>
    <row r="717" spans="1:5" x14ac:dyDescent="0.25">
      <c r="A717" s="1" t="s">
        <v>637</v>
      </c>
      <c r="B717" s="1" t="s">
        <v>1421</v>
      </c>
      <c r="C717">
        <v>310</v>
      </c>
      <c r="D717">
        <v>112.51</v>
      </c>
      <c r="E717" s="2">
        <v>46156</v>
      </c>
    </row>
    <row r="718" spans="1:5" x14ac:dyDescent="0.25">
      <c r="A718" s="1" t="s">
        <v>638</v>
      </c>
      <c r="B718" s="1" t="s">
        <v>1422</v>
      </c>
      <c r="C718">
        <v>155</v>
      </c>
      <c r="D718">
        <v>10.35</v>
      </c>
      <c r="E718" s="2">
        <v>46059</v>
      </c>
    </row>
    <row r="719" spans="1:5" x14ac:dyDescent="0.25">
      <c r="A719" s="1" t="s">
        <v>639</v>
      </c>
      <c r="B719" s="1" t="s">
        <v>1423</v>
      </c>
      <c r="C719">
        <v>448</v>
      </c>
      <c r="D719">
        <v>48.16</v>
      </c>
      <c r="E719" s="2">
        <v>46094</v>
      </c>
    </row>
    <row r="720" spans="1:5" x14ac:dyDescent="0.25">
      <c r="A720" s="1" t="s">
        <v>640</v>
      </c>
      <c r="B720" s="1" t="s">
        <v>1424</v>
      </c>
      <c r="C720">
        <v>272</v>
      </c>
      <c r="D720">
        <v>8.91</v>
      </c>
      <c r="E720" s="2">
        <v>46142</v>
      </c>
    </row>
    <row r="721" spans="1:5" x14ac:dyDescent="0.25">
      <c r="A721" s="1" t="s">
        <v>641</v>
      </c>
      <c r="B721" s="1" t="s">
        <v>1425</v>
      </c>
      <c r="C721">
        <v>341</v>
      </c>
      <c r="D721">
        <v>38.770000000000003</v>
      </c>
      <c r="E721" s="2">
        <v>46072</v>
      </c>
    </row>
    <row r="722" spans="1:5" x14ac:dyDescent="0.25">
      <c r="A722" s="1" t="s">
        <v>1426</v>
      </c>
      <c r="B722" s="1" t="s">
        <v>1427</v>
      </c>
      <c r="C722">
        <v>374</v>
      </c>
      <c r="D722">
        <v>206.34</v>
      </c>
      <c r="E722" s="2">
        <v>46124</v>
      </c>
    </row>
    <row r="723" spans="1:5" x14ac:dyDescent="0.25">
      <c r="A723" s="1" t="s">
        <v>642</v>
      </c>
      <c r="B723" s="1" t="s">
        <v>1428</v>
      </c>
      <c r="C723">
        <v>446</v>
      </c>
      <c r="D723">
        <v>73</v>
      </c>
      <c r="E723" s="2">
        <v>46134</v>
      </c>
    </row>
    <row r="724" spans="1:5" x14ac:dyDescent="0.25">
      <c r="A724" s="1" t="s">
        <v>643</v>
      </c>
      <c r="B724" s="1" t="s">
        <v>1429</v>
      </c>
      <c r="C724">
        <v>356</v>
      </c>
      <c r="D724">
        <v>106.52</v>
      </c>
      <c r="E724" s="2">
        <v>46119</v>
      </c>
    </row>
    <row r="725" spans="1:5" x14ac:dyDescent="0.25">
      <c r="A725" s="1" t="s">
        <v>644</v>
      </c>
      <c r="B725" s="1" t="s">
        <v>1430</v>
      </c>
      <c r="C725">
        <v>13</v>
      </c>
      <c r="D725">
        <v>104.75</v>
      </c>
      <c r="E725" s="2">
        <v>46071</v>
      </c>
    </row>
    <row r="726" spans="1:5" x14ac:dyDescent="0.25">
      <c r="A726" s="1" t="s">
        <v>645</v>
      </c>
      <c r="B726" s="1" t="s">
        <v>1431</v>
      </c>
      <c r="C726">
        <v>162</v>
      </c>
      <c r="D726">
        <v>138.46</v>
      </c>
      <c r="E726" s="2">
        <v>46106</v>
      </c>
    </row>
    <row r="727" spans="1:5" x14ac:dyDescent="0.25">
      <c r="A727" s="1" t="s">
        <v>646</v>
      </c>
      <c r="B727" s="1" t="s">
        <v>1432</v>
      </c>
      <c r="C727">
        <v>337</v>
      </c>
      <c r="D727">
        <v>68.400000000000006</v>
      </c>
      <c r="E727" s="2">
        <v>46109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64239-B6D1-4A17-92E5-BD57544F1768}">
  <dimension ref="A1:C645"/>
  <sheetViews>
    <sheetView workbookViewId="0"/>
  </sheetViews>
  <sheetFormatPr defaultRowHeight="15" x14ac:dyDescent="0.25"/>
  <cols>
    <col min="1" max="1" width="13.5703125" bestFit="1" customWidth="1"/>
    <col min="2" max="2" width="14.140625" bestFit="1" customWidth="1"/>
    <col min="3" max="3" width="21.855468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>
        <v>22</v>
      </c>
      <c r="C2" s="2">
        <v>46062</v>
      </c>
    </row>
    <row r="3" spans="1:3" x14ac:dyDescent="0.25">
      <c r="A3" s="1" t="s">
        <v>4</v>
      </c>
      <c r="B3">
        <v>356</v>
      </c>
      <c r="C3" s="2">
        <v>46054</v>
      </c>
    </row>
    <row r="4" spans="1:3" x14ac:dyDescent="0.25">
      <c r="A4" s="1" t="s">
        <v>5</v>
      </c>
      <c r="B4">
        <v>26</v>
      </c>
      <c r="C4" s="2">
        <v>46141</v>
      </c>
    </row>
    <row r="5" spans="1:3" x14ac:dyDescent="0.25">
      <c r="A5" s="1" t="s">
        <v>6</v>
      </c>
      <c r="B5">
        <v>297</v>
      </c>
      <c r="C5" s="2">
        <v>46046</v>
      </c>
    </row>
    <row r="6" spans="1:3" x14ac:dyDescent="0.25">
      <c r="A6" s="1" t="s">
        <v>7</v>
      </c>
      <c r="B6">
        <v>311</v>
      </c>
      <c r="C6" s="2">
        <v>46146</v>
      </c>
    </row>
    <row r="7" spans="1:3" x14ac:dyDescent="0.25">
      <c r="A7" s="1" t="s">
        <v>8</v>
      </c>
      <c r="B7">
        <v>184</v>
      </c>
      <c r="C7" s="2">
        <v>46144</v>
      </c>
    </row>
    <row r="8" spans="1:3" x14ac:dyDescent="0.25">
      <c r="A8" s="1" t="s">
        <v>9</v>
      </c>
      <c r="B8">
        <v>204</v>
      </c>
      <c r="C8" s="2">
        <v>46058</v>
      </c>
    </row>
    <row r="9" spans="1:3" x14ac:dyDescent="0.25">
      <c r="A9" s="1" t="s">
        <v>10</v>
      </c>
      <c r="B9">
        <v>284</v>
      </c>
      <c r="C9" s="2">
        <v>46145</v>
      </c>
    </row>
    <row r="10" spans="1:3" x14ac:dyDescent="0.25">
      <c r="A10" s="1" t="s">
        <v>11</v>
      </c>
      <c r="B10">
        <v>434</v>
      </c>
      <c r="C10" s="2">
        <v>46107</v>
      </c>
    </row>
    <row r="11" spans="1:3" x14ac:dyDescent="0.25">
      <c r="A11" s="1" t="s">
        <v>12</v>
      </c>
      <c r="B11">
        <v>33</v>
      </c>
      <c r="C11" s="2">
        <v>46055</v>
      </c>
    </row>
    <row r="12" spans="1:3" x14ac:dyDescent="0.25">
      <c r="A12" s="1" t="s">
        <v>13</v>
      </c>
      <c r="B12">
        <v>453</v>
      </c>
      <c r="C12" s="2">
        <v>46103</v>
      </c>
    </row>
    <row r="13" spans="1:3" x14ac:dyDescent="0.25">
      <c r="A13" s="1" t="s">
        <v>14</v>
      </c>
      <c r="B13">
        <v>93</v>
      </c>
      <c r="C13" s="2">
        <v>46129</v>
      </c>
    </row>
    <row r="14" spans="1:3" x14ac:dyDescent="0.25">
      <c r="A14" s="1" t="s">
        <v>15</v>
      </c>
      <c r="B14">
        <v>321</v>
      </c>
      <c r="C14" s="2">
        <v>46055</v>
      </c>
    </row>
    <row r="15" spans="1:3" x14ac:dyDescent="0.25">
      <c r="A15" s="1" t="s">
        <v>16</v>
      </c>
      <c r="B15">
        <v>204</v>
      </c>
      <c r="C15" s="2">
        <v>46171</v>
      </c>
    </row>
    <row r="16" spans="1:3" x14ac:dyDescent="0.25">
      <c r="A16" s="1" t="s">
        <v>17</v>
      </c>
      <c r="B16">
        <v>441</v>
      </c>
      <c r="C16" s="2">
        <v>46117</v>
      </c>
    </row>
    <row r="17" spans="1:3" x14ac:dyDescent="0.25">
      <c r="A17" s="1" t="s">
        <v>18</v>
      </c>
      <c r="B17">
        <v>212</v>
      </c>
      <c r="C17" s="2">
        <v>46119</v>
      </c>
    </row>
    <row r="18" spans="1:3" x14ac:dyDescent="0.25">
      <c r="A18" s="1" t="s">
        <v>19</v>
      </c>
      <c r="B18">
        <v>212</v>
      </c>
      <c r="C18" s="2">
        <v>46167</v>
      </c>
    </row>
    <row r="19" spans="1:3" x14ac:dyDescent="0.25">
      <c r="A19" s="1" t="s">
        <v>20</v>
      </c>
      <c r="B19">
        <v>81</v>
      </c>
      <c r="C19" s="2">
        <v>46105</v>
      </c>
    </row>
    <row r="20" spans="1:3" x14ac:dyDescent="0.25">
      <c r="A20" s="1" t="s">
        <v>21</v>
      </c>
      <c r="B20">
        <v>229</v>
      </c>
      <c r="C20" s="2">
        <v>46189</v>
      </c>
    </row>
    <row r="21" spans="1:3" x14ac:dyDescent="0.25">
      <c r="A21" s="1" t="s">
        <v>22</v>
      </c>
      <c r="B21">
        <v>270</v>
      </c>
      <c r="C21" s="2">
        <v>46065</v>
      </c>
    </row>
    <row r="22" spans="1:3" x14ac:dyDescent="0.25">
      <c r="A22" s="1" t="s">
        <v>23</v>
      </c>
      <c r="B22">
        <v>331</v>
      </c>
      <c r="C22" s="2">
        <v>46089</v>
      </c>
    </row>
    <row r="23" spans="1:3" x14ac:dyDescent="0.25">
      <c r="A23" s="1" t="s">
        <v>24</v>
      </c>
      <c r="B23">
        <v>207</v>
      </c>
      <c r="C23" s="2">
        <v>46058</v>
      </c>
    </row>
    <row r="24" spans="1:3" x14ac:dyDescent="0.25">
      <c r="A24" s="1" t="s">
        <v>25</v>
      </c>
      <c r="B24">
        <v>450</v>
      </c>
      <c r="C24" s="2">
        <v>46177</v>
      </c>
    </row>
    <row r="25" spans="1:3" x14ac:dyDescent="0.25">
      <c r="A25" s="1" t="s">
        <v>26</v>
      </c>
      <c r="B25">
        <v>394</v>
      </c>
      <c r="C25" s="2">
        <v>46173</v>
      </c>
    </row>
    <row r="26" spans="1:3" x14ac:dyDescent="0.25">
      <c r="A26" s="1" t="s">
        <v>27</v>
      </c>
      <c r="B26">
        <v>232</v>
      </c>
      <c r="C26" s="2">
        <v>46112</v>
      </c>
    </row>
    <row r="27" spans="1:3" x14ac:dyDescent="0.25">
      <c r="A27" s="1" t="s">
        <v>28</v>
      </c>
      <c r="B27">
        <v>269</v>
      </c>
      <c r="C27" s="2">
        <v>46082</v>
      </c>
    </row>
    <row r="28" spans="1:3" x14ac:dyDescent="0.25">
      <c r="A28" s="1" t="s">
        <v>29</v>
      </c>
      <c r="B28">
        <v>321</v>
      </c>
      <c r="C28" s="2">
        <v>46164</v>
      </c>
    </row>
    <row r="29" spans="1:3" x14ac:dyDescent="0.25">
      <c r="A29" s="1" t="s">
        <v>30</v>
      </c>
      <c r="B29">
        <v>480</v>
      </c>
      <c r="C29" s="2">
        <v>46179</v>
      </c>
    </row>
    <row r="30" spans="1:3" x14ac:dyDescent="0.25">
      <c r="A30" s="1" t="s">
        <v>31</v>
      </c>
      <c r="B30">
        <v>485</v>
      </c>
      <c r="C30" s="2">
        <v>46065</v>
      </c>
    </row>
    <row r="31" spans="1:3" x14ac:dyDescent="0.25">
      <c r="A31" s="1" t="s">
        <v>32</v>
      </c>
      <c r="B31">
        <v>459</v>
      </c>
      <c r="C31" s="2">
        <v>46091</v>
      </c>
    </row>
    <row r="32" spans="1:3" x14ac:dyDescent="0.25">
      <c r="A32" s="1" t="s">
        <v>33</v>
      </c>
      <c r="B32">
        <v>427</v>
      </c>
      <c r="C32" s="2">
        <v>46154</v>
      </c>
    </row>
    <row r="33" spans="1:3" x14ac:dyDescent="0.25">
      <c r="A33" s="1" t="s">
        <v>34</v>
      </c>
      <c r="B33">
        <v>494</v>
      </c>
      <c r="C33" s="2">
        <v>46182</v>
      </c>
    </row>
    <row r="34" spans="1:3" x14ac:dyDescent="0.25">
      <c r="A34" s="1" t="s">
        <v>35</v>
      </c>
      <c r="B34">
        <v>118</v>
      </c>
      <c r="C34" s="2">
        <v>46144</v>
      </c>
    </row>
    <row r="35" spans="1:3" x14ac:dyDescent="0.25">
      <c r="A35" s="1" t="s">
        <v>36</v>
      </c>
      <c r="B35">
        <v>214</v>
      </c>
      <c r="C35" s="2">
        <v>46116</v>
      </c>
    </row>
    <row r="36" spans="1:3" x14ac:dyDescent="0.25">
      <c r="A36" s="1" t="s">
        <v>37</v>
      </c>
      <c r="B36">
        <v>241</v>
      </c>
      <c r="C36" s="2">
        <v>46164</v>
      </c>
    </row>
    <row r="37" spans="1:3" x14ac:dyDescent="0.25">
      <c r="A37" s="1" t="s">
        <v>38</v>
      </c>
      <c r="B37">
        <v>372</v>
      </c>
      <c r="C37" s="2">
        <v>46046</v>
      </c>
    </row>
    <row r="38" spans="1:3" x14ac:dyDescent="0.25">
      <c r="A38" s="1" t="s">
        <v>39</v>
      </c>
      <c r="B38">
        <v>46</v>
      </c>
      <c r="C38" s="2">
        <v>46129</v>
      </c>
    </row>
    <row r="39" spans="1:3" x14ac:dyDescent="0.25">
      <c r="A39" s="1" t="s">
        <v>40</v>
      </c>
      <c r="B39">
        <v>61</v>
      </c>
      <c r="C39" s="2">
        <v>46195</v>
      </c>
    </row>
    <row r="40" spans="1:3" x14ac:dyDescent="0.25">
      <c r="A40" s="1" t="s">
        <v>41</v>
      </c>
      <c r="B40">
        <v>423</v>
      </c>
      <c r="C40" s="2">
        <v>46154</v>
      </c>
    </row>
    <row r="41" spans="1:3" x14ac:dyDescent="0.25">
      <c r="A41" s="1" t="s">
        <v>42</v>
      </c>
      <c r="B41">
        <v>191</v>
      </c>
      <c r="C41" s="2">
        <v>46137</v>
      </c>
    </row>
    <row r="42" spans="1:3" x14ac:dyDescent="0.25">
      <c r="A42" s="1" t="s">
        <v>43</v>
      </c>
      <c r="B42">
        <v>41</v>
      </c>
      <c r="C42" s="2">
        <v>46054</v>
      </c>
    </row>
    <row r="43" spans="1:3" x14ac:dyDescent="0.25">
      <c r="A43" s="1" t="s">
        <v>44</v>
      </c>
      <c r="B43">
        <v>107</v>
      </c>
      <c r="C43" s="2">
        <v>46091</v>
      </c>
    </row>
    <row r="44" spans="1:3" x14ac:dyDescent="0.25">
      <c r="A44" s="1" t="s">
        <v>45</v>
      </c>
      <c r="B44">
        <v>243</v>
      </c>
      <c r="C44" s="2">
        <v>46115</v>
      </c>
    </row>
    <row r="45" spans="1:3" x14ac:dyDescent="0.25">
      <c r="A45" s="1" t="s">
        <v>46</v>
      </c>
      <c r="B45">
        <v>35</v>
      </c>
      <c r="C45" s="2">
        <v>46053</v>
      </c>
    </row>
    <row r="46" spans="1:3" x14ac:dyDescent="0.25">
      <c r="A46" s="1" t="s">
        <v>47</v>
      </c>
      <c r="B46">
        <v>95</v>
      </c>
      <c r="C46" s="2">
        <v>46093</v>
      </c>
    </row>
    <row r="47" spans="1:3" x14ac:dyDescent="0.25">
      <c r="A47" s="1" t="s">
        <v>48</v>
      </c>
      <c r="B47">
        <v>80</v>
      </c>
      <c r="C47" s="2">
        <v>46058</v>
      </c>
    </row>
    <row r="48" spans="1:3" x14ac:dyDescent="0.25">
      <c r="A48" s="1" t="s">
        <v>49</v>
      </c>
      <c r="B48">
        <v>226</v>
      </c>
      <c r="C48" s="2">
        <v>46114</v>
      </c>
    </row>
    <row r="49" spans="1:3" x14ac:dyDescent="0.25">
      <c r="A49" s="1" t="s">
        <v>50</v>
      </c>
      <c r="B49">
        <v>161</v>
      </c>
      <c r="C49" s="2">
        <v>46079</v>
      </c>
    </row>
    <row r="50" spans="1:3" x14ac:dyDescent="0.25">
      <c r="A50" s="1" t="s">
        <v>51</v>
      </c>
      <c r="B50">
        <v>39</v>
      </c>
      <c r="C50" s="2">
        <v>46125</v>
      </c>
    </row>
    <row r="51" spans="1:3" x14ac:dyDescent="0.25">
      <c r="A51" s="1" t="s">
        <v>52</v>
      </c>
      <c r="B51">
        <v>39</v>
      </c>
      <c r="C51" s="2">
        <v>46074</v>
      </c>
    </row>
    <row r="52" spans="1:3" x14ac:dyDescent="0.25">
      <c r="A52" s="1" t="s">
        <v>53</v>
      </c>
      <c r="B52">
        <v>355</v>
      </c>
      <c r="C52" s="2">
        <v>46055</v>
      </c>
    </row>
    <row r="53" spans="1:3" x14ac:dyDescent="0.25">
      <c r="A53" s="1" t="s">
        <v>54</v>
      </c>
      <c r="B53">
        <v>306</v>
      </c>
      <c r="C53" s="2">
        <v>46092</v>
      </c>
    </row>
    <row r="54" spans="1:3" x14ac:dyDescent="0.25">
      <c r="A54" s="1" t="s">
        <v>55</v>
      </c>
      <c r="B54">
        <v>299</v>
      </c>
      <c r="C54" s="2">
        <v>46183</v>
      </c>
    </row>
    <row r="55" spans="1:3" x14ac:dyDescent="0.25">
      <c r="A55" s="1" t="s">
        <v>56</v>
      </c>
      <c r="B55">
        <v>485</v>
      </c>
      <c r="C55" s="2">
        <v>46106</v>
      </c>
    </row>
    <row r="56" spans="1:3" x14ac:dyDescent="0.25">
      <c r="A56" s="1" t="s">
        <v>57</v>
      </c>
      <c r="B56">
        <v>61</v>
      </c>
      <c r="C56" s="2">
        <v>46190</v>
      </c>
    </row>
    <row r="57" spans="1:3" x14ac:dyDescent="0.25">
      <c r="A57" s="1" t="s">
        <v>58</v>
      </c>
      <c r="B57">
        <v>487</v>
      </c>
      <c r="C57" s="2">
        <v>46070</v>
      </c>
    </row>
    <row r="58" spans="1:3" x14ac:dyDescent="0.25">
      <c r="A58" s="1" t="s">
        <v>59</v>
      </c>
      <c r="B58">
        <v>90</v>
      </c>
      <c r="C58" s="2">
        <v>46108</v>
      </c>
    </row>
    <row r="59" spans="1:3" x14ac:dyDescent="0.25">
      <c r="A59" s="1" t="s">
        <v>60</v>
      </c>
      <c r="B59">
        <v>14</v>
      </c>
      <c r="C59" s="2">
        <v>46172</v>
      </c>
    </row>
    <row r="60" spans="1:3" x14ac:dyDescent="0.25">
      <c r="A60" s="1" t="s">
        <v>61</v>
      </c>
      <c r="B60">
        <v>490</v>
      </c>
      <c r="C60" s="2">
        <v>46059</v>
      </c>
    </row>
    <row r="61" spans="1:3" x14ac:dyDescent="0.25">
      <c r="A61" s="1" t="s">
        <v>62</v>
      </c>
      <c r="B61">
        <v>89</v>
      </c>
      <c r="C61" s="2">
        <v>46173</v>
      </c>
    </row>
    <row r="62" spans="1:3" x14ac:dyDescent="0.25">
      <c r="A62" s="1" t="s">
        <v>63</v>
      </c>
      <c r="B62">
        <v>114</v>
      </c>
      <c r="C62" s="2">
        <v>46133</v>
      </c>
    </row>
    <row r="63" spans="1:3" x14ac:dyDescent="0.25">
      <c r="A63" s="1" t="s">
        <v>64</v>
      </c>
      <c r="B63">
        <v>473</v>
      </c>
      <c r="C63" s="2">
        <v>46094</v>
      </c>
    </row>
    <row r="64" spans="1:3" x14ac:dyDescent="0.25">
      <c r="A64" s="1" t="s">
        <v>65</v>
      </c>
      <c r="B64">
        <v>434</v>
      </c>
      <c r="C64" s="2">
        <v>46146</v>
      </c>
    </row>
    <row r="65" spans="1:3" x14ac:dyDescent="0.25">
      <c r="A65" s="1" t="s">
        <v>66</v>
      </c>
      <c r="B65">
        <v>92</v>
      </c>
      <c r="C65" s="2">
        <v>46108</v>
      </c>
    </row>
    <row r="66" spans="1:3" x14ac:dyDescent="0.25">
      <c r="A66" s="1" t="s">
        <v>67</v>
      </c>
      <c r="B66">
        <v>67</v>
      </c>
      <c r="C66" s="2">
        <v>46036</v>
      </c>
    </row>
    <row r="67" spans="1:3" x14ac:dyDescent="0.25">
      <c r="A67" s="1" t="s">
        <v>68</v>
      </c>
      <c r="B67">
        <v>437</v>
      </c>
      <c r="C67" s="2">
        <v>46043</v>
      </c>
    </row>
    <row r="68" spans="1:3" x14ac:dyDescent="0.25">
      <c r="A68" s="1" t="s">
        <v>69</v>
      </c>
      <c r="B68">
        <v>31</v>
      </c>
      <c r="C68" s="2">
        <v>46072</v>
      </c>
    </row>
    <row r="69" spans="1:3" x14ac:dyDescent="0.25">
      <c r="A69" s="1" t="s">
        <v>70</v>
      </c>
      <c r="B69">
        <v>351</v>
      </c>
      <c r="C69" s="2">
        <v>46115</v>
      </c>
    </row>
    <row r="70" spans="1:3" x14ac:dyDescent="0.25">
      <c r="A70" s="1" t="s">
        <v>71</v>
      </c>
      <c r="B70">
        <v>483</v>
      </c>
      <c r="C70" s="2">
        <v>46072</v>
      </c>
    </row>
    <row r="71" spans="1:3" x14ac:dyDescent="0.25">
      <c r="A71" s="1" t="s">
        <v>72</v>
      </c>
      <c r="B71">
        <v>101</v>
      </c>
      <c r="C71" s="2">
        <v>46046</v>
      </c>
    </row>
    <row r="72" spans="1:3" x14ac:dyDescent="0.25">
      <c r="A72" s="1" t="s">
        <v>73</v>
      </c>
      <c r="B72">
        <v>146</v>
      </c>
      <c r="C72" s="2">
        <v>46093</v>
      </c>
    </row>
    <row r="73" spans="1:3" x14ac:dyDescent="0.25">
      <c r="A73" s="1" t="s">
        <v>74</v>
      </c>
      <c r="B73">
        <v>449</v>
      </c>
      <c r="C73" s="2">
        <v>46051</v>
      </c>
    </row>
    <row r="74" spans="1:3" x14ac:dyDescent="0.25">
      <c r="A74" s="1" t="s">
        <v>75</v>
      </c>
      <c r="B74">
        <v>430</v>
      </c>
      <c r="C74" s="2">
        <v>46125</v>
      </c>
    </row>
    <row r="75" spans="1:3" x14ac:dyDescent="0.25">
      <c r="A75" s="1" t="s">
        <v>76</v>
      </c>
      <c r="B75">
        <v>214</v>
      </c>
      <c r="C75" s="2">
        <v>46084</v>
      </c>
    </row>
    <row r="76" spans="1:3" x14ac:dyDescent="0.25">
      <c r="A76" s="1" t="s">
        <v>77</v>
      </c>
      <c r="B76">
        <v>214</v>
      </c>
      <c r="C76" s="2">
        <v>46167</v>
      </c>
    </row>
    <row r="77" spans="1:3" x14ac:dyDescent="0.25">
      <c r="A77" s="1" t="s">
        <v>78</v>
      </c>
      <c r="B77">
        <v>315</v>
      </c>
      <c r="C77" s="2">
        <v>46067</v>
      </c>
    </row>
    <row r="78" spans="1:3" x14ac:dyDescent="0.25">
      <c r="A78" s="1" t="s">
        <v>79</v>
      </c>
      <c r="B78">
        <v>69</v>
      </c>
      <c r="C78" s="2">
        <v>46164</v>
      </c>
    </row>
    <row r="79" spans="1:3" x14ac:dyDescent="0.25">
      <c r="A79" s="1" t="s">
        <v>80</v>
      </c>
      <c r="B79">
        <v>372</v>
      </c>
      <c r="C79" s="2">
        <v>46058</v>
      </c>
    </row>
    <row r="80" spans="1:3" x14ac:dyDescent="0.25">
      <c r="A80" s="1" t="s">
        <v>81</v>
      </c>
      <c r="B80">
        <v>45</v>
      </c>
      <c r="C80" s="2">
        <v>46149</v>
      </c>
    </row>
    <row r="81" spans="1:3" x14ac:dyDescent="0.25">
      <c r="A81" s="1" t="s">
        <v>82</v>
      </c>
      <c r="B81">
        <v>378</v>
      </c>
      <c r="C81" s="2">
        <v>46070</v>
      </c>
    </row>
    <row r="82" spans="1:3" x14ac:dyDescent="0.25">
      <c r="A82" s="1" t="s">
        <v>83</v>
      </c>
      <c r="B82">
        <v>165</v>
      </c>
      <c r="C82" s="2">
        <v>46138</v>
      </c>
    </row>
    <row r="83" spans="1:3" x14ac:dyDescent="0.25">
      <c r="A83" s="1" t="s">
        <v>84</v>
      </c>
      <c r="B83">
        <v>350</v>
      </c>
      <c r="C83" s="2">
        <v>46139</v>
      </c>
    </row>
    <row r="84" spans="1:3" x14ac:dyDescent="0.25">
      <c r="A84" s="1" t="s">
        <v>85</v>
      </c>
      <c r="B84">
        <v>164</v>
      </c>
      <c r="C84" s="2">
        <v>46184</v>
      </c>
    </row>
    <row r="85" spans="1:3" x14ac:dyDescent="0.25">
      <c r="A85" s="1" t="s">
        <v>86</v>
      </c>
      <c r="B85">
        <v>230</v>
      </c>
      <c r="C85" s="2">
        <v>46092</v>
      </c>
    </row>
    <row r="86" spans="1:3" x14ac:dyDescent="0.25">
      <c r="A86" s="1" t="s">
        <v>87</v>
      </c>
      <c r="B86">
        <v>236</v>
      </c>
      <c r="C86" s="2">
        <v>46155</v>
      </c>
    </row>
    <row r="87" spans="1:3" x14ac:dyDescent="0.25">
      <c r="A87" s="1" t="s">
        <v>88</v>
      </c>
      <c r="B87">
        <v>347</v>
      </c>
      <c r="C87" s="2">
        <v>46083</v>
      </c>
    </row>
    <row r="88" spans="1:3" x14ac:dyDescent="0.25">
      <c r="A88" s="1" t="s">
        <v>89</v>
      </c>
      <c r="B88">
        <v>343</v>
      </c>
      <c r="C88" s="2">
        <v>46091</v>
      </c>
    </row>
    <row r="89" spans="1:3" x14ac:dyDescent="0.25">
      <c r="A89" s="1" t="s">
        <v>90</v>
      </c>
      <c r="B89">
        <v>135</v>
      </c>
      <c r="C89" s="2">
        <v>46043</v>
      </c>
    </row>
    <row r="90" spans="1:3" x14ac:dyDescent="0.25">
      <c r="A90" s="1" t="s">
        <v>91</v>
      </c>
      <c r="B90">
        <v>463</v>
      </c>
      <c r="C90" s="2">
        <v>46146</v>
      </c>
    </row>
    <row r="91" spans="1:3" x14ac:dyDescent="0.25">
      <c r="A91" s="1" t="s">
        <v>92</v>
      </c>
      <c r="B91">
        <v>134</v>
      </c>
      <c r="C91" s="2">
        <v>46129</v>
      </c>
    </row>
    <row r="92" spans="1:3" x14ac:dyDescent="0.25">
      <c r="A92" s="1" t="s">
        <v>93</v>
      </c>
      <c r="B92">
        <v>295</v>
      </c>
      <c r="C92" s="2">
        <v>46052</v>
      </c>
    </row>
    <row r="93" spans="1:3" x14ac:dyDescent="0.25">
      <c r="A93" s="1" t="s">
        <v>94</v>
      </c>
      <c r="B93">
        <v>351</v>
      </c>
      <c r="C93" s="2">
        <v>46157</v>
      </c>
    </row>
    <row r="94" spans="1:3" x14ac:dyDescent="0.25">
      <c r="A94" s="1" t="s">
        <v>95</v>
      </c>
      <c r="B94">
        <v>240</v>
      </c>
      <c r="C94" s="2">
        <v>46166</v>
      </c>
    </row>
    <row r="95" spans="1:3" x14ac:dyDescent="0.25">
      <c r="A95" s="1" t="s">
        <v>96</v>
      </c>
      <c r="B95">
        <v>330</v>
      </c>
      <c r="C95" s="2">
        <v>46155</v>
      </c>
    </row>
    <row r="96" spans="1:3" x14ac:dyDescent="0.25">
      <c r="A96" s="1" t="s">
        <v>97</v>
      </c>
      <c r="B96">
        <v>130</v>
      </c>
      <c r="C96" s="2">
        <v>46113</v>
      </c>
    </row>
    <row r="97" spans="1:3" x14ac:dyDescent="0.25">
      <c r="A97" s="1" t="s">
        <v>98</v>
      </c>
      <c r="B97">
        <v>218</v>
      </c>
      <c r="C97" s="2">
        <v>46147</v>
      </c>
    </row>
    <row r="98" spans="1:3" x14ac:dyDescent="0.25">
      <c r="A98" s="1" t="s">
        <v>99</v>
      </c>
      <c r="B98">
        <v>436</v>
      </c>
      <c r="C98" s="2">
        <v>46080</v>
      </c>
    </row>
    <row r="99" spans="1:3" x14ac:dyDescent="0.25">
      <c r="A99" s="1" t="s">
        <v>100</v>
      </c>
      <c r="B99">
        <v>254</v>
      </c>
      <c r="C99" s="2">
        <v>46136</v>
      </c>
    </row>
    <row r="100" spans="1:3" x14ac:dyDescent="0.25">
      <c r="A100" s="1" t="s">
        <v>101</v>
      </c>
      <c r="B100">
        <v>285</v>
      </c>
      <c r="C100" s="2">
        <v>46144</v>
      </c>
    </row>
    <row r="101" spans="1:3" x14ac:dyDescent="0.25">
      <c r="A101" s="1" t="s">
        <v>102</v>
      </c>
      <c r="B101">
        <v>149</v>
      </c>
      <c r="C101" s="2">
        <v>46096</v>
      </c>
    </row>
    <row r="102" spans="1:3" x14ac:dyDescent="0.25">
      <c r="A102" s="1" t="s">
        <v>103</v>
      </c>
      <c r="B102">
        <v>380</v>
      </c>
      <c r="C102" s="2">
        <v>46135</v>
      </c>
    </row>
    <row r="103" spans="1:3" x14ac:dyDescent="0.25">
      <c r="A103" s="1" t="s">
        <v>104</v>
      </c>
      <c r="B103">
        <v>23</v>
      </c>
      <c r="C103" s="2">
        <v>46162</v>
      </c>
    </row>
    <row r="104" spans="1:3" x14ac:dyDescent="0.25">
      <c r="A104" s="1" t="s">
        <v>105</v>
      </c>
      <c r="B104">
        <v>79</v>
      </c>
      <c r="C104" s="2">
        <v>46138</v>
      </c>
    </row>
    <row r="105" spans="1:3" x14ac:dyDescent="0.25">
      <c r="A105" s="1" t="s">
        <v>106</v>
      </c>
      <c r="B105">
        <v>395</v>
      </c>
      <c r="C105" s="2">
        <v>46108</v>
      </c>
    </row>
    <row r="106" spans="1:3" x14ac:dyDescent="0.25">
      <c r="A106" s="1" t="s">
        <v>107</v>
      </c>
      <c r="B106">
        <v>19</v>
      </c>
      <c r="C106" s="2">
        <v>46161</v>
      </c>
    </row>
    <row r="107" spans="1:3" x14ac:dyDescent="0.25">
      <c r="A107" s="1" t="s">
        <v>108</v>
      </c>
      <c r="B107">
        <v>439</v>
      </c>
      <c r="C107" s="2">
        <v>46088</v>
      </c>
    </row>
    <row r="108" spans="1:3" x14ac:dyDescent="0.25">
      <c r="A108" s="1" t="s">
        <v>109</v>
      </c>
      <c r="B108">
        <v>352</v>
      </c>
      <c r="C108" s="2">
        <v>46164</v>
      </c>
    </row>
    <row r="109" spans="1:3" x14ac:dyDescent="0.25">
      <c r="A109" s="1" t="s">
        <v>110</v>
      </c>
      <c r="B109">
        <v>385</v>
      </c>
      <c r="C109" s="2">
        <v>46098</v>
      </c>
    </row>
    <row r="110" spans="1:3" x14ac:dyDescent="0.25">
      <c r="A110" s="1" t="s">
        <v>111</v>
      </c>
      <c r="B110">
        <v>65</v>
      </c>
      <c r="C110" s="2">
        <v>46121</v>
      </c>
    </row>
    <row r="111" spans="1:3" x14ac:dyDescent="0.25">
      <c r="A111" s="1" t="s">
        <v>112</v>
      </c>
      <c r="B111">
        <v>48</v>
      </c>
      <c r="C111" s="2">
        <v>46093</v>
      </c>
    </row>
    <row r="112" spans="1:3" x14ac:dyDescent="0.25">
      <c r="A112" s="1" t="s">
        <v>113</v>
      </c>
      <c r="B112">
        <v>445</v>
      </c>
      <c r="C112" s="2">
        <v>46106</v>
      </c>
    </row>
    <row r="113" spans="1:3" x14ac:dyDescent="0.25">
      <c r="A113" s="1" t="s">
        <v>114</v>
      </c>
      <c r="B113">
        <v>229</v>
      </c>
      <c r="C113" s="2">
        <v>46185</v>
      </c>
    </row>
    <row r="114" spans="1:3" x14ac:dyDescent="0.25">
      <c r="A114" s="1" t="s">
        <v>115</v>
      </c>
      <c r="B114">
        <v>16</v>
      </c>
      <c r="C114" s="2">
        <v>46137</v>
      </c>
    </row>
    <row r="115" spans="1:3" x14ac:dyDescent="0.25">
      <c r="A115" s="1" t="s">
        <v>116</v>
      </c>
      <c r="B115">
        <v>335</v>
      </c>
      <c r="C115" s="2">
        <v>46135</v>
      </c>
    </row>
    <row r="116" spans="1:3" x14ac:dyDescent="0.25">
      <c r="A116" s="1" t="s">
        <v>117</v>
      </c>
      <c r="B116">
        <v>385</v>
      </c>
      <c r="C116" s="2">
        <v>46082</v>
      </c>
    </row>
    <row r="117" spans="1:3" x14ac:dyDescent="0.25">
      <c r="A117" s="1" t="s">
        <v>118</v>
      </c>
      <c r="B117">
        <v>406</v>
      </c>
      <c r="C117" s="2">
        <v>46182</v>
      </c>
    </row>
    <row r="118" spans="1:3" x14ac:dyDescent="0.25">
      <c r="A118" s="1" t="s">
        <v>119</v>
      </c>
      <c r="B118">
        <v>307</v>
      </c>
      <c r="C118" s="2">
        <v>46155</v>
      </c>
    </row>
    <row r="119" spans="1:3" x14ac:dyDescent="0.25">
      <c r="A119" s="1" t="s">
        <v>120</v>
      </c>
      <c r="B119">
        <v>445</v>
      </c>
      <c r="C119" s="2">
        <v>46172</v>
      </c>
    </row>
    <row r="120" spans="1:3" x14ac:dyDescent="0.25">
      <c r="A120" s="1" t="s">
        <v>121</v>
      </c>
      <c r="B120">
        <v>184</v>
      </c>
      <c r="C120" s="2">
        <v>46101</v>
      </c>
    </row>
    <row r="121" spans="1:3" x14ac:dyDescent="0.25">
      <c r="A121" s="1" t="s">
        <v>122</v>
      </c>
      <c r="B121">
        <v>260</v>
      </c>
      <c r="C121" s="2">
        <v>46149</v>
      </c>
    </row>
    <row r="122" spans="1:3" x14ac:dyDescent="0.25">
      <c r="A122" s="1" t="s">
        <v>123</v>
      </c>
      <c r="B122">
        <v>239</v>
      </c>
      <c r="C122" s="2">
        <v>46162</v>
      </c>
    </row>
    <row r="123" spans="1:3" x14ac:dyDescent="0.25">
      <c r="A123" s="1" t="s">
        <v>124</v>
      </c>
      <c r="B123">
        <v>364</v>
      </c>
      <c r="C123" s="2">
        <v>46144</v>
      </c>
    </row>
    <row r="124" spans="1:3" x14ac:dyDescent="0.25">
      <c r="A124" s="1" t="s">
        <v>125</v>
      </c>
      <c r="B124">
        <v>281</v>
      </c>
      <c r="C124" s="2">
        <v>46178</v>
      </c>
    </row>
    <row r="125" spans="1:3" x14ac:dyDescent="0.25">
      <c r="A125" s="1" t="s">
        <v>126</v>
      </c>
      <c r="B125">
        <v>171</v>
      </c>
      <c r="C125" s="2">
        <v>46081</v>
      </c>
    </row>
    <row r="126" spans="1:3" x14ac:dyDescent="0.25">
      <c r="A126" s="1" t="s">
        <v>127</v>
      </c>
      <c r="B126">
        <v>388</v>
      </c>
      <c r="C126" s="2">
        <v>46099</v>
      </c>
    </row>
    <row r="127" spans="1:3" x14ac:dyDescent="0.25">
      <c r="A127" s="1" t="s">
        <v>128</v>
      </c>
      <c r="B127">
        <v>61</v>
      </c>
      <c r="C127" s="2">
        <v>46105</v>
      </c>
    </row>
    <row r="128" spans="1:3" x14ac:dyDescent="0.25">
      <c r="A128" s="1" t="s">
        <v>129</v>
      </c>
      <c r="B128">
        <v>164</v>
      </c>
      <c r="C128" s="2">
        <v>46076</v>
      </c>
    </row>
    <row r="129" spans="1:3" x14ac:dyDescent="0.25">
      <c r="A129" s="1" t="s">
        <v>130</v>
      </c>
      <c r="B129">
        <v>37</v>
      </c>
      <c r="C129" s="2">
        <v>46041</v>
      </c>
    </row>
    <row r="130" spans="1:3" x14ac:dyDescent="0.25">
      <c r="A130" s="1" t="s">
        <v>131</v>
      </c>
      <c r="B130">
        <v>62</v>
      </c>
      <c r="C130" s="2">
        <v>46171</v>
      </c>
    </row>
    <row r="131" spans="1:3" x14ac:dyDescent="0.25">
      <c r="A131" s="1" t="s">
        <v>132</v>
      </c>
      <c r="B131">
        <v>235</v>
      </c>
      <c r="C131" s="2">
        <v>46157</v>
      </c>
    </row>
    <row r="132" spans="1:3" x14ac:dyDescent="0.25">
      <c r="A132" s="1" t="s">
        <v>133</v>
      </c>
      <c r="B132">
        <v>430</v>
      </c>
      <c r="C132" s="2">
        <v>46059</v>
      </c>
    </row>
    <row r="133" spans="1:3" x14ac:dyDescent="0.25">
      <c r="A133" s="1" t="s">
        <v>134</v>
      </c>
      <c r="B133">
        <v>87</v>
      </c>
      <c r="C133" s="2">
        <v>46051</v>
      </c>
    </row>
    <row r="134" spans="1:3" x14ac:dyDescent="0.25">
      <c r="A134" s="1" t="s">
        <v>135</v>
      </c>
      <c r="B134">
        <v>70</v>
      </c>
      <c r="C134" s="2">
        <v>46099</v>
      </c>
    </row>
    <row r="135" spans="1:3" x14ac:dyDescent="0.25">
      <c r="A135" s="1" t="s">
        <v>136</v>
      </c>
      <c r="B135">
        <v>240</v>
      </c>
      <c r="C135" s="2">
        <v>46139</v>
      </c>
    </row>
    <row r="136" spans="1:3" x14ac:dyDescent="0.25">
      <c r="A136" s="1" t="s">
        <v>137</v>
      </c>
      <c r="B136">
        <v>327</v>
      </c>
      <c r="C136" s="2">
        <v>46177</v>
      </c>
    </row>
    <row r="137" spans="1:3" x14ac:dyDescent="0.25">
      <c r="A137" s="1" t="s">
        <v>138</v>
      </c>
      <c r="B137">
        <v>145</v>
      </c>
      <c r="C137" s="2">
        <v>46091</v>
      </c>
    </row>
    <row r="138" spans="1:3" x14ac:dyDescent="0.25">
      <c r="A138" s="1" t="s">
        <v>139</v>
      </c>
      <c r="B138">
        <v>48</v>
      </c>
      <c r="C138" s="2">
        <v>46183</v>
      </c>
    </row>
    <row r="139" spans="1:3" x14ac:dyDescent="0.25">
      <c r="A139" s="1" t="s">
        <v>140</v>
      </c>
      <c r="B139">
        <v>159</v>
      </c>
      <c r="C139" s="2">
        <v>46159</v>
      </c>
    </row>
    <row r="140" spans="1:3" x14ac:dyDescent="0.25">
      <c r="A140" s="1" t="s">
        <v>141</v>
      </c>
      <c r="B140">
        <v>66</v>
      </c>
      <c r="C140" s="2">
        <v>46149</v>
      </c>
    </row>
    <row r="141" spans="1:3" x14ac:dyDescent="0.25">
      <c r="A141" s="1" t="s">
        <v>142</v>
      </c>
      <c r="B141">
        <v>40</v>
      </c>
      <c r="C141" s="2">
        <v>46054</v>
      </c>
    </row>
    <row r="142" spans="1:3" x14ac:dyDescent="0.25">
      <c r="A142" s="1" t="s">
        <v>143</v>
      </c>
      <c r="B142">
        <v>249</v>
      </c>
      <c r="C142" s="2">
        <v>46073</v>
      </c>
    </row>
    <row r="143" spans="1:3" x14ac:dyDescent="0.25">
      <c r="A143" s="1" t="s">
        <v>144</v>
      </c>
      <c r="B143">
        <v>286</v>
      </c>
      <c r="C143" s="2">
        <v>46155</v>
      </c>
    </row>
    <row r="144" spans="1:3" x14ac:dyDescent="0.25">
      <c r="A144" s="1" t="s">
        <v>145</v>
      </c>
      <c r="B144">
        <v>310</v>
      </c>
      <c r="C144" s="2">
        <v>46181</v>
      </c>
    </row>
    <row r="145" spans="1:3" x14ac:dyDescent="0.25">
      <c r="A145" s="1" t="s">
        <v>146</v>
      </c>
      <c r="B145">
        <v>400</v>
      </c>
      <c r="C145" s="2">
        <v>46056</v>
      </c>
    </row>
    <row r="146" spans="1:3" x14ac:dyDescent="0.25">
      <c r="A146" s="1" t="s">
        <v>147</v>
      </c>
      <c r="B146">
        <v>479</v>
      </c>
      <c r="C146" s="2">
        <v>46156</v>
      </c>
    </row>
    <row r="147" spans="1:3" x14ac:dyDescent="0.25">
      <c r="A147" s="1" t="s">
        <v>148</v>
      </c>
      <c r="B147">
        <v>56</v>
      </c>
      <c r="C147" s="2">
        <v>46165</v>
      </c>
    </row>
    <row r="148" spans="1:3" x14ac:dyDescent="0.25">
      <c r="A148" s="1" t="s">
        <v>149</v>
      </c>
      <c r="B148">
        <v>426</v>
      </c>
      <c r="C148" s="2">
        <v>46142</v>
      </c>
    </row>
    <row r="149" spans="1:3" x14ac:dyDescent="0.25">
      <c r="A149" s="1" t="s">
        <v>150</v>
      </c>
      <c r="B149">
        <v>139</v>
      </c>
      <c r="C149" s="2">
        <v>46121</v>
      </c>
    </row>
    <row r="150" spans="1:3" x14ac:dyDescent="0.25">
      <c r="A150" s="1" t="s">
        <v>151</v>
      </c>
      <c r="B150">
        <v>363</v>
      </c>
      <c r="C150" s="2">
        <v>46039</v>
      </c>
    </row>
    <row r="151" spans="1:3" x14ac:dyDescent="0.25">
      <c r="A151" s="1" t="s">
        <v>152</v>
      </c>
      <c r="B151">
        <v>258</v>
      </c>
      <c r="C151" s="2">
        <v>46103</v>
      </c>
    </row>
    <row r="152" spans="1:3" x14ac:dyDescent="0.25">
      <c r="A152" s="1" t="s">
        <v>153</v>
      </c>
      <c r="B152">
        <v>399</v>
      </c>
      <c r="C152" s="2">
        <v>46147</v>
      </c>
    </row>
    <row r="153" spans="1:3" x14ac:dyDescent="0.25">
      <c r="A153" s="1" t="s">
        <v>154</v>
      </c>
      <c r="B153">
        <v>460</v>
      </c>
      <c r="C153" s="2">
        <v>46142</v>
      </c>
    </row>
    <row r="154" spans="1:3" x14ac:dyDescent="0.25">
      <c r="A154" s="1" t="s">
        <v>155</v>
      </c>
      <c r="B154">
        <v>373</v>
      </c>
      <c r="C154" s="2">
        <v>46091</v>
      </c>
    </row>
    <row r="155" spans="1:3" x14ac:dyDescent="0.25">
      <c r="A155" s="1" t="s">
        <v>156</v>
      </c>
      <c r="B155">
        <v>57</v>
      </c>
      <c r="C155" s="2">
        <v>46144</v>
      </c>
    </row>
    <row r="156" spans="1:3" x14ac:dyDescent="0.25">
      <c r="A156" s="1" t="s">
        <v>157</v>
      </c>
      <c r="B156">
        <v>265</v>
      </c>
      <c r="C156" s="2">
        <v>46083</v>
      </c>
    </row>
    <row r="157" spans="1:3" x14ac:dyDescent="0.25">
      <c r="A157" s="1" t="s">
        <v>158</v>
      </c>
      <c r="B157">
        <v>222</v>
      </c>
      <c r="C157" s="2">
        <v>46104</v>
      </c>
    </row>
    <row r="158" spans="1:3" x14ac:dyDescent="0.25">
      <c r="A158" s="1" t="s">
        <v>159</v>
      </c>
      <c r="B158">
        <v>84</v>
      </c>
      <c r="C158" s="2">
        <v>46185</v>
      </c>
    </row>
    <row r="159" spans="1:3" x14ac:dyDescent="0.25">
      <c r="A159" s="1" t="s">
        <v>160</v>
      </c>
      <c r="B159">
        <v>452</v>
      </c>
      <c r="C159" s="2">
        <v>46075</v>
      </c>
    </row>
    <row r="160" spans="1:3" x14ac:dyDescent="0.25">
      <c r="A160" s="1" t="s">
        <v>161</v>
      </c>
      <c r="B160">
        <v>146</v>
      </c>
      <c r="C160" s="2">
        <v>46168</v>
      </c>
    </row>
    <row r="161" spans="1:3" x14ac:dyDescent="0.25">
      <c r="A161" s="1" t="s">
        <v>162</v>
      </c>
      <c r="B161">
        <v>347</v>
      </c>
      <c r="C161" s="2">
        <v>46191</v>
      </c>
    </row>
    <row r="162" spans="1:3" x14ac:dyDescent="0.25">
      <c r="A162" s="1" t="s">
        <v>163</v>
      </c>
      <c r="B162">
        <v>119</v>
      </c>
      <c r="C162" s="2">
        <v>46125</v>
      </c>
    </row>
    <row r="163" spans="1:3" x14ac:dyDescent="0.25">
      <c r="A163" s="1" t="s">
        <v>164</v>
      </c>
      <c r="B163">
        <v>371</v>
      </c>
      <c r="C163" s="2">
        <v>46159</v>
      </c>
    </row>
    <row r="164" spans="1:3" x14ac:dyDescent="0.25">
      <c r="A164" s="1" t="s">
        <v>165</v>
      </c>
      <c r="B164">
        <v>263</v>
      </c>
      <c r="C164" s="2">
        <v>46084</v>
      </c>
    </row>
    <row r="165" spans="1:3" x14ac:dyDescent="0.25">
      <c r="A165" s="1" t="s">
        <v>166</v>
      </c>
      <c r="B165">
        <v>455</v>
      </c>
      <c r="C165" s="2">
        <v>46131</v>
      </c>
    </row>
    <row r="166" spans="1:3" x14ac:dyDescent="0.25">
      <c r="A166" s="1" t="s">
        <v>167</v>
      </c>
      <c r="B166">
        <v>17</v>
      </c>
      <c r="C166" s="2">
        <v>46150</v>
      </c>
    </row>
    <row r="167" spans="1:3" x14ac:dyDescent="0.25">
      <c r="A167" s="1" t="s">
        <v>168</v>
      </c>
      <c r="B167">
        <v>410</v>
      </c>
      <c r="C167" s="2">
        <v>46162</v>
      </c>
    </row>
    <row r="168" spans="1:3" x14ac:dyDescent="0.25">
      <c r="A168" s="1" t="s">
        <v>169</v>
      </c>
      <c r="B168">
        <v>446</v>
      </c>
      <c r="C168" s="2">
        <v>46060</v>
      </c>
    </row>
    <row r="169" spans="1:3" x14ac:dyDescent="0.25">
      <c r="A169" s="1" t="s">
        <v>170</v>
      </c>
      <c r="B169">
        <v>456</v>
      </c>
      <c r="C169" s="2">
        <v>46156</v>
      </c>
    </row>
    <row r="170" spans="1:3" x14ac:dyDescent="0.25">
      <c r="A170" s="1" t="s">
        <v>171</v>
      </c>
      <c r="B170">
        <v>126</v>
      </c>
      <c r="C170" s="2">
        <v>46102</v>
      </c>
    </row>
    <row r="171" spans="1:3" x14ac:dyDescent="0.25">
      <c r="A171" s="1" t="s">
        <v>172</v>
      </c>
      <c r="B171">
        <v>226</v>
      </c>
      <c r="C171" s="2">
        <v>46053</v>
      </c>
    </row>
    <row r="172" spans="1:3" x14ac:dyDescent="0.25">
      <c r="A172" s="1" t="s">
        <v>173</v>
      </c>
      <c r="B172">
        <v>417</v>
      </c>
      <c r="C172" s="2">
        <v>46120</v>
      </c>
    </row>
    <row r="173" spans="1:3" x14ac:dyDescent="0.25">
      <c r="A173" s="1" t="s">
        <v>174</v>
      </c>
      <c r="B173">
        <v>135</v>
      </c>
      <c r="C173" s="2">
        <v>46072</v>
      </c>
    </row>
    <row r="174" spans="1:3" x14ac:dyDescent="0.25">
      <c r="A174" s="1" t="s">
        <v>175</v>
      </c>
      <c r="B174">
        <v>50</v>
      </c>
      <c r="C174" s="2">
        <v>46077</v>
      </c>
    </row>
    <row r="175" spans="1:3" x14ac:dyDescent="0.25">
      <c r="A175" s="1" t="s">
        <v>176</v>
      </c>
      <c r="B175">
        <v>351</v>
      </c>
      <c r="C175" s="2">
        <v>46104</v>
      </c>
    </row>
    <row r="176" spans="1:3" x14ac:dyDescent="0.25">
      <c r="A176" s="1" t="s">
        <v>177</v>
      </c>
      <c r="B176">
        <v>90</v>
      </c>
      <c r="C176" s="2">
        <v>46177</v>
      </c>
    </row>
    <row r="177" spans="1:3" x14ac:dyDescent="0.25">
      <c r="A177" s="1" t="s">
        <v>178</v>
      </c>
      <c r="B177">
        <v>363</v>
      </c>
      <c r="C177" s="2">
        <v>46140</v>
      </c>
    </row>
    <row r="178" spans="1:3" x14ac:dyDescent="0.25">
      <c r="A178" s="1" t="s">
        <v>179</v>
      </c>
      <c r="B178">
        <v>64</v>
      </c>
      <c r="C178" s="2">
        <v>46161</v>
      </c>
    </row>
    <row r="179" spans="1:3" x14ac:dyDescent="0.25">
      <c r="A179" s="1" t="s">
        <v>180</v>
      </c>
      <c r="B179">
        <v>368</v>
      </c>
      <c r="C179" s="2">
        <v>46117</v>
      </c>
    </row>
    <row r="180" spans="1:3" x14ac:dyDescent="0.25">
      <c r="A180" s="1" t="s">
        <v>181</v>
      </c>
      <c r="B180">
        <v>299</v>
      </c>
      <c r="C180" s="2">
        <v>46030</v>
      </c>
    </row>
    <row r="181" spans="1:3" x14ac:dyDescent="0.25">
      <c r="A181" s="1" t="s">
        <v>182</v>
      </c>
      <c r="B181">
        <v>436</v>
      </c>
      <c r="C181" s="2">
        <v>46163</v>
      </c>
    </row>
    <row r="182" spans="1:3" x14ac:dyDescent="0.25">
      <c r="A182" s="1" t="s">
        <v>183</v>
      </c>
      <c r="B182">
        <v>122</v>
      </c>
      <c r="C182" s="2">
        <v>46128</v>
      </c>
    </row>
    <row r="183" spans="1:3" x14ac:dyDescent="0.25">
      <c r="A183" s="1" t="s">
        <v>184</v>
      </c>
      <c r="B183">
        <v>27</v>
      </c>
      <c r="C183" s="2">
        <v>46162</v>
      </c>
    </row>
    <row r="184" spans="1:3" x14ac:dyDescent="0.25">
      <c r="A184" s="1" t="s">
        <v>185</v>
      </c>
      <c r="B184">
        <v>177</v>
      </c>
      <c r="C184" s="2">
        <v>46109</v>
      </c>
    </row>
    <row r="185" spans="1:3" x14ac:dyDescent="0.25">
      <c r="A185" s="1" t="s">
        <v>186</v>
      </c>
      <c r="B185">
        <v>458</v>
      </c>
      <c r="C185" s="2">
        <v>46181</v>
      </c>
    </row>
    <row r="186" spans="1:3" x14ac:dyDescent="0.25">
      <c r="A186" s="1" t="s">
        <v>187</v>
      </c>
      <c r="B186">
        <v>141</v>
      </c>
      <c r="C186" s="2">
        <v>46080</v>
      </c>
    </row>
    <row r="187" spans="1:3" x14ac:dyDescent="0.25">
      <c r="A187" s="1" t="s">
        <v>188</v>
      </c>
      <c r="B187">
        <v>421</v>
      </c>
      <c r="C187" s="2">
        <v>46117</v>
      </c>
    </row>
    <row r="188" spans="1:3" x14ac:dyDescent="0.25">
      <c r="A188" s="1" t="s">
        <v>189</v>
      </c>
      <c r="B188">
        <v>443</v>
      </c>
      <c r="C188" s="2">
        <v>46137</v>
      </c>
    </row>
    <row r="189" spans="1:3" x14ac:dyDescent="0.25">
      <c r="A189" s="1" t="s">
        <v>190</v>
      </c>
      <c r="B189">
        <v>145</v>
      </c>
      <c r="C189" s="2">
        <v>46041</v>
      </c>
    </row>
    <row r="190" spans="1:3" x14ac:dyDescent="0.25">
      <c r="A190" s="1" t="s">
        <v>191</v>
      </c>
      <c r="B190">
        <v>299</v>
      </c>
      <c r="C190" s="2">
        <v>46107</v>
      </c>
    </row>
    <row r="191" spans="1:3" x14ac:dyDescent="0.25">
      <c r="A191" s="1" t="s">
        <v>192</v>
      </c>
      <c r="B191">
        <v>251</v>
      </c>
      <c r="C191" s="2">
        <v>46096</v>
      </c>
    </row>
    <row r="192" spans="1:3" x14ac:dyDescent="0.25">
      <c r="A192" s="1" t="s">
        <v>193</v>
      </c>
      <c r="B192">
        <v>341</v>
      </c>
      <c r="C192" s="2">
        <v>46094</v>
      </c>
    </row>
    <row r="193" spans="1:3" x14ac:dyDescent="0.25">
      <c r="A193" s="1" t="s">
        <v>194</v>
      </c>
      <c r="B193">
        <v>69</v>
      </c>
      <c r="C193" s="2">
        <v>46139</v>
      </c>
    </row>
    <row r="194" spans="1:3" x14ac:dyDescent="0.25">
      <c r="A194" s="1" t="s">
        <v>195</v>
      </c>
      <c r="B194">
        <v>59</v>
      </c>
      <c r="C194" s="2">
        <v>46061</v>
      </c>
    </row>
    <row r="195" spans="1:3" x14ac:dyDescent="0.25">
      <c r="A195" s="1" t="s">
        <v>196</v>
      </c>
      <c r="B195">
        <v>199</v>
      </c>
      <c r="C195" s="2">
        <v>46159</v>
      </c>
    </row>
    <row r="196" spans="1:3" x14ac:dyDescent="0.25">
      <c r="A196" s="1" t="s">
        <v>197</v>
      </c>
      <c r="B196">
        <v>463</v>
      </c>
      <c r="C196" s="2">
        <v>46080</v>
      </c>
    </row>
    <row r="197" spans="1:3" x14ac:dyDescent="0.25">
      <c r="A197" s="1" t="s">
        <v>198</v>
      </c>
      <c r="B197">
        <v>490</v>
      </c>
      <c r="C197" s="2">
        <v>46143</v>
      </c>
    </row>
    <row r="198" spans="1:3" x14ac:dyDescent="0.25">
      <c r="A198" s="1" t="s">
        <v>199</v>
      </c>
      <c r="B198">
        <v>288</v>
      </c>
      <c r="C198" s="2">
        <v>46132</v>
      </c>
    </row>
    <row r="199" spans="1:3" x14ac:dyDescent="0.25">
      <c r="A199" s="1" t="s">
        <v>200</v>
      </c>
      <c r="B199">
        <v>151</v>
      </c>
      <c r="C199" s="2">
        <v>46143</v>
      </c>
    </row>
    <row r="200" spans="1:3" x14ac:dyDescent="0.25">
      <c r="A200" s="1" t="s">
        <v>201</v>
      </c>
      <c r="B200">
        <v>338</v>
      </c>
      <c r="C200" s="2">
        <v>46082</v>
      </c>
    </row>
    <row r="201" spans="1:3" x14ac:dyDescent="0.25">
      <c r="A201" s="1" t="s">
        <v>202</v>
      </c>
      <c r="B201">
        <v>74</v>
      </c>
      <c r="C201" s="2">
        <v>46106</v>
      </c>
    </row>
    <row r="202" spans="1:3" x14ac:dyDescent="0.25">
      <c r="A202" s="1" t="s">
        <v>203</v>
      </c>
      <c r="B202">
        <v>310</v>
      </c>
      <c r="C202" s="2">
        <v>46107</v>
      </c>
    </row>
    <row r="203" spans="1:3" x14ac:dyDescent="0.25">
      <c r="A203" s="1" t="s">
        <v>204</v>
      </c>
      <c r="B203">
        <v>151</v>
      </c>
      <c r="C203" s="2">
        <v>46034</v>
      </c>
    </row>
    <row r="204" spans="1:3" x14ac:dyDescent="0.25">
      <c r="A204" s="1" t="s">
        <v>205</v>
      </c>
      <c r="B204">
        <v>193</v>
      </c>
      <c r="C204" s="2">
        <v>46039</v>
      </c>
    </row>
    <row r="205" spans="1:3" x14ac:dyDescent="0.25">
      <c r="A205" s="1" t="s">
        <v>206</v>
      </c>
      <c r="B205">
        <v>145</v>
      </c>
      <c r="C205" s="2">
        <v>46085</v>
      </c>
    </row>
    <row r="206" spans="1:3" x14ac:dyDescent="0.25">
      <c r="A206" s="1" t="s">
        <v>207</v>
      </c>
      <c r="B206">
        <v>391</v>
      </c>
      <c r="C206" s="2">
        <v>46069</v>
      </c>
    </row>
    <row r="207" spans="1:3" x14ac:dyDescent="0.25">
      <c r="A207" s="1" t="s">
        <v>208</v>
      </c>
      <c r="B207">
        <v>241</v>
      </c>
      <c r="C207" s="2">
        <v>46055</v>
      </c>
    </row>
    <row r="208" spans="1:3" x14ac:dyDescent="0.25">
      <c r="A208" s="1" t="s">
        <v>209</v>
      </c>
      <c r="B208">
        <v>164</v>
      </c>
      <c r="C208" s="2">
        <v>46162</v>
      </c>
    </row>
    <row r="209" spans="1:3" x14ac:dyDescent="0.25">
      <c r="A209" s="1" t="s">
        <v>210</v>
      </c>
      <c r="B209">
        <v>228</v>
      </c>
      <c r="C209" s="2">
        <v>46143</v>
      </c>
    </row>
    <row r="210" spans="1:3" x14ac:dyDescent="0.25">
      <c r="A210" s="1" t="s">
        <v>211</v>
      </c>
      <c r="B210">
        <v>174</v>
      </c>
      <c r="C210" s="2">
        <v>46051</v>
      </c>
    </row>
    <row r="211" spans="1:3" x14ac:dyDescent="0.25">
      <c r="A211" s="1" t="s">
        <v>212</v>
      </c>
      <c r="B211">
        <v>290</v>
      </c>
      <c r="C211" s="2">
        <v>46195</v>
      </c>
    </row>
    <row r="212" spans="1:3" x14ac:dyDescent="0.25">
      <c r="A212" s="1" t="s">
        <v>213</v>
      </c>
      <c r="B212">
        <v>268</v>
      </c>
      <c r="C212" s="2">
        <v>46146</v>
      </c>
    </row>
    <row r="213" spans="1:3" x14ac:dyDescent="0.25">
      <c r="A213" s="1" t="s">
        <v>214</v>
      </c>
      <c r="B213">
        <v>379</v>
      </c>
      <c r="C213" s="2">
        <v>46181</v>
      </c>
    </row>
    <row r="214" spans="1:3" x14ac:dyDescent="0.25">
      <c r="A214" s="1" t="s">
        <v>215</v>
      </c>
      <c r="B214">
        <v>183</v>
      </c>
      <c r="C214" s="2">
        <v>46146</v>
      </c>
    </row>
    <row r="215" spans="1:3" x14ac:dyDescent="0.25">
      <c r="A215" s="1" t="s">
        <v>216</v>
      </c>
      <c r="B215">
        <v>184</v>
      </c>
      <c r="C215" s="2">
        <v>46061</v>
      </c>
    </row>
    <row r="216" spans="1:3" x14ac:dyDescent="0.25">
      <c r="A216" s="1" t="s">
        <v>217</v>
      </c>
      <c r="B216">
        <v>361</v>
      </c>
      <c r="C216" s="2">
        <v>46069</v>
      </c>
    </row>
    <row r="217" spans="1:3" x14ac:dyDescent="0.25">
      <c r="A217" s="1" t="s">
        <v>218</v>
      </c>
      <c r="B217">
        <v>231</v>
      </c>
      <c r="C217" s="2">
        <v>46060</v>
      </c>
    </row>
    <row r="218" spans="1:3" x14ac:dyDescent="0.25">
      <c r="A218" s="1" t="s">
        <v>219</v>
      </c>
      <c r="B218">
        <v>40</v>
      </c>
      <c r="C218" s="2">
        <v>46182</v>
      </c>
    </row>
    <row r="219" spans="1:3" x14ac:dyDescent="0.25">
      <c r="A219" s="1" t="s">
        <v>220</v>
      </c>
      <c r="B219">
        <v>220</v>
      </c>
      <c r="C219" s="2">
        <v>46070</v>
      </c>
    </row>
    <row r="220" spans="1:3" x14ac:dyDescent="0.25">
      <c r="A220" s="1" t="s">
        <v>221</v>
      </c>
      <c r="B220">
        <v>157</v>
      </c>
      <c r="C220" s="2">
        <v>46046</v>
      </c>
    </row>
    <row r="221" spans="1:3" x14ac:dyDescent="0.25">
      <c r="A221" s="1" t="s">
        <v>222</v>
      </c>
      <c r="B221">
        <v>118</v>
      </c>
      <c r="C221" s="2">
        <v>46163</v>
      </c>
    </row>
    <row r="222" spans="1:3" x14ac:dyDescent="0.25">
      <c r="A222" s="1" t="s">
        <v>223</v>
      </c>
      <c r="B222">
        <v>442</v>
      </c>
      <c r="C222" s="2">
        <v>46124</v>
      </c>
    </row>
    <row r="223" spans="1:3" x14ac:dyDescent="0.25">
      <c r="A223" s="1" t="s">
        <v>224</v>
      </c>
      <c r="B223">
        <v>423</v>
      </c>
      <c r="C223" s="2">
        <v>46085</v>
      </c>
    </row>
    <row r="224" spans="1:3" x14ac:dyDescent="0.25">
      <c r="A224" s="1" t="s">
        <v>225</v>
      </c>
      <c r="B224">
        <v>24</v>
      </c>
      <c r="C224" s="2">
        <v>46104</v>
      </c>
    </row>
    <row r="225" spans="1:3" x14ac:dyDescent="0.25">
      <c r="A225" s="1" t="s">
        <v>226</v>
      </c>
      <c r="B225">
        <v>389</v>
      </c>
      <c r="C225" s="2">
        <v>46068</v>
      </c>
    </row>
    <row r="226" spans="1:3" x14ac:dyDescent="0.25">
      <c r="A226" s="1" t="s">
        <v>227</v>
      </c>
      <c r="B226">
        <v>120</v>
      </c>
      <c r="C226" s="2">
        <v>46172</v>
      </c>
    </row>
    <row r="227" spans="1:3" x14ac:dyDescent="0.25">
      <c r="A227" s="1" t="s">
        <v>228</v>
      </c>
      <c r="B227">
        <v>169</v>
      </c>
      <c r="C227" s="2">
        <v>46125</v>
      </c>
    </row>
    <row r="228" spans="1:3" x14ac:dyDescent="0.25">
      <c r="A228" s="1" t="s">
        <v>229</v>
      </c>
      <c r="B228">
        <v>90</v>
      </c>
      <c r="C228" s="2">
        <v>46071</v>
      </c>
    </row>
    <row r="229" spans="1:3" x14ac:dyDescent="0.25">
      <c r="A229" s="1" t="s">
        <v>230</v>
      </c>
      <c r="B229">
        <v>348</v>
      </c>
      <c r="C229" s="2">
        <v>46153</v>
      </c>
    </row>
    <row r="230" spans="1:3" x14ac:dyDescent="0.25">
      <c r="A230" s="1" t="s">
        <v>231</v>
      </c>
      <c r="B230">
        <v>120</v>
      </c>
      <c r="C230" s="2">
        <v>46106</v>
      </c>
    </row>
    <row r="231" spans="1:3" x14ac:dyDescent="0.25">
      <c r="A231" s="1" t="s">
        <v>232</v>
      </c>
      <c r="B231">
        <v>155</v>
      </c>
      <c r="C231" s="2">
        <v>46069</v>
      </c>
    </row>
    <row r="232" spans="1:3" x14ac:dyDescent="0.25">
      <c r="A232" s="1" t="s">
        <v>233</v>
      </c>
      <c r="B232">
        <v>33</v>
      </c>
      <c r="C232" s="2">
        <v>46105</v>
      </c>
    </row>
    <row r="233" spans="1:3" x14ac:dyDescent="0.25">
      <c r="A233" s="1" t="s">
        <v>234</v>
      </c>
      <c r="B233">
        <v>164</v>
      </c>
      <c r="C233" s="2">
        <v>46084</v>
      </c>
    </row>
    <row r="234" spans="1:3" x14ac:dyDescent="0.25">
      <c r="A234" s="1" t="s">
        <v>235</v>
      </c>
      <c r="B234">
        <v>177</v>
      </c>
      <c r="C234" s="2">
        <v>46113</v>
      </c>
    </row>
    <row r="235" spans="1:3" x14ac:dyDescent="0.25">
      <c r="A235" s="1" t="s">
        <v>236</v>
      </c>
      <c r="B235">
        <v>204</v>
      </c>
      <c r="C235" s="2">
        <v>46085</v>
      </c>
    </row>
    <row r="236" spans="1:3" x14ac:dyDescent="0.25">
      <c r="A236" s="1" t="s">
        <v>237</v>
      </c>
      <c r="B236">
        <v>46</v>
      </c>
      <c r="C236" s="2">
        <v>46137</v>
      </c>
    </row>
    <row r="237" spans="1:3" x14ac:dyDescent="0.25">
      <c r="A237" s="1" t="s">
        <v>238</v>
      </c>
      <c r="B237">
        <v>264</v>
      </c>
      <c r="C237" s="2">
        <v>46044</v>
      </c>
    </row>
    <row r="238" spans="1:3" x14ac:dyDescent="0.25">
      <c r="A238" s="1" t="s">
        <v>239</v>
      </c>
      <c r="B238">
        <v>373</v>
      </c>
      <c r="C238" s="2">
        <v>46133</v>
      </c>
    </row>
    <row r="239" spans="1:3" x14ac:dyDescent="0.25">
      <c r="A239" s="1" t="s">
        <v>240</v>
      </c>
      <c r="B239">
        <v>176</v>
      </c>
      <c r="C239" s="2">
        <v>46048</v>
      </c>
    </row>
    <row r="240" spans="1:3" x14ac:dyDescent="0.25">
      <c r="A240" s="1" t="s">
        <v>241</v>
      </c>
      <c r="B240">
        <v>55</v>
      </c>
      <c r="C240" s="2">
        <v>46129</v>
      </c>
    </row>
    <row r="241" spans="1:3" x14ac:dyDescent="0.25">
      <c r="A241" s="1" t="s">
        <v>242</v>
      </c>
      <c r="B241">
        <v>215</v>
      </c>
      <c r="C241" s="2">
        <v>46185</v>
      </c>
    </row>
    <row r="242" spans="1:3" x14ac:dyDescent="0.25">
      <c r="A242" s="1" t="s">
        <v>243</v>
      </c>
      <c r="B242">
        <v>123</v>
      </c>
      <c r="C242" s="2">
        <v>46115</v>
      </c>
    </row>
    <row r="243" spans="1:3" x14ac:dyDescent="0.25">
      <c r="A243" s="1" t="s">
        <v>244</v>
      </c>
      <c r="B243">
        <v>281</v>
      </c>
      <c r="C243" s="2">
        <v>46066</v>
      </c>
    </row>
    <row r="244" spans="1:3" x14ac:dyDescent="0.25">
      <c r="A244" s="1" t="s">
        <v>245</v>
      </c>
      <c r="B244">
        <v>130</v>
      </c>
      <c r="C244" s="2">
        <v>46072</v>
      </c>
    </row>
    <row r="245" spans="1:3" x14ac:dyDescent="0.25">
      <c r="A245" s="1" t="s">
        <v>246</v>
      </c>
      <c r="B245">
        <v>399</v>
      </c>
      <c r="C245" s="2">
        <v>46085</v>
      </c>
    </row>
    <row r="246" spans="1:3" x14ac:dyDescent="0.25">
      <c r="A246" s="1" t="s">
        <v>247</v>
      </c>
      <c r="B246">
        <v>339</v>
      </c>
      <c r="C246" s="2">
        <v>46180</v>
      </c>
    </row>
    <row r="247" spans="1:3" x14ac:dyDescent="0.25">
      <c r="A247" s="1" t="s">
        <v>248</v>
      </c>
      <c r="B247">
        <v>87</v>
      </c>
      <c r="C247" s="2">
        <v>46123</v>
      </c>
    </row>
    <row r="248" spans="1:3" x14ac:dyDescent="0.25">
      <c r="A248" s="1" t="s">
        <v>249</v>
      </c>
      <c r="B248">
        <v>417</v>
      </c>
      <c r="C248" s="2">
        <v>46114</v>
      </c>
    </row>
    <row r="249" spans="1:3" x14ac:dyDescent="0.25">
      <c r="A249" s="1" t="s">
        <v>250</v>
      </c>
      <c r="B249">
        <v>168</v>
      </c>
      <c r="C249" s="2">
        <v>46049</v>
      </c>
    </row>
    <row r="250" spans="1:3" x14ac:dyDescent="0.25">
      <c r="A250" s="1" t="s">
        <v>251</v>
      </c>
      <c r="B250">
        <v>49</v>
      </c>
      <c r="C250" s="2">
        <v>46115</v>
      </c>
    </row>
    <row r="251" spans="1:3" x14ac:dyDescent="0.25">
      <c r="A251" s="1" t="s">
        <v>252</v>
      </c>
      <c r="B251">
        <v>343</v>
      </c>
      <c r="C251" s="2">
        <v>46191</v>
      </c>
    </row>
    <row r="252" spans="1:3" x14ac:dyDescent="0.25">
      <c r="A252" s="1" t="s">
        <v>253</v>
      </c>
      <c r="B252">
        <v>506</v>
      </c>
      <c r="C252" s="2">
        <v>46075</v>
      </c>
    </row>
    <row r="253" spans="1:3" x14ac:dyDescent="0.25">
      <c r="A253" s="1" t="s">
        <v>254</v>
      </c>
      <c r="B253">
        <v>268</v>
      </c>
      <c r="C253" s="2">
        <v>46058</v>
      </c>
    </row>
    <row r="254" spans="1:3" x14ac:dyDescent="0.25">
      <c r="A254" s="1" t="s">
        <v>255</v>
      </c>
      <c r="B254">
        <v>234</v>
      </c>
      <c r="C254" s="2">
        <v>46147</v>
      </c>
    </row>
    <row r="255" spans="1:3" x14ac:dyDescent="0.25">
      <c r="A255" s="1" t="s">
        <v>256</v>
      </c>
      <c r="B255">
        <v>414</v>
      </c>
      <c r="C255" s="2">
        <v>46044</v>
      </c>
    </row>
    <row r="256" spans="1:3" x14ac:dyDescent="0.25">
      <c r="A256" s="1" t="s">
        <v>257</v>
      </c>
      <c r="B256">
        <v>295</v>
      </c>
      <c r="C256" s="2">
        <v>46058</v>
      </c>
    </row>
    <row r="257" spans="1:3" x14ac:dyDescent="0.25">
      <c r="A257" s="1" t="s">
        <v>258</v>
      </c>
      <c r="B257">
        <v>180</v>
      </c>
      <c r="C257" s="2">
        <v>46070</v>
      </c>
    </row>
    <row r="258" spans="1:3" x14ac:dyDescent="0.25">
      <c r="A258" s="1" t="s">
        <v>259</v>
      </c>
      <c r="B258">
        <v>345</v>
      </c>
      <c r="C258" s="2">
        <v>46110</v>
      </c>
    </row>
    <row r="259" spans="1:3" x14ac:dyDescent="0.25">
      <c r="A259" s="1" t="s">
        <v>260</v>
      </c>
      <c r="B259">
        <v>168</v>
      </c>
      <c r="C259" s="2">
        <v>46061</v>
      </c>
    </row>
    <row r="260" spans="1:3" x14ac:dyDescent="0.25">
      <c r="A260" s="1" t="s">
        <v>261</v>
      </c>
      <c r="B260">
        <v>57</v>
      </c>
      <c r="C260" s="2">
        <v>46178</v>
      </c>
    </row>
    <row r="261" spans="1:3" x14ac:dyDescent="0.25">
      <c r="A261" s="1" t="s">
        <v>262</v>
      </c>
      <c r="B261">
        <v>195</v>
      </c>
      <c r="C261" s="2">
        <v>46044</v>
      </c>
    </row>
    <row r="262" spans="1:3" x14ac:dyDescent="0.25">
      <c r="A262" s="1" t="s">
        <v>263</v>
      </c>
      <c r="B262">
        <v>125</v>
      </c>
      <c r="C262" s="2">
        <v>46081</v>
      </c>
    </row>
    <row r="263" spans="1:3" x14ac:dyDescent="0.25">
      <c r="A263" s="1" t="s">
        <v>264</v>
      </c>
      <c r="B263">
        <v>269</v>
      </c>
      <c r="C263" s="2">
        <v>46068</v>
      </c>
    </row>
    <row r="264" spans="1:3" x14ac:dyDescent="0.25">
      <c r="A264" s="1" t="s">
        <v>265</v>
      </c>
      <c r="B264">
        <v>458</v>
      </c>
      <c r="C264" s="2">
        <v>46131</v>
      </c>
    </row>
    <row r="265" spans="1:3" x14ac:dyDescent="0.25">
      <c r="A265" s="1" t="s">
        <v>266</v>
      </c>
      <c r="B265">
        <v>102</v>
      </c>
      <c r="C265" s="2">
        <v>46073</v>
      </c>
    </row>
    <row r="266" spans="1:3" x14ac:dyDescent="0.25">
      <c r="A266" s="1" t="s">
        <v>267</v>
      </c>
      <c r="B266">
        <v>32</v>
      </c>
      <c r="C266" s="2">
        <v>46147</v>
      </c>
    </row>
    <row r="267" spans="1:3" x14ac:dyDescent="0.25">
      <c r="A267" s="1" t="s">
        <v>268</v>
      </c>
      <c r="B267">
        <v>395</v>
      </c>
      <c r="C267" s="2">
        <v>46106</v>
      </c>
    </row>
    <row r="268" spans="1:3" x14ac:dyDescent="0.25">
      <c r="A268" s="1" t="s">
        <v>269</v>
      </c>
      <c r="B268">
        <v>185</v>
      </c>
      <c r="C268" s="2">
        <v>46097</v>
      </c>
    </row>
    <row r="269" spans="1:3" x14ac:dyDescent="0.25">
      <c r="A269" s="1" t="s">
        <v>270</v>
      </c>
      <c r="B269">
        <v>224</v>
      </c>
      <c r="C269" s="2">
        <v>46169</v>
      </c>
    </row>
    <row r="270" spans="1:3" x14ac:dyDescent="0.25">
      <c r="A270" s="1" t="s">
        <v>271</v>
      </c>
      <c r="B270">
        <v>445</v>
      </c>
      <c r="C270" s="2">
        <v>46165</v>
      </c>
    </row>
    <row r="271" spans="1:3" x14ac:dyDescent="0.25">
      <c r="A271" s="1" t="s">
        <v>272</v>
      </c>
      <c r="B271">
        <v>473</v>
      </c>
      <c r="C271" s="2">
        <v>46143</v>
      </c>
    </row>
    <row r="272" spans="1:3" x14ac:dyDescent="0.25">
      <c r="A272" s="1" t="s">
        <v>273</v>
      </c>
      <c r="B272">
        <v>462</v>
      </c>
      <c r="C272" s="2">
        <v>46158</v>
      </c>
    </row>
    <row r="273" spans="1:3" x14ac:dyDescent="0.25">
      <c r="A273" s="1" t="s">
        <v>274</v>
      </c>
      <c r="B273">
        <v>267</v>
      </c>
      <c r="C273" s="2">
        <v>46129</v>
      </c>
    </row>
    <row r="274" spans="1:3" x14ac:dyDescent="0.25">
      <c r="A274" s="1" t="s">
        <v>275</v>
      </c>
      <c r="B274">
        <v>24</v>
      </c>
      <c r="C274" s="2">
        <v>46095</v>
      </c>
    </row>
    <row r="275" spans="1:3" x14ac:dyDescent="0.25">
      <c r="A275" s="1" t="s">
        <v>276</v>
      </c>
      <c r="B275">
        <v>239</v>
      </c>
      <c r="C275" s="2">
        <v>46157</v>
      </c>
    </row>
    <row r="276" spans="1:3" x14ac:dyDescent="0.25">
      <c r="A276" s="1" t="s">
        <v>277</v>
      </c>
      <c r="B276">
        <v>455</v>
      </c>
      <c r="C276" s="2">
        <v>46098</v>
      </c>
    </row>
    <row r="277" spans="1:3" x14ac:dyDescent="0.25">
      <c r="A277" s="1" t="s">
        <v>278</v>
      </c>
      <c r="B277">
        <v>407</v>
      </c>
      <c r="C277" s="2">
        <v>46059</v>
      </c>
    </row>
    <row r="278" spans="1:3" x14ac:dyDescent="0.25">
      <c r="A278" s="1" t="s">
        <v>279</v>
      </c>
      <c r="B278">
        <v>227</v>
      </c>
      <c r="C278" s="2">
        <v>46104</v>
      </c>
    </row>
    <row r="279" spans="1:3" x14ac:dyDescent="0.25">
      <c r="A279" s="1" t="s">
        <v>280</v>
      </c>
      <c r="B279">
        <v>438</v>
      </c>
      <c r="C279" s="2">
        <v>46056</v>
      </c>
    </row>
    <row r="280" spans="1:3" x14ac:dyDescent="0.25">
      <c r="A280" s="1" t="s">
        <v>281</v>
      </c>
      <c r="B280">
        <v>304</v>
      </c>
      <c r="C280" s="2">
        <v>46166</v>
      </c>
    </row>
    <row r="281" spans="1:3" x14ac:dyDescent="0.25">
      <c r="A281" s="1" t="s">
        <v>282</v>
      </c>
      <c r="B281">
        <v>324</v>
      </c>
      <c r="C281" s="2">
        <v>46039</v>
      </c>
    </row>
    <row r="282" spans="1:3" x14ac:dyDescent="0.25">
      <c r="A282" s="1" t="s">
        <v>283</v>
      </c>
      <c r="B282">
        <v>278</v>
      </c>
      <c r="C282" s="2">
        <v>46065</v>
      </c>
    </row>
    <row r="283" spans="1:3" x14ac:dyDescent="0.25">
      <c r="A283" s="1" t="s">
        <v>284</v>
      </c>
      <c r="B283">
        <v>412</v>
      </c>
      <c r="C283" s="2">
        <v>46165</v>
      </c>
    </row>
    <row r="284" spans="1:3" x14ac:dyDescent="0.25">
      <c r="A284" s="1" t="s">
        <v>285</v>
      </c>
      <c r="B284">
        <v>32</v>
      </c>
      <c r="C284" s="2">
        <v>46155</v>
      </c>
    </row>
    <row r="285" spans="1:3" x14ac:dyDescent="0.25">
      <c r="A285" s="1" t="s">
        <v>286</v>
      </c>
      <c r="B285">
        <v>405</v>
      </c>
      <c r="C285" s="2">
        <v>46070</v>
      </c>
    </row>
    <row r="286" spans="1:3" x14ac:dyDescent="0.25">
      <c r="A286" s="1" t="s">
        <v>287</v>
      </c>
      <c r="B286">
        <v>190</v>
      </c>
      <c r="C286" s="2">
        <v>46042</v>
      </c>
    </row>
    <row r="287" spans="1:3" x14ac:dyDescent="0.25">
      <c r="A287" s="1" t="s">
        <v>288</v>
      </c>
      <c r="B287">
        <v>366</v>
      </c>
      <c r="C287" s="2">
        <v>46164</v>
      </c>
    </row>
    <row r="288" spans="1:3" x14ac:dyDescent="0.25">
      <c r="A288" s="1" t="s">
        <v>289</v>
      </c>
      <c r="B288">
        <v>28</v>
      </c>
      <c r="C288" s="2">
        <v>46150</v>
      </c>
    </row>
    <row r="289" spans="1:3" x14ac:dyDescent="0.25">
      <c r="A289" s="1" t="s">
        <v>290</v>
      </c>
      <c r="B289">
        <v>487</v>
      </c>
      <c r="C289" s="2">
        <v>46124</v>
      </c>
    </row>
    <row r="290" spans="1:3" x14ac:dyDescent="0.25">
      <c r="A290" s="1" t="s">
        <v>291</v>
      </c>
      <c r="B290">
        <v>395</v>
      </c>
      <c r="C290" s="2">
        <v>46056</v>
      </c>
    </row>
    <row r="291" spans="1:3" x14ac:dyDescent="0.25">
      <c r="A291" s="1" t="s">
        <v>292</v>
      </c>
      <c r="B291">
        <v>149</v>
      </c>
      <c r="C291" s="2">
        <v>46125</v>
      </c>
    </row>
    <row r="292" spans="1:3" x14ac:dyDescent="0.25">
      <c r="A292" s="1" t="s">
        <v>293</v>
      </c>
      <c r="B292">
        <v>468</v>
      </c>
      <c r="C292" s="2">
        <v>46147</v>
      </c>
    </row>
    <row r="293" spans="1:3" x14ac:dyDescent="0.25">
      <c r="A293" s="1" t="s">
        <v>294</v>
      </c>
      <c r="B293">
        <v>50</v>
      </c>
      <c r="C293" s="2">
        <v>46150</v>
      </c>
    </row>
    <row r="294" spans="1:3" x14ac:dyDescent="0.25">
      <c r="A294" s="1" t="s">
        <v>295</v>
      </c>
      <c r="B294">
        <v>50</v>
      </c>
      <c r="C294" s="2">
        <v>46061</v>
      </c>
    </row>
    <row r="295" spans="1:3" x14ac:dyDescent="0.25">
      <c r="A295" s="1" t="s">
        <v>296</v>
      </c>
      <c r="B295">
        <v>95</v>
      </c>
      <c r="C295" s="2">
        <v>46153</v>
      </c>
    </row>
    <row r="296" spans="1:3" x14ac:dyDescent="0.25">
      <c r="A296" s="1" t="s">
        <v>297</v>
      </c>
      <c r="B296">
        <v>324</v>
      </c>
      <c r="C296" s="2">
        <v>46120</v>
      </c>
    </row>
    <row r="297" spans="1:3" x14ac:dyDescent="0.25">
      <c r="A297" s="1" t="s">
        <v>298</v>
      </c>
      <c r="B297">
        <v>196</v>
      </c>
      <c r="C297" s="2">
        <v>46155</v>
      </c>
    </row>
    <row r="298" spans="1:3" x14ac:dyDescent="0.25">
      <c r="A298" s="1" t="s">
        <v>299</v>
      </c>
      <c r="B298">
        <v>444</v>
      </c>
      <c r="C298" s="2">
        <v>46079</v>
      </c>
    </row>
    <row r="299" spans="1:3" x14ac:dyDescent="0.25">
      <c r="A299" s="1" t="s">
        <v>300</v>
      </c>
      <c r="B299">
        <v>130</v>
      </c>
      <c r="C299" s="2">
        <v>46057</v>
      </c>
    </row>
    <row r="300" spans="1:3" x14ac:dyDescent="0.25">
      <c r="A300" s="1" t="s">
        <v>301</v>
      </c>
      <c r="B300">
        <v>26</v>
      </c>
      <c r="C300" s="2">
        <v>46189</v>
      </c>
    </row>
    <row r="301" spans="1:3" x14ac:dyDescent="0.25">
      <c r="A301" s="1" t="s">
        <v>302</v>
      </c>
      <c r="B301">
        <v>237</v>
      </c>
      <c r="C301" s="2">
        <v>46127</v>
      </c>
    </row>
    <row r="302" spans="1:3" x14ac:dyDescent="0.25">
      <c r="A302" s="1" t="s">
        <v>303</v>
      </c>
      <c r="B302">
        <v>213</v>
      </c>
      <c r="C302" s="2">
        <v>46136</v>
      </c>
    </row>
    <row r="303" spans="1:3" x14ac:dyDescent="0.25">
      <c r="A303" s="1" t="s">
        <v>304</v>
      </c>
      <c r="B303">
        <v>386</v>
      </c>
      <c r="C303" s="2">
        <v>46045</v>
      </c>
    </row>
    <row r="304" spans="1:3" x14ac:dyDescent="0.25">
      <c r="A304" s="1" t="s">
        <v>305</v>
      </c>
      <c r="B304">
        <v>144</v>
      </c>
      <c r="C304" s="2">
        <v>46080</v>
      </c>
    </row>
    <row r="305" spans="1:3" x14ac:dyDescent="0.25">
      <c r="A305" s="1" t="s">
        <v>306</v>
      </c>
      <c r="B305">
        <v>365</v>
      </c>
      <c r="C305" s="2">
        <v>46107</v>
      </c>
    </row>
    <row r="306" spans="1:3" x14ac:dyDescent="0.25">
      <c r="A306" s="1" t="s">
        <v>307</v>
      </c>
      <c r="B306">
        <v>446</v>
      </c>
      <c r="C306" s="2">
        <v>46078</v>
      </c>
    </row>
    <row r="307" spans="1:3" x14ac:dyDescent="0.25">
      <c r="A307" s="1" t="s">
        <v>308</v>
      </c>
      <c r="B307">
        <v>351</v>
      </c>
      <c r="C307" s="2">
        <v>46116</v>
      </c>
    </row>
    <row r="308" spans="1:3" x14ac:dyDescent="0.25">
      <c r="A308" s="1" t="s">
        <v>309</v>
      </c>
      <c r="B308">
        <v>374</v>
      </c>
      <c r="C308" s="2">
        <v>46074</v>
      </c>
    </row>
    <row r="309" spans="1:3" x14ac:dyDescent="0.25">
      <c r="A309" s="1" t="s">
        <v>310</v>
      </c>
      <c r="B309">
        <v>124</v>
      </c>
      <c r="C309" s="2">
        <v>46161</v>
      </c>
    </row>
    <row r="310" spans="1:3" x14ac:dyDescent="0.25">
      <c r="A310" s="1" t="s">
        <v>311</v>
      </c>
      <c r="B310">
        <v>76</v>
      </c>
      <c r="C310" s="2">
        <v>46190</v>
      </c>
    </row>
    <row r="311" spans="1:3" x14ac:dyDescent="0.25">
      <c r="A311" s="1" t="s">
        <v>312</v>
      </c>
      <c r="B311">
        <v>377</v>
      </c>
      <c r="C311" s="2">
        <v>46143</v>
      </c>
    </row>
    <row r="312" spans="1:3" x14ac:dyDescent="0.25">
      <c r="A312" s="1" t="s">
        <v>313</v>
      </c>
      <c r="B312">
        <v>27</v>
      </c>
      <c r="C312" s="2">
        <v>46178</v>
      </c>
    </row>
    <row r="313" spans="1:3" x14ac:dyDescent="0.25">
      <c r="A313" s="1" t="s">
        <v>314</v>
      </c>
      <c r="B313">
        <v>353</v>
      </c>
      <c r="C313" s="2">
        <v>46154</v>
      </c>
    </row>
    <row r="314" spans="1:3" x14ac:dyDescent="0.25">
      <c r="A314" s="1" t="s">
        <v>315</v>
      </c>
      <c r="B314">
        <v>262</v>
      </c>
      <c r="C314" s="2">
        <v>46142</v>
      </c>
    </row>
    <row r="315" spans="1:3" x14ac:dyDescent="0.25">
      <c r="A315" s="1" t="s">
        <v>316</v>
      </c>
      <c r="B315">
        <v>165</v>
      </c>
      <c r="C315" s="2">
        <v>46073</v>
      </c>
    </row>
    <row r="316" spans="1:3" x14ac:dyDescent="0.25">
      <c r="A316" s="1" t="s">
        <v>317</v>
      </c>
      <c r="B316">
        <v>468</v>
      </c>
      <c r="C316" s="2">
        <v>46168</v>
      </c>
    </row>
    <row r="317" spans="1:3" x14ac:dyDescent="0.25">
      <c r="A317" s="1" t="s">
        <v>318</v>
      </c>
      <c r="B317">
        <v>150</v>
      </c>
      <c r="C317" s="2">
        <v>46171</v>
      </c>
    </row>
    <row r="318" spans="1:3" x14ac:dyDescent="0.25">
      <c r="A318" s="1" t="s">
        <v>319</v>
      </c>
      <c r="B318">
        <v>313</v>
      </c>
      <c r="C318" s="2">
        <v>46078</v>
      </c>
    </row>
    <row r="319" spans="1:3" x14ac:dyDescent="0.25">
      <c r="A319" s="1" t="s">
        <v>320</v>
      </c>
      <c r="B319">
        <v>441</v>
      </c>
      <c r="C319" s="2">
        <v>46114</v>
      </c>
    </row>
    <row r="320" spans="1:3" x14ac:dyDescent="0.25">
      <c r="A320" s="1" t="s">
        <v>321</v>
      </c>
      <c r="B320">
        <v>499</v>
      </c>
      <c r="C320" s="2">
        <v>46047</v>
      </c>
    </row>
    <row r="321" spans="1:3" x14ac:dyDescent="0.25">
      <c r="A321" s="1" t="s">
        <v>322</v>
      </c>
      <c r="B321">
        <v>402</v>
      </c>
      <c r="C321" s="2">
        <v>46082</v>
      </c>
    </row>
    <row r="322" spans="1:3" x14ac:dyDescent="0.25">
      <c r="A322" s="1" t="s">
        <v>323</v>
      </c>
      <c r="B322">
        <v>158</v>
      </c>
      <c r="C322" s="2">
        <v>46183</v>
      </c>
    </row>
    <row r="323" spans="1:3" x14ac:dyDescent="0.25">
      <c r="A323" s="1" t="s">
        <v>324</v>
      </c>
      <c r="B323">
        <v>162</v>
      </c>
      <c r="C323" s="2">
        <v>46131</v>
      </c>
    </row>
    <row r="324" spans="1:3" x14ac:dyDescent="0.25">
      <c r="A324" s="1" t="s">
        <v>325</v>
      </c>
      <c r="B324">
        <v>222</v>
      </c>
      <c r="C324" s="2">
        <v>46151</v>
      </c>
    </row>
    <row r="325" spans="1:3" x14ac:dyDescent="0.25">
      <c r="A325" s="1" t="s">
        <v>326</v>
      </c>
      <c r="B325">
        <v>170</v>
      </c>
      <c r="C325" s="2">
        <v>46080</v>
      </c>
    </row>
    <row r="326" spans="1:3" x14ac:dyDescent="0.25">
      <c r="A326" s="1" t="s">
        <v>327</v>
      </c>
      <c r="B326">
        <v>399</v>
      </c>
      <c r="C326" s="2">
        <v>46065</v>
      </c>
    </row>
    <row r="327" spans="1:3" x14ac:dyDescent="0.25">
      <c r="A327" s="1" t="s">
        <v>328</v>
      </c>
      <c r="B327">
        <v>248</v>
      </c>
      <c r="C327" s="2">
        <v>46097</v>
      </c>
    </row>
    <row r="328" spans="1:3" x14ac:dyDescent="0.25">
      <c r="A328" s="1" t="s">
        <v>329</v>
      </c>
      <c r="B328">
        <v>35</v>
      </c>
      <c r="C328" s="2">
        <v>46066</v>
      </c>
    </row>
    <row r="329" spans="1:3" x14ac:dyDescent="0.25">
      <c r="A329" s="1" t="s">
        <v>330</v>
      </c>
      <c r="B329">
        <v>426</v>
      </c>
      <c r="C329" s="2">
        <v>46079</v>
      </c>
    </row>
    <row r="330" spans="1:3" x14ac:dyDescent="0.25">
      <c r="A330" s="1" t="s">
        <v>331</v>
      </c>
      <c r="B330">
        <v>265</v>
      </c>
      <c r="C330" s="2">
        <v>46081</v>
      </c>
    </row>
    <row r="331" spans="1:3" x14ac:dyDescent="0.25">
      <c r="A331" s="1" t="s">
        <v>332</v>
      </c>
      <c r="B331">
        <v>21</v>
      </c>
      <c r="C331" s="2">
        <v>46173</v>
      </c>
    </row>
    <row r="332" spans="1:3" x14ac:dyDescent="0.25">
      <c r="A332" s="1" t="s">
        <v>333</v>
      </c>
      <c r="B332">
        <v>120</v>
      </c>
      <c r="C332" s="2">
        <v>46088</v>
      </c>
    </row>
    <row r="333" spans="1:3" x14ac:dyDescent="0.25">
      <c r="A333" s="1" t="s">
        <v>334</v>
      </c>
      <c r="B333">
        <v>315</v>
      </c>
      <c r="C333" s="2">
        <v>46167</v>
      </c>
    </row>
    <row r="334" spans="1:3" x14ac:dyDescent="0.25">
      <c r="A334" s="1" t="s">
        <v>335</v>
      </c>
      <c r="B334">
        <v>14</v>
      </c>
      <c r="C334" s="2">
        <v>46171</v>
      </c>
    </row>
    <row r="335" spans="1:3" x14ac:dyDescent="0.25">
      <c r="A335" s="1" t="s">
        <v>336</v>
      </c>
      <c r="B335">
        <v>401</v>
      </c>
      <c r="C335" s="2">
        <v>46134</v>
      </c>
    </row>
    <row r="336" spans="1:3" x14ac:dyDescent="0.25">
      <c r="A336" s="1" t="s">
        <v>337</v>
      </c>
      <c r="B336">
        <v>297</v>
      </c>
      <c r="C336" s="2">
        <v>46181</v>
      </c>
    </row>
    <row r="337" spans="1:3" x14ac:dyDescent="0.25">
      <c r="A337" s="1" t="s">
        <v>338</v>
      </c>
      <c r="B337">
        <v>268</v>
      </c>
      <c r="C337" s="2">
        <v>46132</v>
      </c>
    </row>
    <row r="338" spans="1:3" x14ac:dyDescent="0.25">
      <c r="A338" s="1" t="s">
        <v>339</v>
      </c>
      <c r="B338">
        <v>75</v>
      </c>
      <c r="C338" s="2">
        <v>46084</v>
      </c>
    </row>
    <row r="339" spans="1:3" x14ac:dyDescent="0.25">
      <c r="A339" s="1" t="s">
        <v>340</v>
      </c>
      <c r="B339">
        <v>507</v>
      </c>
      <c r="C339" s="2">
        <v>46177</v>
      </c>
    </row>
    <row r="340" spans="1:3" x14ac:dyDescent="0.25">
      <c r="A340" s="1" t="s">
        <v>341</v>
      </c>
      <c r="B340">
        <v>215</v>
      </c>
      <c r="C340" s="2">
        <v>46159</v>
      </c>
    </row>
    <row r="341" spans="1:3" x14ac:dyDescent="0.25">
      <c r="A341" s="1" t="s">
        <v>342</v>
      </c>
      <c r="B341">
        <v>81</v>
      </c>
      <c r="C341" s="2">
        <v>46171</v>
      </c>
    </row>
    <row r="342" spans="1:3" x14ac:dyDescent="0.25">
      <c r="A342" s="1" t="s">
        <v>343</v>
      </c>
      <c r="B342">
        <v>325</v>
      </c>
      <c r="C342" s="2">
        <v>46152</v>
      </c>
    </row>
    <row r="343" spans="1:3" x14ac:dyDescent="0.25">
      <c r="A343" s="1" t="s">
        <v>344</v>
      </c>
      <c r="B343">
        <v>282</v>
      </c>
      <c r="C343" s="2">
        <v>46167</v>
      </c>
    </row>
    <row r="344" spans="1:3" x14ac:dyDescent="0.25">
      <c r="A344" s="1" t="s">
        <v>345</v>
      </c>
      <c r="B344">
        <v>207</v>
      </c>
      <c r="C344" s="2">
        <v>46044</v>
      </c>
    </row>
    <row r="345" spans="1:3" x14ac:dyDescent="0.25">
      <c r="A345" s="1" t="s">
        <v>346</v>
      </c>
      <c r="B345">
        <v>417</v>
      </c>
      <c r="C345" s="2">
        <v>46104</v>
      </c>
    </row>
    <row r="346" spans="1:3" x14ac:dyDescent="0.25">
      <c r="A346" s="1" t="s">
        <v>347</v>
      </c>
      <c r="B346">
        <v>145</v>
      </c>
      <c r="C346" s="2">
        <v>46157</v>
      </c>
    </row>
    <row r="347" spans="1:3" x14ac:dyDescent="0.25">
      <c r="A347" s="1" t="s">
        <v>348</v>
      </c>
      <c r="B347">
        <v>308</v>
      </c>
      <c r="C347" s="2">
        <v>46052</v>
      </c>
    </row>
    <row r="348" spans="1:3" x14ac:dyDescent="0.25">
      <c r="A348" s="1" t="s">
        <v>349</v>
      </c>
      <c r="B348">
        <v>26</v>
      </c>
      <c r="C348" s="2">
        <v>46093</v>
      </c>
    </row>
    <row r="349" spans="1:3" x14ac:dyDescent="0.25">
      <c r="A349" s="1" t="s">
        <v>350</v>
      </c>
      <c r="B349">
        <v>235</v>
      </c>
      <c r="C349" s="2">
        <v>46044</v>
      </c>
    </row>
    <row r="350" spans="1:3" x14ac:dyDescent="0.25">
      <c r="A350" s="1" t="s">
        <v>351</v>
      </c>
      <c r="B350">
        <v>220</v>
      </c>
      <c r="C350" s="2">
        <v>46096</v>
      </c>
    </row>
    <row r="351" spans="1:3" x14ac:dyDescent="0.25">
      <c r="A351" s="1" t="s">
        <v>352</v>
      </c>
      <c r="B351">
        <v>371</v>
      </c>
      <c r="C351" s="2">
        <v>46052</v>
      </c>
    </row>
    <row r="352" spans="1:3" x14ac:dyDescent="0.25">
      <c r="A352" s="1" t="s">
        <v>353</v>
      </c>
      <c r="B352">
        <v>283</v>
      </c>
      <c r="C352" s="2">
        <v>46162</v>
      </c>
    </row>
    <row r="353" spans="1:3" x14ac:dyDescent="0.25">
      <c r="A353" s="1" t="s">
        <v>354</v>
      </c>
      <c r="B353">
        <v>289</v>
      </c>
      <c r="C353" s="2">
        <v>46125</v>
      </c>
    </row>
    <row r="354" spans="1:3" x14ac:dyDescent="0.25">
      <c r="A354" s="1" t="s">
        <v>355</v>
      </c>
      <c r="B354">
        <v>108</v>
      </c>
      <c r="C354" s="2">
        <v>46178</v>
      </c>
    </row>
    <row r="355" spans="1:3" x14ac:dyDescent="0.25">
      <c r="A355" s="1" t="s">
        <v>356</v>
      </c>
      <c r="B355">
        <v>188</v>
      </c>
      <c r="C355" s="2">
        <v>46158</v>
      </c>
    </row>
    <row r="356" spans="1:3" x14ac:dyDescent="0.25">
      <c r="A356" s="1" t="s">
        <v>357</v>
      </c>
      <c r="B356">
        <v>317</v>
      </c>
      <c r="C356" s="2">
        <v>46073</v>
      </c>
    </row>
    <row r="357" spans="1:3" x14ac:dyDescent="0.25">
      <c r="A357" s="1" t="s">
        <v>358</v>
      </c>
      <c r="B357">
        <v>158</v>
      </c>
      <c r="C357" s="2">
        <v>46067</v>
      </c>
    </row>
    <row r="358" spans="1:3" x14ac:dyDescent="0.25">
      <c r="A358" s="1" t="s">
        <v>359</v>
      </c>
      <c r="B358">
        <v>345</v>
      </c>
      <c r="C358" s="2">
        <v>46148</v>
      </c>
    </row>
    <row r="359" spans="1:3" x14ac:dyDescent="0.25">
      <c r="A359" s="1" t="s">
        <v>360</v>
      </c>
      <c r="B359">
        <v>148</v>
      </c>
      <c r="C359" s="2">
        <v>46175</v>
      </c>
    </row>
    <row r="360" spans="1:3" x14ac:dyDescent="0.25">
      <c r="A360" s="1" t="s">
        <v>361</v>
      </c>
      <c r="B360">
        <v>325</v>
      </c>
      <c r="C360" s="2">
        <v>46061</v>
      </c>
    </row>
    <row r="361" spans="1:3" x14ac:dyDescent="0.25">
      <c r="A361" s="1" t="s">
        <v>362</v>
      </c>
      <c r="B361">
        <v>397</v>
      </c>
      <c r="C361" s="2">
        <v>46089</v>
      </c>
    </row>
    <row r="362" spans="1:3" x14ac:dyDescent="0.25">
      <c r="A362" s="1" t="s">
        <v>363</v>
      </c>
      <c r="B362">
        <v>474</v>
      </c>
      <c r="C362" s="2">
        <v>46057</v>
      </c>
    </row>
    <row r="363" spans="1:3" x14ac:dyDescent="0.25">
      <c r="A363" s="1" t="s">
        <v>364</v>
      </c>
      <c r="B363">
        <v>413</v>
      </c>
      <c r="C363" s="2">
        <v>46137</v>
      </c>
    </row>
    <row r="364" spans="1:3" x14ac:dyDescent="0.25">
      <c r="A364" s="1" t="s">
        <v>365</v>
      </c>
      <c r="B364">
        <v>162</v>
      </c>
      <c r="C364" s="2">
        <v>46049</v>
      </c>
    </row>
    <row r="365" spans="1:3" x14ac:dyDescent="0.25">
      <c r="A365" s="1" t="s">
        <v>366</v>
      </c>
      <c r="B365">
        <v>338</v>
      </c>
      <c r="C365" s="2">
        <v>46150</v>
      </c>
    </row>
    <row r="366" spans="1:3" x14ac:dyDescent="0.25">
      <c r="A366" s="1" t="s">
        <v>367</v>
      </c>
      <c r="B366">
        <v>149</v>
      </c>
      <c r="C366" s="2">
        <v>46156</v>
      </c>
    </row>
    <row r="367" spans="1:3" x14ac:dyDescent="0.25">
      <c r="A367" s="1" t="s">
        <v>368</v>
      </c>
      <c r="B367">
        <v>341</v>
      </c>
      <c r="C367" s="2">
        <v>46146</v>
      </c>
    </row>
    <row r="368" spans="1:3" x14ac:dyDescent="0.25">
      <c r="A368" s="1" t="s">
        <v>369</v>
      </c>
      <c r="B368">
        <v>414</v>
      </c>
      <c r="C368" s="2">
        <v>46120</v>
      </c>
    </row>
    <row r="369" spans="1:3" x14ac:dyDescent="0.25">
      <c r="A369" s="1" t="s">
        <v>370</v>
      </c>
      <c r="B369">
        <v>433</v>
      </c>
      <c r="C369" s="2">
        <v>46131</v>
      </c>
    </row>
    <row r="370" spans="1:3" x14ac:dyDescent="0.25">
      <c r="A370" s="1" t="s">
        <v>371</v>
      </c>
      <c r="B370">
        <v>110</v>
      </c>
      <c r="C370" s="2">
        <v>46073</v>
      </c>
    </row>
    <row r="371" spans="1:3" x14ac:dyDescent="0.25">
      <c r="A371" s="1" t="s">
        <v>372</v>
      </c>
      <c r="B371">
        <v>143</v>
      </c>
      <c r="C371" s="2">
        <v>46055</v>
      </c>
    </row>
    <row r="372" spans="1:3" x14ac:dyDescent="0.25">
      <c r="A372" s="1" t="s">
        <v>373</v>
      </c>
      <c r="B372">
        <v>308</v>
      </c>
      <c r="C372" s="2">
        <v>46114</v>
      </c>
    </row>
    <row r="373" spans="1:3" x14ac:dyDescent="0.25">
      <c r="A373" s="1" t="s">
        <v>374</v>
      </c>
      <c r="B373">
        <v>379</v>
      </c>
      <c r="C373" s="2">
        <v>46121</v>
      </c>
    </row>
    <row r="374" spans="1:3" x14ac:dyDescent="0.25">
      <c r="A374" s="1" t="s">
        <v>375</v>
      </c>
      <c r="B374">
        <v>91</v>
      </c>
      <c r="C374" s="2">
        <v>46113</v>
      </c>
    </row>
    <row r="375" spans="1:3" x14ac:dyDescent="0.25">
      <c r="A375" s="1" t="s">
        <v>376</v>
      </c>
      <c r="B375">
        <v>337</v>
      </c>
      <c r="C375" s="2">
        <v>46070</v>
      </c>
    </row>
    <row r="376" spans="1:3" x14ac:dyDescent="0.25">
      <c r="A376" s="1" t="s">
        <v>377</v>
      </c>
      <c r="B376">
        <v>122</v>
      </c>
      <c r="C376" s="2">
        <v>46089</v>
      </c>
    </row>
    <row r="377" spans="1:3" x14ac:dyDescent="0.25">
      <c r="A377" s="1" t="s">
        <v>378</v>
      </c>
      <c r="B377">
        <v>222</v>
      </c>
      <c r="C377" s="2">
        <v>46127</v>
      </c>
    </row>
    <row r="378" spans="1:3" x14ac:dyDescent="0.25">
      <c r="A378" s="1" t="s">
        <v>379</v>
      </c>
      <c r="B378">
        <v>67</v>
      </c>
      <c r="C378" s="2">
        <v>46204</v>
      </c>
    </row>
    <row r="379" spans="1:3" x14ac:dyDescent="0.25">
      <c r="A379" s="1" t="s">
        <v>380</v>
      </c>
      <c r="B379">
        <v>284</v>
      </c>
      <c r="C379" s="2">
        <v>46188</v>
      </c>
    </row>
    <row r="380" spans="1:3" x14ac:dyDescent="0.25">
      <c r="A380" s="1" t="s">
        <v>381</v>
      </c>
      <c r="B380">
        <v>358</v>
      </c>
      <c r="C380" s="2">
        <v>46074</v>
      </c>
    </row>
    <row r="381" spans="1:3" x14ac:dyDescent="0.25">
      <c r="A381" s="1" t="s">
        <v>382</v>
      </c>
      <c r="B381">
        <v>238</v>
      </c>
      <c r="C381" s="2">
        <v>46162</v>
      </c>
    </row>
    <row r="382" spans="1:3" x14ac:dyDescent="0.25">
      <c r="A382" s="1" t="s">
        <v>383</v>
      </c>
      <c r="B382">
        <v>250</v>
      </c>
      <c r="C382" s="2">
        <v>46148</v>
      </c>
    </row>
    <row r="383" spans="1:3" x14ac:dyDescent="0.25">
      <c r="A383" s="1" t="s">
        <v>384</v>
      </c>
      <c r="B383">
        <v>380</v>
      </c>
      <c r="C383" s="2">
        <v>46106</v>
      </c>
    </row>
    <row r="384" spans="1:3" x14ac:dyDescent="0.25">
      <c r="A384" s="1" t="s">
        <v>385</v>
      </c>
      <c r="B384">
        <v>306</v>
      </c>
      <c r="C384" s="2">
        <v>46105</v>
      </c>
    </row>
    <row r="385" spans="1:3" x14ac:dyDescent="0.25">
      <c r="A385" s="1" t="s">
        <v>386</v>
      </c>
      <c r="B385">
        <v>219</v>
      </c>
      <c r="C385" s="2">
        <v>46128</v>
      </c>
    </row>
    <row r="386" spans="1:3" x14ac:dyDescent="0.25">
      <c r="A386" s="1" t="s">
        <v>387</v>
      </c>
      <c r="B386">
        <v>239</v>
      </c>
      <c r="C386" s="2">
        <v>46138</v>
      </c>
    </row>
    <row r="387" spans="1:3" x14ac:dyDescent="0.25">
      <c r="A387" s="1" t="s">
        <v>388</v>
      </c>
      <c r="B387">
        <v>211</v>
      </c>
      <c r="C387" s="2">
        <v>46170</v>
      </c>
    </row>
    <row r="388" spans="1:3" x14ac:dyDescent="0.25">
      <c r="A388" s="1" t="s">
        <v>389</v>
      </c>
      <c r="B388">
        <v>162</v>
      </c>
      <c r="C388" s="2">
        <v>46048</v>
      </c>
    </row>
    <row r="389" spans="1:3" x14ac:dyDescent="0.25">
      <c r="A389" s="1" t="s">
        <v>390</v>
      </c>
      <c r="B389">
        <v>431</v>
      </c>
      <c r="C389" s="2">
        <v>46135</v>
      </c>
    </row>
    <row r="390" spans="1:3" x14ac:dyDescent="0.25">
      <c r="A390" s="1" t="s">
        <v>391</v>
      </c>
      <c r="B390">
        <v>90</v>
      </c>
      <c r="C390" s="2">
        <v>46099</v>
      </c>
    </row>
    <row r="391" spans="1:3" x14ac:dyDescent="0.25">
      <c r="A391" s="1" t="s">
        <v>392</v>
      </c>
      <c r="B391">
        <v>323</v>
      </c>
      <c r="C391" s="2">
        <v>46141</v>
      </c>
    </row>
    <row r="392" spans="1:3" x14ac:dyDescent="0.25">
      <c r="A392" s="1" t="s">
        <v>393</v>
      </c>
      <c r="B392">
        <v>61</v>
      </c>
      <c r="C392" s="2">
        <v>46044</v>
      </c>
    </row>
    <row r="393" spans="1:3" x14ac:dyDescent="0.25">
      <c r="A393" s="1" t="s">
        <v>394</v>
      </c>
      <c r="B393">
        <v>215</v>
      </c>
      <c r="C393" s="2">
        <v>46057</v>
      </c>
    </row>
    <row r="394" spans="1:3" x14ac:dyDescent="0.25">
      <c r="A394" s="1" t="s">
        <v>395</v>
      </c>
      <c r="B394">
        <v>131</v>
      </c>
      <c r="C394" s="2">
        <v>46127</v>
      </c>
    </row>
    <row r="395" spans="1:3" x14ac:dyDescent="0.25">
      <c r="A395" s="1" t="s">
        <v>396</v>
      </c>
      <c r="B395">
        <v>163</v>
      </c>
      <c r="C395" s="2">
        <v>46137</v>
      </c>
    </row>
    <row r="396" spans="1:3" x14ac:dyDescent="0.25">
      <c r="A396" s="1" t="s">
        <v>397</v>
      </c>
      <c r="B396">
        <v>294</v>
      </c>
      <c r="C396" s="2">
        <v>46147</v>
      </c>
    </row>
    <row r="397" spans="1:3" x14ac:dyDescent="0.25">
      <c r="A397" s="1" t="s">
        <v>398</v>
      </c>
      <c r="B397">
        <v>366</v>
      </c>
      <c r="C397" s="2">
        <v>46117</v>
      </c>
    </row>
    <row r="398" spans="1:3" x14ac:dyDescent="0.25">
      <c r="A398" s="1" t="s">
        <v>399</v>
      </c>
      <c r="B398">
        <v>396</v>
      </c>
      <c r="C398" s="2">
        <v>46081</v>
      </c>
    </row>
    <row r="399" spans="1:3" x14ac:dyDescent="0.25">
      <c r="A399" s="1" t="s">
        <v>400</v>
      </c>
      <c r="B399">
        <v>402</v>
      </c>
      <c r="C399" s="2">
        <v>46078</v>
      </c>
    </row>
    <row r="400" spans="1:3" x14ac:dyDescent="0.25">
      <c r="A400" s="1" t="s">
        <v>401</v>
      </c>
      <c r="B400">
        <v>338</v>
      </c>
      <c r="C400" s="2">
        <v>46125</v>
      </c>
    </row>
    <row r="401" spans="1:3" x14ac:dyDescent="0.25">
      <c r="A401" s="1" t="s">
        <v>402</v>
      </c>
      <c r="B401">
        <v>380</v>
      </c>
      <c r="C401" s="2">
        <v>46174</v>
      </c>
    </row>
    <row r="402" spans="1:3" x14ac:dyDescent="0.25">
      <c r="A402" s="1" t="s">
        <v>403</v>
      </c>
      <c r="B402">
        <v>457</v>
      </c>
      <c r="C402" s="2">
        <v>46046</v>
      </c>
    </row>
    <row r="403" spans="1:3" x14ac:dyDescent="0.25">
      <c r="A403" s="1" t="s">
        <v>404</v>
      </c>
      <c r="B403">
        <v>455</v>
      </c>
      <c r="C403" s="2">
        <v>46079</v>
      </c>
    </row>
    <row r="404" spans="1:3" x14ac:dyDescent="0.25">
      <c r="A404" s="1" t="s">
        <v>405</v>
      </c>
      <c r="B404">
        <v>389</v>
      </c>
      <c r="C404" s="2">
        <v>46089</v>
      </c>
    </row>
    <row r="405" spans="1:3" x14ac:dyDescent="0.25">
      <c r="A405" s="1" t="s">
        <v>406</v>
      </c>
      <c r="B405">
        <v>213</v>
      </c>
      <c r="C405" s="2">
        <v>46088</v>
      </c>
    </row>
    <row r="406" spans="1:3" x14ac:dyDescent="0.25">
      <c r="A406" s="1" t="s">
        <v>407</v>
      </c>
      <c r="B406">
        <v>248</v>
      </c>
      <c r="C406" s="2">
        <v>46132</v>
      </c>
    </row>
    <row r="407" spans="1:3" x14ac:dyDescent="0.25">
      <c r="A407" s="1" t="s">
        <v>408</v>
      </c>
      <c r="B407">
        <v>272</v>
      </c>
      <c r="C407" s="2">
        <v>46125</v>
      </c>
    </row>
    <row r="408" spans="1:3" x14ac:dyDescent="0.25">
      <c r="A408" s="1" t="s">
        <v>409</v>
      </c>
      <c r="B408">
        <v>399</v>
      </c>
      <c r="C408" s="2">
        <v>46167</v>
      </c>
    </row>
    <row r="409" spans="1:3" x14ac:dyDescent="0.25">
      <c r="A409" s="1" t="s">
        <v>410</v>
      </c>
      <c r="B409">
        <v>33</v>
      </c>
      <c r="C409" s="2">
        <v>46138</v>
      </c>
    </row>
    <row r="410" spans="1:3" x14ac:dyDescent="0.25">
      <c r="A410" s="1" t="s">
        <v>411</v>
      </c>
      <c r="B410">
        <v>293</v>
      </c>
      <c r="C410" s="2">
        <v>46105</v>
      </c>
    </row>
    <row r="411" spans="1:3" x14ac:dyDescent="0.25">
      <c r="A411" s="1" t="s">
        <v>412</v>
      </c>
      <c r="B411">
        <v>110</v>
      </c>
      <c r="C411" s="2">
        <v>46074</v>
      </c>
    </row>
    <row r="412" spans="1:3" x14ac:dyDescent="0.25">
      <c r="A412" s="1" t="s">
        <v>413</v>
      </c>
      <c r="B412">
        <v>345</v>
      </c>
      <c r="C412" s="2">
        <v>46174</v>
      </c>
    </row>
    <row r="413" spans="1:3" x14ac:dyDescent="0.25">
      <c r="A413" s="1" t="s">
        <v>414</v>
      </c>
      <c r="B413">
        <v>245</v>
      </c>
      <c r="C413" s="2">
        <v>46156</v>
      </c>
    </row>
    <row r="414" spans="1:3" x14ac:dyDescent="0.25">
      <c r="A414" s="1" t="s">
        <v>415</v>
      </c>
      <c r="B414">
        <v>260</v>
      </c>
      <c r="C414" s="2">
        <v>46169</v>
      </c>
    </row>
    <row r="415" spans="1:3" x14ac:dyDescent="0.25">
      <c r="A415" s="1" t="s">
        <v>416</v>
      </c>
      <c r="B415">
        <v>439</v>
      </c>
      <c r="C415" s="2">
        <v>46037</v>
      </c>
    </row>
    <row r="416" spans="1:3" x14ac:dyDescent="0.25">
      <c r="A416" s="1" t="s">
        <v>417</v>
      </c>
      <c r="B416">
        <v>80</v>
      </c>
      <c r="C416" s="2">
        <v>46134</v>
      </c>
    </row>
    <row r="417" spans="1:3" x14ac:dyDescent="0.25">
      <c r="A417" s="1" t="s">
        <v>418</v>
      </c>
      <c r="B417">
        <v>14</v>
      </c>
      <c r="C417" s="2">
        <v>46097</v>
      </c>
    </row>
    <row r="418" spans="1:3" x14ac:dyDescent="0.25">
      <c r="A418" s="1" t="s">
        <v>419</v>
      </c>
      <c r="B418">
        <v>281</v>
      </c>
      <c r="C418" s="2">
        <v>46043</v>
      </c>
    </row>
    <row r="419" spans="1:3" x14ac:dyDescent="0.25">
      <c r="A419" s="1" t="s">
        <v>420</v>
      </c>
      <c r="B419">
        <v>426</v>
      </c>
      <c r="C419" s="2">
        <v>46160</v>
      </c>
    </row>
    <row r="420" spans="1:3" x14ac:dyDescent="0.25">
      <c r="A420" s="1" t="s">
        <v>421</v>
      </c>
      <c r="B420">
        <v>278</v>
      </c>
      <c r="C420" s="2">
        <v>46074</v>
      </c>
    </row>
    <row r="421" spans="1:3" x14ac:dyDescent="0.25">
      <c r="A421" s="1" t="s">
        <v>422</v>
      </c>
      <c r="B421">
        <v>146</v>
      </c>
      <c r="C421" s="2">
        <v>46130</v>
      </c>
    </row>
    <row r="422" spans="1:3" x14ac:dyDescent="0.25">
      <c r="A422" s="1" t="s">
        <v>423</v>
      </c>
      <c r="B422">
        <v>299</v>
      </c>
      <c r="C422" s="2">
        <v>46152</v>
      </c>
    </row>
    <row r="423" spans="1:3" x14ac:dyDescent="0.25">
      <c r="A423" s="1" t="s">
        <v>424</v>
      </c>
      <c r="B423">
        <v>344</v>
      </c>
      <c r="C423" s="2">
        <v>46051</v>
      </c>
    </row>
    <row r="424" spans="1:3" x14ac:dyDescent="0.25">
      <c r="A424" s="1" t="s">
        <v>425</v>
      </c>
      <c r="B424">
        <v>204</v>
      </c>
      <c r="C424" s="2">
        <v>46152</v>
      </c>
    </row>
    <row r="425" spans="1:3" x14ac:dyDescent="0.25">
      <c r="A425" s="1" t="s">
        <v>426</v>
      </c>
      <c r="B425">
        <v>369</v>
      </c>
      <c r="C425" s="2">
        <v>46044</v>
      </c>
    </row>
    <row r="426" spans="1:3" x14ac:dyDescent="0.25">
      <c r="A426" s="1" t="s">
        <v>427</v>
      </c>
      <c r="B426">
        <v>299</v>
      </c>
      <c r="C426" s="2">
        <v>46127</v>
      </c>
    </row>
    <row r="427" spans="1:3" x14ac:dyDescent="0.25">
      <c r="A427" s="1" t="s">
        <v>428</v>
      </c>
      <c r="B427">
        <v>118</v>
      </c>
      <c r="C427" s="2">
        <v>46103</v>
      </c>
    </row>
    <row r="428" spans="1:3" x14ac:dyDescent="0.25">
      <c r="A428" s="1" t="s">
        <v>429</v>
      </c>
      <c r="B428">
        <v>483</v>
      </c>
      <c r="C428" s="2">
        <v>46041</v>
      </c>
    </row>
    <row r="429" spans="1:3" x14ac:dyDescent="0.25">
      <c r="A429" s="1" t="s">
        <v>430</v>
      </c>
      <c r="B429">
        <v>485</v>
      </c>
      <c r="C429" s="2">
        <v>46134</v>
      </c>
    </row>
    <row r="430" spans="1:3" x14ac:dyDescent="0.25">
      <c r="A430" s="1" t="s">
        <v>431</v>
      </c>
      <c r="B430">
        <v>356</v>
      </c>
      <c r="C430" s="2">
        <v>46137</v>
      </c>
    </row>
    <row r="431" spans="1:3" x14ac:dyDescent="0.25">
      <c r="A431" s="1" t="s">
        <v>432</v>
      </c>
      <c r="B431">
        <v>414</v>
      </c>
      <c r="C431" s="2">
        <v>46063</v>
      </c>
    </row>
    <row r="432" spans="1:3" x14ac:dyDescent="0.25">
      <c r="A432" s="1" t="s">
        <v>433</v>
      </c>
      <c r="B432">
        <v>37</v>
      </c>
      <c r="C432" s="2">
        <v>46118</v>
      </c>
    </row>
    <row r="433" spans="1:3" x14ac:dyDescent="0.25">
      <c r="A433" s="1" t="s">
        <v>434</v>
      </c>
      <c r="B433">
        <v>406</v>
      </c>
      <c r="C433" s="2">
        <v>46138</v>
      </c>
    </row>
    <row r="434" spans="1:3" x14ac:dyDescent="0.25">
      <c r="A434" s="1" t="s">
        <v>435</v>
      </c>
      <c r="B434">
        <v>126</v>
      </c>
      <c r="C434" s="2">
        <v>46168</v>
      </c>
    </row>
    <row r="435" spans="1:3" x14ac:dyDescent="0.25">
      <c r="A435" s="1" t="s">
        <v>436</v>
      </c>
      <c r="B435">
        <v>52</v>
      </c>
      <c r="C435" s="2">
        <v>46051</v>
      </c>
    </row>
    <row r="436" spans="1:3" x14ac:dyDescent="0.25">
      <c r="A436" s="1" t="s">
        <v>437</v>
      </c>
      <c r="B436">
        <v>172</v>
      </c>
      <c r="C436" s="2">
        <v>46125</v>
      </c>
    </row>
    <row r="437" spans="1:3" x14ac:dyDescent="0.25">
      <c r="A437" s="1" t="s">
        <v>438</v>
      </c>
      <c r="B437">
        <v>230</v>
      </c>
      <c r="C437" s="2">
        <v>46089</v>
      </c>
    </row>
    <row r="438" spans="1:3" x14ac:dyDescent="0.25">
      <c r="A438" s="1" t="s">
        <v>439</v>
      </c>
      <c r="B438">
        <v>23</v>
      </c>
      <c r="C438" s="2">
        <v>46058</v>
      </c>
    </row>
    <row r="439" spans="1:3" x14ac:dyDescent="0.25">
      <c r="A439" s="1" t="s">
        <v>440</v>
      </c>
      <c r="B439">
        <v>452</v>
      </c>
      <c r="C439" s="2">
        <v>46122</v>
      </c>
    </row>
    <row r="440" spans="1:3" x14ac:dyDescent="0.25">
      <c r="A440" s="1" t="s">
        <v>441</v>
      </c>
      <c r="B440">
        <v>381</v>
      </c>
      <c r="C440" s="2">
        <v>46067</v>
      </c>
    </row>
    <row r="441" spans="1:3" x14ac:dyDescent="0.25">
      <c r="A441" s="1" t="s">
        <v>442</v>
      </c>
      <c r="B441">
        <v>96</v>
      </c>
      <c r="C441" s="2">
        <v>46131</v>
      </c>
    </row>
    <row r="442" spans="1:3" x14ac:dyDescent="0.25">
      <c r="A442" s="1" t="s">
        <v>443</v>
      </c>
      <c r="B442">
        <v>48</v>
      </c>
      <c r="C442" s="2">
        <v>46080</v>
      </c>
    </row>
    <row r="443" spans="1:3" x14ac:dyDescent="0.25">
      <c r="A443" s="1" t="s">
        <v>444</v>
      </c>
      <c r="B443">
        <v>410</v>
      </c>
      <c r="C443" s="2">
        <v>46157</v>
      </c>
    </row>
    <row r="444" spans="1:3" x14ac:dyDescent="0.25">
      <c r="A444" s="1" t="s">
        <v>445</v>
      </c>
      <c r="B444">
        <v>314</v>
      </c>
      <c r="C444" s="2">
        <v>46158</v>
      </c>
    </row>
    <row r="445" spans="1:3" x14ac:dyDescent="0.25">
      <c r="A445" s="1" t="s">
        <v>446</v>
      </c>
      <c r="B445">
        <v>13</v>
      </c>
      <c r="C445" s="2">
        <v>46116</v>
      </c>
    </row>
    <row r="446" spans="1:3" x14ac:dyDescent="0.25">
      <c r="A446" s="1" t="s">
        <v>447</v>
      </c>
      <c r="B446">
        <v>181</v>
      </c>
      <c r="C446" s="2">
        <v>46144</v>
      </c>
    </row>
    <row r="447" spans="1:3" x14ac:dyDescent="0.25">
      <c r="A447" s="1" t="s">
        <v>448</v>
      </c>
      <c r="B447">
        <v>330</v>
      </c>
      <c r="C447" s="2">
        <v>46126</v>
      </c>
    </row>
    <row r="448" spans="1:3" x14ac:dyDescent="0.25">
      <c r="A448" s="1" t="s">
        <v>449</v>
      </c>
      <c r="B448">
        <v>213</v>
      </c>
      <c r="C448" s="2">
        <v>46090</v>
      </c>
    </row>
    <row r="449" spans="1:3" x14ac:dyDescent="0.25">
      <c r="A449" s="1" t="s">
        <v>450</v>
      </c>
      <c r="B449">
        <v>176</v>
      </c>
      <c r="C449" s="2">
        <v>46103</v>
      </c>
    </row>
    <row r="450" spans="1:3" x14ac:dyDescent="0.25">
      <c r="A450" s="1" t="s">
        <v>451</v>
      </c>
      <c r="B450">
        <v>112</v>
      </c>
      <c r="C450" s="2">
        <v>46175</v>
      </c>
    </row>
    <row r="451" spans="1:3" x14ac:dyDescent="0.25">
      <c r="A451" s="1" t="s">
        <v>452</v>
      </c>
      <c r="B451">
        <v>23</v>
      </c>
      <c r="C451" s="2">
        <v>46175</v>
      </c>
    </row>
    <row r="452" spans="1:3" x14ac:dyDescent="0.25">
      <c r="A452" s="1" t="s">
        <v>453</v>
      </c>
      <c r="B452">
        <v>435</v>
      </c>
      <c r="C452" s="2">
        <v>46115</v>
      </c>
    </row>
    <row r="453" spans="1:3" x14ac:dyDescent="0.25">
      <c r="A453" s="1" t="s">
        <v>454</v>
      </c>
      <c r="B453">
        <v>133</v>
      </c>
      <c r="C453" s="2">
        <v>46117</v>
      </c>
    </row>
    <row r="454" spans="1:3" x14ac:dyDescent="0.25">
      <c r="A454" s="1" t="s">
        <v>455</v>
      </c>
      <c r="B454">
        <v>239</v>
      </c>
      <c r="C454" s="2">
        <v>46058</v>
      </c>
    </row>
    <row r="455" spans="1:3" x14ac:dyDescent="0.25">
      <c r="A455" s="1" t="s">
        <v>456</v>
      </c>
      <c r="B455">
        <v>482</v>
      </c>
      <c r="C455" s="2">
        <v>46171</v>
      </c>
    </row>
    <row r="456" spans="1:3" x14ac:dyDescent="0.25">
      <c r="A456" s="1" t="s">
        <v>457</v>
      </c>
      <c r="B456">
        <v>414</v>
      </c>
      <c r="C456" s="2">
        <v>46039</v>
      </c>
    </row>
    <row r="457" spans="1:3" x14ac:dyDescent="0.25">
      <c r="A457" s="1" t="s">
        <v>458</v>
      </c>
      <c r="B457">
        <v>395</v>
      </c>
      <c r="C457" s="2">
        <v>46135</v>
      </c>
    </row>
    <row r="458" spans="1:3" x14ac:dyDescent="0.25">
      <c r="A458" s="1" t="s">
        <v>459</v>
      </c>
      <c r="B458">
        <v>142</v>
      </c>
      <c r="C458" s="2">
        <v>46069</v>
      </c>
    </row>
    <row r="459" spans="1:3" x14ac:dyDescent="0.25">
      <c r="A459" s="1" t="s">
        <v>460</v>
      </c>
      <c r="B459">
        <v>362</v>
      </c>
      <c r="C459" s="2">
        <v>46189</v>
      </c>
    </row>
    <row r="460" spans="1:3" x14ac:dyDescent="0.25">
      <c r="A460" s="1" t="s">
        <v>461</v>
      </c>
      <c r="B460">
        <v>405</v>
      </c>
      <c r="C460" s="2">
        <v>46162</v>
      </c>
    </row>
    <row r="461" spans="1:3" x14ac:dyDescent="0.25">
      <c r="A461" s="1" t="s">
        <v>462</v>
      </c>
      <c r="B461">
        <v>22</v>
      </c>
      <c r="C461" s="2">
        <v>46129</v>
      </c>
    </row>
    <row r="462" spans="1:3" x14ac:dyDescent="0.25">
      <c r="A462" s="1" t="s">
        <v>463</v>
      </c>
      <c r="B462">
        <v>243</v>
      </c>
      <c r="C462" s="2">
        <v>46129</v>
      </c>
    </row>
    <row r="463" spans="1:3" x14ac:dyDescent="0.25">
      <c r="A463" s="1" t="s">
        <v>464</v>
      </c>
      <c r="B463">
        <v>59</v>
      </c>
      <c r="C463" s="2">
        <v>46162</v>
      </c>
    </row>
    <row r="464" spans="1:3" x14ac:dyDescent="0.25">
      <c r="A464" s="1" t="s">
        <v>465</v>
      </c>
      <c r="B464">
        <v>163</v>
      </c>
      <c r="C464" s="2">
        <v>46047</v>
      </c>
    </row>
    <row r="465" spans="1:3" x14ac:dyDescent="0.25">
      <c r="A465" s="1" t="s">
        <v>466</v>
      </c>
      <c r="B465">
        <v>341</v>
      </c>
      <c r="C465" s="2">
        <v>46135</v>
      </c>
    </row>
    <row r="466" spans="1:3" x14ac:dyDescent="0.25">
      <c r="A466" s="1" t="s">
        <v>467</v>
      </c>
      <c r="B466">
        <v>292</v>
      </c>
      <c r="C466" s="2">
        <v>46083</v>
      </c>
    </row>
    <row r="467" spans="1:3" x14ac:dyDescent="0.25">
      <c r="A467" s="1" t="s">
        <v>468</v>
      </c>
      <c r="B467">
        <v>418</v>
      </c>
      <c r="C467" s="2">
        <v>46093</v>
      </c>
    </row>
    <row r="468" spans="1:3" x14ac:dyDescent="0.25">
      <c r="A468" s="1" t="s">
        <v>469</v>
      </c>
      <c r="B468">
        <v>212</v>
      </c>
      <c r="C468" s="2">
        <v>46142</v>
      </c>
    </row>
    <row r="469" spans="1:3" x14ac:dyDescent="0.25">
      <c r="A469" s="1" t="s">
        <v>470</v>
      </c>
      <c r="B469">
        <v>209</v>
      </c>
      <c r="C469" s="2">
        <v>46144</v>
      </c>
    </row>
    <row r="470" spans="1:3" x14ac:dyDescent="0.25">
      <c r="A470" s="1" t="s">
        <v>471</v>
      </c>
      <c r="B470">
        <v>305</v>
      </c>
      <c r="C470" s="2">
        <v>46051</v>
      </c>
    </row>
    <row r="471" spans="1:3" x14ac:dyDescent="0.25">
      <c r="A471" s="1" t="s">
        <v>472</v>
      </c>
      <c r="B471">
        <v>110</v>
      </c>
      <c r="C471" s="2">
        <v>46127</v>
      </c>
    </row>
    <row r="472" spans="1:3" x14ac:dyDescent="0.25">
      <c r="A472" s="1" t="s">
        <v>473</v>
      </c>
      <c r="B472">
        <v>315</v>
      </c>
      <c r="C472" s="2">
        <v>46113</v>
      </c>
    </row>
    <row r="473" spans="1:3" x14ac:dyDescent="0.25">
      <c r="A473" s="1" t="s">
        <v>474</v>
      </c>
      <c r="B473">
        <v>442</v>
      </c>
      <c r="C473" s="2">
        <v>46128</v>
      </c>
    </row>
    <row r="474" spans="1:3" x14ac:dyDescent="0.25">
      <c r="A474" s="1" t="s">
        <v>475</v>
      </c>
      <c r="B474">
        <v>354</v>
      </c>
      <c r="C474" s="2">
        <v>46064</v>
      </c>
    </row>
    <row r="475" spans="1:3" x14ac:dyDescent="0.25">
      <c r="A475" s="1" t="s">
        <v>476</v>
      </c>
      <c r="B475">
        <v>103</v>
      </c>
      <c r="C475" s="2">
        <v>46072</v>
      </c>
    </row>
    <row r="476" spans="1:3" x14ac:dyDescent="0.25">
      <c r="A476" s="1" t="s">
        <v>477</v>
      </c>
      <c r="B476">
        <v>296</v>
      </c>
      <c r="C476" s="2">
        <v>46150</v>
      </c>
    </row>
    <row r="477" spans="1:3" x14ac:dyDescent="0.25">
      <c r="A477" s="1" t="s">
        <v>478</v>
      </c>
      <c r="B477">
        <v>335</v>
      </c>
      <c r="C477" s="2">
        <v>46176</v>
      </c>
    </row>
    <row r="478" spans="1:3" x14ac:dyDescent="0.25">
      <c r="A478" s="1" t="s">
        <v>479</v>
      </c>
      <c r="B478">
        <v>260</v>
      </c>
      <c r="C478" s="2">
        <v>46082</v>
      </c>
    </row>
    <row r="479" spans="1:3" x14ac:dyDescent="0.25">
      <c r="A479" s="1" t="s">
        <v>480</v>
      </c>
      <c r="B479">
        <v>453</v>
      </c>
      <c r="C479" s="2">
        <v>46058</v>
      </c>
    </row>
    <row r="480" spans="1:3" x14ac:dyDescent="0.25">
      <c r="A480" s="1" t="s">
        <v>481</v>
      </c>
      <c r="B480">
        <v>427</v>
      </c>
      <c r="C480" s="2">
        <v>46092</v>
      </c>
    </row>
    <row r="481" spans="1:3" x14ac:dyDescent="0.25">
      <c r="A481" s="1" t="s">
        <v>482</v>
      </c>
      <c r="B481">
        <v>219</v>
      </c>
      <c r="C481" s="2">
        <v>46166</v>
      </c>
    </row>
    <row r="482" spans="1:3" x14ac:dyDescent="0.25">
      <c r="A482" s="1" t="s">
        <v>483</v>
      </c>
      <c r="B482">
        <v>52</v>
      </c>
      <c r="C482" s="2">
        <v>46096</v>
      </c>
    </row>
    <row r="483" spans="1:3" x14ac:dyDescent="0.25">
      <c r="A483" s="1" t="s">
        <v>484</v>
      </c>
      <c r="B483">
        <v>150</v>
      </c>
      <c r="C483" s="2">
        <v>46042</v>
      </c>
    </row>
    <row r="484" spans="1:3" x14ac:dyDescent="0.25">
      <c r="A484" s="1" t="s">
        <v>485</v>
      </c>
      <c r="B484">
        <v>390</v>
      </c>
      <c r="C484" s="2">
        <v>46189</v>
      </c>
    </row>
    <row r="485" spans="1:3" x14ac:dyDescent="0.25">
      <c r="A485" s="1" t="s">
        <v>486</v>
      </c>
      <c r="B485">
        <v>68</v>
      </c>
      <c r="C485" s="2">
        <v>46196</v>
      </c>
    </row>
    <row r="486" spans="1:3" x14ac:dyDescent="0.25">
      <c r="A486" s="1" t="s">
        <v>487</v>
      </c>
      <c r="B486">
        <v>399</v>
      </c>
      <c r="C486" s="2">
        <v>46046</v>
      </c>
    </row>
    <row r="487" spans="1:3" x14ac:dyDescent="0.25">
      <c r="A487" s="1" t="s">
        <v>488</v>
      </c>
      <c r="B487">
        <v>240</v>
      </c>
      <c r="C487" s="2">
        <v>46063</v>
      </c>
    </row>
    <row r="488" spans="1:3" x14ac:dyDescent="0.25">
      <c r="A488" s="1" t="s">
        <v>489</v>
      </c>
      <c r="B488">
        <v>117</v>
      </c>
      <c r="C488" s="2">
        <v>46101</v>
      </c>
    </row>
    <row r="489" spans="1:3" x14ac:dyDescent="0.25">
      <c r="A489" s="1" t="s">
        <v>490</v>
      </c>
      <c r="B489">
        <v>94</v>
      </c>
      <c r="C489" s="2">
        <v>46144</v>
      </c>
    </row>
    <row r="490" spans="1:3" x14ac:dyDescent="0.25">
      <c r="A490" s="1" t="s">
        <v>491</v>
      </c>
      <c r="B490">
        <v>189</v>
      </c>
      <c r="C490" s="2">
        <v>46178</v>
      </c>
    </row>
    <row r="491" spans="1:3" x14ac:dyDescent="0.25">
      <c r="A491" s="1" t="s">
        <v>492</v>
      </c>
      <c r="B491">
        <v>158</v>
      </c>
      <c r="C491" s="2">
        <v>46106</v>
      </c>
    </row>
    <row r="492" spans="1:3" x14ac:dyDescent="0.25">
      <c r="A492" s="1" t="s">
        <v>493</v>
      </c>
      <c r="B492">
        <v>480</v>
      </c>
      <c r="C492" s="2">
        <v>46137</v>
      </c>
    </row>
    <row r="493" spans="1:3" x14ac:dyDescent="0.25">
      <c r="A493" s="1" t="s">
        <v>494</v>
      </c>
      <c r="B493">
        <v>137</v>
      </c>
      <c r="C493" s="2">
        <v>46068</v>
      </c>
    </row>
    <row r="494" spans="1:3" x14ac:dyDescent="0.25">
      <c r="A494" s="1" t="s">
        <v>495</v>
      </c>
      <c r="B494">
        <v>260</v>
      </c>
      <c r="C494" s="2">
        <v>46149</v>
      </c>
    </row>
    <row r="495" spans="1:3" x14ac:dyDescent="0.25">
      <c r="A495" s="1" t="s">
        <v>496</v>
      </c>
      <c r="B495">
        <v>202</v>
      </c>
      <c r="C495" s="2">
        <v>46138</v>
      </c>
    </row>
    <row r="496" spans="1:3" x14ac:dyDescent="0.25">
      <c r="A496" s="1" t="s">
        <v>497</v>
      </c>
      <c r="B496">
        <v>393</v>
      </c>
      <c r="C496" s="2">
        <v>46173</v>
      </c>
    </row>
    <row r="497" spans="1:3" x14ac:dyDescent="0.25">
      <c r="A497" s="1" t="s">
        <v>498</v>
      </c>
      <c r="B497">
        <v>307</v>
      </c>
      <c r="C497" s="2">
        <v>46111</v>
      </c>
    </row>
    <row r="498" spans="1:3" x14ac:dyDescent="0.25">
      <c r="A498" s="1" t="s">
        <v>499</v>
      </c>
      <c r="B498">
        <v>341</v>
      </c>
      <c r="C498" s="2">
        <v>46162</v>
      </c>
    </row>
    <row r="499" spans="1:3" x14ac:dyDescent="0.25">
      <c r="A499" s="1" t="s">
        <v>500</v>
      </c>
      <c r="B499">
        <v>121</v>
      </c>
      <c r="C499" s="2">
        <v>46144</v>
      </c>
    </row>
    <row r="500" spans="1:3" x14ac:dyDescent="0.25">
      <c r="A500" s="1" t="s">
        <v>501</v>
      </c>
      <c r="B500">
        <v>434</v>
      </c>
      <c r="C500" s="2">
        <v>46128</v>
      </c>
    </row>
    <row r="501" spans="1:3" x14ac:dyDescent="0.25">
      <c r="A501" s="1" t="s">
        <v>502</v>
      </c>
      <c r="B501">
        <v>413</v>
      </c>
      <c r="C501" s="2">
        <v>46155</v>
      </c>
    </row>
    <row r="502" spans="1:3" x14ac:dyDescent="0.25">
      <c r="A502" s="1" t="s">
        <v>503</v>
      </c>
      <c r="B502">
        <v>330</v>
      </c>
      <c r="C502" s="2">
        <v>46055</v>
      </c>
    </row>
    <row r="503" spans="1:3" x14ac:dyDescent="0.25">
      <c r="A503" s="1" t="s">
        <v>504</v>
      </c>
      <c r="B503">
        <v>235</v>
      </c>
      <c r="C503" s="2">
        <v>46074</v>
      </c>
    </row>
    <row r="504" spans="1:3" x14ac:dyDescent="0.25">
      <c r="A504" s="1" t="s">
        <v>505</v>
      </c>
      <c r="B504">
        <v>461</v>
      </c>
      <c r="C504" s="2">
        <v>46071</v>
      </c>
    </row>
    <row r="505" spans="1:3" x14ac:dyDescent="0.25">
      <c r="A505" s="1" t="s">
        <v>506</v>
      </c>
      <c r="B505">
        <v>150</v>
      </c>
      <c r="C505" s="2">
        <v>46126</v>
      </c>
    </row>
    <row r="506" spans="1:3" x14ac:dyDescent="0.25">
      <c r="A506" s="1" t="s">
        <v>507</v>
      </c>
      <c r="B506">
        <v>330</v>
      </c>
      <c r="C506" s="2">
        <v>46135</v>
      </c>
    </row>
    <row r="507" spans="1:3" x14ac:dyDescent="0.25">
      <c r="A507" s="1" t="s">
        <v>508</v>
      </c>
      <c r="B507">
        <v>370</v>
      </c>
      <c r="C507" s="2">
        <v>46068</v>
      </c>
    </row>
    <row r="508" spans="1:3" x14ac:dyDescent="0.25">
      <c r="A508" s="1" t="s">
        <v>509</v>
      </c>
      <c r="B508">
        <v>313</v>
      </c>
      <c r="C508" s="2">
        <v>46077</v>
      </c>
    </row>
    <row r="509" spans="1:3" x14ac:dyDescent="0.25">
      <c r="A509" s="1" t="s">
        <v>510</v>
      </c>
      <c r="B509">
        <v>366</v>
      </c>
      <c r="C509" s="2">
        <v>46044</v>
      </c>
    </row>
    <row r="510" spans="1:3" x14ac:dyDescent="0.25">
      <c r="A510" s="1" t="s">
        <v>511</v>
      </c>
      <c r="B510">
        <v>62</v>
      </c>
      <c r="C510" s="2">
        <v>46059</v>
      </c>
    </row>
    <row r="511" spans="1:3" x14ac:dyDescent="0.25">
      <c r="A511" s="1" t="s">
        <v>512</v>
      </c>
      <c r="B511">
        <v>338</v>
      </c>
      <c r="C511" s="2">
        <v>46065</v>
      </c>
    </row>
    <row r="512" spans="1:3" x14ac:dyDescent="0.25">
      <c r="A512" s="1" t="s">
        <v>513</v>
      </c>
      <c r="B512">
        <v>14</v>
      </c>
      <c r="C512" s="2">
        <v>46186</v>
      </c>
    </row>
    <row r="513" spans="1:3" x14ac:dyDescent="0.25">
      <c r="A513" s="1" t="s">
        <v>514</v>
      </c>
      <c r="B513">
        <v>331</v>
      </c>
      <c r="C513" s="2">
        <v>46094</v>
      </c>
    </row>
    <row r="514" spans="1:3" x14ac:dyDescent="0.25">
      <c r="A514" s="1" t="s">
        <v>515</v>
      </c>
      <c r="B514">
        <v>469</v>
      </c>
      <c r="C514" s="2">
        <v>46052</v>
      </c>
    </row>
    <row r="515" spans="1:3" x14ac:dyDescent="0.25">
      <c r="A515" s="1" t="s">
        <v>516</v>
      </c>
      <c r="B515">
        <v>189</v>
      </c>
      <c r="C515" s="2">
        <v>46131</v>
      </c>
    </row>
    <row r="516" spans="1:3" x14ac:dyDescent="0.25">
      <c r="A516" s="1" t="s">
        <v>517</v>
      </c>
      <c r="B516">
        <v>354</v>
      </c>
      <c r="C516" s="2">
        <v>46105</v>
      </c>
    </row>
    <row r="517" spans="1:3" x14ac:dyDescent="0.25">
      <c r="A517" s="1" t="s">
        <v>518</v>
      </c>
      <c r="B517">
        <v>106</v>
      </c>
      <c r="C517" s="2">
        <v>46172</v>
      </c>
    </row>
    <row r="518" spans="1:3" x14ac:dyDescent="0.25">
      <c r="A518" s="1" t="s">
        <v>519</v>
      </c>
      <c r="B518">
        <v>190</v>
      </c>
      <c r="C518" s="2">
        <v>46045</v>
      </c>
    </row>
    <row r="519" spans="1:3" x14ac:dyDescent="0.25">
      <c r="A519" s="1" t="s">
        <v>520</v>
      </c>
      <c r="B519">
        <v>197</v>
      </c>
      <c r="C519" s="2">
        <v>46159</v>
      </c>
    </row>
    <row r="520" spans="1:3" x14ac:dyDescent="0.25">
      <c r="A520" s="1" t="s">
        <v>521</v>
      </c>
      <c r="B520">
        <v>310</v>
      </c>
      <c r="C520" s="2">
        <v>46040</v>
      </c>
    </row>
    <row r="521" spans="1:3" x14ac:dyDescent="0.25">
      <c r="A521" s="1" t="s">
        <v>522</v>
      </c>
      <c r="B521">
        <v>495</v>
      </c>
      <c r="C521" s="2">
        <v>46054</v>
      </c>
    </row>
    <row r="522" spans="1:3" x14ac:dyDescent="0.25">
      <c r="A522" s="1" t="s">
        <v>523</v>
      </c>
      <c r="B522">
        <v>402</v>
      </c>
      <c r="C522" s="2">
        <v>46170</v>
      </c>
    </row>
    <row r="523" spans="1:3" x14ac:dyDescent="0.25">
      <c r="A523" s="1" t="s">
        <v>524</v>
      </c>
      <c r="B523">
        <v>285</v>
      </c>
      <c r="C523" s="2">
        <v>46167</v>
      </c>
    </row>
    <row r="524" spans="1:3" x14ac:dyDescent="0.25">
      <c r="A524" s="1" t="s">
        <v>525</v>
      </c>
      <c r="B524">
        <v>264</v>
      </c>
      <c r="C524" s="2">
        <v>46060</v>
      </c>
    </row>
    <row r="525" spans="1:3" x14ac:dyDescent="0.25">
      <c r="A525" s="1" t="s">
        <v>526</v>
      </c>
      <c r="B525">
        <v>334</v>
      </c>
      <c r="C525" s="2">
        <v>46179</v>
      </c>
    </row>
    <row r="526" spans="1:3" x14ac:dyDescent="0.25">
      <c r="A526" s="1" t="s">
        <v>527</v>
      </c>
      <c r="B526">
        <v>383</v>
      </c>
      <c r="C526" s="2">
        <v>46140</v>
      </c>
    </row>
    <row r="527" spans="1:3" x14ac:dyDescent="0.25">
      <c r="A527" s="1" t="s">
        <v>528</v>
      </c>
      <c r="B527">
        <v>483</v>
      </c>
      <c r="C527" s="2">
        <v>46066</v>
      </c>
    </row>
    <row r="528" spans="1:3" x14ac:dyDescent="0.25">
      <c r="A528" s="1" t="s">
        <v>529</v>
      </c>
      <c r="B528">
        <v>71</v>
      </c>
      <c r="C528" s="2">
        <v>46071</v>
      </c>
    </row>
    <row r="529" spans="1:3" x14ac:dyDescent="0.25">
      <c r="A529" s="1" t="s">
        <v>530</v>
      </c>
      <c r="B529">
        <v>497</v>
      </c>
      <c r="C529" s="2">
        <v>46183</v>
      </c>
    </row>
    <row r="530" spans="1:3" x14ac:dyDescent="0.25">
      <c r="A530" s="1" t="s">
        <v>531</v>
      </c>
      <c r="B530">
        <v>74</v>
      </c>
      <c r="C530" s="2">
        <v>46128</v>
      </c>
    </row>
    <row r="531" spans="1:3" x14ac:dyDescent="0.25">
      <c r="A531" s="1" t="s">
        <v>532</v>
      </c>
      <c r="B531">
        <v>423</v>
      </c>
      <c r="C531" s="2">
        <v>46114</v>
      </c>
    </row>
    <row r="532" spans="1:3" x14ac:dyDescent="0.25">
      <c r="A532" s="1" t="s">
        <v>533</v>
      </c>
      <c r="B532">
        <v>331</v>
      </c>
      <c r="C532" s="2">
        <v>46190</v>
      </c>
    </row>
    <row r="533" spans="1:3" x14ac:dyDescent="0.25">
      <c r="A533" s="1" t="s">
        <v>534</v>
      </c>
      <c r="B533">
        <v>265</v>
      </c>
      <c r="C533" s="2">
        <v>46053</v>
      </c>
    </row>
    <row r="534" spans="1:3" x14ac:dyDescent="0.25">
      <c r="A534" s="1" t="s">
        <v>535</v>
      </c>
      <c r="B534">
        <v>405</v>
      </c>
      <c r="C534" s="2">
        <v>46094</v>
      </c>
    </row>
    <row r="535" spans="1:3" x14ac:dyDescent="0.25">
      <c r="A535" s="1" t="s">
        <v>536</v>
      </c>
      <c r="B535">
        <v>11</v>
      </c>
      <c r="C535" s="2">
        <v>46182</v>
      </c>
    </row>
    <row r="536" spans="1:3" x14ac:dyDescent="0.25">
      <c r="A536" s="1" t="s">
        <v>537</v>
      </c>
      <c r="B536">
        <v>196</v>
      </c>
      <c r="C536" s="2">
        <v>46164</v>
      </c>
    </row>
    <row r="537" spans="1:3" x14ac:dyDescent="0.25">
      <c r="A537" s="1" t="s">
        <v>538</v>
      </c>
      <c r="B537">
        <v>421</v>
      </c>
      <c r="C537" s="2">
        <v>46200</v>
      </c>
    </row>
    <row r="538" spans="1:3" x14ac:dyDescent="0.25">
      <c r="A538" s="1" t="s">
        <v>539</v>
      </c>
      <c r="B538">
        <v>137</v>
      </c>
      <c r="C538" s="2">
        <v>46122</v>
      </c>
    </row>
    <row r="539" spans="1:3" x14ac:dyDescent="0.25">
      <c r="A539" s="1" t="s">
        <v>540</v>
      </c>
      <c r="B539">
        <v>302</v>
      </c>
      <c r="C539" s="2">
        <v>46049</v>
      </c>
    </row>
    <row r="540" spans="1:3" x14ac:dyDescent="0.25">
      <c r="A540" s="1" t="s">
        <v>541</v>
      </c>
      <c r="B540">
        <v>421</v>
      </c>
      <c r="C540" s="2">
        <v>46098</v>
      </c>
    </row>
    <row r="541" spans="1:3" x14ac:dyDescent="0.25">
      <c r="A541" s="1" t="s">
        <v>542</v>
      </c>
      <c r="B541">
        <v>453</v>
      </c>
      <c r="C541" s="2">
        <v>46155</v>
      </c>
    </row>
    <row r="542" spans="1:3" x14ac:dyDescent="0.25">
      <c r="A542" s="1" t="s">
        <v>543</v>
      </c>
      <c r="B542">
        <v>243</v>
      </c>
      <c r="C542" s="2">
        <v>46184</v>
      </c>
    </row>
    <row r="543" spans="1:3" x14ac:dyDescent="0.25">
      <c r="A543" s="1" t="s">
        <v>544</v>
      </c>
      <c r="B543">
        <v>388</v>
      </c>
      <c r="C543" s="2">
        <v>46114</v>
      </c>
    </row>
    <row r="544" spans="1:3" x14ac:dyDescent="0.25">
      <c r="A544" s="1" t="s">
        <v>545</v>
      </c>
      <c r="B544">
        <v>405</v>
      </c>
      <c r="C544" s="2">
        <v>46160</v>
      </c>
    </row>
    <row r="545" spans="1:3" x14ac:dyDescent="0.25">
      <c r="A545" s="1" t="s">
        <v>546</v>
      </c>
      <c r="B545">
        <v>487</v>
      </c>
      <c r="C545" s="2">
        <v>46042</v>
      </c>
    </row>
    <row r="546" spans="1:3" x14ac:dyDescent="0.25">
      <c r="A546" s="1" t="s">
        <v>547</v>
      </c>
      <c r="B546">
        <v>496</v>
      </c>
      <c r="C546" s="2">
        <v>46043</v>
      </c>
    </row>
    <row r="547" spans="1:3" x14ac:dyDescent="0.25">
      <c r="A547" s="1" t="s">
        <v>548</v>
      </c>
      <c r="B547">
        <v>63</v>
      </c>
      <c r="C547" s="2">
        <v>46121</v>
      </c>
    </row>
    <row r="548" spans="1:3" x14ac:dyDescent="0.25">
      <c r="A548" s="1" t="s">
        <v>549</v>
      </c>
      <c r="B548">
        <v>86</v>
      </c>
      <c r="C548" s="2">
        <v>46045</v>
      </c>
    </row>
    <row r="549" spans="1:3" x14ac:dyDescent="0.25">
      <c r="A549" s="1" t="s">
        <v>550</v>
      </c>
      <c r="B549">
        <v>221</v>
      </c>
      <c r="C549" s="2">
        <v>46189</v>
      </c>
    </row>
    <row r="550" spans="1:3" x14ac:dyDescent="0.25">
      <c r="A550" s="1" t="s">
        <v>551</v>
      </c>
      <c r="B550">
        <v>307</v>
      </c>
      <c r="C550" s="2">
        <v>46078</v>
      </c>
    </row>
    <row r="551" spans="1:3" x14ac:dyDescent="0.25">
      <c r="A551" s="1" t="s">
        <v>552</v>
      </c>
      <c r="B551">
        <v>41</v>
      </c>
      <c r="C551" s="2">
        <v>46181</v>
      </c>
    </row>
    <row r="552" spans="1:3" x14ac:dyDescent="0.25">
      <c r="A552" s="1" t="s">
        <v>553</v>
      </c>
      <c r="B552">
        <v>445</v>
      </c>
      <c r="C552" s="2">
        <v>46105</v>
      </c>
    </row>
    <row r="553" spans="1:3" x14ac:dyDescent="0.25">
      <c r="A553" s="1" t="s">
        <v>554</v>
      </c>
      <c r="B553">
        <v>165</v>
      </c>
      <c r="C553" s="2">
        <v>46149</v>
      </c>
    </row>
    <row r="554" spans="1:3" x14ac:dyDescent="0.25">
      <c r="A554" s="1" t="s">
        <v>555</v>
      </c>
      <c r="B554">
        <v>89</v>
      </c>
      <c r="C554" s="2">
        <v>46069</v>
      </c>
    </row>
    <row r="555" spans="1:3" x14ac:dyDescent="0.25">
      <c r="A555" s="1" t="s">
        <v>556</v>
      </c>
      <c r="B555">
        <v>433</v>
      </c>
      <c r="C555" s="2">
        <v>46121</v>
      </c>
    </row>
    <row r="556" spans="1:3" x14ac:dyDescent="0.25">
      <c r="A556" s="1" t="s">
        <v>557</v>
      </c>
      <c r="B556">
        <v>85</v>
      </c>
      <c r="C556" s="2">
        <v>46122</v>
      </c>
    </row>
    <row r="557" spans="1:3" x14ac:dyDescent="0.25">
      <c r="A557" s="1" t="s">
        <v>558</v>
      </c>
      <c r="B557">
        <v>447</v>
      </c>
      <c r="C557" s="2">
        <v>46138</v>
      </c>
    </row>
    <row r="558" spans="1:3" x14ac:dyDescent="0.25">
      <c r="A558" s="1" t="s">
        <v>559</v>
      </c>
      <c r="B558">
        <v>66</v>
      </c>
      <c r="C558" s="2">
        <v>46149</v>
      </c>
    </row>
    <row r="559" spans="1:3" x14ac:dyDescent="0.25">
      <c r="A559" s="1" t="s">
        <v>560</v>
      </c>
      <c r="B559">
        <v>454</v>
      </c>
      <c r="C559" s="2">
        <v>46049</v>
      </c>
    </row>
    <row r="560" spans="1:3" x14ac:dyDescent="0.25">
      <c r="A560" s="1" t="s">
        <v>561</v>
      </c>
      <c r="B560">
        <v>200</v>
      </c>
      <c r="C560" s="2">
        <v>46147</v>
      </c>
    </row>
    <row r="561" spans="1:3" x14ac:dyDescent="0.25">
      <c r="A561" s="1" t="s">
        <v>562</v>
      </c>
      <c r="B561">
        <v>142</v>
      </c>
      <c r="C561" s="2">
        <v>46198</v>
      </c>
    </row>
    <row r="562" spans="1:3" x14ac:dyDescent="0.25">
      <c r="A562" s="1" t="s">
        <v>563</v>
      </c>
      <c r="B562">
        <v>472</v>
      </c>
      <c r="C562" s="2">
        <v>46080</v>
      </c>
    </row>
    <row r="563" spans="1:3" x14ac:dyDescent="0.25">
      <c r="A563" s="1" t="s">
        <v>564</v>
      </c>
      <c r="B563">
        <v>31</v>
      </c>
      <c r="C563" s="2">
        <v>46063</v>
      </c>
    </row>
    <row r="564" spans="1:3" x14ac:dyDescent="0.25">
      <c r="A564" s="1" t="s">
        <v>565</v>
      </c>
      <c r="B564">
        <v>430</v>
      </c>
      <c r="C564" s="2">
        <v>46139</v>
      </c>
    </row>
    <row r="565" spans="1:3" x14ac:dyDescent="0.25">
      <c r="A565" s="1" t="s">
        <v>566</v>
      </c>
      <c r="B565">
        <v>88</v>
      </c>
      <c r="C565" s="2">
        <v>46162</v>
      </c>
    </row>
    <row r="566" spans="1:3" x14ac:dyDescent="0.25">
      <c r="A566" s="1" t="s">
        <v>567</v>
      </c>
      <c r="B566">
        <v>462</v>
      </c>
      <c r="C566" s="2">
        <v>46147</v>
      </c>
    </row>
    <row r="567" spans="1:3" x14ac:dyDescent="0.25">
      <c r="A567" s="1" t="s">
        <v>568</v>
      </c>
      <c r="B567">
        <v>265</v>
      </c>
      <c r="C567" s="2">
        <v>46138</v>
      </c>
    </row>
    <row r="568" spans="1:3" x14ac:dyDescent="0.25">
      <c r="A568" s="1" t="s">
        <v>569</v>
      </c>
      <c r="B568">
        <v>153</v>
      </c>
      <c r="C568" s="2">
        <v>46054</v>
      </c>
    </row>
    <row r="569" spans="1:3" x14ac:dyDescent="0.25">
      <c r="A569" s="1" t="s">
        <v>570</v>
      </c>
      <c r="B569">
        <v>137</v>
      </c>
      <c r="C569" s="2">
        <v>46163</v>
      </c>
    </row>
    <row r="570" spans="1:3" x14ac:dyDescent="0.25">
      <c r="A570" s="1" t="s">
        <v>571</v>
      </c>
      <c r="B570">
        <v>255</v>
      </c>
      <c r="C570" s="2">
        <v>46130</v>
      </c>
    </row>
    <row r="571" spans="1:3" x14ac:dyDescent="0.25">
      <c r="A571" s="1" t="s">
        <v>572</v>
      </c>
      <c r="B571">
        <v>174</v>
      </c>
      <c r="C571" s="2">
        <v>46155</v>
      </c>
    </row>
    <row r="572" spans="1:3" x14ac:dyDescent="0.25">
      <c r="A572" s="1" t="s">
        <v>573</v>
      </c>
      <c r="B572">
        <v>25</v>
      </c>
      <c r="C572" s="2">
        <v>46091</v>
      </c>
    </row>
    <row r="573" spans="1:3" x14ac:dyDescent="0.25">
      <c r="A573" s="1" t="s">
        <v>574</v>
      </c>
      <c r="B573">
        <v>281</v>
      </c>
      <c r="C573" s="2">
        <v>46156</v>
      </c>
    </row>
    <row r="574" spans="1:3" x14ac:dyDescent="0.25">
      <c r="A574" s="1" t="s">
        <v>575</v>
      </c>
      <c r="B574">
        <v>136</v>
      </c>
      <c r="C574" s="2">
        <v>46055</v>
      </c>
    </row>
    <row r="575" spans="1:3" x14ac:dyDescent="0.25">
      <c r="A575" s="1" t="s">
        <v>576</v>
      </c>
      <c r="B575">
        <v>431</v>
      </c>
      <c r="C575" s="2">
        <v>46195</v>
      </c>
    </row>
    <row r="576" spans="1:3" x14ac:dyDescent="0.25">
      <c r="A576" s="1" t="s">
        <v>577</v>
      </c>
      <c r="B576">
        <v>131</v>
      </c>
      <c r="C576" s="2">
        <v>46085</v>
      </c>
    </row>
    <row r="577" spans="1:3" x14ac:dyDescent="0.25">
      <c r="A577" s="1" t="s">
        <v>578</v>
      </c>
      <c r="B577">
        <v>370</v>
      </c>
      <c r="C577" s="2">
        <v>46038</v>
      </c>
    </row>
    <row r="578" spans="1:3" x14ac:dyDescent="0.25">
      <c r="A578" s="1" t="s">
        <v>579</v>
      </c>
      <c r="B578">
        <v>438</v>
      </c>
      <c r="C578" s="2">
        <v>46084</v>
      </c>
    </row>
    <row r="579" spans="1:3" x14ac:dyDescent="0.25">
      <c r="A579" s="1" t="s">
        <v>580</v>
      </c>
      <c r="B579">
        <v>29</v>
      </c>
      <c r="C579" s="2">
        <v>46165</v>
      </c>
    </row>
    <row r="580" spans="1:3" x14ac:dyDescent="0.25">
      <c r="A580" s="1" t="s">
        <v>581</v>
      </c>
      <c r="B580">
        <v>254</v>
      </c>
      <c r="C580" s="2">
        <v>46169</v>
      </c>
    </row>
    <row r="581" spans="1:3" x14ac:dyDescent="0.25">
      <c r="A581" s="1" t="s">
        <v>582</v>
      </c>
      <c r="B581">
        <v>377</v>
      </c>
      <c r="C581" s="2">
        <v>46114</v>
      </c>
    </row>
    <row r="582" spans="1:3" x14ac:dyDescent="0.25">
      <c r="A582" s="1" t="s">
        <v>583</v>
      </c>
      <c r="B582">
        <v>328</v>
      </c>
      <c r="C582" s="2">
        <v>46067</v>
      </c>
    </row>
    <row r="583" spans="1:3" x14ac:dyDescent="0.25">
      <c r="A583" s="1" t="s">
        <v>584</v>
      </c>
      <c r="B583">
        <v>182</v>
      </c>
      <c r="C583" s="2">
        <v>46056</v>
      </c>
    </row>
    <row r="584" spans="1:3" x14ac:dyDescent="0.25">
      <c r="A584" s="1" t="s">
        <v>585</v>
      </c>
      <c r="B584">
        <v>415</v>
      </c>
      <c r="C584" s="2">
        <v>46147</v>
      </c>
    </row>
    <row r="585" spans="1:3" x14ac:dyDescent="0.25">
      <c r="A585" s="1" t="s">
        <v>586</v>
      </c>
      <c r="B585">
        <v>365</v>
      </c>
      <c r="C585" s="2">
        <v>46180</v>
      </c>
    </row>
    <row r="586" spans="1:3" x14ac:dyDescent="0.25">
      <c r="A586" s="1" t="s">
        <v>587</v>
      </c>
      <c r="B586">
        <v>427</v>
      </c>
      <c r="C586" s="2">
        <v>46195</v>
      </c>
    </row>
    <row r="587" spans="1:3" x14ac:dyDescent="0.25">
      <c r="A587" s="1" t="s">
        <v>588</v>
      </c>
      <c r="B587">
        <v>383</v>
      </c>
      <c r="C587" s="2">
        <v>46087</v>
      </c>
    </row>
    <row r="588" spans="1:3" x14ac:dyDescent="0.25">
      <c r="A588" s="1" t="s">
        <v>589</v>
      </c>
      <c r="B588">
        <v>103</v>
      </c>
      <c r="C588" s="2">
        <v>46041</v>
      </c>
    </row>
    <row r="589" spans="1:3" x14ac:dyDescent="0.25">
      <c r="A589" s="1" t="s">
        <v>590</v>
      </c>
      <c r="B589">
        <v>63</v>
      </c>
      <c r="C589" s="2">
        <v>46183</v>
      </c>
    </row>
    <row r="590" spans="1:3" x14ac:dyDescent="0.25">
      <c r="A590" s="1" t="s">
        <v>591</v>
      </c>
      <c r="B590">
        <v>131</v>
      </c>
      <c r="C590" s="2">
        <v>46062</v>
      </c>
    </row>
    <row r="591" spans="1:3" x14ac:dyDescent="0.25">
      <c r="A591" s="1" t="s">
        <v>592</v>
      </c>
      <c r="B591">
        <v>430</v>
      </c>
      <c r="C591" s="2">
        <v>46061</v>
      </c>
    </row>
    <row r="592" spans="1:3" x14ac:dyDescent="0.25">
      <c r="A592" s="1" t="s">
        <v>593</v>
      </c>
      <c r="B592">
        <v>145</v>
      </c>
      <c r="C592" s="2">
        <v>46032</v>
      </c>
    </row>
    <row r="593" spans="1:3" x14ac:dyDescent="0.25">
      <c r="A593" s="1" t="s">
        <v>594</v>
      </c>
      <c r="B593">
        <v>412</v>
      </c>
      <c r="C593" s="2">
        <v>46095</v>
      </c>
    </row>
    <row r="594" spans="1:3" x14ac:dyDescent="0.25">
      <c r="A594" s="1" t="s">
        <v>595</v>
      </c>
      <c r="B594">
        <v>385</v>
      </c>
      <c r="C594" s="2">
        <v>46152</v>
      </c>
    </row>
    <row r="595" spans="1:3" x14ac:dyDescent="0.25">
      <c r="A595" s="1" t="s">
        <v>596</v>
      </c>
      <c r="B595">
        <v>189</v>
      </c>
      <c r="C595" s="2">
        <v>46137</v>
      </c>
    </row>
    <row r="596" spans="1:3" x14ac:dyDescent="0.25">
      <c r="A596" s="1" t="s">
        <v>597</v>
      </c>
      <c r="B596">
        <v>85</v>
      </c>
      <c r="C596" s="2">
        <v>46094</v>
      </c>
    </row>
    <row r="597" spans="1:3" x14ac:dyDescent="0.25">
      <c r="A597" s="1" t="s">
        <v>598</v>
      </c>
      <c r="B597">
        <v>143</v>
      </c>
      <c r="C597" s="2">
        <v>46119</v>
      </c>
    </row>
    <row r="598" spans="1:3" x14ac:dyDescent="0.25">
      <c r="A598" s="1" t="s">
        <v>599</v>
      </c>
      <c r="B598">
        <v>92</v>
      </c>
      <c r="C598" s="2">
        <v>46125</v>
      </c>
    </row>
    <row r="599" spans="1:3" x14ac:dyDescent="0.25">
      <c r="A599" s="1" t="s">
        <v>600</v>
      </c>
      <c r="B599">
        <v>370</v>
      </c>
      <c r="C599" s="2">
        <v>46157</v>
      </c>
    </row>
    <row r="600" spans="1:3" x14ac:dyDescent="0.25">
      <c r="A600" s="1" t="s">
        <v>601</v>
      </c>
      <c r="B600">
        <v>90</v>
      </c>
      <c r="C600" s="2">
        <v>46144</v>
      </c>
    </row>
    <row r="601" spans="1:3" x14ac:dyDescent="0.25">
      <c r="A601" s="1" t="s">
        <v>602</v>
      </c>
      <c r="B601">
        <v>366</v>
      </c>
      <c r="C601" s="2">
        <v>46141</v>
      </c>
    </row>
    <row r="602" spans="1:3" x14ac:dyDescent="0.25">
      <c r="A602" s="1" t="s">
        <v>603</v>
      </c>
      <c r="B602">
        <v>162</v>
      </c>
      <c r="C602" s="2">
        <v>46113</v>
      </c>
    </row>
    <row r="603" spans="1:3" x14ac:dyDescent="0.25">
      <c r="A603" s="1" t="s">
        <v>604</v>
      </c>
      <c r="B603">
        <v>440</v>
      </c>
      <c r="C603" s="2">
        <v>46180</v>
      </c>
    </row>
    <row r="604" spans="1:3" x14ac:dyDescent="0.25">
      <c r="A604" s="1" t="s">
        <v>605</v>
      </c>
      <c r="B604">
        <v>54</v>
      </c>
      <c r="C604" s="2">
        <v>46153</v>
      </c>
    </row>
    <row r="605" spans="1:3" x14ac:dyDescent="0.25">
      <c r="A605" s="1" t="s">
        <v>606</v>
      </c>
      <c r="B605">
        <v>23</v>
      </c>
      <c r="C605" s="2">
        <v>46061</v>
      </c>
    </row>
    <row r="606" spans="1:3" x14ac:dyDescent="0.25">
      <c r="A606" s="1" t="s">
        <v>607</v>
      </c>
      <c r="B606">
        <v>442</v>
      </c>
      <c r="C606" s="2">
        <v>46166</v>
      </c>
    </row>
    <row r="607" spans="1:3" x14ac:dyDescent="0.25">
      <c r="A607" s="1" t="s">
        <v>608</v>
      </c>
      <c r="B607">
        <v>50</v>
      </c>
      <c r="C607" s="2">
        <v>46101</v>
      </c>
    </row>
    <row r="608" spans="1:3" x14ac:dyDescent="0.25">
      <c r="A608" s="1" t="s">
        <v>609</v>
      </c>
      <c r="B608">
        <v>199</v>
      </c>
      <c r="C608" s="2">
        <v>46133</v>
      </c>
    </row>
    <row r="609" spans="1:3" x14ac:dyDescent="0.25">
      <c r="A609" s="1" t="s">
        <v>610</v>
      </c>
      <c r="B609">
        <v>144</v>
      </c>
      <c r="C609" s="2">
        <v>46150</v>
      </c>
    </row>
    <row r="610" spans="1:3" x14ac:dyDescent="0.25">
      <c r="A610" s="1" t="s">
        <v>611</v>
      </c>
      <c r="B610">
        <v>53</v>
      </c>
      <c r="C610" s="2">
        <v>46064</v>
      </c>
    </row>
    <row r="611" spans="1:3" x14ac:dyDescent="0.25">
      <c r="A611" s="1" t="s">
        <v>612</v>
      </c>
      <c r="B611">
        <v>293</v>
      </c>
      <c r="C611" s="2">
        <v>46102</v>
      </c>
    </row>
    <row r="612" spans="1:3" x14ac:dyDescent="0.25">
      <c r="A612" s="1" t="s">
        <v>613</v>
      </c>
      <c r="B612">
        <v>361</v>
      </c>
      <c r="C612" s="2">
        <v>46171</v>
      </c>
    </row>
    <row r="613" spans="1:3" x14ac:dyDescent="0.25">
      <c r="A613" s="1" t="s">
        <v>614</v>
      </c>
      <c r="B613">
        <v>50</v>
      </c>
      <c r="C613" s="2">
        <v>46121</v>
      </c>
    </row>
    <row r="614" spans="1:3" x14ac:dyDescent="0.25">
      <c r="A614" s="1" t="s">
        <v>615</v>
      </c>
      <c r="B614">
        <v>471</v>
      </c>
      <c r="C614" s="2">
        <v>46180</v>
      </c>
    </row>
    <row r="615" spans="1:3" x14ac:dyDescent="0.25">
      <c r="A615" s="1" t="s">
        <v>616</v>
      </c>
      <c r="B615">
        <v>98</v>
      </c>
      <c r="C615" s="2">
        <v>46150</v>
      </c>
    </row>
    <row r="616" spans="1:3" x14ac:dyDescent="0.25">
      <c r="A616" s="1" t="s">
        <v>617</v>
      </c>
      <c r="B616">
        <v>31</v>
      </c>
      <c r="C616" s="2">
        <v>46072</v>
      </c>
    </row>
    <row r="617" spans="1:3" x14ac:dyDescent="0.25">
      <c r="A617" s="1" t="s">
        <v>618</v>
      </c>
      <c r="B617">
        <v>457</v>
      </c>
      <c r="C617" s="2">
        <v>46083</v>
      </c>
    </row>
    <row r="618" spans="1:3" x14ac:dyDescent="0.25">
      <c r="A618" s="1" t="s">
        <v>619</v>
      </c>
      <c r="B618">
        <v>294</v>
      </c>
      <c r="C618" s="2">
        <v>46133</v>
      </c>
    </row>
    <row r="619" spans="1:3" x14ac:dyDescent="0.25">
      <c r="A619" s="1" t="s">
        <v>620</v>
      </c>
      <c r="B619">
        <v>479</v>
      </c>
      <c r="C619" s="2">
        <v>46162</v>
      </c>
    </row>
    <row r="620" spans="1:3" x14ac:dyDescent="0.25">
      <c r="A620" s="1" t="s">
        <v>621</v>
      </c>
      <c r="B620">
        <v>222</v>
      </c>
      <c r="C620" s="2">
        <v>46058</v>
      </c>
    </row>
    <row r="621" spans="1:3" x14ac:dyDescent="0.25">
      <c r="A621" s="1" t="s">
        <v>622</v>
      </c>
      <c r="B621">
        <v>409</v>
      </c>
      <c r="C621" s="2">
        <v>46183</v>
      </c>
    </row>
    <row r="622" spans="1:3" x14ac:dyDescent="0.25">
      <c r="A622" s="1" t="s">
        <v>623</v>
      </c>
      <c r="B622">
        <v>206</v>
      </c>
      <c r="C622" s="2">
        <v>46109</v>
      </c>
    </row>
    <row r="623" spans="1:3" x14ac:dyDescent="0.25">
      <c r="A623" s="1" t="s">
        <v>624</v>
      </c>
      <c r="B623">
        <v>151</v>
      </c>
      <c r="C623" s="2">
        <v>46083</v>
      </c>
    </row>
    <row r="624" spans="1:3" x14ac:dyDescent="0.25">
      <c r="A624" s="1" t="s">
        <v>625</v>
      </c>
      <c r="B624">
        <v>465</v>
      </c>
      <c r="C624" s="2">
        <v>46136</v>
      </c>
    </row>
    <row r="625" spans="1:3" x14ac:dyDescent="0.25">
      <c r="A625" s="1" t="s">
        <v>626</v>
      </c>
      <c r="B625">
        <v>481</v>
      </c>
      <c r="C625" s="2">
        <v>46148</v>
      </c>
    </row>
    <row r="626" spans="1:3" x14ac:dyDescent="0.25">
      <c r="A626" s="1" t="s">
        <v>627</v>
      </c>
      <c r="B626">
        <v>169</v>
      </c>
      <c r="C626" s="2">
        <v>46106</v>
      </c>
    </row>
    <row r="627" spans="1:3" x14ac:dyDescent="0.25">
      <c r="A627" s="1" t="s">
        <v>628</v>
      </c>
      <c r="B627">
        <v>163</v>
      </c>
      <c r="C627" s="2">
        <v>46073</v>
      </c>
    </row>
    <row r="628" spans="1:3" x14ac:dyDescent="0.25">
      <c r="A628" s="1" t="s">
        <v>629</v>
      </c>
      <c r="B628">
        <v>319</v>
      </c>
      <c r="C628" s="2">
        <v>46150</v>
      </c>
    </row>
    <row r="629" spans="1:3" x14ac:dyDescent="0.25">
      <c r="A629" s="1" t="s">
        <v>630</v>
      </c>
      <c r="B629">
        <v>397</v>
      </c>
      <c r="C629" s="2">
        <v>46144</v>
      </c>
    </row>
    <row r="630" spans="1:3" x14ac:dyDescent="0.25">
      <c r="A630" s="1" t="s">
        <v>631</v>
      </c>
      <c r="B630">
        <v>415</v>
      </c>
      <c r="C630" s="2">
        <v>46177</v>
      </c>
    </row>
    <row r="631" spans="1:3" x14ac:dyDescent="0.25">
      <c r="A631" s="1" t="s">
        <v>632</v>
      </c>
      <c r="B631">
        <v>419</v>
      </c>
      <c r="C631" s="2">
        <v>46063</v>
      </c>
    </row>
    <row r="632" spans="1:3" x14ac:dyDescent="0.25">
      <c r="A632" s="1" t="s">
        <v>633</v>
      </c>
      <c r="B632">
        <v>458</v>
      </c>
      <c r="C632" s="2">
        <v>46082</v>
      </c>
    </row>
    <row r="633" spans="1:3" x14ac:dyDescent="0.25">
      <c r="A633" s="1" t="s">
        <v>634</v>
      </c>
      <c r="B633">
        <v>35</v>
      </c>
      <c r="C633" s="2">
        <v>46150</v>
      </c>
    </row>
    <row r="634" spans="1:3" x14ac:dyDescent="0.25">
      <c r="A634" s="1" t="s">
        <v>635</v>
      </c>
      <c r="B634">
        <v>431</v>
      </c>
      <c r="C634" s="2">
        <v>46127</v>
      </c>
    </row>
    <row r="635" spans="1:3" x14ac:dyDescent="0.25">
      <c r="A635" s="1" t="s">
        <v>636</v>
      </c>
      <c r="B635">
        <v>133</v>
      </c>
      <c r="C635" s="2">
        <v>46048</v>
      </c>
    </row>
    <row r="636" spans="1:3" x14ac:dyDescent="0.25">
      <c r="A636" s="1" t="s">
        <v>637</v>
      </c>
      <c r="B636">
        <v>310</v>
      </c>
      <c r="C636" s="2">
        <v>46154</v>
      </c>
    </row>
    <row r="637" spans="1:3" x14ac:dyDescent="0.25">
      <c r="A637" s="1" t="s">
        <v>638</v>
      </c>
      <c r="B637">
        <v>155</v>
      </c>
      <c r="C637" s="2">
        <v>46058</v>
      </c>
    </row>
    <row r="638" spans="1:3" x14ac:dyDescent="0.25">
      <c r="A638" s="1" t="s">
        <v>639</v>
      </c>
      <c r="B638">
        <v>448</v>
      </c>
      <c r="C638" s="2">
        <v>46089</v>
      </c>
    </row>
    <row r="639" spans="1:3" x14ac:dyDescent="0.25">
      <c r="A639" s="1" t="s">
        <v>640</v>
      </c>
      <c r="B639">
        <v>272</v>
      </c>
      <c r="C639" s="2">
        <v>46131</v>
      </c>
    </row>
    <row r="640" spans="1:3" x14ac:dyDescent="0.25">
      <c r="A640" s="1" t="s">
        <v>641</v>
      </c>
      <c r="B640">
        <v>341</v>
      </c>
      <c r="C640" s="2">
        <v>46077</v>
      </c>
    </row>
    <row r="641" spans="1:3" x14ac:dyDescent="0.25">
      <c r="A641" s="1" t="s">
        <v>642</v>
      </c>
      <c r="B641">
        <v>446</v>
      </c>
      <c r="C641" s="2">
        <v>46129</v>
      </c>
    </row>
    <row r="642" spans="1:3" x14ac:dyDescent="0.25">
      <c r="A642" s="1" t="s">
        <v>643</v>
      </c>
      <c r="B642">
        <v>356</v>
      </c>
      <c r="C642" s="2">
        <v>46133</v>
      </c>
    </row>
    <row r="643" spans="1:3" x14ac:dyDescent="0.25">
      <c r="A643" s="1" t="s">
        <v>644</v>
      </c>
      <c r="B643">
        <v>13</v>
      </c>
      <c r="C643" s="2">
        <v>46066</v>
      </c>
    </row>
    <row r="644" spans="1:3" x14ac:dyDescent="0.25">
      <c r="A644" s="1" t="s">
        <v>645</v>
      </c>
      <c r="B644">
        <v>162</v>
      </c>
      <c r="C644" s="2">
        <v>46100</v>
      </c>
    </row>
    <row r="645" spans="1:3" x14ac:dyDescent="0.25">
      <c r="A645" s="1" t="s">
        <v>646</v>
      </c>
      <c r="B645">
        <v>337</v>
      </c>
      <c r="C645" s="2">
        <v>46105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F8829-50B5-4638-A3E7-D55700786312}">
  <dimension ref="A1:E2"/>
  <sheetViews>
    <sheetView workbookViewId="0">
      <selection activeCell="E15" sqref="E15"/>
    </sheetView>
  </sheetViews>
  <sheetFormatPr defaultRowHeight="15" x14ac:dyDescent="0.25"/>
  <cols>
    <col min="1" max="1" width="16.28515625" bestFit="1" customWidth="1"/>
    <col min="2" max="2" width="6" bestFit="1" customWidth="1"/>
    <col min="3" max="3" width="10.28515625" bestFit="1" customWidth="1"/>
    <col min="4" max="4" width="11.28515625" bestFit="1" customWidth="1"/>
    <col min="5" max="5" width="13.28515625" bestFit="1" customWidth="1"/>
  </cols>
  <sheetData>
    <row r="1" spans="1:5" x14ac:dyDescent="0.25">
      <c r="A1" s="3" t="s">
        <v>1517</v>
      </c>
      <c r="B1" s="3" t="s">
        <v>1518</v>
      </c>
      <c r="C1" s="3" t="s">
        <v>1519</v>
      </c>
      <c r="D1" s="3" t="s">
        <v>1520</v>
      </c>
      <c r="E1" s="3" t="s">
        <v>1521</v>
      </c>
    </row>
    <row r="2" spans="1:5" x14ac:dyDescent="0.25">
      <c r="A2">
        <f>COUNTIF(po_master[Missing Approval], "Missing Approval")</f>
        <v>39</v>
      </c>
      <c r="B2">
        <f>COUNTIF(po_master[GR Receipt Status], "No GR - Not received")</f>
        <v>58</v>
      </c>
      <c r="C2">
        <f>COUNTIF(po_master[No invoice], "No invoice")</f>
        <v>0</v>
      </c>
      <c r="D2">
        <f>COUNTIF(po_master[Date Check], "Invalid")</f>
        <v>0</v>
      </c>
      <c r="E2">
        <f>COUNTIF(purchase_orders[Dup Check], "&gt;1")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59CEE7-87CE-44C9-BD44-2B8CE358684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po_master</vt:lpstr>
      <vt:lpstr>po_gr_merged</vt:lpstr>
      <vt:lpstr>purchase_orders</vt:lpstr>
      <vt:lpstr>invoices</vt:lpstr>
      <vt:lpstr>goods_receipts</vt:lpstr>
      <vt:lpstr>Summary Sanity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Sherzodbek Akhmadjonov</dc:creator>
  <cp:lastModifiedBy>Sherzodbek Akhmadjonov</cp:lastModifiedBy>
  <dcterms:created xsi:type="dcterms:W3CDTF">2026-07-27T11:25:50Z</dcterms:created>
  <dcterms:modified xsi:type="dcterms:W3CDTF">2026-07-27T15:57:15Z</dcterms:modified>
</cp:coreProperties>
</file>