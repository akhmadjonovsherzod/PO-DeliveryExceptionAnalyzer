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khma\OneDrive\Desktop\Purchase Order &amp; Delivery Exception Analyzer\"/>
    </mc:Choice>
  </mc:AlternateContent>
  <xr:revisionPtr revIDLastSave="0" documentId="13_ncr:1_{98C169EB-881C-494B-B28C-3C34CB94CDDA}" xr6:coauthVersionLast="47" xr6:coauthVersionMax="47" xr10:uidLastSave="{00000000-0000-0000-0000-000000000000}"/>
  <bookViews>
    <workbookView xWindow="-120" yWindow="-120" windowWidth="29040" windowHeight="15720" xr2:uid="{020E0595-6088-49AF-8A7E-4D604BF6B8BF}"/>
  </bookViews>
  <sheets>
    <sheet name="Dashboard" sheetId="10" r:id="rId1"/>
    <sheet name="po_master" sheetId="6" r:id="rId2"/>
    <sheet name="po_gr_merged" sheetId="5" r:id="rId3"/>
    <sheet name="purchase_orders" sheetId="4" r:id="rId4"/>
    <sheet name="invoices" sheetId="3" r:id="rId5"/>
    <sheet name="goods_receipts" sheetId="2" r:id="rId6"/>
    <sheet name="Summary Sanity Check" sheetId="7" r:id="rId7"/>
  </sheets>
  <definedNames>
    <definedName name="ExternalData_1" localSheetId="5" hidden="1">goods_receipts!$A$1:$C$645</definedName>
    <definedName name="ExternalData_2" localSheetId="4" hidden="1">invoices!$A$1:$E$727</definedName>
    <definedName name="ExternalData_3" localSheetId="3" hidden="1">purchase_orders!$A$1:$G$701</definedName>
    <definedName name="ExternalData_4" localSheetId="2" hidden="1">po_gr_merged!$A$1:$G$701</definedName>
    <definedName name="ExternalData_5" localSheetId="1" hidden="1">po_master!$A$1:$M$727</definedName>
    <definedName name="Slicer_Order_Month">#N/A</definedName>
    <definedName name="Slicer_Vendor">#N/A</definedName>
  </definedNames>
  <calcPr calcId="191029"/>
  <pivotCaches>
    <pivotCache cacheId="9"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D2" i="6" l="1"/>
  <c r="AD3" i="6"/>
  <c r="AD4" i="6"/>
  <c r="AD5" i="6"/>
  <c r="AD6" i="6"/>
  <c r="AD7" i="6"/>
  <c r="AD8" i="6"/>
  <c r="AD9" i="6"/>
  <c r="AD10" i="6"/>
  <c r="AD11" i="6"/>
  <c r="AD12" i="6"/>
  <c r="AD13" i="6"/>
  <c r="AD14" i="6"/>
  <c r="AD15" i="6"/>
  <c r="AD16" i="6"/>
  <c r="AD17" i="6"/>
  <c r="AD18" i="6"/>
  <c r="AD19" i="6"/>
  <c r="AD20" i="6"/>
  <c r="AD21" i="6"/>
  <c r="AD22" i="6"/>
  <c r="AD23" i="6"/>
  <c r="AD24" i="6"/>
  <c r="AD25" i="6"/>
  <c r="AD26" i="6"/>
  <c r="AD27" i="6"/>
  <c r="AD28" i="6"/>
  <c r="AD29" i="6"/>
  <c r="AD30" i="6"/>
  <c r="AD31" i="6"/>
  <c r="AD32" i="6"/>
  <c r="AD33" i="6"/>
  <c r="AD34" i="6"/>
  <c r="AD35" i="6"/>
  <c r="AD36" i="6"/>
  <c r="AD37" i="6"/>
  <c r="AD38" i="6"/>
  <c r="AD39" i="6"/>
  <c r="AD40" i="6"/>
  <c r="AD41" i="6"/>
  <c r="AD42" i="6"/>
  <c r="AD43" i="6"/>
  <c r="AD44" i="6"/>
  <c r="AD45" i="6"/>
  <c r="AD46" i="6"/>
  <c r="AD47" i="6"/>
  <c r="AD48" i="6"/>
  <c r="AD49" i="6"/>
  <c r="AD50" i="6"/>
  <c r="AD51" i="6"/>
  <c r="AD52" i="6"/>
  <c r="AD53" i="6"/>
  <c r="AD54" i="6"/>
  <c r="AD55" i="6"/>
  <c r="AD56" i="6"/>
  <c r="AD57" i="6"/>
  <c r="AD58" i="6"/>
  <c r="AD59" i="6"/>
  <c r="AD60" i="6"/>
  <c r="AD61" i="6"/>
  <c r="AD62" i="6"/>
  <c r="AD63" i="6"/>
  <c r="AD64" i="6"/>
  <c r="AD65" i="6"/>
  <c r="AD66" i="6"/>
  <c r="AD67" i="6"/>
  <c r="AD68" i="6"/>
  <c r="AD69" i="6"/>
  <c r="AD70" i="6"/>
  <c r="AD71" i="6"/>
  <c r="AD72" i="6"/>
  <c r="AD73" i="6"/>
  <c r="AD74" i="6"/>
  <c r="AD75" i="6"/>
  <c r="AD76" i="6"/>
  <c r="AD77" i="6"/>
  <c r="AD78" i="6"/>
  <c r="AD79" i="6"/>
  <c r="AD80" i="6"/>
  <c r="AD81" i="6"/>
  <c r="AD82" i="6"/>
  <c r="AD83" i="6"/>
  <c r="AD84" i="6"/>
  <c r="AD85" i="6"/>
  <c r="AD86" i="6"/>
  <c r="AD87" i="6"/>
  <c r="AD88" i="6"/>
  <c r="AD89" i="6"/>
  <c r="AD90" i="6"/>
  <c r="AD91" i="6"/>
  <c r="AD92" i="6"/>
  <c r="AD93" i="6"/>
  <c r="AD94" i="6"/>
  <c r="AD95" i="6"/>
  <c r="AD96" i="6"/>
  <c r="AD97" i="6"/>
  <c r="AD98" i="6"/>
  <c r="AD99" i="6"/>
  <c r="AD100" i="6"/>
  <c r="AD101" i="6"/>
  <c r="AD102" i="6"/>
  <c r="AD103" i="6"/>
  <c r="AD104" i="6"/>
  <c r="AD105" i="6"/>
  <c r="AD106" i="6"/>
  <c r="AD107" i="6"/>
  <c r="AD108" i="6"/>
  <c r="AD109" i="6"/>
  <c r="AD110" i="6"/>
  <c r="AD111" i="6"/>
  <c r="AD112" i="6"/>
  <c r="AD113" i="6"/>
  <c r="AD114" i="6"/>
  <c r="AD115" i="6"/>
  <c r="AD116" i="6"/>
  <c r="AD117" i="6"/>
  <c r="AD118" i="6"/>
  <c r="AD119" i="6"/>
  <c r="AD120" i="6"/>
  <c r="AD121" i="6"/>
  <c r="AD122" i="6"/>
  <c r="AD123" i="6"/>
  <c r="AD124" i="6"/>
  <c r="AD125" i="6"/>
  <c r="AD126" i="6"/>
  <c r="AD127" i="6"/>
  <c r="AD128" i="6"/>
  <c r="AD129" i="6"/>
  <c r="AD130" i="6"/>
  <c r="AD131" i="6"/>
  <c r="AD132" i="6"/>
  <c r="AD133" i="6"/>
  <c r="AD134" i="6"/>
  <c r="AD135" i="6"/>
  <c r="AD136" i="6"/>
  <c r="AD137" i="6"/>
  <c r="AD138" i="6"/>
  <c r="AD139" i="6"/>
  <c r="AD140" i="6"/>
  <c r="AD141" i="6"/>
  <c r="AD142" i="6"/>
  <c r="AD143" i="6"/>
  <c r="AD144" i="6"/>
  <c r="AD145" i="6"/>
  <c r="AD146" i="6"/>
  <c r="AD147" i="6"/>
  <c r="AD148" i="6"/>
  <c r="AD149" i="6"/>
  <c r="AD150" i="6"/>
  <c r="AD151" i="6"/>
  <c r="AD152" i="6"/>
  <c r="AD153" i="6"/>
  <c r="AD154" i="6"/>
  <c r="AD155" i="6"/>
  <c r="AD156" i="6"/>
  <c r="AD157" i="6"/>
  <c r="AD158" i="6"/>
  <c r="AD159" i="6"/>
  <c r="AD160" i="6"/>
  <c r="AD161" i="6"/>
  <c r="AD162" i="6"/>
  <c r="AD163" i="6"/>
  <c r="AD164" i="6"/>
  <c r="AD165" i="6"/>
  <c r="AD166" i="6"/>
  <c r="AD167" i="6"/>
  <c r="AD168" i="6"/>
  <c r="AD169" i="6"/>
  <c r="AD170" i="6"/>
  <c r="AD171" i="6"/>
  <c r="AD172" i="6"/>
  <c r="AD173" i="6"/>
  <c r="AD174" i="6"/>
  <c r="AD175" i="6"/>
  <c r="AD176" i="6"/>
  <c r="AD177" i="6"/>
  <c r="AD178" i="6"/>
  <c r="AD179" i="6"/>
  <c r="AD180" i="6"/>
  <c r="AD181" i="6"/>
  <c r="AD182" i="6"/>
  <c r="AD183" i="6"/>
  <c r="AD184" i="6"/>
  <c r="AD185" i="6"/>
  <c r="AD186" i="6"/>
  <c r="AD187" i="6"/>
  <c r="AD188" i="6"/>
  <c r="AD189" i="6"/>
  <c r="AD190" i="6"/>
  <c r="AD191" i="6"/>
  <c r="AD192" i="6"/>
  <c r="AD193" i="6"/>
  <c r="AD194" i="6"/>
  <c r="AD195" i="6"/>
  <c r="AD196" i="6"/>
  <c r="AD197" i="6"/>
  <c r="AD198" i="6"/>
  <c r="AD199" i="6"/>
  <c r="AD200" i="6"/>
  <c r="AD201" i="6"/>
  <c r="AD202" i="6"/>
  <c r="AD203" i="6"/>
  <c r="AD204" i="6"/>
  <c r="AD205" i="6"/>
  <c r="AD206" i="6"/>
  <c r="AD207" i="6"/>
  <c r="AD208" i="6"/>
  <c r="AD209" i="6"/>
  <c r="AD210" i="6"/>
  <c r="AD211" i="6"/>
  <c r="AD212" i="6"/>
  <c r="AD213" i="6"/>
  <c r="AD214" i="6"/>
  <c r="AD215" i="6"/>
  <c r="AD216" i="6"/>
  <c r="AD217" i="6"/>
  <c r="AD218" i="6"/>
  <c r="AD219" i="6"/>
  <c r="AD220" i="6"/>
  <c r="AD221" i="6"/>
  <c r="AD222" i="6"/>
  <c r="AD223" i="6"/>
  <c r="AD224" i="6"/>
  <c r="AD225" i="6"/>
  <c r="AD226" i="6"/>
  <c r="AD227" i="6"/>
  <c r="AD228" i="6"/>
  <c r="AD229" i="6"/>
  <c r="AD230" i="6"/>
  <c r="AD231" i="6"/>
  <c r="AD232" i="6"/>
  <c r="AD233" i="6"/>
  <c r="AD234" i="6"/>
  <c r="AD235" i="6"/>
  <c r="AD236" i="6"/>
  <c r="AD237" i="6"/>
  <c r="AD238" i="6"/>
  <c r="AD239" i="6"/>
  <c r="AD240" i="6"/>
  <c r="AD241" i="6"/>
  <c r="AD242" i="6"/>
  <c r="AD243" i="6"/>
  <c r="AD244" i="6"/>
  <c r="AD245" i="6"/>
  <c r="AD246" i="6"/>
  <c r="AD247" i="6"/>
  <c r="AD248" i="6"/>
  <c r="AD249" i="6"/>
  <c r="AD250" i="6"/>
  <c r="AD251" i="6"/>
  <c r="AD252" i="6"/>
  <c r="AD253" i="6"/>
  <c r="AD254" i="6"/>
  <c r="AD255" i="6"/>
  <c r="AD256" i="6"/>
  <c r="AD257" i="6"/>
  <c r="AD258" i="6"/>
  <c r="AD259" i="6"/>
  <c r="AD260" i="6"/>
  <c r="AD261" i="6"/>
  <c r="AD262" i="6"/>
  <c r="AD263" i="6"/>
  <c r="AD264" i="6"/>
  <c r="AD265" i="6"/>
  <c r="AD266" i="6"/>
  <c r="AD267" i="6"/>
  <c r="AD268" i="6"/>
  <c r="AD269" i="6"/>
  <c r="AD270" i="6"/>
  <c r="AD271" i="6"/>
  <c r="AD272" i="6"/>
  <c r="AD273" i="6"/>
  <c r="AD274" i="6"/>
  <c r="AD275" i="6"/>
  <c r="AD276" i="6"/>
  <c r="AD277" i="6"/>
  <c r="AD278" i="6"/>
  <c r="AD279" i="6"/>
  <c r="AD280" i="6"/>
  <c r="AD281" i="6"/>
  <c r="AD282" i="6"/>
  <c r="AD283" i="6"/>
  <c r="AD284" i="6"/>
  <c r="AD285" i="6"/>
  <c r="AD286" i="6"/>
  <c r="AD287" i="6"/>
  <c r="AD288" i="6"/>
  <c r="AD289" i="6"/>
  <c r="AD290" i="6"/>
  <c r="AD291" i="6"/>
  <c r="AD292" i="6"/>
  <c r="AD293" i="6"/>
  <c r="AD294" i="6"/>
  <c r="AD295" i="6"/>
  <c r="AD296" i="6"/>
  <c r="AD297" i="6"/>
  <c r="AD298" i="6"/>
  <c r="AD299" i="6"/>
  <c r="AD300" i="6"/>
  <c r="AD301" i="6"/>
  <c r="AD302" i="6"/>
  <c r="AD303" i="6"/>
  <c r="AD304" i="6"/>
  <c r="AD305" i="6"/>
  <c r="AD306" i="6"/>
  <c r="AD307" i="6"/>
  <c r="AD308" i="6"/>
  <c r="AD309" i="6"/>
  <c r="AD310" i="6"/>
  <c r="AD311" i="6"/>
  <c r="AD312" i="6"/>
  <c r="AD313" i="6"/>
  <c r="AD314" i="6"/>
  <c r="AD315" i="6"/>
  <c r="AD316" i="6"/>
  <c r="AD317" i="6"/>
  <c r="AD318" i="6"/>
  <c r="AD319" i="6"/>
  <c r="AD320" i="6"/>
  <c r="AD321" i="6"/>
  <c r="AD322" i="6"/>
  <c r="AD323" i="6"/>
  <c r="AD324" i="6"/>
  <c r="AD325" i="6"/>
  <c r="AD326" i="6"/>
  <c r="AD327" i="6"/>
  <c r="AD328" i="6"/>
  <c r="AD329" i="6"/>
  <c r="AD330" i="6"/>
  <c r="AD331" i="6"/>
  <c r="AD332" i="6"/>
  <c r="AD333" i="6"/>
  <c r="AD334" i="6"/>
  <c r="AD335" i="6"/>
  <c r="AD336" i="6"/>
  <c r="AD337" i="6"/>
  <c r="AD338" i="6"/>
  <c r="AD339" i="6"/>
  <c r="AD340" i="6"/>
  <c r="AD341" i="6"/>
  <c r="AD342" i="6"/>
  <c r="AD343" i="6"/>
  <c r="AD344" i="6"/>
  <c r="AD345" i="6"/>
  <c r="AD346" i="6"/>
  <c r="AD347" i="6"/>
  <c r="AD348" i="6"/>
  <c r="AD349" i="6"/>
  <c r="AD350" i="6"/>
  <c r="AD351" i="6"/>
  <c r="AD352" i="6"/>
  <c r="AD353" i="6"/>
  <c r="AD354" i="6"/>
  <c r="AD355" i="6"/>
  <c r="AD356" i="6"/>
  <c r="AD357" i="6"/>
  <c r="AD358" i="6"/>
  <c r="AD359" i="6"/>
  <c r="AD360" i="6"/>
  <c r="AD361" i="6"/>
  <c r="AD362" i="6"/>
  <c r="AD363" i="6"/>
  <c r="AD364" i="6"/>
  <c r="AD365" i="6"/>
  <c r="AD366" i="6"/>
  <c r="AD367" i="6"/>
  <c r="AD368" i="6"/>
  <c r="AD369" i="6"/>
  <c r="AD370" i="6"/>
  <c r="AD371" i="6"/>
  <c r="AD372" i="6"/>
  <c r="AD373" i="6"/>
  <c r="AD374" i="6"/>
  <c r="AD375" i="6"/>
  <c r="AD376" i="6"/>
  <c r="AD377" i="6"/>
  <c r="AD378" i="6"/>
  <c r="AD379" i="6"/>
  <c r="AD380" i="6"/>
  <c r="AD381" i="6"/>
  <c r="AD382" i="6"/>
  <c r="AD383" i="6"/>
  <c r="AD384" i="6"/>
  <c r="AD385" i="6"/>
  <c r="AD386" i="6"/>
  <c r="AD387" i="6"/>
  <c r="AD388" i="6"/>
  <c r="AD389" i="6"/>
  <c r="AD390" i="6"/>
  <c r="AD391" i="6"/>
  <c r="AD392" i="6"/>
  <c r="AD393" i="6"/>
  <c r="AD394" i="6"/>
  <c r="AD395" i="6"/>
  <c r="AD396" i="6"/>
  <c r="AD397" i="6"/>
  <c r="AD398" i="6"/>
  <c r="AD399" i="6"/>
  <c r="AD400" i="6"/>
  <c r="AD401" i="6"/>
  <c r="AD402" i="6"/>
  <c r="AD403" i="6"/>
  <c r="AD404" i="6"/>
  <c r="AD405" i="6"/>
  <c r="AD406" i="6"/>
  <c r="AD407" i="6"/>
  <c r="AD408" i="6"/>
  <c r="AD409" i="6"/>
  <c r="AD410" i="6"/>
  <c r="AD411" i="6"/>
  <c r="AD412" i="6"/>
  <c r="AD413" i="6"/>
  <c r="AD414" i="6"/>
  <c r="AD415" i="6"/>
  <c r="AD416" i="6"/>
  <c r="AD417" i="6"/>
  <c r="AD418" i="6"/>
  <c r="AD419" i="6"/>
  <c r="AD420" i="6"/>
  <c r="AD421" i="6"/>
  <c r="AD422" i="6"/>
  <c r="AD423" i="6"/>
  <c r="AD424" i="6"/>
  <c r="AD425" i="6"/>
  <c r="AD426" i="6"/>
  <c r="AD427" i="6"/>
  <c r="AD428" i="6"/>
  <c r="AD429" i="6"/>
  <c r="AD430" i="6"/>
  <c r="AD431" i="6"/>
  <c r="AD432" i="6"/>
  <c r="AD433" i="6"/>
  <c r="AD434" i="6"/>
  <c r="AD435" i="6"/>
  <c r="AD436" i="6"/>
  <c r="AD437" i="6"/>
  <c r="AD438" i="6"/>
  <c r="AD439" i="6"/>
  <c r="AD440" i="6"/>
  <c r="AD441" i="6"/>
  <c r="AD442" i="6"/>
  <c r="AD443" i="6"/>
  <c r="AD444" i="6"/>
  <c r="AD445" i="6"/>
  <c r="AD446" i="6"/>
  <c r="AD447" i="6"/>
  <c r="AD448" i="6"/>
  <c r="AD449" i="6"/>
  <c r="AD450" i="6"/>
  <c r="AD451" i="6"/>
  <c r="AD452" i="6"/>
  <c r="AD453" i="6"/>
  <c r="AD454" i="6"/>
  <c r="AD455" i="6"/>
  <c r="AD456" i="6"/>
  <c r="AD457" i="6"/>
  <c r="AD458" i="6"/>
  <c r="AD459" i="6"/>
  <c r="AD460" i="6"/>
  <c r="AD461" i="6"/>
  <c r="AD462" i="6"/>
  <c r="AD463" i="6"/>
  <c r="AD464" i="6"/>
  <c r="AD465" i="6"/>
  <c r="AD466" i="6"/>
  <c r="AD467" i="6"/>
  <c r="AD468" i="6"/>
  <c r="AD469" i="6"/>
  <c r="AD470" i="6"/>
  <c r="AD471" i="6"/>
  <c r="AD472" i="6"/>
  <c r="AD473" i="6"/>
  <c r="AD474" i="6"/>
  <c r="AD475" i="6"/>
  <c r="AD476" i="6"/>
  <c r="AD477" i="6"/>
  <c r="AD478" i="6"/>
  <c r="AD479" i="6"/>
  <c r="AD480" i="6"/>
  <c r="AD481" i="6"/>
  <c r="AD482" i="6"/>
  <c r="AD483" i="6"/>
  <c r="AD484" i="6"/>
  <c r="AD485" i="6"/>
  <c r="AD486" i="6"/>
  <c r="AD487" i="6"/>
  <c r="AD488" i="6"/>
  <c r="AD489" i="6"/>
  <c r="AD490" i="6"/>
  <c r="AD491" i="6"/>
  <c r="AD492" i="6"/>
  <c r="AD493" i="6"/>
  <c r="AD494" i="6"/>
  <c r="AD495" i="6"/>
  <c r="AD496" i="6"/>
  <c r="AD497" i="6"/>
  <c r="AD498" i="6"/>
  <c r="AD499" i="6"/>
  <c r="AD500" i="6"/>
  <c r="AD501" i="6"/>
  <c r="AD502" i="6"/>
  <c r="AD503" i="6"/>
  <c r="AD504" i="6"/>
  <c r="AD505" i="6"/>
  <c r="AD506" i="6"/>
  <c r="AD507" i="6"/>
  <c r="AD508" i="6"/>
  <c r="AD509" i="6"/>
  <c r="AD510" i="6"/>
  <c r="AD511" i="6"/>
  <c r="AD512" i="6"/>
  <c r="AD513" i="6"/>
  <c r="AD514" i="6"/>
  <c r="AD515" i="6"/>
  <c r="AD516" i="6"/>
  <c r="AD517" i="6"/>
  <c r="AD518" i="6"/>
  <c r="AD519" i="6"/>
  <c r="AD520" i="6"/>
  <c r="AD521" i="6"/>
  <c r="AD522" i="6"/>
  <c r="AD523" i="6"/>
  <c r="AD524" i="6"/>
  <c r="AD525" i="6"/>
  <c r="AD526" i="6"/>
  <c r="AD527" i="6"/>
  <c r="AD528" i="6"/>
  <c r="AD529" i="6"/>
  <c r="AD530" i="6"/>
  <c r="AD531" i="6"/>
  <c r="AD532" i="6"/>
  <c r="AD533" i="6"/>
  <c r="AD534" i="6"/>
  <c r="AD535" i="6"/>
  <c r="AD536" i="6"/>
  <c r="AD537" i="6"/>
  <c r="AD538" i="6"/>
  <c r="AD539" i="6"/>
  <c r="AD540" i="6"/>
  <c r="AD541" i="6"/>
  <c r="AD542" i="6"/>
  <c r="AD543" i="6"/>
  <c r="AD544" i="6"/>
  <c r="AD545" i="6"/>
  <c r="AD546" i="6"/>
  <c r="AD547" i="6"/>
  <c r="AD548" i="6"/>
  <c r="AD549" i="6"/>
  <c r="AD550" i="6"/>
  <c r="AD551" i="6"/>
  <c r="AD552" i="6"/>
  <c r="AD553" i="6"/>
  <c r="AD554" i="6"/>
  <c r="AD555" i="6"/>
  <c r="AD556" i="6"/>
  <c r="AD557" i="6"/>
  <c r="AD558" i="6"/>
  <c r="AD559" i="6"/>
  <c r="AD560" i="6"/>
  <c r="AD561" i="6"/>
  <c r="AD562" i="6"/>
  <c r="AD563" i="6"/>
  <c r="AD564" i="6"/>
  <c r="AD565" i="6"/>
  <c r="AD566" i="6"/>
  <c r="AD567" i="6"/>
  <c r="AD568" i="6"/>
  <c r="AD569" i="6"/>
  <c r="AD570" i="6"/>
  <c r="AD571" i="6"/>
  <c r="AD572" i="6"/>
  <c r="AD573" i="6"/>
  <c r="AD574" i="6"/>
  <c r="AD575" i="6"/>
  <c r="AD576" i="6"/>
  <c r="AD577" i="6"/>
  <c r="AD578" i="6"/>
  <c r="AD579" i="6"/>
  <c r="AD580" i="6"/>
  <c r="AD581" i="6"/>
  <c r="AD582" i="6"/>
  <c r="AD583" i="6"/>
  <c r="AD584" i="6"/>
  <c r="AD585" i="6"/>
  <c r="AD586" i="6"/>
  <c r="AD587" i="6"/>
  <c r="AD588" i="6"/>
  <c r="AD589" i="6"/>
  <c r="AD590" i="6"/>
  <c r="AD591" i="6"/>
  <c r="AD592" i="6"/>
  <c r="AD593" i="6"/>
  <c r="AD594" i="6"/>
  <c r="AD595" i="6"/>
  <c r="AD596" i="6"/>
  <c r="AD597" i="6"/>
  <c r="AD598" i="6"/>
  <c r="AD599" i="6"/>
  <c r="AD600" i="6"/>
  <c r="AD601" i="6"/>
  <c r="AD602" i="6"/>
  <c r="AD603" i="6"/>
  <c r="AD604" i="6"/>
  <c r="AD605" i="6"/>
  <c r="AD606" i="6"/>
  <c r="AD607" i="6"/>
  <c r="AD608" i="6"/>
  <c r="AD609" i="6"/>
  <c r="AD610" i="6"/>
  <c r="AD611" i="6"/>
  <c r="AD612" i="6"/>
  <c r="AD613" i="6"/>
  <c r="AD614" i="6"/>
  <c r="AD615" i="6"/>
  <c r="AD616" i="6"/>
  <c r="AD617" i="6"/>
  <c r="AD618" i="6"/>
  <c r="AD619" i="6"/>
  <c r="AD620" i="6"/>
  <c r="AD621" i="6"/>
  <c r="AD622" i="6"/>
  <c r="AD623" i="6"/>
  <c r="AD624" i="6"/>
  <c r="AD625" i="6"/>
  <c r="AD626" i="6"/>
  <c r="AD627" i="6"/>
  <c r="AD628" i="6"/>
  <c r="AD629" i="6"/>
  <c r="AD630" i="6"/>
  <c r="AD631" i="6"/>
  <c r="AD632" i="6"/>
  <c r="AD633" i="6"/>
  <c r="AD634" i="6"/>
  <c r="AD635" i="6"/>
  <c r="AD636" i="6"/>
  <c r="AD637" i="6"/>
  <c r="AD638" i="6"/>
  <c r="AD639" i="6"/>
  <c r="AD640" i="6"/>
  <c r="AD641" i="6"/>
  <c r="AD642" i="6"/>
  <c r="AD643" i="6"/>
  <c r="AD644" i="6"/>
  <c r="AD645" i="6"/>
  <c r="AD646" i="6"/>
  <c r="AD647" i="6"/>
  <c r="AD648" i="6"/>
  <c r="AD649" i="6"/>
  <c r="AD650" i="6"/>
  <c r="AD651" i="6"/>
  <c r="AD652" i="6"/>
  <c r="AD653" i="6"/>
  <c r="AD654" i="6"/>
  <c r="AD655" i="6"/>
  <c r="AD656" i="6"/>
  <c r="AD657" i="6"/>
  <c r="AD658" i="6"/>
  <c r="AD659" i="6"/>
  <c r="AD660" i="6"/>
  <c r="AD661" i="6"/>
  <c r="AD662" i="6"/>
  <c r="AD663" i="6"/>
  <c r="AD664" i="6"/>
  <c r="AD665" i="6"/>
  <c r="AD666" i="6"/>
  <c r="AD667" i="6"/>
  <c r="AD668" i="6"/>
  <c r="AD669" i="6"/>
  <c r="AD670" i="6"/>
  <c r="AD671" i="6"/>
  <c r="AD672" i="6"/>
  <c r="AD673" i="6"/>
  <c r="AD674" i="6"/>
  <c r="AD675" i="6"/>
  <c r="AD676" i="6"/>
  <c r="AD677" i="6"/>
  <c r="AD678" i="6"/>
  <c r="AD679" i="6"/>
  <c r="AD680" i="6"/>
  <c r="AD681" i="6"/>
  <c r="AD682" i="6"/>
  <c r="AD683" i="6"/>
  <c r="AD684" i="6"/>
  <c r="AD685" i="6"/>
  <c r="AD686" i="6"/>
  <c r="AD687" i="6"/>
  <c r="AD688" i="6"/>
  <c r="AD689" i="6"/>
  <c r="AD690" i="6"/>
  <c r="AD691" i="6"/>
  <c r="AD692" i="6"/>
  <c r="AD693" i="6"/>
  <c r="AD694" i="6"/>
  <c r="AD695" i="6"/>
  <c r="AD696" i="6"/>
  <c r="AD697" i="6"/>
  <c r="AD698" i="6"/>
  <c r="AD699" i="6"/>
  <c r="AD700" i="6"/>
  <c r="AD701" i="6"/>
  <c r="AD702" i="6"/>
  <c r="AD703" i="6"/>
  <c r="AD704" i="6"/>
  <c r="AD705" i="6"/>
  <c r="AD706" i="6"/>
  <c r="AD707" i="6"/>
  <c r="AD708" i="6"/>
  <c r="AD709" i="6"/>
  <c r="AD710" i="6"/>
  <c r="AD711" i="6"/>
  <c r="AD712" i="6"/>
  <c r="AD713" i="6"/>
  <c r="AD714" i="6"/>
  <c r="AD715" i="6"/>
  <c r="AD716" i="6"/>
  <c r="AD717" i="6"/>
  <c r="AD718" i="6"/>
  <c r="AD719" i="6"/>
  <c r="AD720" i="6"/>
  <c r="AD721" i="6"/>
  <c r="AD722" i="6"/>
  <c r="AD723" i="6"/>
  <c r="AD724" i="6"/>
  <c r="AD725" i="6"/>
  <c r="AD726" i="6"/>
  <c r="AD727" i="6"/>
  <c r="U2" i="6"/>
  <c r="AC2" i="6" s="1"/>
  <c r="U3" i="6"/>
  <c r="AC3" i="6" s="1"/>
  <c r="U4" i="6"/>
  <c r="AC4" i="6" s="1"/>
  <c r="U5" i="6"/>
  <c r="AC5" i="6" s="1"/>
  <c r="U6" i="6"/>
  <c r="AC6" i="6" s="1"/>
  <c r="U7" i="6"/>
  <c r="AC7" i="6" s="1"/>
  <c r="U8" i="6"/>
  <c r="AC8" i="6" s="1"/>
  <c r="U9" i="6"/>
  <c r="AC9" i="6" s="1"/>
  <c r="U10" i="6"/>
  <c r="AC10" i="6" s="1"/>
  <c r="U11" i="6"/>
  <c r="AC11" i="6" s="1"/>
  <c r="U12" i="6"/>
  <c r="AC12" i="6" s="1"/>
  <c r="U13" i="6"/>
  <c r="AC13" i="6" s="1"/>
  <c r="U14" i="6"/>
  <c r="AC14" i="6" s="1"/>
  <c r="U15" i="6"/>
  <c r="AC15" i="6" s="1"/>
  <c r="U16" i="6"/>
  <c r="AC16" i="6" s="1"/>
  <c r="U17" i="6"/>
  <c r="AC17" i="6" s="1"/>
  <c r="U18" i="6"/>
  <c r="AC18" i="6" s="1"/>
  <c r="U19" i="6"/>
  <c r="AC19" i="6" s="1"/>
  <c r="U20" i="6"/>
  <c r="AC20" i="6" s="1"/>
  <c r="U21" i="6"/>
  <c r="AC21" i="6" s="1"/>
  <c r="U22" i="6"/>
  <c r="AC22" i="6" s="1"/>
  <c r="U23" i="6"/>
  <c r="AC23" i="6" s="1"/>
  <c r="U24" i="6"/>
  <c r="AC24" i="6" s="1"/>
  <c r="U25" i="6"/>
  <c r="AC25" i="6" s="1"/>
  <c r="U26" i="6"/>
  <c r="AC26" i="6" s="1"/>
  <c r="U27" i="6"/>
  <c r="AC27" i="6" s="1"/>
  <c r="U28" i="6"/>
  <c r="AC28" i="6" s="1"/>
  <c r="U29" i="6"/>
  <c r="AC29" i="6" s="1"/>
  <c r="U30" i="6"/>
  <c r="AC30" i="6" s="1"/>
  <c r="U31" i="6"/>
  <c r="AC31" i="6" s="1"/>
  <c r="U32" i="6"/>
  <c r="AC32" i="6" s="1"/>
  <c r="U33" i="6"/>
  <c r="AC33" i="6" s="1"/>
  <c r="U34" i="6"/>
  <c r="AC34" i="6" s="1"/>
  <c r="U35" i="6"/>
  <c r="AC35" i="6" s="1"/>
  <c r="U36" i="6"/>
  <c r="AC36" i="6" s="1"/>
  <c r="U37" i="6"/>
  <c r="AC37" i="6" s="1"/>
  <c r="U38" i="6"/>
  <c r="AC38" i="6" s="1"/>
  <c r="U39" i="6"/>
  <c r="AC39" i="6" s="1"/>
  <c r="U40" i="6"/>
  <c r="AC40" i="6" s="1"/>
  <c r="U41" i="6"/>
  <c r="AC41" i="6" s="1"/>
  <c r="U42" i="6"/>
  <c r="AC42" i="6" s="1"/>
  <c r="U43" i="6"/>
  <c r="AC43" i="6" s="1"/>
  <c r="U44" i="6"/>
  <c r="AC44" i="6" s="1"/>
  <c r="U45" i="6"/>
  <c r="AC45" i="6" s="1"/>
  <c r="U46" i="6"/>
  <c r="AC46" i="6" s="1"/>
  <c r="U47" i="6"/>
  <c r="AC47" i="6" s="1"/>
  <c r="U48" i="6"/>
  <c r="AC48" i="6" s="1"/>
  <c r="U49" i="6"/>
  <c r="AC49" i="6" s="1"/>
  <c r="U50" i="6"/>
  <c r="AC50" i="6" s="1"/>
  <c r="U51" i="6"/>
  <c r="AC51" i="6" s="1"/>
  <c r="U52" i="6"/>
  <c r="AC52" i="6" s="1"/>
  <c r="U53" i="6"/>
  <c r="AC53" i="6" s="1"/>
  <c r="U54" i="6"/>
  <c r="AC54" i="6" s="1"/>
  <c r="U55" i="6"/>
  <c r="AC55" i="6" s="1"/>
  <c r="U56" i="6"/>
  <c r="AC56" i="6" s="1"/>
  <c r="U57" i="6"/>
  <c r="AC57" i="6" s="1"/>
  <c r="U58" i="6"/>
  <c r="AC58" i="6" s="1"/>
  <c r="U59" i="6"/>
  <c r="AC59" i="6" s="1"/>
  <c r="U60" i="6"/>
  <c r="AC60" i="6" s="1"/>
  <c r="U61" i="6"/>
  <c r="AC61" i="6" s="1"/>
  <c r="U62" i="6"/>
  <c r="AC62" i="6" s="1"/>
  <c r="U63" i="6"/>
  <c r="AC63" i="6" s="1"/>
  <c r="U64" i="6"/>
  <c r="AC64" i="6" s="1"/>
  <c r="U65" i="6"/>
  <c r="AC65" i="6" s="1"/>
  <c r="U66" i="6"/>
  <c r="AC66" i="6" s="1"/>
  <c r="U67" i="6"/>
  <c r="AC67" i="6" s="1"/>
  <c r="U68" i="6"/>
  <c r="AC68" i="6" s="1"/>
  <c r="U69" i="6"/>
  <c r="AC69" i="6" s="1"/>
  <c r="U70" i="6"/>
  <c r="AC70" i="6" s="1"/>
  <c r="U71" i="6"/>
  <c r="AC71" i="6" s="1"/>
  <c r="U72" i="6"/>
  <c r="AC72" i="6" s="1"/>
  <c r="U73" i="6"/>
  <c r="AC73" i="6" s="1"/>
  <c r="U74" i="6"/>
  <c r="AC74" i="6" s="1"/>
  <c r="U75" i="6"/>
  <c r="AC75" i="6" s="1"/>
  <c r="U76" i="6"/>
  <c r="AC76" i="6" s="1"/>
  <c r="U77" i="6"/>
  <c r="AC77" i="6" s="1"/>
  <c r="U78" i="6"/>
  <c r="AC78" i="6" s="1"/>
  <c r="U79" i="6"/>
  <c r="AC79" i="6" s="1"/>
  <c r="U80" i="6"/>
  <c r="AC80" i="6" s="1"/>
  <c r="U81" i="6"/>
  <c r="AC81" i="6" s="1"/>
  <c r="U82" i="6"/>
  <c r="AC82" i="6" s="1"/>
  <c r="U83" i="6"/>
  <c r="AC83" i="6" s="1"/>
  <c r="U84" i="6"/>
  <c r="AC84" i="6" s="1"/>
  <c r="U85" i="6"/>
  <c r="AC85" i="6" s="1"/>
  <c r="U86" i="6"/>
  <c r="AC86" i="6" s="1"/>
  <c r="U87" i="6"/>
  <c r="AC87" i="6" s="1"/>
  <c r="U88" i="6"/>
  <c r="AC88" i="6" s="1"/>
  <c r="U89" i="6"/>
  <c r="AC89" i="6" s="1"/>
  <c r="U90" i="6"/>
  <c r="AC90" i="6" s="1"/>
  <c r="U91" i="6"/>
  <c r="AC91" i="6" s="1"/>
  <c r="U92" i="6"/>
  <c r="AC92" i="6" s="1"/>
  <c r="U93" i="6"/>
  <c r="AC93" i="6" s="1"/>
  <c r="U94" i="6"/>
  <c r="AC94" i="6" s="1"/>
  <c r="U95" i="6"/>
  <c r="AC95" i="6" s="1"/>
  <c r="U96" i="6"/>
  <c r="AC96" i="6" s="1"/>
  <c r="U97" i="6"/>
  <c r="AC97" i="6" s="1"/>
  <c r="U98" i="6"/>
  <c r="AC98" i="6" s="1"/>
  <c r="U99" i="6"/>
  <c r="AC99" i="6" s="1"/>
  <c r="U100" i="6"/>
  <c r="AC100" i="6" s="1"/>
  <c r="U101" i="6"/>
  <c r="AC101" i="6" s="1"/>
  <c r="U102" i="6"/>
  <c r="AC102" i="6" s="1"/>
  <c r="U103" i="6"/>
  <c r="AC103" i="6" s="1"/>
  <c r="U104" i="6"/>
  <c r="AC104" i="6" s="1"/>
  <c r="U105" i="6"/>
  <c r="AC105" i="6" s="1"/>
  <c r="U106" i="6"/>
  <c r="AC106" i="6" s="1"/>
  <c r="U107" i="6"/>
  <c r="AC107" i="6" s="1"/>
  <c r="U108" i="6"/>
  <c r="AC108" i="6" s="1"/>
  <c r="U109" i="6"/>
  <c r="AC109" i="6" s="1"/>
  <c r="U110" i="6"/>
  <c r="AC110" i="6" s="1"/>
  <c r="U111" i="6"/>
  <c r="AC111" i="6" s="1"/>
  <c r="U112" i="6"/>
  <c r="AC112" i="6" s="1"/>
  <c r="U113" i="6"/>
  <c r="AC113" i="6" s="1"/>
  <c r="U114" i="6"/>
  <c r="AC114" i="6" s="1"/>
  <c r="U115" i="6"/>
  <c r="AC115" i="6" s="1"/>
  <c r="U116" i="6"/>
  <c r="AC116" i="6" s="1"/>
  <c r="U117" i="6"/>
  <c r="AC117" i="6" s="1"/>
  <c r="U118" i="6"/>
  <c r="AC118" i="6" s="1"/>
  <c r="U119" i="6"/>
  <c r="AC119" i="6" s="1"/>
  <c r="U120" i="6"/>
  <c r="AC120" i="6" s="1"/>
  <c r="U121" i="6"/>
  <c r="AC121" i="6" s="1"/>
  <c r="U122" i="6"/>
  <c r="AC122" i="6" s="1"/>
  <c r="U123" i="6"/>
  <c r="AC123" i="6" s="1"/>
  <c r="U124" i="6"/>
  <c r="AC124" i="6" s="1"/>
  <c r="U125" i="6"/>
  <c r="AC125" i="6" s="1"/>
  <c r="U126" i="6"/>
  <c r="AC126" i="6" s="1"/>
  <c r="U127" i="6"/>
  <c r="AC127" i="6" s="1"/>
  <c r="U128" i="6"/>
  <c r="AC128" i="6" s="1"/>
  <c r="U129" i="6"/>
  <c r="AC129" i="6" s="1"/>
  <c r="U130" i="6"/>
  <c r="AC130" i="6" s="1"/>
  <c r="U131" i="6"/>
  <c r="AC131" i="6" s="1"/>
  <c r="U132" i="6"/>
  <c r="AC132" i="6" s="1"/>
  <c r="U133" i="6"/>
  <c r="AC133" i="6" s="1"/>
  <c r="U134" i="6"/>
  <c r="AC134" i="6" s="1"/>
  <c r="U135" i="6"/>
  <c r="AC135" i="6" s="1"/>
  <c r="U136" i="6"/>
  <c r="AC136" i="6" s="1"/>
  <c r="U137" i="6"/>
  <c r="AC137" i="6" s="1"/>
  <c r="U138" i="6"/>
  <c r="AC138" i="6" s="1"/>
  <c r="U139" i="6"/>
  <c r="AC139" i="6" s="1"/>
  <c r="U140" i="6"/>
  <c r="AC140" i="6" s="1"/>
  <c r="U141" i="6"/>
  <c r="AC141" i="6" s="1"/>
  <c r="U142" i="6"/>
  <c r="AC142" i="6" s="1"/>
  <c r="U143" i="6"/>
  <c r="AC143" i="6" s="1"/>
  <c r="U144" i="6"/>
  <c r="AC144" i="6" s="1"/>
  <c r="U145" i="6"/>
  <c r="AC145" i="6" s="1"/>
  <c r="U146" i="6"/>
  <c r="AC146" i="6" s="1"/>
  <c r="U147" i="6"/>
  <c r="AC147" i="6" s="1"/>
  <c r="U148" i="6"/>
  <c r="AC148" i="6" s="1"/>
  <c r="U149" i="6"/>
  <c r="AC149" i="6" s="1"/>
  <c r="U150" i="6"/>
  <c r="AC150" i="6" s="1"/>
  <c r="U151" i="6"/>
  <c r="AC151" i="6" s="1"/>
  <c r="U152" i="6"/>
  <c r="AC152" i="6" s="1"/>
  <c r="U153" i="6"/>
  <c r="AC153" i="6" s="1"/>
  <c r="U154" i="6"/>
  <c r="AC154" i="6" s="1"/>
  <c r="U155" i="6"/>
  <c r="AC155" i="6" s="1"/>
  <c r="U156" i="6"/>
  <c r="AC156" i="6" s="1"/>
  <c r="U157" i="6"/>
  <c r="AC157" i="6" s="1"/>
  <c r="U158" i="6"/>
  <c r="AC158" i="6" s="1"/>
  <c r="U159" i="6"/>
  <c r="AC159" i="6" s="1"/>
  <c r="U160" i="6"/>
  <c r="AC160" i="6" s="1"/>
  <c r="U161" i="6"/>
  <c r="AC161" i="6" s="1"/>
  <c r="U162" i="6"/>
  <c r="AC162" i="6" s="1"/>
  <c r="U163" i="6"/>
  <c r="AC163" i="6" s="1"/>
  <c r="U164" i="6"/>
  <c r="AC164" i="6" s="1"/>
  <c r="U165" i="6"/>
  <c r="AC165" i="6" s="1"/>
  <c r="U166" i="6"/>
  <c r="AC166" i="6" s="1"/>
  <c r="U167" i="6"/>
  <c r="AC167" i="6" s="1"/>
  <c r="U168" i="6"/>
  <c r="AC168" i="6" s="1"/>
  <c r="U169" i="6"/>
  <c r="AC169" i="6" s="1"/>
  <c r="U170" i="6"/>
  <c r="AC170" i="6" s="1"/>
  <c r="U171" i="6"/>
  <c r="AC171" i="6" s="1"/>
  <c r="U172" i="6"/>
  <c r="AC172" i="6" s="1"/>
  <c r="U173" i="6"/>
  <c r="AC173" i="6" s="1"/>
  <c r="U174" i="6"/>
  <c r="AC174" i="6" s="1"/>
  <c r="U175" i="6"/>
  <c r="AC175" i="6" s="1"/>
  <c r="U176" i="6"/>
  <c r="AC176" i="6" s="1"/>
  <c r="U177" i="6"/>
  <c r="AC177" i="6" s="1"/>
  <c r="U178" i="6"/>
  <c r="AC178" i="6" s="1"/>
  <c r="U179" i="6"/>
  <c r="AC179" i="6" s="1"/>
  <c r="U180" i="6"/>
  <c r="AC180" i="6" s="1"/>
  <c r="U181" i="6"/>
  <c r="AC181" i="6" s="1"/>
  <c r="U182" i="6"/>
  <c r="AC182" i="6" s="1"/>
  <c r="U183" i="6"/>
  <c r="AC183" i="6" s="1"/>
  <c r="U184" i="6"/>
  <c r="AC184" i="6" s="1"/>
  <c r="U185" i="6"/>
  <c r="AC185" i="6" s="1"/>
  <c r="U186" i="6"/>
  <c r="AC186" i="6" s="1"/>
  <c r="U187" i="6"/>
  <c r="AC187" i="6" s="1"/>
  <c r="U188" i="6"/>
  <c r="AC188" i="6" s="1"/>
  <c r="U189" i="6"/>
  <c r="AC189" i="6" s="1"/>
  <c r="U190" i="6"/>
  <c r="AC190" i="6" s="1"/>
  <c r="U191" i="6"/>
  <c r="AC191" i="6" s="1"/>
  <c r="U192" i="6"/>
  <c r="AC192" i="6" s="1"/>
  <c r="U193" i="6"/>
  <c r="AC193" i="6" s="1"/>
  <c r="U194" i="6"/>
  <c r="AC194" i="6" s="1"/>
  <c r="U195" i="6"/>
  <c r="AC195" i="6" s="1"/>
  <c r="U196" i="6"/>
  <c r="AC196" i="6" s="1"/>
  <c r="U197" i="6"/>
  <c r="AC197" i="6" s="1"/>
  <c r="U198" i="6"/>
  <c r="AC198" i="6" s="1"/>
  <c r="U199" i="6"/>
  <c r="AC199" i="6" s="1"/>
  <c r="U200" i="6"/>
  <c r="AC200" i="6" s="1"/>
  <c r="U201" i="6"/>
  <c r="AC201" i="6" s="1"/>
  <c r="U202" i="6"/>
  <c r="AC202" i="6" s="1"/>
  <c r="U203" i="6"/>
  <c r="AC203" i="6" s="1"/>
  <c r="U204" i="6"/>
  <c r="AC204" i="6" s="1"/>
  <c r="U205" i="6"/>
  <c r="AC205" i="6" s="1"/>
  <c r="U206" i="6"/>
  <c r="AC206" i="6" s="1"/>
  <c r="U207" i="6"/>
  <c r="AC207" i="6" s="1"/>
  <c r="U208" i="6"/>
  <c r="AC208" i="6" s="1"/>
  <c r="U209" i="6"/>
  <c r="AC209" i="6" s="1"/>
  <c r="U210" i="6"/>
  <c r="AC210" i="6" s="1"/>
  <c r="U211" i="6"/>
  <c r="AC211" i="6" s="1"/>
  <c r="U212" i="6"/>
  <c r="AC212" i="6" s="1"/>
  <c r="U213" i="6"/>
  <c r="AC213" i="6" s="1"/>
  <c r="U214" i="6"/>
  <c r="AC214" i="6" s="1"/>
  <c r="U215" i="6"/>
  <c r="AC215" i="6" s="1"/>
  <c r="U216" i="6"/>
  <c r="AC216" i="6" s="1"/>
  <c r="U217" i="6"/>
  <c r="AC217" i="6" s="1"/>
  <c r="U218" i="6"/>
  <c r="AC218" i="6" s="1"/>
  <c r="U219" i="6"/>
  <c r="AC219" i="6" s="1"/>
  <c r="U220" i="6"/>
  <c r="AC220" i="6" s="1"/>
  <c r="U221" i="6"/>
  <c r="AC221" i="6" s="1"/>
  <c r="U222" i="6"/>
  <c r="AC222" i="6" s="1"/>
  <c r="U223" i="6"/>
  <c r="AC223" i="6" s="1"/>
  <c r="U224" i="6"/>
  <c r="AC224" i="6" s="1"/>
  <c r="U225" i="6"/>
  <c r="AC225" i="6" s="1"/>
  <c r="U226" i="6"/>
  <c r="AC226" i="6" s="1"/>
  <c r="U227" i="6"/>
  <c r="AC227" i="6" s="1"/>
  <c r="U228" i="6"/>
  <c r="AC228" i="6" s="1"/>
  <c r="U229" i="6"/>
  <c r="AC229" i="6" s="1"/>
  <c r="U230" i="6"/>
  <c r="AC230" i="6" s="1"/>
  <c r="U231" i="6"/>
  <c r="AC231" i="6" s="1"/>
  <c r="U232" i="6"/>
  <c r="AC232" i="6" s="1"/>
  <c r="U233" i="6"/>
  <c r="AC233" i="6" s="1"/>
  <c r="U234" i="6"/>
  <c r="AC234" i="6" s="1"/>
  <c r="U235" i="6"/>
  <c r="AC235" i="6" s="1"/>
  <c r="U236" i="6"/>
  <c r="AC236" i="6" s="1"/>
  <c r="U237" i="6"/>
  <c r="AC237" i="6" s="1"/>
  <c r="U238" i="6"/>
  <c r="AC238" i="6" s="1"/>
  <c r="U239" i="6"/>
  <c r="AC239" i="6" s="1"/>
  <c r="U240" i="6"/>
  <c r="AC240" i="6" s="1"/>
  <c r="U241" i="6"/>
  <c r="AC241" i="6" s="1"/>
  <c r="U242" i="6"/>
  <c r="AC242" i="6" s="1"/>
  <c r="U243" i="6"/>
  <c r="AC243" i="6" s="1"/>
  <c r="U244" i="6"/>
  <c r="AC244" i="6" s="1"/>
  <c r="U245" i="6"/>
  <c r="AC245" i="6" s="1"/>
  <c r="U246" i="6"/>
  <c r="AC246" i="6" s="1"/>
  <c r="U247" i="6"/>
  <c r="AC247" i="6" s="1"/>
  <c r="U248" i="6"/>
  <c r="AC248" i="6" s="1"/>
  <c r="U249" i="6"/>
  <c r="AC249" i="6" s="1"/>
  <c r="U250" i="6"/>
  <c r="AC250" i="6" s="1"/>
  <c r="U251" i="6"/>
  <c r="AC251" i="6" s="1"/>
  <c r="U252" i="6"/>
  <c r="AC252" i="6" s="1"/>
  <c r="U253" i="6"/>
  <c r="AC253" i="6" s="1"/>
  <c r="U254" i="6"/>
  <c r="AC254" i="6" s="1"/>
  <c r="U255" i="6"/>
  <c r="AC255" i="6" s="1"/>
  <c r="U256" i="6"/>
  <c r="AC256" i="6" s="1"/>
  <c r="U257" i="6"/>
  <c r="AC257" i="6" s="1"/>
  <c r="U258" i="6"/>
  <c r="AC258" i="6" s="1"/>
  <c r="U259" i="6"/>
  <c r="AC259" i="6" s="1"/>
  <c r="U260" i="6"/>
  <c r="AC260" i="6" s="1"/>
  <c r="U261" i="6"/>
  <c r="AC261" i="6" s="1"/>
  <c r="U262" i="6"/>
  <c r="AC262" i="6" s="1"/>
  <c r="U263" i="6"/>
  <c r="AC263" i="6" s="1"/>
  <c r="U264" i="6"/>
  <c r="AC264" i="6" s="1"/>
  <c r="U265" i="6"/>
  <c r="AC265" i="6" s="1"/>
  <c r="U266" i="6"/>
  <c r="AC266" i="6" s="1"/>
  <c r="U267" i="6"/>
  <c r="AC267" i="6" s="1"/>
  <c r="U268" i="6"/>
  <c r="AC268" i="6" s="1"/>
  <c r="U269" i="6"/>
  <c r="AC269" i="6" s="1"/>
  <c r="U270" i="6"/>
  <c r="AC270" i="6" s="1"/>
  <c r="U271" i="6"/>
  <c r="AC271" i="6" s="1"/>
  <c r="U272" i="6"/>
  <c r="AC272" i="6" s="1"/>
  <c r="U273" i="6"/>
  <c r="AC273" i="6" s="1"/>
  <c r="U274" i="6"/>
  <c r="AC274" i="6" s="1"/>
  <c r="U275" i="6"/>
  <c r="AC275" i="6" s="1"/>
  <c r="U276" i="6"/>
  <c r="AC276" i="6" s="1"/>
  <c r="U277" i="6"/>
  <c r="AC277" i="6" s="1"/>
  <c r="U278" i="6"/>
  <c r="AC278" i="6" s="1"/>
  <c r="U279" i="6"/>
  <c r="AC279" i="6" s="1"/>
  <c r="U280" i="6"/>
  <c r="AC280" i="6" s="1"/>
  <c r="U281" i="6"/>
  <c r="AC281" i="6" s="1"/>
  <c r="U282" i="6"/>
  <c r="AC282" i="6" s="1"/>
  <c r="U283" i="6"/>
  <c r="AC283" i="6" s="1"/>
  <c r="U284" i="6"/>
  <c r="AC284" i="6" s="1"/>
  <c r="U285" i="6"/>
  <c r="AC285" i="6" s="1"/>
  <c r="U286" i="6"/>
  <c r="AC286" i="6" s="1"/>
  <c r="U287" i="6"/>
  <c r="AC287" i="6" s="1"/>
  <c r="U288" i="6"/>
  <c r="AC288" i="6" s="1"/>
  <c r="U289" i="6"/>
  <c r="AC289" i="6" s="1"/>
  <c r="U290" i="6"/>
  <c r="AC290" i="6" s="1"/>
  <c r="U291" i="6"/>
  <c r="AC291" i="6" s="1"/>
  <c r="U292" i="6"/>
  <c r="AC292" i="6" s="1"/>
  <c r="U293" i="6"/>
  <c r="AC293" i="6" s="1"/>
  <c r="U294" i="6"/>
  <c r="AC294" i="6" s="1"/>
  <c r="U295" i="6"/>
  <c r="AC295" i="6" s="1"/>
  <c r="U296" i="6"/>
  <c r="AC296" i="6" s="1"/>
  <c r="U297" i="6"/>
  <c r="AC297" i="6" s="1"/>
  <c r="U298" i="6"/>
  <c r="AC298" i="6" s="1"/>
  <c r="U299" i="6"/>
  <c r="AC299" i="6" s="1"/>
  <c r="U300" i="6"/>
  <c r="AC300" i="6" s="1"/>
  <c r="U301" i="6"/>
  <c r="AC301" i="6" s="1"/>
  <c r="U302" i="6"/>
  <c r="AC302" i="6" s="1"/>
  <c r="U303" i="6"/>
  <c r="AC303" i="6" s="1"/>
  <c r="U304" i="6"/>
  <c r="AC304" i="6" s="1"/>
  <c r="U305" i="6"/>
  <c r="AC305" i="6" s="1"/>
  <c r="U306" i="6"/>
  <c r="AC306" i="6" s="1"/>
  <c r="U307" i="6"/>
  <c r="AC307" i="6" s="1"/>
  <c r="U308" i="6"/>
  <c r="AC308" i="6" s="1"/>
  <c r="U309" i="6"/>
  <c r="AC309" i="6" s="1"/>
  <c r="U310" i="6"/>
  <c r="AC310" i="6" s="1"/>
  <c r="U311" i="6"/>
  <c r="AC311" i="6" s="1"/>
  <c r="U312" i="6"/>
  <c r="AC312" i="6" s="1"/>
  <c r="U313" i="6"/>
  <c r="AC313" i="6" s="1"/>
  <c r="U314" i="6"/>
  <c r="AC314" i="6" s="1"/>
  <c r="U315" i="6"/>
  <c r="AC315" i="6" s="1"/>
  <c r="U316" i="6"/>
  <c r="AC316" i="6" s="1"/>
  <c r="U317" i="6"/>
  <c r="AC317" i="6" s="1"/>
  <c r="U318" i="6"/>
  <c r="AC318" i="6" s="1"/>
  <c r="U319" i="6"/>
  <c r="AC319" i="6" s="1"/>
  <c r="U320" i="6"/>
  <c r="AC320" i="6" s="1"/>
  <c r="U321" i="6"/>
  <c r="AC321" i="6" s="1"/>
  <c r="U322" i="6"/>
  <c r="AC322" i="6" s="1"/>
  <c r="U323" i="6"/>
  <c r="AC323" i="6" s="1"/>
  <c r="U324" i="6"/>
  <c r="AC324" i="6" s="1"/>
  <c r="U325" i="6"/>
  <c r="AC325" i="6" s="1"/>
  <c r="U326" i="6"/>
  <c r="AC326" i="6" s="1"/>
  <c r="U327" i="6"/>
  <c r="AC327" i="6" s="1"/>
  <c r="U328" i="6"/>
  <c r="AC328" i="6" s="1"/>
  <c r="U329" i="6"/>
  <c r="AC329" i="6" s="1"/>
  <c r="U330" i="6"/>
  <c r="AC330" i="6" s="1"/>
  <c r="U331" i="6"/>
  <c r="AC331" i="6" s="1"/>
  <c r="U332" i="6"/>
  <c r="AC332" i="6" s="1"/>
  <c r="U333" i="6"/>
  <c r="AC333" i="6" s="1"/>
  <c r="U334" i="6"/>
  <c r="AC334" i="6" s="1"/>
  <c r="U335" i="6"/>
  <c r="AC335" i="6" s="1"/>
  <c r="U336" i="6"/>
  <c r="AC336" i="6" s="1"/>
  <c r="U337" i="6"/>
  <c r="AC337" i="6" s="1"/>
  <c r="U338" i="6"/>
  <c r="AC338" i="6" s="1"/>
  <c r="U339" i="6"/>
  <c r="AC339" i="6" s="1"/>
  <c r="U340" i="6"/>
  <c r="AC340" i="6" s="1"/>
  <c r="U341" i="6"/>
  <c r="AC341" i="6" s="1"/>
  <c r="U342" i="6"/>
  <c r="AC342" i="6" s="1"/>
  <c r="U343" i="6"/>
  <c r="AC343" i="6" s="1"/>
  <c r="U344" i="6"/>
  <c r="AC344" i="6" s="1"/>
  <c r="U345" i="6"/>
  <c r="AC345" i="6" s="1"/>
  <c r="U346" i="6"/>
  <c r="AC346" i="6" s="1"/>
  <c r="U347" i="6"/>
  <c r="AC347" i="6" s="1"/>
  <c r="U348" i="6"/>
  <c r="AC348" i="6" s="1"/>
  <c r="U349" i="6"/>
  <c r="AC349" i="6" s="1"/>
  <c r="U350" i="6"/>
  <c r="AC350" i="6" s="1"/>
  <c r="U351" i="6"/>
  <c r="AC351" i="6" s="1"/>
  <c r="U352" i="6"/>
  <c r="AC352" i="6" s="1"/>
  <c r="U353" i="6"/>
  <c r="AC353" i="6" s="1"/>
  <c r="U354" i="6"/>
  <c r="AC354" i="6" s="1"/>
  <c r="U355" i="6"/>
  <c r="AC355" i="6" s="1"/>
  <c r="U356" i="6"/>
  <c r="AC356" i="6" s="1"/>
  <c r="U357" i="6"/>
  <c r="AC357" i="6" s="1"/>
  <c r="U358" i="6"/>
  <c r="AC358" i="6" s="1"/>
  <c r="U359" i="6"/>
  <c r="AC359" i="6" s="1"/>
  <c r="U360" i="6"/>
  <c r="AC360" i="6" s="1"/>
  <c r="U361" i="6"/>
  <c r="AC361" i="6" s="1"/>
  <c r="U362" i="6"/>
  <c r="AC362" i="6" s="1"/>
  <c r="U363" i="6"/>
  <c r="AC363" i="6" s="1"/>
  <c r="U364" i="6"/>
  <c r="AC364" i="6" s="1"/>
  <c r="U365" i="6"/>
  <c r="AC365" i="6" s="1"/>
  <c r="U366" i="6"/>
  <c r="AC366" i="6" s="1"/>
  <c r="U367" i="6"/>
  <c r="AC367" i="6" s="1"/>
  <c r="U368" i="6"/>
  <c r="AC368" i="6" s="1"/>
  <c r="U369" i="6"/>
  <c r="AC369" i="6" s="1"/>
  <c r="U370" i="6"/>
  <c r="AC370" i="6" s="1"/>
  <c r="U371" i="6"/>
  <c r="AC371" i="6" s="1"/>
  <c r="U372" i="6"/>
  <c r="AC372" i="6" s="1"/>
  <c r="U373" i="6"/>
  <c r="AC373" i="6" s="1"/>
  <c r="U374" i="6"/>
  <c r="AC374" i="6" s="1"/>
  <c r="U375" i="6"/>
  <c r="AC375" i="6" s="1"/>
  <c r="U376" i="6"/>
  <c r="AC376" i="6" s="1"/>
  <c r="U377" i="6"/>
  <c r="AC377" i="6" s="1"/>
  <c r="U378" i="6"/>
  <c r="AC378" i="6" s="1"/>
  <c r="U379" i="6"/>
  <c r="AC379" i="6" s="1"/>
  <c r="U380" i="6"/>
  <c r="AC380" i="6" s="1"/>
  <c r="U381" i="6"/>
  <c r="AC381" i="6" s="1"/>
  <c r="U382" i="6"/>
  <c r="AC382" i="6" s="1"/>
  <c r="U383" i="6"/>
  <c r="AC383" i="6" s="1"/>
  <c r="U384" i="6"/>
  <c r="AC384" i="6" s="1"/>
  <c r="U385" i="6"/>
  <c r="AC385" i="6" s="1"/>
  <c r="U386" i="6"/>
  <c r="AC386" i="6" s="1"/>
  <c r="U387" i="6"/>
  <c r="AC387" i="6" s="1"/>
  <c r="U388" i="6"/>
  <c r="AC388" i="6" s="1"/>
  <c r="U389" i="6"/>
  <c r="AC389" i="6" s="1"/>
  <c r="U390" i="6"/>
  <c r="AC390" i="6" s="1"/>
  <c r="U391" i="6"/>
  <c r="AC391" i="6" s="1"/>
  <c r="U392" i="6"/>
  <c r="AC392" i="6" s="1"/>
  <c r="U393" i="6"/>
  <c r="AC393" i="6" s="1"/>
  <c r="U394" i="6"/>
  <c r="AC394" i="6" s="1"/>
  <c r="U395" i="6"/>
  <c r="AC395" i="6" s="1"/>
  <c r="U396" i="6"/>
  <c r="AC396" i="6" s="1"/>
  <c r="U397" i="6"/>
  <c r="AC397" i="6" s="1"/>
  <c r="U398" i="6"/>
  <c r="AC398" i="6" s="1"/>
  <c r="U399" i="6"/>
  <c r="AC399" i="6" s="1"/>
  <c r="U400" i="6"/>
  <c r="AC400" i="6" s="1"/>
  <c r="U401" i="6"/>
  <c r="AC401" i="6" s="1"/>
  <c r="U402" i="6"/>
  <c r="AC402" i="6" s="1"/>
  <c r="U403" i="6"/>
  <c r="AC403" i="6" s="1"/>
  <c r="U404" i="6"/>
  <c r="AC404" i="6" s="1"/>
  <c r="U405" i="6"/>
  <c r="AC405" i="6" s="1"/>
  <c r="U406" i="6"/>
  <c r="AC406" i="6" s="1"/>
  <c r="U407" i="6"/>
  <c r="AC407" i="6" s="1"/>
  <c r="U408" i="6"/>
  <c r="AC408" i="6" s="1"/>
  <c r="U409" i="6"/>
  <c r="AC409" i="6" s="1"/>
  <c r="U410" i="6"/>
  <c r="AC410" i="6" s="1"/>
  <c r="U411" i="6"/>
  <c r="AC411" i="6" s="1"/>
  <c r="U412" i="6"/>
  <c r="AC412" i="6" s="1"/>
  <c r="U413" i="6"/>
  <c r="AC413" i="6" s="1"/>
  <c r="U414" i="6"/>
  <c r="AC414" i="6" s="1"/>
  <c r="U415" i="6"/>
  <c r="AC415" i="6" s="1"/>
  <c r="U416" i="6"/>
  <c r="AC416" i="6" s="1"/>
  <c r="U417" i="6"/>
  <c r="AC417" i="6" s="1"/>
  <c r="U418" i="6"/>
  <c r="AC418" i="6" s="1"/>
  <c r="U419" i="6"/>
  <c r="AC419" i="6" s="1"/>
  <c r="U420" i="6"/>
  <c r="AC420" i="6" s="1"/>
  <c r="U421" i="6"/>
  <c r="AC421" i="6" s="1"/>
  <c r="U422" i="6"/>
  <c r="AC422" i="6" s="1"/>
  <c r="U423" i="6"/>
  <c r="AC423" i="6" s="1"/>
  <c r="U424" i="6"/>
  <c r="AC424" i="6" s="1"/>
  <c r="U425" i="6"/>
  <c r="AC425" i="6" s="1"/>
  <c r="U426" i="6"/>
  <c r="AC426" i="6" s="1"/>
  <c r="U427" i="6"/>
  <c r="AC427" i="6" s="1"/>
  <c r="U428" i="6"/>
  <c r="AC428" i="6" s="1"/>
  <c r="U429" i="6"/>
  <c r="AC429" i="6" s="1"/>
  <c r="U430" i="6"/>
  <c r="AC430" i="6" s="1"/>
  <c r="U431" i="6"/>
  <c r="AC431" i="6" s="1"/>
  <c r="U432" i="6"/>
  <c r="AC432" i="6" s="1"/>
  <c r="U433" i="6"/>
  <c r="AC433" i="6" s="1"/>
  <c r="U434" i="6"/>
  <c r="AC434" i="6" s="1"/>
  <c r="U435" i="6"/>
  <c r="AC435" i="6" s="1"/>
  <c r="U436" i="6"/>
  <c r="AC436" i="6" s="1"/>
  <c r="U437" i="6"/>
  <c r="AC437" i="6" s="1"/>
  <c r="U438" i="6"/>
  <c r="AC438" i="6" s="1"/>
  <c r="U439" i="6"/>
  <c r="AC439" i="6" s="1"/>
  <c r="U440" i="6"/>
  <c r="AC440" i="6" s="1"/>
  <c r="U441" i="6"/>
  <c r="AC441" i="6" s="1"/>
  <c r="U442" i="6"/>
  <c r="AC442" i="6" s="1"/>
  <c r="U443" i="6"/>
  <c r="AC443" i="6" s="1"/>
  <c r="U444" i="6"/>
  <c r="AC444" i="6" s="1"/>
  <c r="U445" i="6"/>
  <c r="AC445" i="6" s="1"/>
  <c r="U446" i="6"/>
  <c r="AC446" i="6" s="1"/>
  <c r="U447" i="6"/>
  <c r="AC447" i="6" s="1"/>
  <c r="U448" i="6"/>
  <c r="AC448" i="6" s="1"/>
  <c r="U449" i="6"/>
  <c r="AC449" i="6" s="1"/>
  <c r="U450" i="6"/>
  <c r="AC450" i="6" s="1"/>
  <c r="U451" i="6"/>
  <c r="AC451" i="6" s="1"/>
  <c r="U452" i="6"/>
  <c r="AC452" i="6" s="1"/>
  <c r="U453" i="6"/>
  <c r="AC453" i="6" s="1"/>
  <c r="U454" i="6"/>
  <c r="AC454" i="6" s="1"/>
  <c r="U455" i="6"/>
  <c r="AC455" i="6" s="1"/>
  <c r="U456" i="6"/>
  <c r="AC456" i="6" s="1"/>
  <c r="U457" i="6"/>
  <c r="AC457" i="6" s="1"/>
  <c r="U458" i="6"/>
  <c r="AC458" i="6" s="1"/>
  <c r="U459" i="6"/>
  <c r="AC459" i="6" s="1"/>
  <c r="U460" i="6"/>
  <c r="AC460" i="6" s="1"/>
  <c r="U461" i="6"/>
  <c r="AC461" i="6" s="1"/>
  <c r="U462" i="6"/>
  <c r="AC462" i="6" s="1"/>
  <c r="U463" i="6"/>
  <c r="AC463" i="6" s="1"/>
  <c r="U464" i="6"/>
  <c r="AC464" i="6" s="1"/>
  <c r="U465" i="6"/>
  <c r="AC465" i="6" s="1"/>
  <c r="U466" i="6"/>
  <c r="AC466" i="6" s="1"/>
  <c r="U467" i="6"/>
  <c r="AC467" i="6" s="1"/>
  <c r="U468" i="6"/>
  <c r="AC468" i="6" s="1"/>
  <c r="U469" i="6"/>
  <c r="AC469" i="6" s="1"/>
  <c r="U470" i="6"/>
  <c r="AC470" i="6" s="1"/>
  <c r="U471" i="6"/>
  <c r="AC471" i="6" s="1"/>
  <c r="U472" i="6"/>
  <c r="AC472" i="6" s="1"/>
  <c r="U473" i="6"/>
  <c r="AC473" i="6" s="1"/>
  <c r="U474" i="6"/>
  <c r="AC474" i="6" s="1"/>
  <c r="U475" i="6"/>
  <c r="AC475" i="6" s="1"/>
  <c r="U476" i="6"/>
  <c r="AC476" i="6" s="1"/>
  <c r="U477" i="6"/>
  <c r="AC477" i="6" s="1"/>
  <c r="U478" i="6"/>
  <c r="AC478" i="6" s="1"/>
  <c r="U479" i="6"/>
  <c r="AC479" i="6" s="1"/>
  <c r="U480" i="6"/>
  <c r="AC480" i="6" s="1"/>
  <c r="U481" i="6"/>
  <c r="AC481" i="6" s="1"/>
  <c r="U482" i="6"/>
  <c r="AC482" i="6" s="1"/>
  <c r="U483" i="6"/>
  <c r="AC483" i="6" s="1"/>
  <c r="U484" i="6"/>
  <c r="AC484" i="6" s="1"/>
  <c r="U485" i="6"/>
  <c r="AC485" i="6" s="1"/>
  <c r="U486" i="6"/>
  <c r="AC486" i="6" s="1"/>
  <c r="U487" i="6"/>
  <c r="AC487" i="6" s="1"/>
  <c r="U488" i="6"/>
  <c r="AC488" i="6" s="1"/>
  <c r="U489" i="6"/>
  <c r="AC489" i="6" s="1"/>
  <c r="U490" i="6"/>
  <c r="AC490" i="6" s="1"/>
  <c r="U491" i="6"/>
  <c r="AC491" i="6" s="1"/>
  <c r="U492" i="6"/>
  <c r="AC492" i="6" s="1"/>
  <c r="U493" i="6"/>
  <c r="AC493" i="6" s="1"/>
  <c r="U494" i="6"/>
  <c r="AC494" i="6" s="1"/>
  <c r="U495" i="6"/>
  <c r="AC495" i="6" s="1"/>
  <c r="U496" i="6"/>
  <c r="AC496" i="6" s="1"/>
  <c r="U497" i="6"/>
  <c r="AC497" i="6" s="1"/>
  <c r="U498" i="6"/>
  <c r="AC498" i="6" s="1"/>
  <c r="U499" i="6"/>
  <c r="AC499" i="6" s="1"/>
  <c r="U500" i="6"/>
  <c r="AC500" i="6" s="1"/>
  <c r="U501" i="6"/>
  <c r="AC501" i="6" s="1"/>
  <c r="U502" i="6"/>
  <c r="AC502" i="6" s="1"/>
  <c r="U503" i="6"/>
  <c r="AC503" i="6" s="1"/>
  <c r="U504" i="6"/>
  <c r="AC504" i="6" s="1"/>
  <c r="U505" i="6"/>
  <c r="AC505" i="6" s="1"/>
  <c r="U506" i="6"/>
  <c r="AC506" i="6" s="1"/>
  <c r="U507" i="6"/>
  <c r="AC507" i="6" s="1"/>
  <c r="U508" i="6"/>
  <c r="AC508" i="6" s="1"/>
  <c r="U509" i="6"/>
  <c r="AC509" i="6" s="1"/>
  <c r="U510" i="6"/>
  <c r="AC510" i="6" s="1"/>
  <c r="U511" i="6"/>
  <c r="AC511" i="6" s="1"/>
  <c r="U512" i="6"/>
  <c r="AC512" i="6" s="1"/>
  <c r="U513" i="6"/>
  <c r="AC513" i="6" s="1"/>
  <c r="U514" i="6"/>
  <c r="AC514" i="6" s="1"/>
  <c r="U515" i="6"/>
  <c r="AC515" i="6" s="1"/>
  <c r="U516" i="6"/>
  <c r="AC516" i="6" s="1"/>
  <c r="U517" i="6"/>
  <c r="AC517" i="6" s="1"/>
  <c r="U518" i="6"/>
  <c r="AC518" i="6" s="1"/>
  <c r="U519" i="6"/>
  <c r="AC519" i="6" s="1"/>
  <c r="U520" i="6"/>
  <c r="AC520" i="6" s="1"/>
  <c r="U521" i="6"/>
  <c r="AC521" i="6" s="1"/>
  <c r="U522" i="6"/>
  <c r="AC522" i="6" s="1"/>
  <c r="U523" i="6"/>
  <c r="AC523" i="6" s="1"/>
  <c r="U524" i="6"/>
  <c r="AC524" i="6" s="1"/>
  <c r="U525" i="6"/>
  <c r="AC525" i="6" s="1"/>
  <c r="U526" i="6"/>
  <c r="AC526" i="6" s="1"/>
  <c r="U527" i="6"/>
  <c r="AC527" i="6" s="1"/>
  <c r="U528" i="6"/>
  <c r="AC528" i="6" s="1"/>
  <c r="U529" i="6"/>
  <c r="AC529" i="6" s="1"/>
  <c r="U530" i="6"/>
  <c r="AC530" i="6" s="1"/>
  <c r="U531" i="6"/>
  <c r="AC531" i="6" s="1"/>
  <c r="U532" i="6"/>
  <c r="AC532" i="6" s="1"/>
  <c r="U533" i="6"/>
  <c r="AC533" i="6" s="1"/>
  <c r="U534" i="6"/>
  <c r="AC534" i="6" s="1"/>
  <c r="U535" i="6"/>
  <c r="AC535" i="6" s="1"/>
  <c r="U536" i="6"/>
  <c r="AC536" i="6" s="1"/>
  <c r="U537" i="6"/>
  <c r="AC537" i="6" s="1"/>
  <c r="U538" i="6"/>
  <c r="AC538" i="6" s="1"/>
  <c r="U539" i="6"/>
  <c r="AC539" i="6" s="1"/>
  <c r="U540" i="6"/>
  <c r="AC540" i="6" s="1"/>
  <c r="U541" i="6"/>
  <c r="AC541" i="6" s="1"/>
  <c r="U542" i="6"/>
  <c r="AC542" i="6" s="1"/>
  <c r="U543" i="6"/>
  <c r="AC543" i="6" s="1"/>
  <c r="U544" i="6"/>
  <c r="AC544" i="6" s="1"/>
  <c r="U545" i="6"/>
  <c r="AC545" i="6" s="1"/>
  <c r="U546" i="6"/>
  <c r="AC546" i="6" s="1"/>
  <c r="U547" i="6"/>
  <c r="AC547" i="6" s="1"/>
  <c r="U548" i="6"/>
  <c r="AC548" i="6" s="1"/>
  <c r="U549" i="6"/>
  <c r="AC549" i="6" s="1"/>
  <c r="U550" i="6"/>
  <c r="AC550" i="6" s="1"/>
  <c r="U551" i="6"/>
  <c r="AC551" i="6" s="1"/>
  <c r="U552" i="6"/>
  <c r="AC552" i="6" s="1"/>
  <c r="U553" i="6"/>
  <c r="AC553" i="6" s="1"/>
  <c r="U554" i="6"/>
  <c r="AC554" i="6" s="1"/>
  <c r="U555" i="6"/>
  <c r="AC555" i="6" s="1"/>
  <c r="U556" i="6"/>
  <c r="AC556" i="6" s="1"/>
  <c r="U557" i="6"/>
  <c r="AC557" i="6" s="1"/>
  <c r="U558" i="6"/>
  <c r="AC558" i="6" s="1"/>
  <c r="U559" i="6"/>
  <c r="AC559" i="6" s="1"/>
  <c r="U560" i="6"/>
  <c r="AC560" i="6" s="1"/>
  <c r="U561" i="6"/>
  <c r="AC561" i="6" s="1"/>
  <c r="U562" i="6"/>
  <c r="AC562" i="6" s="1"/>
  <c r="U563" i="6"/>
  <c r="AC563" i="6" s="1"/>
  <c r="U564" i="6"/>
  <c r="AC564" i="6" s="1"/>
  <c r="U565" i="6"/>
  <c r="AC565" i="6" s="1"/>
  <c r="U566" i="6"/>
  <c r="AC566" i="6" s="1"/>
  <c r="U567" i="6"/>
  <c r="AC567" i="6" s="1"/>
  <c r="U568" i="6"/>
  <c r="AC568" i="6" s="1"/>
  <c r="U569" i="6"/>
  <c r="AC569" i="6" s="1"/>
  <c r="U570" i="6"/>
  <c r="AC570" i="6" s="1"/>
  <c r="U571" i="6"/>
  <c r="AC571" i="6" s="1"/>
  <c r="U572" i="6"/>
  <c r="AC572" i="6" s="1"/>
  <c r="U573" i="6"/>
  <c r="AC573" i="6" s="1"/>
  <c r="U574" i="6"/>
  <c r="AC574" i="6" s="1"/>
  <c r="U575" i="6"/>
  <c r="AC575" i="6" s="1"/>
  <c r="U576" i="6"/>
  <c r="AC576" i="6" s="1"/>
  <c r="U577" i="6"/>
  <c r="AC577" i="6" s="1"/>
  <c r="U578" i="6"/>
  <c r="AC578" i="6" s="1"/>
  <c r="U579" i="6"/>
  <c r="AC579" i="6" s="1"/>
  <c r="U580" i="6"/>
  <c r="AC580" i="6" s="1"/>
  <c r="U581" i="6"/>
  <c r="AC581" i="6" s="1"/>
  <c r="U582" i="6"/>
  <c r="AC582" i="6" s="1"/>
  <c r="U583" i="6"/>
  <c r="AC583" i="6" s="1"/>
  <c r="U584" i="6"/>
  <c r="AC584" i="6" s="1"/>
  <c r="U585" i="6"/>
  <c r="AC585" i="6" s="1"/>
  <c r="U586" i="6"/>
  <c r="AC586" i="6" s="1"/>
  <c r="U587" i="6"/>
  <c r="AC587" i="6" s="1"/>
  <c r="U588" i="6"/>
  <c r="AC588" i="6" s="1"/>
  <c r="U589" i="6"/>
  <c r="AC589" i="6" s="1"/>
  <c r="U590" i="6"/>
  <c r="AC590" i="6" s="1"/>
  <c r="U591" i="6"/>
  <c r="AC591" i="6" s="1"/>
  <c r="U592" i="6"/>
  <c r="AC592" i="6" s="1"/>
  <c r="U593" i="6"/>
  <c r="AC593" i="6" s="1"/>
  <c r="U594" i="6"/>
  <c r="AC594" i="6" s="1"/>
  <c r="U595" i="6"/>
  <c r="AC595" i="6" s="1"/>
  <c r="U596" i="6"/>
  <c r="AC596" i="6" s="1"/>
  <c r="U597" i="6"/>
  <c r="AC597" i="6" s="1"/>
  <c r="U598" i="6"/>
  <c r="AC598" i="6" s="1"/>
  <c r="U599" i="6"/>
  <c r="AC599" i="6" s="1"/>
  <c r="U600" i="6"/>
  <c r="AC600" i="6" s="1"/>
  <c r="U601" i="6"/>
  <c r="AC601" i="6" s="1"/>
  <c r="U602" i="6"/>
  <c r="AC602" i="6" s="1"/>
  <c r="U603" i="6"/>
  <c r="AC603" i="6" s="1"/>
  <c r="U604" i="6"/>
  <c r="AC604" i="6" s="1"/>
  <c r="U605" i="6"/>
  <c r="AC605" i="6" s="1"/>
  <c r="U606" i="6"/>
  <c r="AC606" i="6" s="1"/>
  <c r="U607" i="6"/>
  <c r="AC607" i="6" s="1"/>
  <c r="U608" i="6"/>
  <c r="AC608" i="6" s="1"/>
  <c r="U609" i="6"/>
  <c r="AC609" i="6" s="1"/>
  <c r="U610" i="6"/>
  <c r="AC610" i="6" s="1"/>
  <c r="U611" i="6"/>
  <c r="AC611" i="6" s="1"/>
  <c r="U612" i="6"/>
  <c r="AC612" i="6" s="1"/>
  <c r="U613" i="6"/>
  <c r="AC613" i="6" s="1"/>
  <c r="U614" i="6"/>
  <c r="AC614" i="6" s="1"/>
  <c r="U615" i="6"/>
  <c r="AC615" i="6" s="1"/>
  <c r="U616" i="6"/>
  <c r="AC616" i="6" s="1"/>
  <c r="U617" i="6"/>
  <c r="AC617" i="6" s="1"/>
  <c r="U618" i="6"/>
  <c r="AC618" i="6" s="1"/>
  <c r="U619" i="6"/>
  <c r="AC619" i="6" s="1"/>
  <c r="U620" i="6"/>
  <c r="AC620" i="6" s="1"/>
  <c r="U621" i="6"/>
  <c r="AC621" i="6" s="1"/>
  <c r="U622" i="6"/>
  <c r="AC622" i="6" s="1"/>
  <c r="U623" i="6"/>
  <c r="AC623" i="6" s="1"/>
  <c r="U624" i="6"/>
  <c r="AC624" i="6" s="1"/>
  <c r="U625" i="6"/>
  <c r="AC625" i="6" s="1"/>
  <c r="U626" i="6"/>
  <c r="AC626" i="6" s="1"/>
  <c r="U627" i="6"/>
  <c r="AC627" i="6" s="1"/>
  <c r="U628" i="6"/>
  <c r="AC628" i="6" s="1"/>
  <c r="U629" i="6"/>
  <c r="AC629" i="6" s="1"/>
  <c r="U630" i="6"/>
  <c r="AC630" i="6" s="1"/>
  <c r="U631" i="6"/>
  <c r="AC631" i="6" s="1"/>
  <c r="U632" i="6"/>
  <c r="AC632" i="6" s="1"/>
  <c r="U633" i="6"/>
  <c r="AC633" i="6" s="1"/>
  <c r="U634" i="6"/>
  <c r="AC634" i="6" s="1"/>
  <c r="U635" i="6"/>
  <c r="AC635" i="6" s="1"/>
  <c r="U636" i="6"/>
  <c r="AC636" i="6" s="1"/>
  <c r="U637" i="6"/>
  <c r="AC637" i="6" s="1"/>
  <c r="U638" i="6"/>
  <c r="AC638" i="6" s="1"/>
  <c r="U639" i="6"/>
  <c r="AC639" i="6" s="1"/>
  <c r="U640" i="6"/>
  <c r="AC640" i="6" s="1"/>
  <c r="U641" i="6"/>
  <c r="AC641" i="6" s="1"/>
  <c r="U642" i="6"/>
  <c r="AC642" i="6" s="1"/>
  <c r="U643" i="6"/>
  <c r="AC643" i="6" s="1"/>
  <c r="U644" i="6"/>
  <c r="AC644" i="6" s="1"/>
  <c r="U645" i="6"/>
  <c r="AC645" i="6" s="1"/>
  <c r="U646" i="6"/>
  <c r="AC646" i="6" s="1"/>
  <c r="U647" i="6"/>
  <c r="AC647" i="6" s="1"/>
  <c r="U648" i="6"/>
  <c r="AC648" i="6" s="1"/>
  <c r="U649" i="6"/>
  <c r="AC649" i="6" s="1"/>
  <c r="U650" i="6"/>
  <c r="AC650" i="6" s="1"/>
  <c r="U651" i="6"/>
  <c r="AC651" i="6" s="1"/>
  <c r="U652" i="6"/>
  <c r="AC652" i="6" s="1"/>
  <c r="U653" i="6"/>
  <c r="AC653" i="6" s="1"/>
  <c r="U654" i="6"/>
  <c r="AC654" i="6" s="1"/>
  <c r="U655" i="6"/>
  <c r="AC655" i="6" s="1"/>
  <c r="U656" i="6"/>
  <c r="AC656" i="6" s="1"/>
  <c r="U657" i="6"/>
  <c r="AC657" i="6" s="1"/>
  <c r="U658" i="6"/>
  <c r="AC658" i="6" s="1"/>
  <c r="U659" i="6"/>
  <c r="AC659" i="6" s="1"/>
  <c r="U660" i="6"/>
  <c r="AC660" i="6" s="1"/>
  <c r="U661" i="6"/>
  <c r="AC661" i="6" s="1"/>
  <c r="U662" i="6"/>
  <c r="AC662" i="6" s="1"/>
  <c r="U663" i="6"/>
  <c r="AC663" i="6" s="1"/>
  <c r="U664" i="6"/>
  <c r="AC664" i="6" s="1"/>
  <c r="U665" i="6"/>
  <c r="AC665" i="6" s="1"/>
  <c r="U666" i="6"/>
  <c r="AC666" i="6" s="1"/>
  <c r="U667" i="6"/>
  <c r="AC667" i="6" s="1"/>
  <c r="U668" i="6"/>
  <c r="AC668" i="6" s="1"/>
  <c r="U669" i="6"/>
  <c r="AC669" i="6" s="1"/>
  <c r="U670" i="6"/>
  <c r="AC670" i="6" s="1"/>
  <c r="U671" i="6"/>
  <c r="AC671" i="6" s="1"/>
  <c r="U672" i="6"/>
  <c r="AC672" i="6" s="1"/>
  <c r="U673" i="6"/>
  <c r="AC673" i="6" s="1"/>
  <c r="U674" i="6"/>
  <c r="AC674" i="6" s="1"/>
  <c r="U675" i="6"/>
  <c r="AC675" i="6" s="1"/>
  <c r="U676" i="6"/>
  <c r="AC676" i="6" s="1"/>
  <c r="U677" i="6"/>
  <c r="AC677" i="6" s="1"/>
  <c r="U678" i="6"/>
  <c r="AC678" i="6" s="1"/>
  <c r="U679" i="6"/>
  <c r="AC679" i="6" s="1"/>
  <c r="U680" i="6"/>
  <c r="AC680" i="6" s="1"/>
  <c r="U681" i="6"/>
  <c r="AC681" i="6" s="1"/>
  <c r="U682" i="6"/>
  <c r="AC682" i="6" s="1"/>
  <c r="U683" i="6"/>
  <c r="AC683" i="6" s="1"/>
  <c r="U684" i="6"/>
  <c r="AC684" i="6" s="1"/>
  <c r="U685" i="6"/>
  <c r="AC685" i="6" s="1"/>
  <c r="U686" i="6"/>
  <c r="AC686" i="6" s="1"/>
  <c r="U687" i="6"/>
  <c r="AC687" i="6" s="1"/>
  <c r="U688" i="6"/>
  <c r="AC688" i="6" s="1"/>
  <c r="U689" i="6"/>
  <c r="AC689" i="6" s="1"/>
  <c r="U690" i="6"/>
  <c r="AC690" i="6" s="1"/>
  <c r="U691" i="6"/>
  <c r="AC691" i="6" s="1"/>
  <c r="U692" i="6"/>
  <c r="AC692" i="6" s="1"/>
  <c r="U693" i="6"/>
  <c r="AC693" i="6" s="1"/>
  <c r="U694" i="6"/>
  <c r="AC694" i="6" s="1"/>
  <c r="U695" i="6"/>
  <c r="AC695" i="6" s="1"/>
  <c r="U696" i="6"/>
  <c r="AC696" i="6" s="1"/>
  <c r="U697" i="6"/>
  <c r="AC697" i="6" s="1"/>
  <c r="U698" i="6"/>
  <c r="AC698" i="6" s="1"/>
  <c r="U699" i="6"/>
  <c r="AC699" i="6" s="1"/>
  <c r="U700" i="6"/>
  <c r="AC700" i="6" s="1"/>
  <c r="U701" i="6"/>
  <c r="AC701" i="6" s="1"/>
  <c r="U702" i="6"/>
  <c r="AC702" i="6" s="1"/>
  <c r="U703" i="6"/>
  <c r="AC703" i="6" s="1"/>
  <c r="U704" i="6"/>
  <c r="AC704" i="6" s="1"/>
  <c r="U705" i="6"/>
  <c r="AC705" i="6" s="1"/>
  <c r="U706" i="6"/>
  <c r="AC706" i="6" s="1"/>
  <c r="U707" i="6"/>
  <c r="AC707" i="6" s="1"/>
  <c r="U708" i="6"/>
  <c r="AC708" i="6" s="1"/>
  <c r="U709" i="6"/>
  <c r="AC709" i="6" s="1"/>
  <c r="U710" i="6"/>
  <c r="AC710" i="6" s="1"/>
  <c r="U711" i="6"/>
  <c r="AC711" i="6" s="1"/>
  <c r="U712" i="6"/>
  <c r="AC712" i="6" s="1"/>
  <c r="U713" i="6"/>
  <c r="AC713" i="6" s="1"/>
  <c r="U714" i="6"/>
  <c r="AC714" i="6" s="1"/>
  <c r="U715" i="6"/>
  <c r="AC715" i="6" s="1"/>
  <c r="U716" i="6"/>
  <c r="AC716" i="6" s="1"/>
  <c r="U717" i="6"/>
  <c r="AC717" i="6" s="1"/>
  <c r="U718" i="6"/>
  <c r="AC718" i="6" s="1"/>
  <c r="U719" i="6"/>
  <c r="AC719" i="6" s="1"/>
  <c r="U720" i="6"/>
  <c r="AC720" i="6" s="1"/>
  <c r="U721" i="6"/>
  <c r="AC721" i="6" s="1"/>
  <c r="U722" i="6"/>
  <c r="AC722" i="6" s="1"/>
  <c r="U723" i="6"/>
  <c r="AC723" i="6" s="1"/>
  <c r="U724" i="6"/>
  <c r="AC724" i="6" s="1"/>
  <c r="U725" i="6"/>
  <c r="AC725" i="6" s="1"/>
  <c r="U726" i="6"/>
  <c r="AC726" i="6" s="1"/>
  <c r="U727" i="6"/>
  <c r="AC727" i="6" s="1"/>
  <c r="T2" i="6"/>
  <c r="AB2" i="6" s="1"/>
  <c r="T3" i="6"/>
  <c r="AB3" i="6" s="1"/>
  <c r="T4" i="6"/>
  <c r="AB4" i="6" s="1"/>
  <c r="T5" i="6"/>
  <c r="AB5" i="6" s="1"/>
  <c r="T6" i="6"/>
  <c r="AB6" i="6" s="1"/>
  <c r="T7" i="6"/>
  <c r="AB7" i="6" s="1"/>
  <c r="T8" i="6"/>
  <c r="AB8" i="6" s="1"/>
  <c r="T9" i="6"/>
  <c r="AB9" i="6" s="1"/>
  <c r="T10" i="6"/>
  <c r="AB10" i="6" s="1"/>
  <c r="T11" i="6"/>
  <c r="AB11" i="6" s="1"/>
  <c r="T12" i="6"/>
  <c r="AB12" i="6" s="1"/>
  <c r="T13" i="6"/>
  <c r="AB13" i="6" s="1"/>
  <c r="T14" i="6"/>
  <c r="AB14" i="6" s="1"/>
  <c r="T15" i="6"/>
  <c r="AB15" i="6" s="1"/>
  <c r="T16" i="6"/>
  <c r="AB16" i="6" s="1"/>
  <c r="T17" i="6"/>
  <c r="AB17" i="6" s="1"/>
  <c r="T18" i="6"/>
  <c r="AB18" i="6" s="1"/>
  <c r="T19" i="6"/>
  <c r="AB19" i="6" s="1"/>
  <c r="T20" i="6"/>
  <c r="AB20" i="6" s="1"/>
  <c r="T21" i="6"/>
  <c r="AB21" i="6" s="1"/>
  <c r="T22" i="6"/>
  <c r="AB22" i="6" s="1"/>
  <c r="T23" i="6"/>
  <c r="AB23" i="6" s="1"/>
  <c r="T24" i="6"/>
  <c r="AB24" i="6" s="1"/>
  <c r="T25" i="6"/>
  <c r="AB25" i="6" s="1"/>
  <c r="T26" i="6"/>
  <c r="AB26" i="6" s="1"/>
  <c r="T27" i="6"/>
  <c r="AB27" i="6" s="1"/>
  <c r="T28" i="6"/>
  <c r="AB28" i="6" s="1"/>
  <c r="T29" i="6"/>
  <c r="AB29" i="6" s="1"/>
  <c r="T30" i="6"/>
  <c r="AB30" i="6" s="1"/>
  <c r="T31" i="6"/>
  <c r="AB31" i="6" s="1"/>
  <c r="T32" i="6"/>
  <c r="AB32" i="6" s="1"/>
  <c r="T33" i="6"/>
  <c r="AB33" i="6" s="1"/>
  <c r="T34" i="6"/>
  <c r="AB34" i="6" s="1"/>
  <c r="T35" i="6"/>
  <c r="AB35" i="6" s="1"/>
  <c r="T36" i="6"/>
  <c r="AB36" i="6" s="1"/>
  <c r="T37" i="6"/>
  <c r="AB37" i="6" s="1"/>
  <c r="T38" i="6"/>
  <c r="AB38" i="6" s="1"/>
  <c r="T39" i="6"/>
  <c r="AB39" i="6" s="1"/>
  <c r="T40" i="6"/>
  <c r="AB40" i="6" s="1"/>
  <c r="T41" i="6"/>
  <c r="AB41" i="6" s="1"/>
  <c r="T42" i="6"/>
  <c r="AB42" i="6" s="1"/>
  <c r="T43" i="6"/>
  <c r="AB43" i="6" s="1"/>
  <c r="T44" i="6"/>
  <c r="AB44" i="6" s="1"/>
  <c r="T45" i="6"/>
  <c r="AB45" i="6" s="1"/>
  <c r="T46" i="6"/>
  <c r="AB46" i="6" s="1"/>
  <c r="T47" i="6"/>
  <c r="AB47" i="6" s="1"/>
  <c r="T48" i="6"/>
  <c r="AB48" i="6" s="1"/>
  <c r="T49" i="6"/>
  <c r="AB49" i="6" s="1"/>
  <c r="T50" i="6"/>
  <c r="AB50" i="6" s="1"/>
  <c r="T51" i="6"/>
  <c r="AB51" i="6" s="1"/>
  <c r="T52" i="6"/>
  <c r="AB52" i="6" s="1"/>
  <c r="T53" i="6"/>
  <c r="AB53" i="6" s="1"/>
  <c r="T54" i="6"/>
  <c r="AB54" i="6" s="1"/>
  <c r="T55" i="6"/>
  <c r="AB55" i="6" s="1"/>
  <c r="T56" i="6"/>
  <c r="AB56" i="6" s="1"/>
  <c r="T57" i="6"/>
  <c r="AB57" i="6" s="1"/>
  <c r="T58" i="6"/>
  <c r="AB58" i="6" s="1"/>
  <c r="T59" i="6"/>
  <c r="AB59" i="6" s="1"/>
  <c r="T60" i="6"/>
  <c r="AB60" i="6" s="1"/>
  <c r="T61" i="6"/>
  <c r="AB61" i="6" s="1"/>
  <c r="T62" i="6"/>
  <c r="AB62" i="6" s="1"/>
  <c r="T63" i="6"/>
  <c r="AB63" i="6" s="1"/>
  <c r="T64" i="6"/>
  <c r="AB64" i="6" s="1"/>
  <c r="T65" i="6"/>
  <c r="AB65" i="6" s="1"/>
  <c r="T66" i="6"/>
  <c r="AB66" i="6" s="1"/>
  <c r="T67" i="6"/>
  <c r="AB67" i="6" s="1"/>
  <c r="T68" i="6"/>
  <c r="AB68" i="6" s="1"/>
  <c r="T69" i="6"/>
  <c r="AB69" i="6" s="1"/>
  <c r="T70" i="6"/>
  <c r="AB70" i="6" s="1"/>
  <c r="T71" i="6"/>
  <c r="AB71" i="6" s="1"/>
  <c r="T72" i="6"/>
  <c r="AB72" i="6" s="1"/>
  <c r="T73" i="6"/>
  <c r="AB73" i="6" s="1"/>
  <c r="T74" i="6"/>
  <c r="AB74" i="6" s="1"/>
  <c r="T75" i="6"/>
  <c r="AB75" i="6" s="1"/>
  <c r="T76" i="6"/>
  <c r="AB76" i="6" s="1"/>
  <c r="T77" i="6"/>
  <c r="AB77" i="6" s="1"/>
  <c r="T78" i="6"/>
  <c r="AB78" i="6" s="1"/>
  <c r="T79" i="6"/>
  <c r="AB79" i="6" s="1"/>
  <c r="T80" i="6"/>
  <c r="AB80" i="6" s="1"/>
  <c r="T81" i="6"/>
  <c r="AB81" i="6" s="1"/>
  <c r="T82" i="6"/>
  <c r="AB82" i="6" s="1"/>
  <c r="T83" i="6"/>
  <c r="AB83" i="6" s="1"/>
  <c r="T84" i="6"/>
  <c r="AB84" i="6" s="1"/>
  <c r="T85" i="6"/>
  <c r="AB85" i="6" s="1"/>
  <c r="T86" i="6"/>
  <c r="AB86" i="6" s="1"/>
  <c r="T87" i="6"/>
  <c r="AB87" i="6" s="1"/>
  <c r="T88" i="6"/>
  <c r="AB88" i="6" s="1"/>
  <c r="T89" i="6"/>
  <c r="AB89" i="6" s="1"/>
  <c r="T90" i="6"/>
  <c r="AB90" i="6" s="1"/>
  <c r="T91" i="6"/>
  <c r="AB91" i="6" s="1"/>
  <c r="T92" i="6"/>
  <c r="AB92" i="6" s="1"/>
  <c r="T93" i="6"/>
  <c r="AB93" i="6" s="1"/>
  <c r="T94" i="6"/>
  <c r="AB94" i="6" s="1"/>
  <c r="T95" i="6"/>
  <c r="AB95" i="6" s="1"/>
  <c r="T96" i="6"/>
  <c r="AB96" i="6" s="1"/>
  <c r="T97" i="6"/>
  <c r="AB97" i="6" s="1"/>
  <c r="T98" i="6"/>
  <c r="AB98" i="6" s="1"/>
  <c r="T99" i="6"/>
  <c r="AB99" i="6" s="1"/>
  <c r="T100" i="6"/>
  <c r="AB100" i="6" s="1"/>
  <c r="T101" i="6"/>
  <c r="AB101" i="6" s="1"/>
  <c r="T102" i="6"/>
  <c r="AB102" i="6" s="1"/>
  <c r="T103" i="6"/>
  <c r="AB103" i="6" s="1"/>
  <c r="T104" i="6"/>
  <c r="AB104" i="6" s="1"/>
  <c r="T105" i="6"/>
  <c r="AB105" i="6" s="1"/>
  <c r="T106" i="6"/>
  <c r="AB106" i="6" s="1"/>
  <c r="T107" i="6"/>
  <c r="AB107" i="6" s="1"/>
  <c r="T108" i="6"/>
  <c r="AB108" i="6" s="1"/>
  <c r="T109" i="6"/>
  <c r="AB109" i="6" s="1"/>
  <c r="T110" i="6"/>
  <c r="AB110" i="6" s="1"/>
  <c r="T111" i="6"/>
  <c r="AB111" i="6" s="1"/>
  <c r="T112" i="6"/>
  <c r="AB112" i="6" s="1"/>
  <c r="T113" i="6"/>
  <c r="AB113" i="6" s="1"/>
  <c r="T114" i="6"/>
  <c r="AB114" i="6" s="1"/>
  <c r="T115" i="6"/>
  <c r="AB115" i="6" s="1"/>
  <c r="T116" i="6"/>
  <c r="AB116" i="6" s="1"/>
  <c r="T117" i="6"/>
  <c r="AB117" i="6" s="1"/>
  <c r="T118" i="6"/>
  <c r="AB118" i="6" s="1"/>
  <c r="T119" i="6"/>
  <c r="AB119" i="6" s="1"/>
  <c r="T120" i="6"/>
  <c r="AB120" i="6" s="1"/>
  <c r="T121" i="6"/>
  <c r="AB121" i="6" s="1"/>
  <c r="T122" i="6"/>
  <c r="AB122" i="6" s="1"/>
  <c r="T123" i="6"/>
  <c r="AB123" i="6" s="1"/>
  <c r="T124" i="6"/>
  <c r="AB124" i="6" s="1"/>
  <c r="T125" i="6"/>
  <c r="AB125" i="6" s="1"/>
  <c r="T126" i="6"/>
  <c r="AB126" i="6" s="1"/>
  <c r="T127" i="6"/>
  <c r="AB127" i="6" s="1"/>
  <c r="T128" i="6"/>
  <c r="AB128" i="6" s="1"/>
  <c r="T129" i="6"/>
  <c r="AB129" i="6" s="1"/>
  <c r="T130" i="6"/>
  <c r="AB130" i="6" s="1"/>
  <c r="T131" i="6"/>
  <c r="AB131" i="6" s="1"/>
  <c r="T132" i="6"/>
  <c r="AB132" i="6" s="1"/>
  <c r="T133" i="6"/>
  <c r="AB133" i="6" s="1"/>
  <c r="T134" i="6"/>
  <c r="AB134" i="6" s="1"/>
  <c r="T135" i="6"/>
  <c r="AB135" i="6" s="1"/>
  <c r="T136" i="6"/>
  <c r="AB136" i="6" s="1"/>
  <c r="T137" i="6"/>
  <c r="AB137" i="6" s="1"/>
  <c r="T138" i="6"/>
  <c r="AB138" i="6" s="1"/>
  <c r="T139" i="6"/>
  <c r="AB139" i="6" s="1"/>
  <c r="T140" i="6"/>
  <c r="AB140" i="6" s="1"/>
  <c r="T141" i="6"/>
  <c r="AB141" i="6" s="1"/>
  <c r="T142" i="6"/>
  <c r="AB142" i="6" s="1"/>
  <c r="T143" i="6"/>
  <c r="AB143" i="6" s="1"/>
  <c r="T144" i="6"/>
  <c r="AB144" i="6" s="1"/>
  <c r="T145" i="6"/>
  <c r="AB145" i="6" s="1"/>
  <c r="T146" i="6"/>
  <c r="AB146" i="6" s="1"/>
  <c r="T147" i="6"/>
  <c r="AB147" i="6" s="1"/>
  <c r="T148" i="6"/>
  <c r="AB148" i="6" s="1"/>
  <c r="T149" i="6"/>
  <c r="AB149" i="6" s="1"/>
  <c r="T150" i="6"/>
  <c r="AB150" i="6" s="1"/>
  <c r="T151" i="6"/>
  <c r="AB151" i="6" s="1"/>
  <c r="T152" i="6"/>
  <c r="AB152" i="6" s="1"/>
  <c r="T153" i="6"/>
  <c r="AB153" i="6" s="1"/>
  <c r="T154" i="6"/>
  <c r="AB154" i="6" s="1"/>
  <c r="T155" i="6"/>
  <c r="AB155" i="6" s="1"/>
  <c r="T156" i="6"/>
  <c r="AB156" i="6" s="1"/>
  <c r="T157" i="6"/>
  <c r="AB157" i="6" s="1"/>
  <c r="T158" i="6"/>
  <c r="AB158" i="6" s="1"/>
  <c r="T159" i="6"/>
  <c r="AB159" i="6" s="1"/>
  <c r="T160" i="6"/>
  <c r="AB160" i="6" s="1"/>
  <c r="T161" i="6"/>
  <c r="AB161" i="6" s="1"/>
  <c r="T162" i="6"/>
  <c r="AB162" i="6" s="1"/>
  <c r="T163" i="6"/>
  <c r="AB163" i="6" s="1"/>
  <c r="T164" i="6"/>
  <c r="AB164" i="6" s="1"/>
  <c r="T165" i="6"/>
  <c r="AB165" i="6" s="1"/>
  <c r="T166" i="6"/>
  <c r="AB166" i="6" s="1"/>
  <c r="T167" i="6"/>
  <c r="AB167" i="6" s="1"/>
  <c r="T168" i="6"/>
  <c r="AB168" i="6" s="1"/>
  <c r="T169" i="6"/>
  <c r="AB169" i="6" s="1"/>
  <c r="T170" i="6"/>
  <c r="AB170" i="6" s="1"/>
  <c r="T171" i="6"/>
  <c r="AB171" i="6" s="1"/>
  <c r="T172" i="6"/>
  <c r="AB172" i="6" s="1"/>
  <c r="T173" i="6"/>
  <c r="AB173" i="6" s="1"/>
  <c r="T174" i="6"/>
  <c r="AB174" i="6" s="1"/>
  <c r="T175" i="6"/>
  <c r="AB175" i="6" s="1"/>
  <c r="T176" i="6"/>
  <c r="AB176" i="6" s="1"/>
  <c r="T177" i="6"/>
  <c r="AB177" i="6" s="1"/>
  <c r="T178" i="6"/>
  <c r="AB178" i="6" s="1"/>
  <c r="T179" i="6"/>
  <c r="AB179" i="6" s="1"/>
  <c r="T180" i="6"/>
  <c r="AB180" i="6" s="1"/>
  <c r="T181" i="6"/>
  <c r="AB181" i="6" s="1"/>
  <c r="T182" i="6"/>
  <c r="AB182" i="6" s="1"/>
  <c r="T183" i="6"/>
  <c r="AB183" i="6" s="1"/>
  <c r="T184" i="6"/>
  <c r="AB184" i="6" s="1"/>
  <c r="T185" i="6"/>
  <c r="AB185" i="6" s="1"/>
  <c r="T186" i="6"/>
  <c r="AB186" i="6" s="1"/>
  <c r="T187" i="6"/>
  <c r="AB187" i="6" s="1"/>
  <c r="T188" i="6"/>
  <c r="AB188" i="6" s="1"/>
  <c r="T189" i="6"/>
  <c r="AB189" i="6" s="1"/>
  <c r="T190" i="6"/>
  <c r="AB190" i="6" s="1"/>
  <c r="T191" i="6"/>
  <c r="AB191" i="6" s="1"/>
  <c r="T192" i="6"/>
  <c r="AB192" i="6" s="1"/>
  <c r="T193" i="6"/>
  <c r="AB193" i="6" s="1"/>
  <c r="T194" i="6"/>
  <c r="AB194" i="6" s="1"/>
  <c r="T195" i="6"/>
  <c r="AB195" i="6" s="1"/>
  <c r="T196" i="6"/>
  <c r="AB196" i="6" s="1"/>
  <c r="T197" i="6"/>
  <c r="AB197" i="6" s="1"/>
  <c r="T198" i="6"/>
  <c r="AB198" i="6" s="1"/>
  <c r="T199" i="6"/>
  <c r="AB199" i="6" s="1"/>
  <c r="T200" i="6"/>
  <c r="AB200" i="6" s="1"/>
  <c r="T201" i="6"/>
  <c r="AB201" i="6" s="1"/>
  <c r="T202" i="6"/>
  <c r="AB202" i="6" s="1"/>
  <c r="T203" i="6"/>
  <c r="AB203" i="6" s="1"/>
  <c r="T204" i="6"/>
  <c r="AB204" i="6" s="1"/>
  <c r="T205" i="6"/>
  <c r="AB205" i="6" s="1"/>
  <c r="T206" i="6"/>
  <c r="AB206" i="6" s="1"/>
  <c r="T207" i="6"/>
  <c r="AB207" i="6" s="1"/>
  <c r="T208" i="6"/>
  <c r="AB208" i="6" s="1"/>
  <c r="T209" i="6"/>
  <c r="AB209" i="6" s="1"/>
  <c r="T210" i="6"/>
  <c r="AB210" i="6" s="1"/>
  <c r="T211" i="6"/>
  <c r="AB211" i="6" s="1"/>
  <c r="T212" i="6"/>
  <c r="AB212" i="6" s="1"/>
  <c r="T213" i="6"/>
  <c r="AB213" i="6" s="1"/>
  <c r="T214" i="6"/>
  <c r="AB214" i="6" s="1"/>
  <c r="T215" i="6"/>
  <c r="AB215" i="6" s="1"/>
  <c r="T216" i="6"/>
  <c r="AB216" i="6" s="1"/>
  <c r="T217" i="6"/>
  <c r="AB217" i="6" s="1"/>
  <c r="T218" i="6"/>
  <c r="AB218" i="6" s="1"/>
  <c r="T219" i="6"/>
  <c r="AB219" i="6" s="1"/>
  <c r="T220" i="6"/>
  <c r="AB220" i="6" s="1"/>
  <c r="T221" i="6"/>
  <c r="AB221" i="6" s="1"/>
  <c r="T222" i="6"/>
  <c r="AB222" i="6" s="1"/>
  <c r="T223" i="6"/>
  <c r="AB223" i="6" s="1"/>
  <c r="T224" i="6"/>
  <c r="AB224" i="6" s="1"/>
  <c r="T225" i="6"/>
  <c r="AB225" i="6" s="1"/>
  <c r="T226" i="6"/>
  <c r="AB226" i="6" s="1"/>
  <c r="T227" i="6"/>
  <c r="AB227" i="6" s="1"/>
  <c r="T228" i="6"/>
  <c r="AB228" i="6" s="1"/>
  <c r="T229" i="6"/>
  <c r="AB229" i="6" s="1"/>
  <c r="T230" i="6"/>
  <c r="AB230" i="6" s="1"/>
  <c r="T231" i="6"/>
  <c r="AB231" i="6" s="1"/>
  <c r="T232" i="6"/>
  <c r="AB232" i="6" s="1"/>
  <c r="T233" i="6"/>
  <c r="AB233" i="6" s="1"/>
  <c r="T234" i="6"/>
  <c r="AB234" i="6" s="1"/>
  <c r="T235" i="6"/>
  <c r="AB235" i="6" s="1"/>
  <c r="T236" i="6"/>
  <c r="AB236" i="6" s="1"/>
  <c r="T237" i="6"/>
  <c r="AB237" i="6" s="1"/>
  <c r="T238" i="6"/>
  <c r="AB238" i="6" s="1"/>
  <c r="T239" i="6"/>
  <c r="AB239" i="6" s="1"/>
  <c r="T240" i="6"/>
  <c r="AB240" i="6" s="1"/>
  <c r="T241" i="6"/>
  <c r="AB241" i="6" s="1"/>
  <c r="T242" i="6"/>
  <c r="AB242" i="6" s="1"/>
  <c r="T243" i="6"/>
  <c r="AB243" i="6" s="1"/>
  <c r="T244" i="6"/>
  <c r="AB244" i="6" s="1"/>
  <c r="T245" i="6"/>
  <c r="AB245" i="6" s="1"/>
  <c r="T246" i="6"/>
  <c r="AB246" i="6" s="1"/>
  <c r="T247" i="6"/>
  <c r="AB247" i="6" s="1"/>
  <c r="T248" i="6"/>
  <c r="AB248" i="6" s="1"/>
  <c r="T249" i="6"/>
  <c r="AB249" i="6" s="1"/>
  <c r="T250" i="6"/>
  <c r="AB250" i="6" s="1"/>
  <c r="T251" i="6"/>
  <c r="AB251" i="6" s="1"/>
  <c r="T252" i="6"/>
  <c r="AB252" i="6" s="1"/>
  <c r="T253" i="6"/>
  <c r="AB253" i="6" s="1"/>
  <c r="T254" i="6"/>
  <c r="AB254" i="6" s="1"/>
  <c r="T255" i="6"/>
  <c r="AB255" i="6" s="1"/>
  <c r="T256" i="6"/>
  <c r="AB256" i="6" s="1"/>
  <c r="T257" i="6"/>
  <c r="AB257" i="6" s="1"/>
  <c r="T258" i="6"/>
  <c r="AB258" i="6" s="1"/>
  <c r="T259" i="6"/>
  <c r="AB259" i="6" s="1"/>
  <c r="T260" i="6"/>
  <c r="AB260" i="6" s="1"/>
  <c r="T261" i="6"/>
  <c r="AB261" i="6" s="1"/>
  <c r="T262" i="6"/>
  <c r="AB262" i="6" s="1"/>
  <c r="T263" i="6"/>
  <c r="AB263" i="6" s="1"/>
  <c r="T264" i="6"/>
  <c r="AB264" i="6" s="1"/>
  <c r="T265" i="6"/>
  <c r="AB265" i="6" s="1"/>
  <c r="T266" i="6"/>
  <c r="AB266" i="6" s="1"/>
  <c r="T267" i="6"/>
  <c r="AB267" i="6" s="1"/>
  <c r="T268" i="6"/>
  <c r="AB268" i="6" s="1"/>
  <c r="T269" i="6"/>
  <c r="AB269" i="6" s="1"/>
  <c r="T270" i="6"/>
  <c r="AB270" i="6" s="1"/>
  <c r="T271" i="6"/>
  <c r="AB271" i="6" s="1"/>
  <c r="T272" i="6"/>
  <c r="AB272" i="6" s="1"/>
  <c r="T273" i="6"/>
  <c r="AB273" i="6" s="1"/>
  <c r="T274" i="6"/>
  <c r="AB274" i="6" s="1"/>
  <c r="T275" i="6"/>
  <c r="AB275" i="6" s="1"/>
  <c r="T276" i="6"/>
  <c r="AB276" i="6" s="1"/>
  <c r="T277" i="6"/>
  <c r="AB277" i="6" s="1"/>
  <c r="T278" i="6"/>
  <c r="AB278" i="6" s="1"/>
  <c r="T279" i="6"/>
  <c r="AB279" i="6" s="1"/>
  <c r="T280" i="6"/>
  <c r="AB280" i="6" s="1"/>
  <c r="T281" i="6"/>
  <c r="AB281" i="6" s="1"/>
  <c r="T282" i="6"/>
  <c r="AB282" i="6" s="1"/>
  <c r="T283" i="6"/>
  <c r="AB283" i="6" s="1"/>
  <c r="T284" i="6"/>
  <c r="AB284" i="6" s="1"/>
  <c r="T285" i="6"/>
  <c r="AB285" i="6" s="1"/>
  <c r="T286" i="6"/>
  <c r="AB286" i="6" s="1"/>
  <c r="T287" i="6"/>
  <c r="AB287" i="6" s="1"/>
  <c r="T288" i="6"/>
  <c r="AB288" i="6" s="1"/>
  <c r="T289" i="6"/>
  <c r="AB289" i="6" s="1"/>
  <c r="T290" i="6"/>
  <c r="AB290" i="6" s="1"/>
  <c r="T291" i="6"/>
  <c r="AB291" i="6" s="1"/>
  <c r="T292" i="6"/>
  <c r="AB292" i="6" s="1"/>
  <c r="T293" i="6"/>
  <c r="AB293" i="6" s="1"/>
  <c r="T294" i="6"/>
  <c r="AB294" i="6" s="1"/>
  <c r="T295" i="6"/>
  <c r="AB295" i="6" s="1"/>
  <c r="T296" i="6"/>
  <c r="AB296" i="6" s="1"/>
  <c r="T297" i="6"/>
  <c r="AB297" i="6" s="1"/>
  <c r="T298" i="6"/>
  <c r="AB298" i="6" s="1"/>
  <c r="T299" i="6"/>
  <c r="AB299" i="6" s="1"/>
  <c r="T300" i="6"/>
  <c r="AB300" i="6" s="1"/>
  <c r="T301" i="6"/>
  <c r="AB301" i="6" s="1"/>
  <c r="T302" i="6"/>
  <c r="AB302" i="6" s="1"/>
  <c r="T303" i="6"/>
  <c r="AB303" i="6" s="1"/>
  <c r="T304" i="6"/>
  <c r="AB304" i="6" s="1"/>
  <c r="T305" i="6"/>
  <c r="AB305" i="6" s="1"/>
  <c r="T306" i="6"/>
  <c r="AB306" i="6" s="1"/>
  <c r="T307" i="6"/>
  <c r="AB307" i="6" s="1"/>
  <c r="T308" i="6"/>
  <c r="AB308" i="6" s="1"/>
  <c r="T309" i="6"/>
  <c r="AB309" i="6" s="1"/>
  <c r="T310" i="6"/>
  <c r="AB310" i="6" s="1"/>
  <c r="T311" i="6"/>
  <c r="AB311" i="6" s="1"/>
  <c r="T312" i="6"/>
  <c r="AB312" i="6" s="1"/>
  <c r="T313" i="6"/>
  <c r="AB313" i="6" s="1"/>
  <c r="T314" i="6"/>
  <c r="AB314" i="6" s="1"/>
  <c r="T315" i="6"/>
  <c r="AB315" i="6" s="1"/>
  <c r="T316" i="6"/>
  <c r="AB316" i="6" s="1"/>
  <c r="T317" i="6"/>
  <c r="AB317" i="6" s="1"/>
  <c r="T318" i="6"/>
  <c r="AB318" i="6" s="1"/>
  <c r="T319" i="6"/>
  <c r="AB319" i="6" s="1"/>
  <c r="T320" i="6"/>
  <c r="AB320" i="6" s="1"/>
  <c r="T321" i="6"/>
  <c r="AB321" i="6" s="1"/>
  <c r="T322" i="6"/>
  <c r="AB322" i="6" s="1"/>
  <c r="T323" i="6"/>
  <c r="AB323" i="6" s="1"/>
  <c r="T324" i="6"/>
  <c r="AB324" i="6" s="1"/>
  <c r="T325" i="6"/>
  <c r="AB325" i="6" s="1"/>
  <c r="T326" i="6"/>
  <c r="AB326" i="6" s="1"/>
  <c r="T327" i="6"/>
  <c r="AB327" i="6" s="1"/>
  <c r="T328" i="6"/>
  <c r="AB328" i="6" s="1"/>
  <c r="T329" i="6"/>
  <c r="AB329" i="6" s="1"/>
  <c r="T330" i="6"/>
  <c r="AB330" i="6" s="1"/>
  <c r="T331" i="6"/>
  <c r="AB331" i="6" s="1"/>
  <c r="T332" i="6"/>
  <c r="AB332" i="6" s="1"/>
  <c r="T333" i="6"/>
  <c r="AB333" i="6" s="1"/>
  <c r="T334" i="6"/>
  <c r="AB334" i="6" s="1"/>
  <c r="T335" i="6"/>
  <c r="AB335" i="6" s="1"/>
  <c r="T336" i="6"/>
  <c r="AB336" i="6" s="1"/>
  <c r="T337" i="6"/>
  <c r="AB337" i="6" s="1"/>
  <c r="T338" i="6"/>
  <c r="AB338" i="6" s="1"/>
  <c r="T339" i="6"/>
  <c r="AB339" i="6" s="1"/>
  <c r="T340" i="6"/>
  <c r="AB340" i="6" s="1"/>
  <c r="T341" i="6"/>
  <c r="AB341" i="6" s="1"/>
  <c r="T342" i="6"/>
  <c r="AB342" i="6" s="1"/>
  <c r="T343" i="6"/>
  <c r="AB343" i="6" s="1"/>
  <c r="T344" i="6"/>
  <c r="AB344" i="6" s="1"/>
  <c r="T345" i="6"/>
  <c r="AB345" i="6" s="1"/>
  <c r="T346" i="6"/>
  <c r="AB346" i="6" s="1"/>
  <c r="T347" i="6"/>
  <c r="AB347" i="6" s="1"/>
  <c r="T348" i="6"/>
  <c r="AB348" i="6" s="1"/>
  <c r="T349" i="6"/>
  <c r="AB349" i="6" s="1"/>
  <c r="T350" i="6"/>
  <c r="AB350" i="6" s="1"/>
  <c r="T351" i="6"/>
  <c r="AB351" i="6" s="1"/>
  <c r="T352" i="6"/>
  <c r="AB352" i="6" s="1"/>
  <c r="T353" i="6"/>
  <c r="AB353" i="6" s="1"/>
  <c r="T354" i="6"/>
  <c r="AB354" i="6" s="1"/>
  <c r="T355" i="6"/>
  <c r="AB355" i="6" s="1"/>
  <c r="T356" i="6"/>
  <c r="AB356" i="6" s="1"/>
  <c r="T357" i="6"/>
  <c r="AB357" i="6" s="1"/>
  <c r="T358" i="6"/>
  <c r="AB358" i="6" s="1"/>
  <c r="T359" i="6"/>
  <c r="AB359" i="6" s="1"/>
  <c r="T360" i="6"/>
  <c r="AB360" i="6" s="1"/>
  <c r="T361" i="6"/>
  <c r="AB361" i="6" s="1"/>
  <c r="T362" i="6"/>
  <c r="AB362" i="6" s="1"/>
  <c r="T363" i="6"/>
  <c r="AB363" i="6" s="1"/>
  <c r="T364" i="6"/>
  <c r="AB364" i="6" s="1"/>
  <c r="T365" i="6"/>
  <c r="AB365" i="6" s="1"/>
  <c r="T366" i="6"/>
  <c r="AB366" i="6" s="1"/>
  <c r="T367" i="6"/>
  <c r="AB367" i="6" s="1"/>
  <c r="T368" i="6"/>
  <c r="AB368" i="6" s="1"/>
  <c r="T369" i="6"/>
  <c r="AB369" i="6" s="1"/>
  <c r="T370" i="6"/>
  <c r="AB370" i="6" s="1"/>
  <c r="T371" i="6"/>
  <c r="AB371" i="6" s="1"/>
  <c r="T372" i="6"/>
  <c r="AB372" i="6" s="1"/>
  <c r="T373" i="6"/>
  <c r="AB373" i="6" s="1"/>
  <c r="T374" i="6"/>
  <c r="AB374" i="6" s="1"/>
  <c r="T375" i="6"/>
  <c r="AB375" i="6" s="1"/>
  <c r="T376" i="6"/>
  <c r="AB376" i="6" s="1"/>
  <c r="T377" i="6"/>
  <c r="AB377" i="6" s="1"/>
  <c r="T378" i="6"/>
  <c r="AB378" i="6" s="1"/>
  <c r="T379" i="6"/>
  <c r="AB379" i="6" s="1"/>
  <c r="T380" i="6"/>
  <c r="AB380" i="6" s="1"/>
  <c r="T381" i="6"/>
  <c r="AB381" i="6" s="1"/>
  <c r="T382" i="6"/>
  <c r="AB382" i="6" s="1"/>
  <c r="T383" i="6"/>
  <c r="AB383" i="6" s="1"/>
  <c r="T384" i="6"/>
  <c r="AB384" i="6" s="1"/>
  <c r="T385" i="6"/>
  <c r="AB385" i="6" s="1"/>
  <c r="T386" i="6"/>
  <c r="AB386" i="6" s="1"/>
  <c r="T387" i="6"/>
  <c r="AB387" i="6" s="1"/>
  <c r="T388" i="6"/>
  <c r="AB388" i="6" s="1"/>
  <c r="T389" i="6"/>
  <c r="AB389" i="6" s="1"/>
  <c r="T390" i="6"/>
  <c r="AB390" i="6" s="1"/>
  <c r="T391" i="6"/>
  <c r="AB391" i="6" s="1"/>
  <c r="T392" i="6"/>
  <c r="AB392" i="6" s="1"/>
  <c r="T393" i="6"/>
  <c r="AB393" i="6" s="1"/>
  <c r="T394" i="6"/>
  <c r="AB394" i="6" s="1"/>
  <c r="T395" i="6"/>
  <c r="AB395" i="6" s="1"/>
  <c r="T396" i="6"/>
  <c r="AB396" i="6" s="1"/>
  <c r="T397" i="6"/>
  <c r="AB397" i="6" s="1"/>
  <c r="T398" i="6"/>
  <c r="AB398" i="6" s="1"/>
  <c r="T399" i="6"/>
  <c r="AB399" i="6" s="1"/>
  <c r="T400" i="6"/>
  <c r="AB400" i="6" s="1"/>
  <c r="T401" i="6"/>
  <c r="AB401" i="6" s="1"/>
  <c r="T402" i="6"/>
  <c r="AB402" i="6" s="1"/>
  <c r="T403" i="6"/>
  <c r="AB403" i="6" s="1"/>
  <c r="T404" i="6"/>
  <c r="AB404" i="6" s="1"/>
  <c r="T405" i="6"/>
  <c r="AB405" i="6" s="1"/>
  <c r="T406" i="6"/>
  <c r="AB406" i="6" s="1"/>
  <c r="T407" i="6"/>
  <c r="AB407" i="6" s="1"/>
  <c r="T408" i="6"/>
  <c r="AB408" i="6" s="1"/>
  <c r="T409" i="6"/>
  <c r="AB409" i="6" s="1"/>
  <c r="T410" i="6"/>
  <c r="AB410" i="6" s="1"/>
  <c r="T411" i="6"/>
  <c r="AB411" i="6" s="1"/>
  <c r="T412" i="6"/>
  <c r="AB412" i="6" s="1"/>
  <c r="T413" i="6"/>
  <c r="AB413" i="6" s="1"/>
  <c r="T414" i="6"/>
  <c r="AB414" i="6" s="1"/>
  <c r="T415" i="6"/>
  <c r="AB415" i="6" s="1"/>
  <c r="T416" i="6"/>
  <c r="AB416" i="6" s="1"/>
  <c r="T417" i="6"/>
  <c r="AB417" i="6" s="1"/>
  <c r="T418" i="6"/>
  <c r="AB418" i="6" s="1"/>
  <c r="T419" i="6"/>
  <c r="AB419" i="6" s="1"/>
  <c r="T420" i="6"/>
  <c r="AB420" i="6" s="1"/>
  <c r="T421" i="6"/>
  <c r="AB421" i="6" s="1"/>
  <c r="T422" i="6"/>
  <c r="AB422" i="6" s="1"/>
  <c r="T423" i="6"/>
  <c r="AB423" i="6" s="1"/>
  <c r="T424" i="6"/>
  <c r="AB424" i="6" s="1"/>
  <c r="T425" i="6"/>
  <c r="AB425" i="6" s="1"/>
  <c r="T426" i="6"/>
  <c r="AB426" i="6" s="1"/>
  <c r="T427" i="6"/>
  <c r="AB427" i="6" s="1"/>
  <c r="T428" i="6"/>
  <c r="AB428" i="6" s="1"/>
  <c r="T429" i="6"/>
  <c r="AB429" i="6" s="1"/>
  <c r="T430" i="6"/>
  <c r="AB430" i="6" s="1"/>
  <c r="T431" i="6"/>
  <c r="AB431" i="6" s="1"/>
  <c r="T432" i="6"/>
  <c r="AB432" i="6" s="1"/>
  <c r="T433" i="6"/>
  <c r="AB433" i="6" s="1"/>
  <c r="T434" i="6"/>
  <c r="AB434" i="6" s="1"/>
  <c r="T435" i="6"/>
  <c r="AB435" i="6" s="1"/>
  <c r="T436" i="6"/>
  <c r="AB436" i="6" s="1"/>
  <c r="T437" i="6"/>
  <c r="AB437" i="6" s="1"/>
  <c r="T438" i="6"/>
  <c r="AB438" i="6" s="1"/>
  <c r="T439" i="6"/>
  <c r="AB439" i="6" s="1"/>
  <c r="T440" i="6"/>
  <c r="AB440" i="6" s="1"/>
  <c r="T441" i="6"/>
  <c r="AB441" i="6" s="1"/>
  <c r="T442" i="6"/>
  <c r="AB442" i="6" s="1"/>
  <c r="T443" i="6"/>
  <c r="AB443" i="6" s="1"/>
  <c r="T444" i="6"/>
  <c r="AB444" i="6" s="1"/>
  <c r="T445" i="6"/>
  <c r="AB445" i="6" s="1"/>
  <c r="T446" i="6"/>
  <c r="AB446" i="6" s="1"/>
  <c r="T447" i="6"/>
  <c r="AB447" i="6" s="1"/>
  <c r="T448" i="6"/>
  <c r="AB448" i="6" s="1"/>
  <c r="T449" i="6"/>
  <c r="AB449" i="6" s="1"/>
  <c r="T450" i="6"/>
  <c r="AB450" i="6" s="1"/>
  <c r="T451" i="6"/>
  <c r="AB451" i="6" s="1"/>
  <c r="T452" i="6"/>
  <c r="AB452" i="6" s="1"/>
  <c r="T453" i="6"/>
  <c r="AB453" i="6" s="1"/>
  <c r="T454" i="6"/>
  <c r="AB454" i="6" s="1"/>
  <c r="T455" i="6"/>
  <c r="AB455" i="6" s="1"/>
  <c r="T456" i="6"/>
  <c r="AB456" i="6" s="1"/>
  <c r="T457" i="6"/>
  <c r="AB457" i="6" s="1"/>
  <c r="T458" i="6"/>
  <c r="AB458" i="6" s="1"/>
  <c r="T459" i="6"/>
  <c r="AB459" i="6" s="1"/>
  <c r="T460" i="6"/>
  <c r="AB460" i="6" s="1"/>
  <c r="T461" i="6"/>
  <c r="AB461" i="6" s="1"/>
  <c r="T462" i="6"/>
  <c r="AB462" i="6" s="1"/>
  <c r="T463" i="6"/>
  <c r="AB463" i="6" s="1"/>
  <c r="T464" i="6"/>
  <c r="AB464" i="6" s="1"/>
  <c r="T465" i="6"/>
  <c r="AB465" i="6" s="1"/>
  <c r="T466" i="6"/>
  <c r="AB466" i="6" s="1"/>
  <c r="T467" i="6"/>
  <c r="AB467" i="6" s="1"/>
  <c r="T468" i="6"/>
  <c r="AB468" i="6" s="1"/>
  <c r="T469" i="6"/>
  <c r="AB469" i="6" s="1"/>
  <c r="T470" i="6"/>
  <c r="AB470" i="6" s="1"/>
  <c r="T471" i="6"/>
  <c r="AB471" i="6" s="1"/>
  <c r="T472" i="6"/>
  <c r="AB472" i="6" s="1"/>
  <c r="T473" i="6"/>
  <c r="AB473" i="6" s="1"/>
  <c r="T474" i="6"/>
  <c r="AB474" i="6" s="1"/>
  <c r="T475" i="6"/>
  <c r="AB475" i="6" s="1"/>
  <c r="T476" i="6"/>
  <c r="AB476" i="6" s="1"/>
  <c r="T477" i="6"/>
  <c r="AB477" i="6" s="1"/>
  <c r="T478" i="6"/>
  <c r="AB478" i="6" s="1"/>
  <c r="T479" i="6"/>
  <c r="AB479" i="6" s="1"/>
  <c r="T480" i="6"/>
  <c r="AB480" i="6" s="1"/>
  <c r="T481" i="6"/>
  <c r="AB481" i="6" s="1"/>
  <c r="T482" i="6"/>
  <c r="AB482" i="6" s="1"/>
  <c r="T483" i="6"/>
  <c r="AB483" i="6" s="1"/>
  <c r="T484" i="6"/>
  <c r="AB484" i="6" s="1"/>
  <c r="T485" i="6"/>
  <c r="AB485" i="6" s="1"/>
  <c r="T486" i="6"/>
  <c r="AB486" i="6" s="1"/>
  <c r="T487" i="6"/>
  <c r="AB487" i="6" s="1"/>
  <c r="T488" i="6"/>
  <c r="AB488" i="6" s="1"/>
  <c r="T489" i="6"/>
  <c r="AB489" i="6" s="1"/>
  <c r="T490" i="6"/>
  <c r="AB490" i="6" s="1"/>
  <c r="T491" i="6"/>
  <c r="AB491" i="6" s="1"/>
  <c r="T492" i="6"/>
  <c r="AB492" i="6" s="1"/>
  <c r="T493" i="6"/>
  <c r="AB493" i="6" s="1"/>
  <c r="T494" i="6"/>
  <c r="AB494" i="6" s="1"/>
  <c r="T495" i="6"/>
  <c r="AB495" i="6" s="1"/>
  <c r="T496" i="6"/>
  <c r="AB496" i="6" s="1"/>
  <c r="T497" i="6"/>
  <c r="AB497" i="6" s="1"/>
  <c r="T498" i="6"/>
  <c r="AB498" i="6" s="1"/>
  <c r="T499" i="6"/>
  <c r="AB499" i="6" s="1"/>
  <c r="T500" i="6"/>
  <c r="AB500" i="6" s="1"/>
  <c r="T501" i="6"/>
  <c r="AB501" i="6" s="1"/>
  <c r="T502" i="6"/>
  <c r="AB502" i="6" s="1"/>
  <c r="T503" i="6"/>
  <c r="AB503" i="6" s="1"/>
  <c r="T504" i="6"/>
  <c r="AB504" i="6" s="1"/>
  <c r="T505" i="6"/>
  <c r="AB505" i="6" s="1"/>
  <c r="T506" i="6"/>
  <c r="AB506" i="6" s="1"/>
  <c r="T507" i="6"/>
  <c r="AB507" i="6" s="1"/>
  <c r="T508" i="6"/>
  <c r="AB508" i="6" s="1"/>
  <c r="T509" i="6"/>
  <c r="AB509" i="6" s="1"/>
  <c r="T510" i="6"/>
  <c r="AB510" i="6" s="1"/>
  <c r="T511" i="6"/>
  <c r="AB511" i="6" s="1"/>
  <c r="T512" i="6"/>
  <c r="AB512" i="6" s="1"/>
  <c r="T513" i="6"/>
  <c r="AB513" i="6" s="1"/>
  <c r="T514" i="6"/>
  <c r="AB514" i="6" s="1"/>
  <c r="T515" i="6"/>
  <c r="AB515" i="6" s="1"/>
  <c r="T516" i="6"/>
  <c r="AB516" i="6" s="1"/>
  <c r="T517" i="6"/>
  <c r="AB517" i="6" s="1"/>
  <c r="T518" i="6"/>
  <c r="AB518" i="6" s="1"/>
  <c r="T519" i="6"/>
  <c r="AB519" i="6" s="1"/>
  <c r="T520" i="6"/>
  <c r="AB520" i="6" s="1"/>
  <c r="T521" i="6"/>
  <c r="AB521" i="6" s="1"/>
  <c r="T522" i="6"/>
  <c r="AB522" i="6" s="1"/>
  <c r="T523" i="6"/>
  <c r="AB523" i="6" s="1"/>
  <c r="T524" i="6"/>
  <c r="AB524" i="6" s="1"/>
  <c r="T525" i="6"/>
  <c r="AB525" i="6" s="1"/>
  <c r="T526" i="6"/>
  <c r="AB526" i="6" s="1"/>
  <c r="T527" i="6"/>
  <c r="AB527" i="6" s="1"/>
  <c r="T528" i="6"/>
  <c r="AB528" i="6" s="1"/>
  <c r="T529" i="6"/>
  <c r="AB529" i="6" s="1"/>
  <c r="T530" i="6"/>
  <c r="AB530" i="6" s="1"/>
  <c r="T531" i="6"/>
  <c r="AB531" i="6" s="1"/>
  <c r="T532" i="6"/>
  <c r="AB532" i="6" s="1"/>
  <c r="T533" i="6"/>
  <c r="AB533" i="6" s="1"/>
  <c r="T534" i="6"/>
  <c r="AB534" i="6" s="1"/>
  <c r="T535" i="6"/>
  <c r="AB535" i="6" s="1"/>
  <c r="T536" i="6"/>
  <c r="AB536" i="6" s="1"/>
  <c r="T537" i="6"/>
  <c r="AB537" i="6" s="1"/>
  <c r="T538" i="6"/>
  <c r="AB538" i="6" s="1"/>
  <c r="T539" i="6"/>
  <c r="AB539" i="6" s="1"/>
  <c r="T540" i="6"/>
  <c r="AB540" i="6" s="1"/>
  <c r="T541" i="6"/>
  <c r="AB541" i="6" s="1"/>
  <c r="T542" i="6"/>
  <c r="AB542" i="6" s="1"/>
  <c r="T543" i="6"/>
  <c r="AB543" i="6" s="1"/>
  <c r="T544" i="6"/>
  <c r="AB544" i="6" s="1"/>
  <c r="T545" i="6"/>
  <c r="AB545" i="6" s="1"/>
  <c r="T546" i="6"/>
  <c r="AB546" i="6" s="1"/>
  <c r="T547" i="6"/>
  <c r="AB547" i="6" s="1"/>
  <c r="T548" i="6"/>
  <c r="AB548" i="6" s="1"/>
  <c r="T549" i="6"/>
  <c r="AB549" i="6" s="1"/>
  <c r="T550" i="6"/>
  <c r="AB550" i="6" s="1"/>
  <c r="T551" i="6"/>
  <c r="AB551" i="6" s="1"/>
  <c r="T552" i="6"/>
  <c r="AB552" i="6" s="1"/>
  <c r="T553" i="6"/>
  <c r="AB553" i="6" s="1"/>
  <c r="T554" i="6"/>
  <c r="AB554" i="6" s="1"/>
  <c r="T555" i="6"/>
  <c r="AB555" i="6" s="1"/>
  <c r="T556" i="6"/>
  <c r="AB556" i="6" s="1"/>
  <c r="T557" i="6"/>
  <c r="AB557" i="6" s="1"/>
  <c r="T558" i="6"/>
  <c r="AB558" i="6" s="1"/>
  <c r="T559" i="6"/>
  <c r="AB559" i="6" s="1"/>
  <c r="T560" i="6"/>
  <c r="AB560" i="6" s="1"/>
  <c r="T561" i="6"/>
  <c r="AB561" i="6" s="1"/>
  <c r="T562" i="6"/>
  <c r="AB562" i="6" s="1"/>
  <c r="T563" i="6"/>
  <c r="AB563" i="6" s="1"/>
  <c r="T564" i="6"/>
  <c r="AB564" i="6" s="1"/>
  <c r="T565" i="6"/>
  <c r="AB565" i="6" s="1"/>
  <c r="T566" i="6"/>
  <c r="AB566" i="6" s="1"/>
  <c r="T567" i="6"/>
  <c r="AB567" i="6" s="1"/>
  <c r="T568" i="6"/>
  <c r="AB568" i="6" s="1"/>
  <c r="T569" i="6"/>
  <c r="AB569" i="6" s="1"/>
  <c r="T570" i="6"/>
  <c r="AB570" i="6" s="1"/>
  <c r="T571" i="6"/>
  <c r="AB571" i="6" s="1"/>
  <c r="T572" i="6"/>
  <c r="AB572" i="6" s="1"/>
  <c r="T573" i="6"/>
  <c r="AB573" i="6" s="1"/>
  <c r="T574" i="6"/>
  <c r="AB574" i="6" s="1"/>
  <c r="T575" i="6"/>
  <c r="AB575" i="6" s="1"/>
  <c r="T576" i="6"/>
  <c r="AB576" i="6" s="1"/>
  <c r="T577" i="6"/>
  <c r="AB577" i="6" s="1"/>
  <c r="T578" i="6"/>
  <c r="AB578" i="6" s="1"/>
  <c r="T579" i="6"/>
  <c r="AB579" i="6" s="1"/>
  <c r="T580" i="6"/>
  <c r="AB580" i="6" s="1"/>
  <c r="T581" i="6"/>
  <c r="AB581" i="6" s="1"/>
  <c r="T582" i="6"/>
  <c r="AB582" i="6" s="1"/>
  <c r="T583" i="6"/>
  <c r="AB583" i="6" s="1"/>
  <c r="T584" i="6"/>
  <c r="AB584" i="6" s="1"/>
  <c r="T585" i="6"/>
  <c r="AB585" i="6" s="1"/>
  <c r="T586" i="6"/>
  <c r="AB586" i="6" s="1"/>
  <c r="T587" i="6"/>
  <c r="AB587" i="6" s="1"/>
  <c r="T588" i="6"/>
  <c r="AB588" i="6" s="1"/>
  <c r="T589" i="6"/>
  <c r="AB589" i="6" s="1"/>
  <c r="T590" i="6"/>
  <c r="AB590" i="6" s="1"/>
  <c r="T591" i="6"/>
  <c r="AB591" i="6" s="1"/>
  <c r="T592" i="6"/>
  <c r="AB592" i="6" s="1"/>
  <c r="T593" i="6"/>
  <c r="AB593" i="6" s="1"/>
  <c r="T594" i="6"/>
  <c r="AB594" i="6" s="1"/>
  <c r="T595" i="6"/>
  <c r="AB595" i="6" s="1"/>
  <c r="T596" i="6"/>
  <c r="AB596" i="6" s="1"/>
  <c r="T597" i="6"/>
  <c r="AB597" i="6" s="1"/>
  <c r="T598" i="6"/>
  <c r="AB598" i="6" s="1"/>
  <c r="T599" i="6"/>
  <c r="AB599" i="6" s="1"/>
  <c r="T600" i="6"/>
  <c r="AB600" i="6" s="1"/>
  <c r="T601" i="6"/>
  <c r="AB601" i="6" s="1"/>
  <c r="T602" i="6"/>
  <c r="AB602" i="6" s="1"/>
  <c r="T603" i="6"/>
  <c r="AB603" i="6" s="1"/>
  <c r="T604" i="6"/>
  <c r="AB604" i="6" s="1"/>
  <c r="T605" i="6"/>
  <c r="AB605" i="6" s="1"/>
  <c r="T606" i="6"/>
  <c r="AB606" i="6" s="1"/>
  <c r="T607" i="6"/>
  <c r="AB607" i="6" s="1"/>
  <c r="T608" i="6"/>
  <c r="AB608" i="6" s="1"/>
  <c r="T609" i="6"/>
  <c r="AB609" i="6" s="1"/>
  <c r="T610" i="6"/>
  <c r="AB610" i="6" s="1"/>
  <c r="T611" i="6"/>
  <c r="AB611" i="6" s="1"/>
  <c r="T612" i="6"/>
  <c r="AB612" i="6" s="1"/>
  <c r="T613" i="6"/>
  <c r="AB613" i="6" s="1"/>
  <c r="T614" i="6"/>
  <c r="AB614" i="6" s="1"/>
  <c r="T615" i="6"/>
  <c r="AB615" i="6" s="1"/>
  <c r="T616" i="6"/>
  <c r="AB616" i="6" s="1"/>
  <c r="T617" i="6"/>
  <c r="AB617" i="6" s="1"/>
  <c r="T618" i="6"/>
  <c r="AB618" i="6" s="1"/>
  <c r="T619" i="6"/>
  <c r="AB619" i="6" s="1"/>
  <c r="T620" i="6"/>
  <c r="AB620" i="6" s="1"/>
  <c r="T621" i="6"/>
  <c r="AB621" i="6" s="1"/>
  <c r="T622" i="6"/>
  <c r="AB622" i="6" s="1"/>
  <c r="T623" i="6"/>
  <c r="AB623" i="6" s="1"/>
  <c r="T624" i="6"/>
  <c r="AB624" i="6" s="1"/>
  <c r="T625" i="6"/>
  <c r="AB625" i="6" s="1"/>
  <c r="T626" i="6"/>
  <c r="AB626" i="6" s="1"/>
  <c r="T627" i="6"/>
  <c r="AB627" i="6" s="1"/>
  <c r="T628" i="6"/>
  <c r="AB628" i="6" s="1"/>
  <c r="T629" i="6"/>
  <c r="AB629" i="6" s="1"/>
  <c r="T630" i="6"/>
  <c r="AB630" i="6" s="1"/>
  <c r="T631" i="6"/>
  <c r="AB631" i="6" s="1"/>
  <c r="T632" i="6"/>
  <c r="AB632" i="6" s="1"/>
  <c r="T633" i="6"/>
  <c r="AB633" i="6" s="1"/>
  <c r="T634" i="6"/>
  <c r="AB634" i="6" s="1"/>
  <c r="T635" i="6"/>
  <c r="AB635" i="6" s="1"/>
  <c r="T636" i="6"/>
  <c r="AB636" i="6" s="1"/>
  <c r="T637" i="6"/>
  <c r="AB637" i="6" s="1"/>
  <c r="T638" i="6"/>
  <c r="AB638" i="6" s="1"/>
  <c r="T639" i="6"/>
  <c r="AB639" i="6" s="1"/>
  <c r="T640" i="6"/>
  <c r="AB640" i="6" s="1"/>
  <c r="T641" i="6"/>
  <c r="AB641" i="6" s="1"/>
  <c r="T642" i="6"/>
  <c r="AB642" i="6" s="1"/>
  <c r="T643" i="6"/>
  <c r="AB643" i="6" s="1"/>
  <c r="T644" i="6"/>
  <c r="AB644" i="6" s="1"/>
  <c r="T645" i="6"/>
  <c r="AB645" i="6" s="1"/>
  <c r="T646" i="6"/>
  <c r="AB646" i="6" s="1"/>
  <c r="T647" i="6"/>
  <c r="AB647" i="6" s="1"/>
  <c r="T648" i="6"/>
  <c r="AB648" i="6" s="1"/>
  <c r="T649" i="6"/>
  <c r="AB649" i="6" s="1"/>
  <c r="T650" i="6"/>
  <c r="AB650" i="6" s="1"/>
  <c r="T651" i="6"/>
  <c r="AB651" i="6" s="1"/>
  <c r="T652" i="6"/>
  <c r="AB652" i="6" s="1"/>
  <c r="T653" i="6"/>
  <c r="AB653" i="6" s="1"/>
  <c r="T654" i="6"/>
  <c r="AB654" i="6" s="1"/>
  <c r="T655" i="6"/>
  <c r="AB655" i="6" s="1"/>
  <c r="T656" i="6"/>
  <c r="AB656" i="6" s="1"/>
  <c r="T657" i="6"/>
  <c r="AB657" i="6" s="1"/>
  <c r="T658" i="6"/>
  <c r="AB658" i="6" s="1"/>
  <c r="T659" i="6"/>
  <c r="AB659" i="6" s="1"/>
  <c r="T660" i="6"/>
  <c r="AB660" i="6" s="1"/>
  <c r="T661" i="6"/>
  <c r="AB661" i="6" s="1"/>
  <c r="T662" i="6"/>
  <c r="AB662" i="6" s="1"/>
  <c r="T663" i="6"/>
  <c r="AB663" i="6" s="1"/>
  <c r="T664" i="6"/>
  <c r="AB664" i="6" s="1"/>
  <c r="T665" i="6"/>
  <c r="AB665" i="6" s="1"/>
  <c r="T666" i="6"/>
  <c r="AB666" i="6" s="1"/>
  <c r="T667" i="6"/>
  <c r="AB667" i="6" s="1"/>
  <c r="T668" i="6"/>
  <c r="AB668" i="6" s="1"/>
  <c r="T669" i="6"/>
  <c r="AB669" i="6" s="1"/>
  <c r="T670" i="6"/>
  <c r="AB670" i="6" s="1"/>
  <c r="T671" i="6"/>
  <c r="AB671" i="6" s="1"/>
  <c r="T672" i="6"/>
  <c r="AB672" i="6" s="1"/>
  <c r="T673" i="6"/>
  <c r="AB673" i="6" s="1"/>
  <c r="T674" i="6"/>
  <c r="AB674" i="6" s="1"/>
  <c r="T675" i="6"/>
  <c r="AB675" i="6" s="1"/>
  <c r="T676" i="6"/>
  <c r="AB676" i="6" s="1"/>
  <c r="T677" i="6"/>
  <c r="AB677" i="6" s="1"/>
  <c r="T678" i="6"/>
  <c r="AB678" i="6" s="1"/>
  <c r="T679" i="6"/>
  <c r="AB679" i="6" s="1"/>
  <c r="T680" i="6"/>
  <c r="AB680" i="6" s="1"/>
  <c r="T681" i="6"/>
  <c r="AB681" i="6" s="1"/>
  <c r="T682" i="6"/>
  <c r="AB682" i="6" s="1"/>
  <c r="T683" i="6"/>
  <c r="AB683" i="6" s="1"/>
  <c r="T684" i="6"/>
  <c r="AB684" i="6" s="1"/>
  <c r="T685" i="6"/>
  <c r="AB685" i="6" s="1"/>
  <c r="T686" i="6"/>
  <c r="AB686" i="6" s="1"/>
  <c r="T687" i="6"/>
  <c r="AB687" i="6" s="1"/>
  <c r="T688" i="6"/>
  <c r="AB688" i="6" s="1"/>
  <c r="T689" i="6"/>
  <c r="AB689" i="6" s="1"/>
  <c r="T690" i="6"/>
  <c r="AB690" i="6" s="1"/>
  <c r="T691" i="6"/>
  <c r="AB691" i="6" s="1"/>
  <c r="T692" i="6"/>
  <c r="AB692" i="6" s="1"/>
  <c r="T693" i="6"/>
  <c r="AB693" i="6" s="1"/>
  <c r="T694" i="6"/>
  <c r="AB694" i="6" s="1"/>
  <c r="T695" i="6"/>
  <c r="AB695" i="6" s="1"/>
  <c r="T696" i="6"/>
  <c r="AB696" i="6" s="1"/>
  <c r="T697" i="6"/>
  <c r="AB697" i="6" s="1"/>
  <c r="T698" i="6"/>
  <c r="AB698" i="6" s="1"/>
  <c r="T699" i="6"/>
  <c r="AB699" i="6" s="1"/>
  <c r="T700" i="6"/>
  <c r="AB700" i="6" s="1"/>
  <c r="T701" i="6"/>
  <c r="AB701" i="6" s="1"/>
  <c r="T702" i="6"/>
  <c r="AB702" i="6" s="1"/>
  <c r="T703" i="6"/>
  <c r="AB703" i="6" s="1"/>
  <c r="T704" i="6"/>
  <c r="AB704" i="6" s="1"/>
  <c r="T705" i="6"/>
  <c r="AB705" i="6" s="1"/>
  <c r="T706" i="6"/>
  <c r="AB706" i="6" s="1"/>
  <c r="T707" i="6"/>
  <c r="AB707" i="6" s="1"/>
  <c r="T708" i="6"/>
  <c r="AB708" i="6" s="1"/>
  <c r="T709" i="6"/>
  <c r="AB709" i="6" s="1"/>
  <c r="T710" i="6"/>
  <c r="AB710" i="6" s="1"/>
  <c r="T711" i="6"/>
  <c r="AB711" i="6" s="1"/>
  <c r="T712" i="6"/>
  <c r="AB712" i="6" s="1"/>
  <c r="T713" i="6"/>
  <c r="AB713" i="6" s="1"/>
  <c r="T714" i="6"/>
  <c r="AB714" i="6" s="1"/>
  <c r="T715" i="6"/>
  <c r="AB715" i="6" s="1"/>
  <c r="T716" i="6"/>
  <c r="AB716" i="6" s="1"/>
  <c r="T717" i="6"/>
  <c r="AB717" i="6" s="1"/>
  <c r="T718" i="6"/>
  <c r="AB718" i="6" s="1"/>
  <c r="T719" i="6"/>
  <c r="AB719" i="6" s="1"/>
  <c r="T720" i="6"/>
  <c r="AB720" i="6" s="1"/>
  <c r="T721" i="6"/>
  <c r="AB721" i="6" s="1"/>
  <c r="T722" i="6"/>
  <c r="AB722" i="6" s="1"/>
  <c r="T723" i="6"/>
  <c r="AB723" i="6" s="1"/>
  <c r="T724" i="6"/>
  <c r="AB724" i="6" s="1"/>
  <c r="T725" i="6"/>
  <c r="AB725" i="6" s="1"/>
  <c r="T726" i="6"/>
  <c r="AB726" i="6" s="1"/>
  <c r="T727" i="6"/>
  <c r="AB727" i="6" s="1"/>
  <c r="S2" i="6"/>
  <c r="AA2" i="6" s="1"/>
  <c r="S3" i="6"/>
  <c r="AA3" i="6" s="1"/>
  <c r="S4" i="6"/>
  <c r="AA4" i="6" s="1"/>
  <c r="S5" i="6"/>
  <c r="AA5" i="6" s="1"/>
  <c r="S6" i="6"/>
  <c r="AA6" i="6" s="1"/>
  <c r="S7" i="6"/>
  <c r="AA7" i="6" s="1"/>
  <c r="S8" i="6"/>
  <c r="AA8" i="6" s="1"/>
  <c r="S9" i="6"/>
  <c r="AA9" i="6" s="1"/>
  <c r="S10" i="6"/>
  <c r="AA10" i="6" s="1"/>
  <c r="S11" i="6"/>
  <c r="AA11" i="6" s="1"/>
  <c r="S12" i="6"/>
  <c r="AA12" i="6" s="1"/>
  <c r="S13" i="6"/>
  <c r="AA13" i="6" s="1"/>
  <c r="S14" i="6"/>
  <c r="AA14" i="6" s="1"/>
  <c r="S15" i="6"/>
  <c r="AA15" i="6" s="1"/>
  <c r="S16" i="6"/>
  <c r="AA16" i="6" s="1"/>
  <c r="S17" i="6"/>
  <c r="AA17" i="6" s="1"/>
  <c r="S18" i="6"/>
  <c r="AA18" i="6" s="1"/>
  <c r="S19" i="6"/>
  <c r="AA19" i="6" s="1"/>
  <c r="S20" i="6"/>
  <c r="AA20" i="6" s="1"/>
  <c r="S21" i="6"/>
  <c r="AA21" i="6" s="1"/>
  <c r="S22" i="6"/>
  <c r="AA22" i="6" s="1"/>
  <c r="S23" i="6"/>
  <c r="AA23" i="6" s="1"/>
  <c r="S24" i="6"/>
  <c r="AA24" i="6" s="1"/>
  <c r="S25" i="6"/>
  <c r="AA25" i="6" s="1"/>
  <c r="S26" i="6"/>
  <c r="AA26" i="6" s="1"/>
  <c r="S27" i="6"/>
  <c r="AA27" i="6" s="1"/>
  <c r="S28" i="6"/>
  <c r="AA28" i="6" s="1"/>
  <c r="S29" i="6"/>
  <c r="AA29" i="6" s="1"/>
  <c r="S30" i="6"/>
  <c r="AA30" i="6" s="1"/>
  <c r="S31" i="6"/>
  <c r="AA31" i="6" s="1"/>
  <c r="S32" i="6"/>
  <c r="AA32" i="6" s="1"/>
  <c r="S33" i="6"/>
  <c r="AA33" i="6" s="1"/>
  <c r="S34" i="6"/>
  <c r="AA34" i="6" s="1"/>
  <c r="S35" i="6"/>
  <c r="AA35" i="6" s="1"/>
  <c r="S36" i="6"/>
  <c r="AA36" i="6" s="1"/>
  <c r="S37" i="6"/>
  <c r="AA37" i="6" s="1"/>
  <c r="S38" i="6"/>
  <c r="AA38" i="6" s="1"/>
  <c r="S39" i="6"/>
  <c r="AA39" i="6" s="1"/>
  <c r="S40" i="6"/>
  <c r="AA40" i="6" s="1"/>
  <c r="S41" i="6"/>
  <c r="AA41" i="6" s="1"/>
  <c r="S42" i="6"/>
  <c r="AA42" i="6" s="1"/>
  <c r="S43" i="6"/>
  <c r="AA43" i="6" s="1"/>
  <c r="S44" i="6"/>
  <c r="AA44" i="6" s="1"/>
  <c r="S45" i="6"/>
  <c r="AA45" i="6" s="1"/>
  <c r="S46" i="6"/>
  <c r="AA46" i="6" s="1"/>
  <c r="S47" i="6"/>
  <c r="AA47" i="6" s="1"/>
  <c r="S48" i="6"/>
  <c r="AA48" i="6" s="1"/>
  <c r="S49" i="6"/>
  <c r="AA49" i="6" s="1"/>
  <c r="S50" i="6"/>
  <c r="AA50" i="6" s="1"/>
  <c r="S51" i="6"/>
  <c r="AA51" i="6" s="1"/>
  <c r="S52" i="6"/>
  <c r="AA52" i="6" s="1"/>
  <c r="S53" i="6"/>
  <c r="AA53" i="6" s="1"/>
  <c r="S54" i="6"/>
  <c r="AA54" i="6" s="1"/>
  <c r="S55" i="6"/>
  <c r="AA55" i="6" s="1"/>
  <c r="S56" i="6"/>
  <c r="AA56" i="6" s="1"/>
  <c r="S57" i="6"/>
  <c r="AA57" i="6" s="1"/>
  <c r="S58" i="6"/>
  <c r="AA58" i="6" s="1"/>
  <c r="S59" i="6"/>
  <c r="AA59" i="6" s="1"/>
  <c r="S60" i="6"/>
  <c r="AA60" i="6" s="1"/>
  <c r="S61" i="6"/>
  <c r="AA61" i="6" s="1"/>
  <c r="S62" i="6"/>
  <c r="AA62" i="6" s="1"/>
  <c r="S63" i="6"/>
  <c r="AA63" i="6" s="1"/>
  <c r="S64" i="6"/>
  <c r="AA64" i="6" s="1"/>
  <c r="S65" i="6"/>
  <c r="AA65" i="6" s="1"/>
  <c r="S66" i="6"/>
  <c r="AA66" i="6" s="1"/>
  <c r="S67" i="6"/>
  <c r="AA67" i="6" s="1"/>
  <c r="S68" i="6"/>
  <c r="AA68" i="6" s="1"/>
  <c r="S69" i="6"/>
  <c r="AA69" i="6" s="1"/>
  <c r="S70" i="6"/>
  <c r="AA70" i="6" s="1"/>
  <c r="S71" i="6"/>
  <c r="AA71" i="6" s="1"/>
  <c r="S72" i="6"/>
  <c r="AA72" i="6" s="1"/>
  <c r="S73" i="6"/>
  <c r="AA73" i="6" s="1"/>
  <c r="S74" i="6"/>
  <c r="AA74" i="6" s="1"/>
  <c r="S75" i="6"/>
  <c r="AA75" i="6" s="1"/>
  <c r="S76" i="6"/>
  <c r="AA76" i="6" s="1"/>
  <c r="S77" i="6"/>
  <c r="AA77" i="6" s="1"/>
  <c r="S78" i="6"/>
  <c r="AA78" i="6" s="1"/>
  <c r="S79" i="6"/>
  <c r="AA79" i="6" s="1"/>
  <c r="S80" i="6"/>
  <c r="AA80" i="6" s="1"/>
  <c r="S81" i="6"/>
  <c r="AA81" i="6" s="1"/>
  <c r="S82" i="6"/>
  <c r="AA82" i="6" s="1"/>
  <c r="S83" i="6"/>
  <c r="AA83" i="6" s="1"/>
  <c r="S84" i="6"/>
  <c r="AA84" i="6" s="1"/>
  <c r="S85" i="6"/>
  <c r="AA85" i="6" s="1"/>
  <c r="S86" i="6"/>
  <c r="AA86" i="6" s="1"/>
  <c r="S87" i="6"/>
  <c r="AA87" i="6" s="1"/>
  <c r="S88" i="6"/>
  <c r="AA88" i="6" s="1"/>
  <c r="S89" i="6"/>
  <c r="AA89" i="6" s="1"/>
  <c r="S90" i="6"/>
  <c r="AA90" i="6" s="1"/>
  <c r="S91" i="6"/>
  <c r="AA91" i="6" s="1"/>
  <c r="S92" i="6"/>
  <c r="AA92" i="6" s="1"/>
  <c r="S93" i="6"/>
  <c r="AA93" i="6" s="1"/>
  <c r="S94" i="6"/>
  <c r="AA94" i="6" s="1"/>
  <c r="S95" i="6"/>
  <c r="AA95" i="6" s="1"/>
  <c r="S96" i="6"/>
  <c r="AA96" i="6" s="1"/>
  <c r="S97" i="6"/>
  <c r="AA97" i="6" s="1"/>
  <c r="S98" i="6"/>
  <c r="AA98" i="6" s="1"/>
  <c r="S99" i="6"/>
  <c r="AA99" i="6" s="1"/>
  <c r="S100" i="6"/>
  <c r="AA100" i="6" s="1"/>
  <c r="S101" i="6"/>
  <c r="AA101" i="6" s="1"/>
  <c r="S102" i="6"/>
  <c r="AA102" i="6" s="1"/>
  <c r="S103" i="6"/>
  <c r="AA103" i="6" s="1"/>
  <c r="S104" i="6"/>
  <c r="AA104" i="6" s="1"/>
  <c r="S105" i="6"/>
  <c r="AA105" i="6" s="1"/>
  <c r="S106" i="6"/>
  <c r="AA106" i="6" s="1"/>
  <c r="S107" i="6"/>
  <c r="AA107" i="6" s="1"/>
  <c r="S108" i="6"/>
  <c r="AA108" i="6" s="1"/>
  <c r="S109" i="6"/>
  <c r="AA109" i="6" s="1"/>
  <c r="S110" i="6"/>
  <c r="AA110" i="6" s="1"/>
  <c r="S111" i="6"/>
  <c r="AA111" i="6" s="1"/>
  <c r="S112" i="6"/>
  <c r="AA112" i="6" s="1"/>
  <c r="S113" i="6"/>
  <c r="AA113" i="6" s="1"/>
  <c r="S114" i="6"/>
  <c r="AA114" i="6" s="1"/>
  <c r="S115" i="6"/>
  <c r="AA115" i="6" s="1"/>
  <c r="S116" i="6"/>
  <c r="AA116" i="6" s="1"/>
  <c r="S117" i="6"/>
  <c r="AA117" i="6" s="1"/>
  <c r="S118" i="6"/>
  <c r="AA118" i="6" s="1"/>
  <c r="S119" i="6"/>
  <c r="AA119" i="6" s="1"/>
  <c r="S120" i="6"/>
  <c r="AA120" i="6" s="1"/>
  <c r="S121" i="6"/>
  <c r="AA121" i="6" s="1"/>
  <c r="S122" i="6"/>
  <c r="AA122" i="6" s="1"/>
  <c r="S123" i="6"/>
  <c r="AA123" i="6" s="1"/>
  <c r="S124" i="6"/>
  <c r="AA124" i="6" s="1"/>
  <c r="S125" i="6"/>
  <c r="AA125" i="6" s="1"/>
  <c r="S126" i="6"/>
  <c r="AA126" i="6" s="1"/>
  <c r="S127" i="6"/>
  <c r="AA127" i="6" s="1"/>
  <c r="S128" i="6"/>
  <c r="AA128" i="6" s="1"/>
  <c r="S129" i="6"/>
  <c r="AA129" i="6" s="1"/>
  <c r="S130" i="6"/>
  <c r="AA130" i="6" s="1"/>
  <c r="S131" i="6"/>
  <c r="AA131" i="6" s="1"/>
  <c r="S132" i="6"/>
  <c r="AA132" i="6" s="1"/>
  <c r="S133" i="6"/>
  <c r="AA133" i="6" s="1"/>
  <c r="S134" i="6"/>
  <c r="AA134" i="6" s="1"/>
  <c r="S135" i="6"/>
  <c r="AA135" i="6" s="1"/>
  <c r="S136" i="6"/>
  <c r="AA136" i="6" s="1"/>
  <c r="S137" i="6"/>
  <c r="AA137" i="6" s="1"/>
  <c r="S138" i="6"/>
  <c r="AA138" i="6" s="1"/>
  <c r="S139" i="6"/>
  <c r="AA139" i="6" s="1"/>
  <c r="S140" i="6"/>
  <c r="AA140" i="6" s="1"/>
  <c r="S141" i="6"/>
  <c r="AA141" i="6" s="1"/>
  <c r="S142" i="6"/>
  <c r="AA142" i="6" s="1"/>
  <c r="S143" i="6"/>
  <c r="AA143" i="6" s="1"/>
  <c r="S144" i="6"/>
  <c r="AA144" i="6" s="1"/>
  <c r="S145" i="6"/>
  <c r="AA145" i="6" s="1"/>
  <c r="S146" i="6"/>
  <c r="AA146" i="6" s="1"/>
  <c r="S147" i="6"/>
  <c r="AA147" i="6" s="1"/>
  <c r="S148" i="6"/>
  <c r="AA148" i="6" s="1"/>
  <c r="S149" i="6"/>
  <c r="AA149" i="6" s="1"/>
  <c r="S150" i="6"/>
  <c r="AA150" i="6" s="1"/>
  <c r="S151" i="6"/>
  <c r="AA151" i="6" s="1"/>
  <c r="S152" i="6"/>
  <c r="AA152" i="6" s="1"/>
  <c r="S153" i="6"/>
  <c r="AA153" i="6" s="1"/>
  <c r="S154" i="6"/>
  <c r="AA154" i="6" s="1"/>
  <c r="S155" i="6"/>
  <c r="AA155" i="6" s="1"/>
  <c r="S156" i="6"/>
  <c r="AA156" i="6" s="1"/>
  <c r="S157" i="6"/>
  <c r="AA157" i="6" s="1"/>
  <c r="S158" i="6"/>
  <c r="AA158" i="6" s="1"/>
  <c r="S159" i="6"/>
  <c r="AA159" i="6" s="1"/>
  <c r="S160" i="6"/>
  <c r="AA160" i="6" s="1"/>
  <c r="S161" i="6"/>
  <c r="AA161" i="6" s="1"/>
  <c r="S162" i="6"/>
  <c r="AA162" i="6" s="1"/>
  <c r="S163" i="6"/>
  <c r="AA163" i="6" s="1"/>
  <c r="S164" i="6"/>
  <c r="AA164" i="6" s="1"/>
  <c r="S165" i="6"/>
  <c r="AA165" i="6" s="1"/>
  <c r="S166" i="6"/>
  <c r="AA166" i="6" s="1"/>
  <c r="S167" i="6"/>
  <c r="AA167" i="6" s="1"/>
  <c r="S168" i="6"/>
  <c r="AA168" i="6" s="1"/>
  <c r="S169" i="6"/>
  <c r="AA169" i="6" s="1"/>
  <c r="S170" i="6"/>
  <c r="AA170" i="6" s="1"/>
  <c r="S171" i="6"/>
  <c r="AA171" i="6" s="1"/>
  <c r="S172" i="6"/>
  <c r="AA172" i="6" s="1"/>
  <c r="S173" i="6"/>
  <c r="AA173" i="6" s="1"/>
  <c r="S174" i="6"/>
  <c r="AA174" i="6" s="1"/>
  <c r="S175" i="6"/>
  <c r="AA175" i="6" s="1"/>
  <c r="S176" i="6"/>
  <c r="AA176" i="6" s="1"/>
  <c r="S177" i="6"/>
  <c r="AA177" i="6" s="1"/>
  <c r="S178" i="6"/>
  <c r="AA178" i="6" s="1"/>
  <c r="S179" i="6"/>
  <c r="AA179" i="6" s="1"/>
  <c r="S180" i="6"/>
  <c r="AA180" i="6" s="1"/>
  <c r="S181" i="6"/>
  <c r="AA181" i="6" s="1"/>
  <c r="S182" i="6"/>
  <c r="AA182" i="6" s="1"/>
  <c r="S183" i="6"/>
  <c r="AA183" i="6" s="1"/>
  <c r="S184" i="6"/>
  <c r="AA184" i="6" s="1"/>
  <c r="S185" i="6"/>
  <c r="AA185" i="6" s="1"/>
  <c r="S186" i="6"/>
  <c r="AA186" i="6" s="1"/>
  <c r="S187" i="6"/>
  <c r="AA187" i="6" s="1"/>
  <c r="S188" i="6"/>
  <c r="AA188" i="6" s="1"/>
  <c r="S189" i="6"/>
  <c r="AA189" i="6" s="1"/>
  <c r="S190" i="6"/>
  <c r="AA190" i="6" s="1"/>
  <c r="S191" i="6"/>
  <c r="AA191" i="6" s="1"/>
  <c r="S192" i="6"/>
  <c r="AA192" i="6" s="1"/>
  <c r="S193" i="6"/>
  <c r="AA193" i="6" s="1"/>
  <c r="S194" i="6"/>
  <c r="AA194" i="6" s="1"/>
  <c r="S195" i="6"/>
  <c r="AA195" i="6" s="1"/>
  <c r="S196" i="6"/>
  <c r="AA196" i="6" s="1"/>
  <c r="S197" i="6"/>
  <c r="AA197" i="6" s="1"/>
  <c r="S198" i="6"/>
  <c r="AA198" i="6" s="1"/>
  <c r="S199" i="6"/>
  <c r="AA199" i="6" s="1"/>
  <c r="S200" i="6"/>
  <c r="AA200" i="6" s="1"/>
  <c r="S201" i="6"/>
  <c r="AA201" i="6" s="1"/>
  <c r="S202" i="6"/>
  <c r="AA202" i="6" s="1"/>
  <c r="S203" i="6"/>
  <c r="AA203" i="6" s="1"/>
  <c r="S204" i="6"/>
  <c r="AA204" i="6" s="1"/>
  <c r="S205" i="6"/>
  <c r="AA205" i="6" s="1"/>
  <c r="S206" i="6"/>
  <c r="AA206" i="6" s="1"/>
  <c r="S207" i="6"/>
  <c r="AA207" i="6" s="1"/>
  <c r="S208" i="6"/>
  <c r="AA208" i="6" s="1"/>
  <c r="S209" i="6"/>
  <c r="AA209" i="6" s="1"/>
  <c r="S210" i="6"/>
  <c r="AA210" i="6" s="1"/>
  <c r="S211" i="6"/>
  <c r="AA211" i="6" s="1"/>
  <c r="S212" i="6"/>
  <c r="AA212" i="6" s="1"/>
  <c r="S213" i="6"/>
  <c r="AA213" i="6" s="1"/>
  <c r="S214" i="6"/>
  <c r="AA214" i="6" s="1"/>
  <c r="S215" i="6"/>
  <c r="AA215" i="6" s="1"/>
  <c r="S216" i="6"/>
  <c r="AA216" i="6" s="1"/>
  <c r="S217" i="6"/>
  <c r="AA217" i="6" s="1"/>
  <c r="S218" i="6"/>
  <c r="AA218" i="6" s="1"/>
  <c r="S219" i="6"/>
  <c r="AA219" i="6" s="1"/>
  <c r="S220" i="6"/>
  <c r="AA220" i="6" s="1"/>
  <c r="S221" i="6"/>
  <c r="AA221" i="6" s="1"/>
  <c r="S222" i="6"/>
  <c r="AA222" i="6" s="1"/>
  <c r="S223" i="6"/>
  <c r="AA223" i="6" s="1"/>
  <c r="S224" i="6"/>
  <c r="AA224" i="6" s="1"/>
  <c r="S225" i="6"/>
  <c r="AA225" i="6" s="1"/>
  <c r="S226" i="6"/>
  <c r="AA226" i="6" s="1"/>
  <c r="S227" i="6"/>
  <c r="AA227" i="6" s="1"/>
  <c r="S228" i="6"/>
  <c r="AA228" i="6" s="1"/>
  <c r="S229" i="6"/>
  <c r="AA229" i="6" s="1"/>
  <c r="S230" i="6"/>
  <c r="AA230" i="6" s="1"/>
  <c r="S231" i="6"/>
  <c r="AA231" i="6" s="1"/>
  <c r="S232" i="6"/>
  <c r="AA232" i="6" s="1"/>
  <c r="S233" i="6"/>
  <c r="AA233" i="6" s="1"/>
  <c r="S234" i="6"/>
  <c r="AA234" i="6" s="1"/>
  <c r="S235" i="6"/>
  <c r="AA235" i="6" s="1"/>
  <c r="S236" i="6"/>
  <c r="AA236" i="6" s="1"/>
  <c r="S237" i="6"/>
  <c r="AA237" i="6" s="1"/>
  <c r="S238" i="6"/>
  <c r="AA238" i="6" s="1"/>
  <c r="S239" i="6"/>
  <c r="AA239" i="6" s="1"/>
  <c r="S240" i="6"/>
  <c r="AA240" i="6" s="1"/>
  <c r="S241" i="6"/>
  <c r="AA241" i="6" s="1"/>
  <c r="S242" i="6"/>
  <c r="AA242" i="6" s="1"/>
  <c r="S243" i="6"/>
  <c r="AA243" i="6" s="1"/>
  <c r="S244" i="6"/>
  <c r="AA244" i="6" s="1"/>
  <c r="S245" i="6"/>
  <c r="AA245" i="6" s="1"/>
  <c r="S246" i="6"/>
  <c r="AA246" i="6" s="1"/>
  <c r="S247" i="6"/>
  <c r="AA247" i="6" s="1"/>
  <c r="S248" i="6"/>
  <c r="AA248" i="6" s="1"/>
  <c r="S249" i="6"/>
  <c r="AA249" i="6" s="1"/>
  <c r="S250" i="6"/>
  <c r="AA250" i="6" s="1"/>
  <c r="S251" i="6"/>
  <c r="AA251" i="6" s="1"/>
  <c r="S252" i="6"/>
  <c r="AA252" i="6" s="1"/>
  <c r="S253" i="6"/>
  <c r="AA253" i="6" s="1"/>
  <c r="S254" i="6"/>
  <c r="AA254" i="6" s="1"/>
  <c r="S255" i="6"/>
  <c r="AA255" i="6" s="1"/>
  <c r="S256" i="6"/>
  <c r="AA256" i="6" s="1"/>
  <c r="S257" i="6"/>
  <c r="AA257" i="6" s="1"/>
  <c r="S258" i="6"/>
  <c r="AA258" i="6" s="1"/>
  <c r="S259" i="6"/>
  <c r="AA259" i="6" s="1"/>
  <c r="S260" i="6"/>
  <c r="AA260" i="6" s="1"/>
  <c r="S261" i="6"/>
  <c r="AA261" i="6" s="1"/>
  <c r="S262" i="6"/>
  <c r="AA262" i="6" s="1"/>
  <c r="S263" i="6"/>
  <c r="AA263" i="6" s="1"/>
  <c r="S264" i="6"/>
  <c r="AA264" i="6" s="1"/>
  <c r="S265" i="6"/>
  <c r="AA265" i="6" s="1"/>
  <c r="S266" i="6"/>
  <c r="AA266" i="6" s="1"/>
  <c r="S267" i="6"/>
  <c r="AA267" i="6" s="1"/>
  <c r="S268" i="6"/>
  <c r="AA268" i="6" s="1"/>
  <c r="S269" i="6"/>
  <c r="AA269" i="6" s="1"/>
  <c r="S270" i="6"/>
  <c r="AA270" i="6" s="1"/>
  <c r="S271" i="6"/>
  <c r="AA271" i="6" s="1"/>
  <c r="S272" i="6"/>
  <c r="AA272" i="6" s="1"/>
  <c r="S273" i="6"/>
  <c r="AA273" i="6" s="1"/>
  <c r="S274" i="6"/>
  <c r="AA274" i="6" s="1"/>
  <c r="S275" i="6"/>
  <c r="AA275" i="6" s="1"/>
  <c r="S276" i="6"/>
  <c r="AA276" i="6" s="1"/>
  <c r="S277" i="6"/>
  <c r="AA277" i="6" s="1"/>
  <c r="S278" i="6"/>
  <c r="AA278" i="6" s="1"/>
  <c r="S279" i="6"/>
  <c r="AA279" i="6" s="1"/>
  <c r="S280" i="6"/>
  <c r="AA280" i="6" s="1"/>
  <c r="S281" i="6"/>
  <c r="AA281" i="6" s="1"/>
  <c r="S282" i="6"/>
  <c r="AA282" i="6" s="1"/>
  <c r="S283" i="6"/>
  <c r="AA283" i="6" s="1"/>
  <c r="S284" i="6"/>
  <c r="AA284" i="6" s="1"/>
  <c r="S285" i="6"/>
  <c r="AA285" i="6" s="1"/>
  <c r="S286" i="6"/>
  <c r="AA286" i="6" s="1"/>
  <c r="S287" i="6"/>
  <c r="AA287" i="6" s="1"/>
  <c r="S288" i="6"/>
  <c r="AA288" i="6" s="1"/>
  <c r="S289" i="6"/>
  <c r="AA289" i="6" s="1"/>
  <c r="S290" i="6"/>
  <c r="AA290" i="6" s="1"/>
  <c r="S291" i="6"/>
  <c r="AA291" i="6" s="1"/>
  <c r="S292" i="6"/>
  <c r="AA292" i="6" s="1"/>
  <c r="S293" i="6"/>
  <c r="AA293" i="6" s="1"/>
  <c r="S294" i="6"/>
  <c r="AA294" i="6" s="1"/>
  <c r="S295" i="6"/>
  <c r="AA295" i="6" s="1"/>
  <c r="S296" i="6"/>
  <c r="AA296" i="6" s="1"/>
  <c r="S297" i="6"/>
  <c r="AA297" i="6" s="1"/>
  <c r="S298" i="6"/>
  <c r="AA298" i="6" s="1"/>
  <c r="S299" i="6"/>
  <c r="AA299" i="6" s="1"/>
  <c r="S300" i="6"/>
  <c r="AA300" i="6" s="1"/>
  <c r="S301" i="6"/>
  <c r="AA301" i="6" s="1"/>
  <c r="S302" i="6"/>
  <c r="AA302" i="6" s="1"/>
  <c r="S303" i="6"/>
  <c r="AA303" i="6" s="1"/>
  <c r="S304" i="6"/>
  <c r="AA304" i="6" s="1"/>
  <c r="S305" i="6"/>
  <c r="AA305" i="6" s="1"/>
  <c r="S306" i="6"/>
  <c r="AA306" i="6" s="1"/>
  <c r="S307" i="6"/>
  <c r="AA307" i="6" s="1"/>
  <c r="S308" i="6"/>
  <c r="AA308" i="6" s="1"/>
  <c r="S309" i="6"/>
  <c r="AA309" i="6" s="1"/>
  <c r="S310" i="6"/>
  <c r="AA310" i="6" s="1"/>
  <c r="S311" i="6"/>
  <c r="AA311" i="6" s="1"/>
  <c r="S312" i="6"/>
  <c r="AA312" i="6" s="1"/>
  <c r="S313" i="6"/>
  <c r="AA313" i="6" s="1"/>
  <c r="S314" i="6"/>
  <c r="AA314" i="6" s="1"/>
  <c r="S315" i="6"/>
  <c r="AA315" i="6" s="1"/>
  <c r="S316" i="6"/>
  <c r="AA316" i="6" s="1"/>
  <c r="S317" i="6"/>
  <c r="AA317" i="6" s="1"/>
  <c r="S318" i="6"/>
  <c r="AA318" i="6" s="1"/>
  <c r="S319" i="6"/>
  <c r="AA319" i="6" s="1"/>
  <c r="S320" i="6"/>
  <c r="AA320" i="6" s="1"/>
  <c r="S321" i="6"/>
  <c r="AA321" i="6" s="1"/>
  <c r="S322" i="6"/>
  <c r="AA322" i="6" s="1"/>
  <c r="S323" i="6"/>
  <c r="AA323" i="6" s="1"/>
  <c r="S324" i="6"/>
  <c r="AA324" i="6" s="1"/>
  <c r="S325" i="6"/>
  <c r="AA325" i="6" s="1"/>
  <c r="S326" i="6"/>
  <c r="AA326" i="6" s="1"/>
  <c r="S327" i="6"/>
  <c r="AA327" i="6" s="1"/>
  <c r="S328" i="6"/>
  <c r="AA328" i="6" s="1"/>
  <c r="S329" i="6"/>
  <c r="AA329" i="6" s="1"/>
  <c r="S330" i="6"/>
  <c r="AA330" i="6" s="1"/>
  <c r="S331" i="6"/>
  <c r="AA331" i="6" s="1"/>
  <c r="S332" i="6"/>
  <c r="AA332" i="6" s="1"/>
  <c r="S333" i="6"/>
  <c r="AA333" i="6" s="1"/>
  <c r="S334" i="6"/>
  <c r="AA334" i="6" s="1"/>
  <c r="S335" i="6"/>
  <c r="AA335" i="6" s="1"/>
  <c r="S336" i="6"/>
  <c r="AA336" i="6" s="1"/>
  <c r="S337" i="6"/>
  <c r="AA337" i="6" s="1"/>
  <c r="S338" i="6"/>
  <c r="AA338" i="6" s="1"/>
  <c r="S339" i="6"/>
  <c r="AA339" i="6" s="1"/>
  <c r="S340" i="6"/>
  <c r="AA340" i="6" s="1"/>
  <c r="S341" i="6"/>
  <c r="AA341" i="6" s="1"/>
  <c r="S342" i="6"/>
  <c r="AA342" i="6" s="1"/>
  <c r="S343" i="6"/>
  <c r="AA343" i="6" s="1"/>
  <c r="S344" i="6"/>
  <c r="AA344" i="6" s="1"/>
  <c r="S345" i="6"/>
  <c r="AA345" i="6" s="1"/>
  <c r="S346" i="6"/>
  <c r="AA346" i="6" s="1"/>
  <c r="S347" i="6"/>
  <c r="AA347" i="6" s="1"/>
  <c r="S348" i="6"/>
  <c r="AA348" i="6" s="1"/>
  <c r="S349" i="6"/>
  <c r="AA349" i="6" s="1"/>
  <c r="S350" i="6"/>
  <c r="AA350" i="6" s="1"/>
  <c r="S351" i="6"/>
  <c r="AA351" i="6" s="1"/>
  <c r="S352" i="6"/>
  <c r="AA352" i="6" s="1"/>
  <c r="S353" i="6"/>
  <c r="AA353" i="6" s="1"/>
  <c r="S354" i="6"/>
  <c r="AA354" i="6" s="1"/>
  <c r="S355" i="6"/>
  <c r="AA355" i="6" s="1"/>
  <c r="S356" i="6"/>
  <c r="AA356" i="6" s="1"/>
  <c r="S357" i="6"/>
  <c r="AA357" i="6" s="1"/>
  <c r="S358" i="6"/>
  <c r="AA358" i="6" s="1"/>
  <c r="S359" i="6"/>
  <c r="AA359" i="6" s="1"/>
  <c r="S360" i="6"/>
  <c r="AA360" i="6" s="1"/>
  <c r="S361" i="6"/>
  <c r="AA361" i="6" s="1"/>
  <c r="S362" i="6"/>
  <c r="AA362" i="6" s="1"/>
  <c r="S363" i="6"/>
  <c r="AA363" i="6" s="1"/>
  <c r="S364" i="6"/>
  <c r="AA364" i="6" s="1"/>
  <c r="S365" i="6"/>
  <c r="AA365" i="6" s="1"/>
  <c r="S366" i="6"/>
  <c r="AA366" i="6" s="1"/>
  <c r="S367" i="6"/>
  <c r="AA367" i="6" s="1"/>
  <c r="S368" i="6"/>
  <c r="AA368" i="6" s="1"/>
  <c r="S369" i="6"/>
  <c r="AA369" i="6" s="1"/>
  <c r="S370" i="6"/>
  <c r="AA370" i="6" s="1"/>
  <c r="S371" i="6"/>
  <c r="AA371" i="6" s="1"/>
  <c r="S372" i="6"/>
  <c r="AA372" i="6" s="1"/>
  <c r="S373" i="6"/>
  <c r="AA373" i="6" s="1"/>
  <c r="S374" i="6"/>
  <c r="AA374" i="6" s="1"/>
  <c r="S375" i="6"/>
  <c r="AA375" i="6" s="1"/>
  <c r="S376" i="6"/>
  <c r="AA376" i="6" s="1"/>
  <c r="S377" i="6"/>
  <c r="AA377" i="6" s="1"/>
  <c r="S378" i="6"/>
  <c r="AA378" i="6" s="1"/>
  <c r="S379" i="6"/>
  <c r="AA379" i="6" s="1"/>
  <c r="S380" i="6"/>
  <c r="AA380" i="6" s="1"/>
  <c r="S381" i="6"/>
  <c r="AA381" i="6" s="1"/>
  <c r="S382" i="6"/>
  <c r="AA382" i="6" s="1"/>
  <c r="S383" i="6"/>
  <c r="AA383" i="6" s="1"/>
  <c r="S384" i="6"/>
  <c r="AA384" i="6" s="1"/>
  <c r="S385" i="6"/>
  <c r="AA385" i="6" s="1"/>
  <c r="S386" i="6"/>
  <c r="AA386" i="6" s="1"/>
  <c r="S387" i="6"/>
  <c r="AA387" i="6" s="1"/>
  <c r="S388" i="6"/>
  <c r="AA388" i="6" s="1"/>
  <c r="S389" i="6"/>
  <c r="AA389" i="6" s="1"/>
  <c r="S390" i="6"/>
  <c r="AA390" i="6" s="1"/>
  <c r="S391" i="6"/>
  <c r="AA391" i="6" s="1"/>
  <c r="S392" i="6"/>
  <c r="AA392" i="6" s="1"/>
  <c r="S393" i="6"/>
  <c r="AA393" i="6" s="1"/>
  <c r="S394" i="6"/>
  <c r="AA394" i="6" s="1"/>
  <c r="S395" i="6"/>
  <c r="AA395" i="6" s="1"/>
  <c r="S396" i="6"/>
  <c r="AA396" i="6" s="1"/>
  <c r="S397" i="6"/>
  <c r="AA397" i="6" s="1"/>
  <c r="S398" i="6"/>
  <c r="AA398" i="6" s="1"/>
  <c r="S399" i="6"/>
  <c r="AA399" i="6" s="1"/>
  <c r="S400" i="6"/>
  <c r="AA400" i="6" s="1"/>
  <c r="S401" i="6"/>
  <c r="AA401" i="6" s="1"/>
  <c r="S402" i="6"/>
  <c r="AA402" i="6" s="1"/>
  <c r="S403" i="6"/>
  <c r="AA403" i="6" s="1"/>
  <c r="S404" i="6"/>
  <c r="AA404" i="6" s="1"/>
  <c r="S405" i="6"/>
  <c r="AA405" i="6" s="1"/>
  <c r="S406" i="6"/>
  <c r="AA406" i="6" s="1"/>
  <c r="S407" i="6"/>
  <c r="AA407" i="6" s="1"/>
  <c r="S408" i="6"/>
  <c r="AA408" i="6" s="1"/>
  <c r="S409" i="6"/>
  <c r="AA409" i="6" s="1"/>
  <c r="S410" i="6"/>
  <c r="AA410" i="6" s="1"/>
  <c r="S411" i="6"/>
  <c r="AA411" i="6" s="1"/>
  <c r="S412" i="6"/>
  <c r="AA412" i="6" s="1"/>
  <c r="S413" i="6"/>
  <c r="AA413" i="6" s="1"/>
  <c r="S414" i="6"/>
  <c r="AA414" i="6" s="1"/>
  <c r="S415" i="6"/>
  <c r="AA415" i="6" s="1"/>
  <c r="S416" i="6"/>
  <c r="AA416" i="6" s="1"/>
  <c r="S417" i="6"/>
  <c r="AA417" i="6" s="1"/>
  <c r="S418" i="6"/>
  <c r="AA418" i="6" s="1"/>
  <c r="S419" i="6"/>
  <c r="AA419" i="6" s="1"/>
  <c r="S420" i="6"/>
  <c r="AA420" i="6" s="1"/>
  <c r="S421" i="6"/>
  <c r="AA421" i="6" s="1"/>
  <c r="S422" i="6"/>
  <c r="AA422" i="6" s="1"/>
  <c r="S423" i="6"/>
  <c r="AA423" i="6" s="1"/>
  <c r="S424" i="6"/>
  <c r="AA424" i="6" s="1"/>
  <c r="S425" i="6"/>
  <c r="AA425" i="6" s="1"/>
  <c r="S426" i="6"/>
  <c r="AA426" i="6" s="1"/>
  <c r="S427" i="6"/>
  <c r="AA427" i="6" s="1"/>
  <c r="S428" i="6"/>
  <c r="AA428" i="6" s="1"/>
  <c r="S429" i="6"/>
  <c r="AA429" i="6" s="1"/>
  <c r="S430" i="6"/>
  <c r="AA430" i="6" s="1"/>
  <c r="S431" i="6"/>
  <c r="AA431" i="6" s="1"/>
  <c r="S432" i="6"/>
  <c r="AA432" i="6" s="1"/>
  <c r="S433" i="6"/>
  <c r="AA433" i="6" s="1"/>
  <c r="S434" i="6"/>
  <c r="AA434" i="6" s="1"/>
  <c r="S435" i="6"/>
  <c r="AA435" i="6" s="1"/>
  <c r="S436" i="6"/>
  <c r="AA436" i="6" s="1"/>
  <c r="S437" i="6"/>
  <c r="AA437" i="6" s="1"/>
  <c r="S438" i="6"/>
  <c r="AA438" i="6" s="1"/>
  <c r="S439" i="6"/>
  <c r="AA439" i="6" s="1"/>
  <c r="S440" i="6"/>
  <c r="AA440" i="6" s="1"/>
  <c r="S441" i="6"/>
  <c r="AA441" i="6" s="1"/>
  <c r="S442" i="6"/>
  <c r="AA442" i="6" s="1"/>
  <c r="S443" i="6"/>
  <c r="AA443" i="6" s="1"/>
  <c r="S444" i="6"/>
  <c r="AA444" i="6" s="1"/>
  <c r="S445" i="6"/>
  <c r="AA445" i="6" s="1"/>
  <c r="S446" i="6"/>
  <c r="AA446" i="6" s="1"/>
  <c r="S447" i="6"/>
  <c r="AA447" i="6" s="1"/>
  <c r="S448" i="6"/>
  <c r="AA448" i="6" s="1"/>
  <c r="S449" i="6"/>
  <c r="AA449" i="6" s="1"/>
  <c r="S450" i="6"/>
  <c r="AA450" i="6" s="1"/>
  <c r="S451" i="6"/>
  <c r="AA451" i="6" s="1"/>
  <c r="S452" i="6"/>
  <c r="AA452" i="6" s="1"/>
  <c r="S453" i="6"/>
  <c r="AA453" i="6" s="1"/>
  <c r="S454" i="6"/>
  <c r="AA454" i="6" s="1"/>
  <c r="S455" i="6"/>
  <c r="AA455" i="6" s="1"/>
  <c r="S456" i="6"/>
  <c r="AA456" i="6" s="1"/>
  <c r="S457" i="6"/>
  <c r="AA457" i="6" s="1"/>
  <c r="S458" i="6"/>
  <c r="AA458" i="6" s="1"/>
  <c r="S459" i="6"/>
  <c r="AA459" i="6" s="1"/>
  <c r="S460" i="6"/>
  <c r="AA460" i="6" s="1"/>
  <c r="S461" i="6"/>
  <c r="AA461" i="6" s="1"/>
  <c r="S462" i="6"/>
  <c r="AA462" i="6" s="1"/>
  <c r="S463" i="6"/>
  <c r="AA463" i="6" s="1"/>
  <c r="S464" i="6"/>
  <c r="AA464" i="6" s="1"/>
  <c r="S465" i="6"/>
  <c r="AA465" i="6" s="1"/>
  <c r="S466" i="6"/>
  <c r="AA466" i="6" s="1"/>
  <c r="S467" i="6"/>
  <c r="AA467" i="6" s="1"/>
  <c r="S468" i="6"/>
  <c r="AA468" i="6" s="1"/>
  <c r="S469" i="6"/>
  <c r="AA469" i="6" s="1"/>
  <c r="S470" i="6"/>
  <c r="AA470" i="6" s="1"/>
  <c r="S471" i="6"/>
  <c r="AA471" i="6" s="1"/>
  <c r="S472" i="6"/>
  <c r="AA472" i="6" s="1"/>
  <c r="S473" i="6"/>
  <c r="AA473" i="6" s="1"/>
  <c r="S474" i="6"/>
  <c r="AA474" i="6" s="1"/>
  <c r="S475" i="6"/>
  <c r="AA475" i="6" s="1"/>
  <c r="S476" i="6"/>
  <c r="AA476" i="6" s="1"/>
  <c r="S477" i="6"/>
  <c r="AA477" i="6" s="1"/>
  <c r="S478" i="6"/>
  <c r="AA478" i="6" s="1"/>
  <c r="S479" i="6"/>
  <c r="AA479" i="6" s="1"/>
  <c r="S480" i="6"/>
  <c r="AA480" i="6" s="1"/>
  <c r="S481" i="6"/>
  <c r="AA481" i="6" s="1"/>
  <c r="S482" i="6"/>
  <c r="AA482" i="6" s="1"/>
  <c r="S483" i="6"/>
  <c r="AA483" i="6" s="1"/>
  <c r="S484" i="6"/>
  <c r="AA484" i="6" s="1"/>
  <c r="S485" i="6"/>
  <c r="AA485" i="6" s="1"/>
  <c r="S486" i="6"/>
  <c r="AA486" i="6" s="1"/>
  <c r="S487" i="6"/>
  <c r="AA487" i="6" s="1"/>
  <c r="S488" i="6"/>
  <c r="AA488" i="6" s="1"/>
  <c r="S489" i="6"/>
  <c r="AA489" i="6" s="1"/>
  <c r="S490" i="6"/>
  <c r="AA490" i="6" s="1"/>
  <c r="S491" i="6"/>
  <c r="AA491" i="6" s="1"/>
  <c r="S492" i="6"/>
  <c r="AA492" i="6" s="1"/>
  <c r="S493" i="6"/>
  <c r="AA493" i="6" s="1"/>
  <c r="S494" i="6"/>
  <c r="AA494" i="6" s="1"/>
  <c r="S495" i="6"/>
  <c r="AA495" i="6" s="1"/>
  <c r="S496" i="6"/>
  <c r="AA496" i="6" s="1"/>
  <c r="S497" i="6"/>
  <c r="AA497" i="6" s="1"/>
  <c r="S498" i="6"/>
  <c r="AA498" i="6" s="1"/>
  <c r="S499" i="6"/>
  <c r="AA499" i="6" s="1"/>
  <c r="S500" i="6"/>
  <c r="AA500" i="6" s="1"/>
  <c r="S501" i="6"/>
  <c r="AA501" i="6" s="1"/>
  <c r="S502" i="6"/>
  <c r="AA502" i="6" s="1"/>
  <c r="S503" i="6"/>
  <c r="AA503" i="6" s="1"/>
  <c r="S504" i="6"/>
  <c r="AA504" i="6" s="1"/>
  <c r="S505" i="6"/>
  <c r="AA505" i="6" s="1"/>
  <c r="S506" i="6"/>
  <c r="AA506" i="6" s="1"/>
  <c r="S507" i="6"/>
  <c r="AA507" i="6" s="1"/>
  <c r="S508" i="6"/>
  <c r="AA508" i="6" s="1"/>
  <c r="S509" i="6"/>
  <c r="AA509" i="6" s="1"/>
  <c r="S510" i="6"/>
  <c r="AA510" i="6" s="1"/>
  <c r="S511" i="6"/>
  <c r="AA511" i="6" s="1"/>
  <c r="S512" i="6"/>
  <c r="AA512" i="6" s="1"/>
  <c r="S513" i="6"/>
  <c r="AA513" i="6" s="1"/>
  <c r="S514" i="6"/>
  <c r="AA514" i="6" s="1"/>
  <c r="S515" i="6"/>
  <c r="AA515" i="6" s="1"/>
  <c r="S516" i="6"/>
  <c r="AA516" i="6" s="1"/>
  <c r="S517" i="6"/>
  <c r="AA517" i="6" s="1"/>
  <c r="S518" i="6"/>
  <c r="AA518" i="6" s="1"/>
  <c r="S519" i="6"/>
  <c r="AA519" i="6" s="1"/>
  <c r="S520" i="6"/>
  <c r="AA520" i="6" s="1"/>
  <c r="S521" i="6"/>
  <c r="AA521" i="6" s="1"/>
  <c r="S522" i="6"/>
  <c r="AA522" i="6" s="1"/>
  <c r="S523" i="6"/>
  <c r="AA523" i="6" s="1"/>
  <c r="S524" i="6"/>
  <c r="AA524" i="6" s="1"/>
  <c r="S525" i="6"/>
  <c r="AA525" i="6" s="1"/>
  <c r="S526" i="6"/>
  <c r="AA526" i="6" s="1"/>
  <c r="S527" i="6"/>
  <c r="AA527" i="6" s="1"/>
  <c r="S528" i="6"/>
  <c r="AA528" i="6" s="1"/>
  <c r="S529" i="6"/>
  <c r="AA529" i="6" s="1"/>
  <c r="S530" i="6"/>
  <c r="AA530" i="6" s="1"/>
  <c r="S531" i="6"/>
  <c r="AA531" i="6" s="1"/>
  <c r="S532" i="6"/>
  <c r="AA532" i="6" s="1"/>
  <c r="S533" i="6"/>
  <c r="AA533" i="6" s="1"/>
  <c r="S534" i="6"/>
  <c r="AA534" i="6" s="1"/>
  <c r="S535" i="6"/>
  <c r="AA535" i="6" s="1"/>
  <c r="S536" i="6"/>
  <c r="AA536" i="6" s="1"/>
  <c r="S537" i="6"/>
  <c r="AA537" i="6" s="1"/>
  <c r="S538" i="6"/>
  <c r="AA538" i="6" s="1"/>
  <c r="S539" i="6"/>
  <c r="AA539" i="6" s="1"/>
  <c r="S540" i="6"/>
  <c r="AA540" i="6" s="1"/>
  <c r="S541" i="6"/>
  <c r="AA541" i="6" s="1"/>
  <c r="S542" i="6"/>
  <c r="AA542" i="6" s="1"/>
  <c r="S543" i="6"/>
  <c r="AA543" i="6" s="1"/>
  <c r="S544" i="6"/>
  <c r="AA544" i="6" s="1"/>
  <c r="S545" i="6"/>
  <c r="AA545" i="6" s="1"/>
  <c r="S546" i="6"/>
  <c r="AA546" i="6" s="1"/>
  <c r="S547" i="6"/>
  <c r="AA547" i="6" s="1"/>
  <c r="S548" i="6"/>
  <c r="AA548" i="6" s="1"/>
  <c r="S549" i="6"/>
  <c r="AA549" i="6" s="1"/>
  <c r="S550" i="6"/>
  <c r="AA550" i="6" s="1"/>
  <c r="S551" i="6"/>
  <c r="AA551" i="6" s="1"/>
  <c r="S552" i="6"/>
  <c r="AA552" i="6" s="1"/>
  <c r="S553" i="6"/>
  <c r="AA553" i="6" s="1"/>
  <c r="S554" i="6"/>
  <c r="AA554" i="6" s="1"/>
  <c r="S555" i="6"/>
  <c r="AA555" i="6" s="1"/>
  <c r="S556" i="6"/>
  <c r="AA556" i="6" s="1"/>
  <c r="S557" i="6"/>
  <c r="AA557" i="6" s="1"/>
  <c r="S558" i="6"/>
  <c r="AA558" i="6" s="1"/>
  <c r="S559" i="6"/>
  <c r="AA559" i="6" s="1"/>
  <c r="S560" i="6"/>
  <c r="AA560" i="6" s="1"/>
  <c r="S561" i="6"/>
  <c r="AA561" i="6" s="1"/>
  <c r="S562" i="6"/>
  <c r="AA562" i="6" s="1"/>
  <c r="S563" i="6"/>
  <c r="AA563" i="6" s="1"/>
  <c r="S564" i="6"/>
  <c r="AA564" i="6" s="1"/>
  <c r="S565" i="6"/>
  <c r="AA565" i="6" s="1"/>
  <c r="S566" i="6"/>
  <c r="AA566" i="6" s="1"/>
  <c r="S567" i="6"/>
  <c r="AA567" i="6" s="1"/>
  <c r="S568" i="6"/>
  <c r="AA568" i="6" s="1"/>
  <c r="S569" i="6"/>
  <c r="AA569" i="6" s="1"/>
  <c r="S570" i="6"/>
  <c r="AA570" i="6" s="1"/>
  <c r="S571" i="6"/>
  <c r="AA571" i="6" s="1"/>
  <c r="S572" i="6"/>
  <c r="AA572" i="6" s="1"/>
  <c r="S573" i="6"/>
  <c r="AA573" i="6" s="1"/>
  <c r="S574" i="6"/>
  <c r="AA574" i="6" s="1"/>
  <c r="S575" i="6"/>
  <c r="AA575" i="6" s="1"/>
  <c r="S576" i="6"/>
  <c r="AA576" i="6" s="1"/>
  <c r="S577" i="6"/>
  <c r="AA577" i="6" s="1"/>
  <c r="S578" i="6"/>
  <c r="AA578" i="6" s="1"/>
  <c r="S579" i="6"/>
  <c r="AA579" i="6" s="1"/>
  <c r="S580" i="6"/>
  <c r="AA580" i="6" s="1"/>
  <c r="S581" i="6"/>
  <c r="AA581" i="6" s="1"/>
  <c r="S582" i="6"/>
  <c r="AA582" i="6" s="1"/>
  <c r="S583" i="6"/>
  <c r="AA583" i="6" s="1"/>
  <c r="S584" i="6"/>
  <c r="AA584" i="6" s="1"/>
  <c r="S585" i="6"/>
  <c r="AA585" i="6" s="1"/>
  <c r="S586" i="6"/>
  <c r="AA586" i="6" s="1"/>
  <c r="S587" i="6"/>
  <c r="AA587" i="6" s="1"/>
  <c r="S588" i="6"/>
  <c r="AA588" i="6" s="1"/>
  <c r="S589" i="6"/>
  <c r="AA589" i="6" s="1"/>
  <c r="S590" i="6"/>
  <c r="AA590" i="6" s="1"/>
  <c r="S591" i="6"/>
  <c r="AA591" i="6" s="1"/>
  <c r="S592" i="6"/>
  <c r="AA592" i="6" s="1"/>
  <c r="S593" i="6"/>
  <c r="AA593" i="6" s="1"/>
  <c r="S594" i="6"/>
  <c r="AA594" i="6" s="1"/>
  <c r="S595" i="6"/>
  <c r="AA595" i="6" s="1"/>
  <c r="S596" i="6"/>
  <c r="AA596" i="6" s="1"/>
  <c r="S597" i="6"/>
  <c r="AA597" i="6" s="1"/>
  <c r="S598" i="6"/>
  <c r="AA598" i="6" s="1"/>
  <c r="S599" i="6"/>
  <c r="AA599" i="6" s="1"/>
  <c r="S600" i="6"/>
  <c r="AA600" i="6" s="1"/>
  <c r="S601" i="6"/>
  <c r="AA601" i="6" s="1"/>
  <c r="S602" i="6"/>
  <c r="AA602" i="6" s="1"/>
  <c r="S603" i="6"/>
  <c r="AA603" i="6" s="1"/>
  <c r="S604" i="6"/>
  <c r="AA604" i="6" s="1"/>
  <c r="S605" i="6"/>
  <c r="AA605" i="6" s="1"/>
  <c r="S606" i="6"/>
  <c r="AA606" i="6" s="1"/>
  <c r="S607" i="6"/>
  <c r="AA607" i="6" s="1"/>
  <c r="S608" i="6"/>
  <c r="AA608" i="6" s="1"/>
  <c r="S609" i="6"/>
  <c r="AA609" i="6" s="1"/>
  <c r="S610" i="6"/>
  <c r="AA610" i="6" s="1"/>
  <c r="S611" i="6"/>
  <c r="AA611" i="6" s="1"/>
  <c r="S612" i="6"/>
  <c r="AA612" i="6" s="1"/>
  <c r="S613" i="6"/>
  <c r="AA613" i="6" s="1"/>
  <c r="S614" i="6"/>
  <c r="AA614" i="6" s="1"/>
  <c r="S615" i="6"/>
  <c r="AA615" i="6" s="1"/>
  <c r="S616" i="6"/>
  <c r="AA616" i="6" s="1"/>
  <c r="S617" i="6"/>
  <c r="AA617" i="6" s="1"/>
  <c r="S618" i="6"/>
  <c r="AA618" i="6" s="1"/>
  <c r="S619" i="6"/>
  <c r="AA619" i="6" s="1"/>
  <c r="S620" i="6"/>
  <c r="AA620" i="6" s="1"/>
  <c r="S621" i="6"/>
  <c r="AA621" i="6" s="1"/>
  <c r="S622" i="6"/>
  <c r="AA622" i="6" s="1"/>
  <c r="S623" i="6"/>
  <c r="AA623" i="6" s="1"/>
  <c r="S624" i="6"/>
  <c r="AA624" i="6" s="1"/>
  <c r="S625" i="6"/>
  <c r="AA625" i="6" s="1"/>
  <c r="S626" i="6"/>
  <c r="AA626" i="6" s="1"/>
  <c r="S627" i="6"/>
  <c r="AA627" i="6" s="1"/>
  <c r="S628" i="6"/>
  <c r="AA628" i="6" s="1"/>
  <c r="S629" i="6"/>
  <c r="AA629" i="6" s="1"/>
  <c r="S630" i="6"/>
  <c r="AA630" i="6" s="1"/>
  <c r="S631" i="6"/>
  <c r="AA631" i="6" s="1"/>
  <c r="S632" i="6"/>
  <c r="AA632" i="6" s="1"/>
  <c r="S633" i="6"/>
  <c r="AA633" i="6" s="1"/>
  <c r="S634" i="6"/>
  <c r="AA634" i="6" s="1"/>
  <c r="S635" i="6"/>
  <c r="AA635" i="6" s="1"/>
  <c r="S636" i="6"/>
  <c r="AA636" i="6" s="1"/>
  <c r="S637" i="6"/>
  <c r="AA637" i="6" s="1"/>
  <c r="S638" i="6"/>
  <c r="AA638" i="6" s="1"/>
  <c r="S639" i="6"/>
  <c r="AA639" i="6" s="1"/>
  <c r="S640" i="6"/>
  <c r="AA640" i="6" s="1"/>
  <c r="S641" i="6"/>
  <c r="AA641" i="6" s="1"/>
  <c r="S642" i="6"/>
  <c r="AA642" i="6" s="1"/>
  <c r="S643" i="6"/>
  <c r="AA643" i="6" s="1"/>
  <c r="S644" i="6"/>
  <c r="AA644" i="6" s="1"/>
  <c r="S645" i="6"/>
  <c r="AA645" i="6" s="1"/>
  <c r="S646" i="6"/>
  <c r="AA646" i="6" s="1"/>
  <c r="S647" i="6"/>
  <c r="AA647" i="6" s="1"/>
  <c r="S648" i="6"/>
  <c r="AA648" i="6" s="1"/>
  <c r="S649" i="6"/>
  <c r="AA649" i="6" s="1"/>
  <c r="S650" i="6"/>
  <c r="AA650" i="6" s="1"/>
  <c r="S651" i="6"/>
  <c r="AA651" i="6" s="1"/>
  <c r="S652" i="6"/>
  <c r="AA652" i="6" s="1"/>
  <c r="S653" i="6"/>
  <c r="AA653" i="6" s="1"/>
  <c r="S654" i="6"/>
  <c r="AA654" i="6" s="1"/>
  <c r="S655" i="6"/>
  <c r="AA655" i="6" s="1"/>
  <c r="S656" i="6"/>
  <c r="AA656" i="6" s="1"/>
  <c r="S657" i="6"/>
  <c r="AA657" i="6" s="1"/>
  <c r="S658" i="6"/>
  <c r="AA658" i="6" s="1"/>
  <c r="S659" i="6"/>
  <c r="AA659" i="6" s="1"/>
  <c r="S660" i="6"/>
  <c r="AA660" i="6" s="1"/>
  <c r="S661" i="6"/>
  <c r="AA661" i="6" s="1"/>
  <c r="S662" i="6"/>
  <c r="AA662" i="6" s="1"/>
  <c r="S663" i="6"/>
  <c r="AA663" i="6" s="1"/>
  <c r="S664" i="6"/>
  <c r="AA664" i="6" s="1"/>
  <c r="S665" i="6"/>
  <c r="AA665" i="6" s="1"/>
  <c r="S666" i="6"/>
  <c r="AA666" i="6" s="1"/>
  <c r="S667" i="6"/>
  <c r="AA667" i="6" s="1"/>
  <c r="S668" i="6"/>
  <c r="AA668" i="6" s="1"/>
  <c r="S669" i="6"/>
  <c r="AA669" i="6" s="1"/>
  <c r="S670" i="6"/>
  <c r="AA670" i="6" s="1"/>
  <c r="S671" i="6"/>
  <c r="AA671" i="6" s="1"/>
  <c r="S672" i="6"/>
  <c r="AA672" i="6" s="1"/>
  <c r="S673" i="6"/>
  <c r="AA673" i="6" s="1"/>
  <c r="S674" i="6"/>
  <c r="AA674" i="6" s="1"/>
  <c r="S675" i="6"/>
  <c r="AA675" i="6" s="1"/>
  <c r="S676" i="6"/>
  <c r="AA676" i="6" s="1"/>
  <c r="S677" i="6"/>
  <c r="AA677" i="6" s="1"/>
  <c r="S678" i="6"/>
  <c r="AA678" i="6" s="1"/>
  <c r="S679" i="6"/>
  <c r="AA679" i="6" s="1"/>
  <c r="S680" i="6"/>
  <c r="AA680" i="6" s="1"/>
  <c r="S681" i="6"/>
  <c r="AA681" i="6" s="1"/>
  <c r="S682" i="6"/>
  <c r="AA682" i="6" s="1"/>
  <c r="S683" i="6"/>
  <c r="AA683" i="6" s="1"/>
  <c r="S684" i="6"/>
  <c r="AA684" i="6" s="1"/>
  <c r="S685" i="6"/>
  <c r="AA685" i="6" s="1"/>
  <c r="S686" i="6"/>
  <c r="AA686" i="6" s="1"/>
  <c r="S687" i="6"/>
  <c r="AA687" i="6" s="1"/>
  <c r="S688" i="6"/>
  <c r="AA688" i="6" s="1"/>
  <c r="S689" i="6"/>
  <c r="AA689" i="6" s="1"/>
  <c r="S690" i="6"/>
  <c r="AA690" i="6" s="1"/>
  <c r="S691" i="6"/>
  <c r="AA691" i="6" s="1"/>
  <c r="S692" i="6"/>
  <c r="AA692" i="6" s="1"/>
  <c r="S693" i="6"/>
  <c r="AA693" i="6" s="1"/>
  <c r="S694" i="6"/>
  <c r="AA694" i="6" s="1"/>
  <c r="S695" i="6"/>
  <c r="AA695" i="6" s="1"/>
  <c r="S696" i="6"/>
  <c r="AA696" i="6" s="1"/>
  <c r="S697" i="6"/>
  <c r="AA697" i="6" s="1"/>
  <c r="S698" i="6"/>
  <c r="AA698" i="6" s="1"/>
  <c r="S699" i="6"/>
  <c r="AA699" i="6" s="1"/>
  <c r="S700" i="6"/>
  <c r="AA700" i="6" s="1"/>
  <c r="S701" i="6"/>
  <c r="AA701" i="6" s="1"/>
  <c r="S702" i="6"/>
  <c r="AA702" i="6" s="1"/>
  <c r="S703" i="6"/>
  <c r="AA703" i="6" s="1"/>
  <c r="S704" i="6"/>
  <c r="AA704" i="6" s="1"/>
  <c r="S705" i="6"/>
  <c r="AA705" i="6" s="1"/>
  <c r="S706" i="6"/>
  <c r="AA706" i="6" s="1"/>
  <c r="S707" i="6"/>
  <c r="AA707" i="6" s="1"/>
  <c r="S708" i="6"/>
  <c r="AA708" i="6" s="1"/>
  <c r="S709" i="6"/>
  <c r="AA709" i="6" s="1"/>
  <c r="S710" i="6"/>
  <c r="AA710" i="6" s="1"/>
  <c r="S711" i="6"/>
  <c r="AA711" i="6" s="1"/>
  <c r="S712" i="6"/>
  <c r="AA712" i="6" s="1"/>
  <c r="S713" i="6"/>
  <c r="AA713" i="6" s="1"/>
  <c r="S714" i="6"/>
  <c r="AA714" i="6" s="1"/>
  <c r="S715" i="6"/>
  <c r="AA715" i="6" s="1"/>
  <c r="S716" i="6"/>
  <c r="AA716" i="6" s="1"/>
  <c r="S717" i="6"/>
  <c r="AA717" i="6" s="1"/>
  <c r="S718" i="6"/>
  <c r="AA718" i="6" s="1"/>
  <c r="S719" i="6"/>
  <c r="AA719" i="6" s="1"/>
  <c r="S720" i="6"/>
  <c r="AA720" i="6" s="1"/>
  <c r="S721" i="6"/>
  <c r="AA721" i="6" s="1"/>
  <c r="S722" i="6"/>
  <c r="AA722" i="6" s="1"/>
  <c r="S723" i="6"/>
  <c r="AA723" i="6" s="1"/>
  <c r="S724" i="6"/>
  <c r="AA724" i="6" s="1"/>
  <c r="S725" i="6"/>
  <c r="AA725" i="6" s="1"/>
  <c r="S726" i="6"/>
  <c r="AA726" i="6" s="1"/>
  <c r="S727" i="6"/>
  <c r="AA727" i="6" s="1"/>
  <c r="R2" i="6"/>
  <c r="Z2" i="6" s="1"/>
  <c r="R3" i="6"/>
  <c r="Z3" i="6" s="1"/>
  <c r="R4" i="6"/>
  <c r="Z4" i="6" s="1"/>
  <c r="R5" i="6"/>
  <c r="Z5" i="6" s="1"/>
  <c r="R6" i="6"/>
  <c r="Z6" i="6" s="1"/>
  <c r="R7" i="6"/>
  <c r="Z7" i="6" s="1"/>
  <c r="R8" i="6"/>
  <c r="Z8" i="6" s="1"/>
  <c r="R9" i="6"/>
  <c r="Z9" i="6" s="1"/>
  <c r="R10" i="6"/>
  <c r="Z10" i="6" s="1"/>
  <c r="R11" i="6"/>
  <c r="Z11" i="6" s="1"/>
  <c r="R12" i="6"/>
  <c r="Z12" i="6" s="1"/>
  <c r="R13" i="6"/>
  <c r="Z13" i="6" s="1"/>
  <c r="R14" i="6"/>
  <c r="Z14" i="6" s="1"/>
  <c r="R15" i="6"/>
  <c r="Z15" i="6" s="1"/>
  <c r="R16" i="6"/>
  <c r="Z16" i="6" s="1"/>
  <c r="R17" i="6"/>
  <c r="Z17" i="6" s="1"/>
  <c r="R18" i="6"/>
  <c r="Z18" i="6" s="1"/>
  <c r="R19" i="6"/>
  <c r="Z19" i="6" s="1"/>
  <c r="R20" i="6"/>
  <c r="Z20" i="6" s="1"/>
  <c r="R21" i="6"/>
  <c r="Z21" i="6" s="1"/>
  <c r="R22" i="6"/>
  <c r="Z22" i="6" s="1"/>
  <c r="R23" i="6"/>
  <c r="Z23" i="6" s="1"/>
  <c r="R24" i="6"/>
  <c r="Z24" i="6" s="1"/>
  <c r="R25" i="6"/>
  <c r="Z25" i="6" s="1"/>
  <c r="R26" i="6"/>
  <c r="Z26" i="6" s="1"/>
  <c r="R27" i="6"/>
  <c r="Z27" i="6" s="1"/>
  <c r="R28" i="6"/>
  <c r="Z28" i="6" s="1"/>
  <c r="R29" i="6"/>
  <c r="Z29" i="6" s="1"/>
  <c r="R30" i="6"/>
  <c r="Z30" i="6" s="1"/>
  <c r="R31" i="6"/>
  <c r="Z31" i="6" s="1"/>
  <c r="R32" i="6"/>
  <c r="Z32" i="6" s="1"/>
  <c r="R33" i="6"/>
  <c r="Z33" i="6" s="1"/>
  <c r="R34" i="6"/>
  <c r="Z34" i="6" s="1"/>
  <c r="R35" i="6"/>
  <c r="Z35" i="6" s="1"/>
  <c r="R36" i="6"/>
  <c r="Z36" i="6" s="1"/>
  <c r="R37" i="6"/>
  <c r="Z37" i="6" s="1"/>
  <c r="R38" i="6"/>
  <c r="Z38" i="6" s="1"/>
  <c r="R39" i="6"/>
  <c r="Z39" i="6" s="1"/>
  <c r="R40" i="6"/>
  <c r="Z40" i="6" s="1"/>
  <c r="R41" i="6"/>
  <c r="Z41" i="6" s="1"/>
  <c r="R42" i="6"/>
  <c r="Z42" i="6" s="1"/>
  <c r="R43" i="6"/>
  <c r="Z43" i="6" s="1"/>
  <c r="R44" i="6"/>
  <c r="Z44" i="6" s="1"/>
  <c r="R45" i="6"/>
  <c r="Z45" i="6" s="1"/>
  <c r="R46" i="6"/>
  <c r="Z46" i="6" s="1"/>
  <c r="R47" i="6"/>
  <c r="Z47" i="6" s="1"/>
  <c r="R48" i="6"/>
  <c r="Z48" i="6" s="1"/>
  <c r="R49" i="6"/>
  <c r="Z49" i="6" s="1"/>
  <c r="R50" i="6"/>
  <c r="Z50" i="6" s="1"/>
  <c r="R51" i="6"/>
  <c r="Z51" i="6" s="1"/>
  <c r="R52" i="6"/>
  <c r="Z52" i="6" s="1"/>
  <c r="R53" i="6"/>
  <c r="Z53" i="6" s="1"/>
  <c r="R54" i="6"/>
  <c r="Z54" i="6" s="1"/>
  <c r="R55" i="6"/>
  <c r="Z55" i="6" s="1"/>
  <c r="R56" i="6"/>
  <c r="Z56" i="6" s="1"/>
  <c r="R57" i="6"/>
  <c r="Z57" i="6" s="1"/>
  <c r="R58" i="6"/>
  <c r="Z58" i="6" s="1"/>
  <c r="R59" i="6"/>
  <c r="Z59" i="6" s="1"/>
  <c r="R60" i="6"/>
  <c r="Z60" i="6" s="1"/>
  <c r="R61" i="6"/>
  <c r="Z61" i="6" s="1"/>
  <c r="R62" i="6"/>
  <c r="Z62" i="6" s="1"/>
  <c r="R63" i="6"/>
  <c r="Z63" i="6" s="1"/>
  <c r="R64" i="6"/>
  <c r="Z64" i="6" s="1"/>
  <c r="R65" i="6"/>
  <c r="Z65" i="6" s="1"/>
  <c r="R66" i="6"/>
  <c r="Z66" i="6" s="1"/>
  <c r="R67" i="6"/>
  <c r="Z67" i="6" s="1"/>
  <c r="R68" i="6"/>
  <c r="Z68" i="6" s="1"/>
  <c r="R69" i="6"/>
  <c r="Z69" i="6" s="1"/>
  <c r="R70" i="6"/>
  <c r="Z70" i="6" s="1"/>
  <c r="R71" i="6"/>
  <c r="Z71" i="6" s="1"/>
  <c r="R72" i="6"/>
  <c r="Z72" i="6" s="1"/>
  <c r="R73" i="6"/>
  <c r="Z73" i="6" s="1"/>
  <c r="R74" i="6"/>
  <c r="Z74" i="6" s="1"/>
  <c r="R75" i="6"/>
  <c r="Z75" i="6" s="1"/>
  <c r="R76" i="6"/>
  <c r="Z76" i="6" s="1"/>
  <c r="R77" i="6"/>
  <c r="Z77" i="6" s="1"/>
  <c r="R78" i="6"/>
  <c r="Z78" i="6" s="1"/>
  <c r="R79" i="6"/>
  <c r="Z79" i="6" s="1"/>
  <c r="R80" i="6"/>
  <c r="Z80" i="6" s="1"/>
  <c r="R81" i="6"/>
  <c r="Z81" i="6" s="1"/>
  <c r="R82" i="6"/>
  <c r="Z82" i="6" s="1"/>
  <c r="R83" i="6"/>
  <c r="Z83" i="6" s="1"/>
  <c r="R84" i="6"/>
  <c r="Z84" i="6" s="1"/>
  <c r="R85" i="6"/>
  <c r="Z85" i="6" s="1"/>
  <c r="R86" i="6"/>
  <c r="Z86" i="6" s="1"/>
  <c r="R87" i="6"/>
  <c r="Z87" i="6" s="1"/>
  <c r="R88" i="6"/>
  <c r="Z88" i="6" s="1"/>
  <c r="R89" i="6"/>
  <c r="Z89" i="6" s="1"/>
  <c r="R90" i="6"/>
  <c r="Z90" i="6" s="1"/>
  <c r="R91" i="6"/>
  <c r="Z91" i="6" s="1"/>
  <c r="R92" i="6"/>
  <c r="Z92" i="6" s="1"/>
  <c r="R93" i="6"/>
  <c r="Z93" i="6" s="1"/>
  <c r="R94" i="6"/>
  <c r="Z94" i="6" s="1"/>
  <c r="R95" i="6"/>
  <c r="Z95" i="6" s="1"/>
  <c r="R96" i="6"/>
  <c r="Z96" i="6" s="1"/>
  <c r="R97" i="6"/>
  <c r="Z97" i="6" s="1"/>
  <c r="R98" i="6"/>
  <c r="Z98" i="6" s="1"/>
  <c r="R99" i="6"/>
  <c r="Z99" i="6" s="1"/>
  <c r="R100" i="6"/>
  <c r="Z100" i="6" s="1"/>
  <c r="R101" i="6"/>
  <c r="Z101" i="6" s="1"/>
  <c r="R102" i="6"/>
  <c r="Z102" i="6" s="1"/>
  <c r="R103" i="6"/>
  <c r="Z103" i="6" s="1"/>
  <c r="R104" i="6"/>
  <c r="Z104" i="6" s="1"/>
  <c r="R105" i="6"/>
  <c r="Z105" i="6" s="1"/>
  <c r="R106" i="6"/>
  <c r="Z106" i="6" s="1"/>
  <c r="R107" i="6"/>
  <c r="Z107" i="6" s="1"/>
  <c r="R108" i="6"/>
  <c r="Z108" i="6" s="1"/>
  <c r="R109" i="6"/>
  <c r="Z109" i="6" s="1"/>
  <c r="R110" i="6"/>
  <c r="Z110" i="6" s="1"/>
  <c r="R111" i="6"/>
  <c r="Z111" i="6" s="1"/>
  <c r="R112" i="6"/>
  <c r="Z112" i="6" s="1"/>
  <c r="R113" i="6"/>
  <c r="Z113" i="6" s="1"/>
  <c r="R114" i="6"/>
  <c r="Z114" i="6" s="1"/>
  <c r="R115" i="6"/>
  <c r="Z115" i="6" s="1"/>
  <c r="R116" i="6"/>
  <c r="Z116" i="6" s="1"/>
  <c r="R117" i="6"/>
  <c r="Z117" i="6" s="1"/>
  <c r="R118" i="6"/>
  <c r="Z118" i="6" s="1"/>
  <c r="R119" i="6"/>
  <c r="Z119" i="6" s="1"/>
  <c r="R120" i="6"/>
  <c r="Z120" i="6" s="1"/>
  <c r="R121" i="6"/>
  <c r="Z121" i="6" s="1"/>
  <c r="R122" i="6"/>
  <c r="Z122" i="6" s="1"/>
  <c r="R123" i="6"/>
  <c r="Z123" i="6" s="1"/>
  <c r="R124" i="6"/>
  <c r="Z124" i="6" s="1"/>
  <c r="R125" i="6"/>
  <c r="Z125" i="6" s="1"/>
  <c r="R126" i="6"/>
  <c r="Z126" i="6" s="1"/>
  <c r="R127" i="6"/>
  <c r="Z127" i="6" s="1"/>
  <c r="R128" i="6"/>
  <c r="Z128" i="6" s="1"/>
  <c r="R129" i="6"/>
  <c r="Z129" i="6" s="1"/>
  <c r="R130" i="6"/>
  <c r="Z130" i="6" s="1"/>
  <c r="R131" i="6"/>
  <c r="Z131" i="6" s="1"/>
  <c r="R132" i="6"/>
  <c r="Z132" i="6" s="1"/>
  <c r="R133" i="6"/>
  <c r="Z133" i="6" s="1"/>
  <c r="R134" i="6"/>
  <c r="Z134" i="6" s="1"/>
  <c r="R135" i="6"/>
  <c r="Z135" i="6" s="1"/>
  <c r="R136" i="6"/>
  <c r="Z136" i="6" s="1"/>
  <c r="R137" i="6"/>
  <c r="Z137" i="6" s="1"/>
  <c r="R138" i="6"/>
  <c r="Z138" i="6" s="1"/>
  <c r="R139" i="6"/>
  <c r="Z139" i="6" s="1"/>
  <c r="R140" i="6"/>
  <c r="Z140" i="6" s="1"/>
  <c r="R141" i="6"/>
  <c r="Z141" i="6" s="1"/>
  <c r="R142" i="6"/>
  <c r="Z142" i="6" s="1"/>
  <c r="R143" i="6"/>
  <c r="Z143" i="6" s="1"/>
  <c r="R144" i="6"/>
  <c r="Z144" i="6" s="1"/>
  <c r="R145" i="6"/>
  <c r="Z145" i="6" s="1"/>
  <c r="R146" i="6"/>
  <c r="Z146" i="6" s="1"/>
  <c r="R147" i="6"/>
  <c r="Z147" i="6" s="1"/>
  <c r="R148" i="6"/>
  <c r="Z148" i="6" s="1"/>
  <c r="R149" i="6"/>
  <c r="Z149" i="6" s="1"/>
  <c r="R150" i="6"/>
  <c r="Z150" i="6" s="1"/>
  <c r="R151" i="6"/>
  <c r="Z151" i="6" s="1"/>
  <c r="R152" i="6"/>
  <c r="Z152" i="6" s="1"/>
  <c r="R153" i="6"/>
  <c r="Z153" i="6" s="1"/>
  <c r="R154" i="6"/>
  <c r="Z154" i="6" s="1"/>
  <c r="R155" i="6"/>
  <c r="Z155" i="6" s="1"/>
  <c r="R156" i="6"/>
  <c r="Z156" i="6" s="1"/>
  <c r="R157" i="6"/>
  <c r="Z157" i="6" s="1"/>
  <c r="R158" i="6"/>
  <c r="Z158" i="6" s="1"/>
  <c r="R159" i="6"/>
  <c r="Z159" i="6" s="1"/>
  <c r="R160" i="6"/>
  <c r="Z160" i="6" s="1"/>
  <c r="R161" i="6"/>
  <c r="Z161" i="6" s="1"/>
  <c r="R162" i="6"/>
  <c r="Z162" i="6" s="1"/>
  <c r="R163" i="6"/>
  <c r="Z163" i="6" s="1"/>
  <c r="R164" i="6"/>
  <c r="Z164" i="6" s="1"/>
  <c r="R165" i="6"/>
  <c r="Z165" i="6" s="1"/>
  <c r="R166" i="6"/>
  <c r="Z166" i="6" s="1"/>
  <c r="R167" i="6"/>
  <c r="Z167" i="6" s="1"/>
  <c r="R168" i="6"/>
  <c r="Z168" i="6" s="1"/>
  <c r="R169" i="6"/>
  <c r="Z169" i="6" s="1"/>
  <c r="R170" i="6"/>
  <c r="Z170" i="6" s="1"/>
  <c r="R171" i="6"/>
  <c r="Z171" i="6" s="1"/>
  <c r="R172" i="6"/>
  <c r="Z172" i="6" s="1"/>
  <c r="R173" i="6"/>
  <c r="Z173" i="6" s="1"/>
  <c r="R174" i="6"/>
  <c r="Z174" i="6" s="1"/>
  <c r="R175" i="6"/>
  <c r="Z175" i="6" s="1"/>
  <c r="R176" i="6"/>
  <c r="Z176" i="6" s="1"/>
  <c r="R177" i="6"/>
  <c r="Z177" i="6" s="1"/>
  <c r="R178" i="6"/>
  <c r="Z178" i="6" s="1"/>
  <c r="R179" i="6"/>
  <c r="Z179" i="6" s="1"/>
  <c r="R180" i="6"/>
  <c r="Z180" i="6" s="1"/>
  <c r="R181" i="6"/>
  <c r="Z181" i="6" s="1"/>
  <c r="R182" i="6"/>
  <c r="Z182" i="6" s="1"/>
  <c r="R183" i="6"/>
  <c r="Z183" i="6" s="1"/>
  <c r="R184" i="6"/>
  <c r="Z184" i="6" s="1"/>
  <c r="R185" i="6"/>
  <c r="Z185" i="6" s="1"/>
  <c r="R186" i="6"/>
  <c r="Z186" i="6" s="1"/>
  <c r="R187" i="6"/>
  <c r="Z187" i="6" s="1"/>
  <c r="R188" i="6"/>
  <c r="Z188" i="6" s="1"/>
  <c r="R189" i="6"/>
  <c r="Z189" i="6" s="1"/>
  <c r="R190" i="6"/>
  <c r="Z190" i="6" s="1"/>
  <c r="R191" i="6"/>
  <c r="Z191" i="6" s="1"/>
  <c r="R192" i="6"/>
  <c r="Z192" i="6" s="1"/>
  <c r="R193" i="6"/>
  <c r="Z193" i="6" s="1"/>
  <c r="R194" i="6"/>
  <c r="Z194" i="6" s="1"/>
  <c r="R195" i="6"/>
  <c r="Z195" i="6" s="1"/>
  <c r="R196" i="6"/>
  <c r="Z196" i="6" s="1"/>
  <c r="R197" i="6"/>
  <c r="Z197" i="6" s="1"/>
  <c r="R198" i="6"/>
  <c r="Z198" i="6" s="1"/>
  <c r="R199" i="6"/>
  <c r="Z199" i="6" s="1"/>
  <c r="R200" i="6"/>
  <c r="Z200" i="6" s="1"/>
  <c r="R201" i="6"/>
  <c r="Z201" i="6" s="1"/>
  <c r="R202" i="6"/>
  <c r="Z202" i="6" s="1"/>
  <c r="R203" i="6"/>
  <c r="Z203" i="6" s="1"/>
  <c r="R204" i="6"/>
  <c r="Z204" i="6" s="1"/>
  <c r="R205" i="6"/>
  <c r="Z205" i="6" s="1"/>
  <c r="R206" i="6"/>
  <c r="Z206" i="6" s="1"/>
  <c r="R207" i="6"/>
  <c r="Z207" i="6" s="1"/>
  <c r="R208" i="6"/>
  <c r="Z208" i="6" s="1"/>
  <c r="R209" i="6"/>
  <c r="Z209" i="6" s="1"/>
  <c r="R210" i="6"/>
  <c r="Z210" i="6" s="1"/>
  <c r="R211" i="6"/>
  <c r="Z211" i="6" s="1"/>
  <c r="R212" i="6"/>
  <c r="Z212" i="6" s="1"/>
  <c r="R213" i="6"/>
  <c r="Z213" i="6" s="1"/>
  <c r="R214" i="6"/>
  <c r="Z214" i="6" s="1"/>
  <c r="R215" i="6"/>
  <c r="Z215" i="6" s="1"/>
  <c r="R216" i="6"/>
  <c r="Z216" i="6" s="1"/>
  <c r="R217" i="6"/>
  <c r="Z217" i="6" s="1"/>
  <c r="R218" i="6"/>
  <c r="Z218" i="6" s="1"/>
  <c r="R219" i="6"/>
  <c r="Z219" i="6" s="1"/>
  <c r="R220" i="6"/>
  <c r="Z220" i="6" s="1"/>
  <c r="R221" i="6"/>
  <c r="Z221" i="6" s="1"/>
  <c r="R222" i="6"/>
  <c r="Z222" i="6" s="1"/>
  <c r="R223" i="6"/>
  <c r="Z223" i="6" s="1"/>
  <c r="R224" i="6"/>
  <c r="Z224" i="6" s="1"/>
  <c r="R225" i="6"/>
  <c r="Z225" i="6" s="1"/>
  <c r="R226" i="6"/>
  <c r="Z226" i="6" s="1"/>
  <c r="R227" i="6"/>
  <c r="Z227" i="6" s="1"/>
  <c r="R228" i="6"/>
  <c r="Z228" i="6" s="1"/>
  <c r="R229" i="6"/>
  <c r="Z229" i="6" s="1"/>
  <c r="R230" i="6"/>
  <c r="Z230" i="6" s="1"/>
  <c r="R231" i="6"/>
  <c r="Z231" i="6" s="1"/>
  <c r="R232" i="6"/>
  <c r="Z232" i="6" s="1"/>
  <c r="R233" i="6"/>
  <c r="Z233" i="6" s="1"/>
  <c r="R234" i="6"/>
  <c r="Z234" i="6" s="1"/>
  <c r="R235" i="6"/>
  <c r="Z235" i="6" s="1"/>
  <c r="R236" i="6"/>
  <c r="Z236" i="6" s="1"/>
  <c r="R237" i="6"/>
  <c r="Z237" i="6" s="1"/>
  <c r="R238" i="6"/>
  <c r="Z238" i="6" s="1"/>
  <c r="R239" i="6"/>
  <c r="Z239" i="6" s="1"/>
  <c r="R240" i="6"/>
  <c r="Z240" i="6" s="1"/>
  <c r="R241" i="6"/>
  <c r="Z241" i="6" s="1"/>
  <c r="R242" i="6"/>
  <c r="Z242" i="6" s="1"/>
  <c r="R243" i="6"/>
  <c r="Z243" i="6" s="1"/>
  <c r="R244" i="6"/>
  <c r="Z244" i="6" s="1"/>
  <c r="R245" i="6"/>
  <c r="Z245" i="6" s="1"/>
  <c r="R246" i="6"/>
  <c r="Z246" i="6" s="1"/>
  <c r="R247" i="6"/>
  <c r="Z247" i="6" s="1"/>
  <c r="R248" i="6"/>
  <c r="Z248" i="6" s="1"/>
  <c r="R249" i="6"/>
  <c r="Z249" i="6" s="1"/>
  <c r="R250" i="6"/>
  <c r="Z250" i="6" s="1"/>
  <c r="R251" i="6"/>
  <c r="Z251" i="6" s="1"/>
  <c r="R252" i="6"/>
  <c r="Z252" i="6" s="1"/>
  <c r="R253" i="6"/>
  <c r="Z253" i="6" s="1"/>
  <c r="R254" i="6"/>
  <c r="Z254" i="6" s="1"/>
  <c r="R255" i="6"/>
  <c r="Z255" i="6" s="1"/>
  <c r="R256" i="6"/>
  <c r="Z256" i="6" s="1"/>
  <c r="R257" i="6"/>
  <c r="Z257" i="6" s="1"/>
  <c r="R258" i="6"/>
  <c r="Z258" i="6" s="1"/>
  <c r="R259" i="6"/>
  <c r="Z259" i="6" s="1"/>
  <c r="R260" i="6"/>
  <c r="Z260" i="6" s="1"/>
  <c r="R261" i="6"/>
  <c r="Z261" i="6" s="1"/>
  <c r="R262" i="6"/>
  <c r="Z262" i="6" s="1"/>
  <c r="R263" i="6"/>
  <c r="Z263" i="6" s="1"/>
  <c r="R264" i="6"/>
  <c r="Z264" i="6" s="1"/>
  <c r="R265" i="6"/>
  <c r="Z265" i="6" s="1"/>
  <c r="R266" i="6"/>
  <c r="Z266" i="6" s="1"/>
  <c r="R267" i="6"/>
  <c r="Z267" i="6" s="1"/>
  <c r="R268" i="6"/>
  <c r="Z268" i="6" s="1"/>
  <c r="R269" i="6"/>
  <c r="Z269" i="6" s="1"/>
  <c r="R270" i="6"/>
  <c r="Z270" i="6" s="1"/>
  <c r="R271" i="6"/>
  <c r="Z271" i="6" s="1"/>
  <c r="R272" i="6"/>
  <c r="Z272" i="6" s="1"/>
  <c r="R273" i="6"/>
  <c r="Z273" i="6" s="1"/>
  <c r="R274" i="6"/>
  <c r="Z274" i="6" s="1"/>
  <c r="R275" i="6"/>
  <c r="Z275" i="6" s="1"/>
  <c r="R276" i="6"/>
  <c r="Z276" i="6" s="1"/>
  <c r="R277" i="6"/>
  <c r="Z277" i="6" s="1"/>
  <c r="R278" i="6"/>
  <c r="Z278" i="6" s="1"/>
  <c r="R279" i="6"/>
  <c r="Z279" i="6" s="1"/>
  <c r="R280" i="6"/>
  <c r="Z280" i="6" s="1"/>
  <c r="R281" i="6"/>
  <c r="Z281" i="6" s="1"/>
  <c r="R282" i="6"/>
  <c r="Z282" i="6" s="1"/>
  <c r="R283" i="6"/>
  <c r="Z283" i="6" s="1"/>
  <c r="R284" i="6"/>
  <c r="Z284" i="6" s="1"/>
  <c r="R285" i="6"/>
  <c r="Z285" i="6" s="1"/>
  <c r="R286" i="6"/>
  <c r="Z286" i="6" s="1"/>
  <c r="R287" i="6"/>
  <c r="Z287" i="6" s="1"/>
  <c r="R288" i="6"/>
  <c r="Z288" i="6" s="1"/>
  <c r="R289" i="6"/>
  <c r="Z289" i="6" s="1"/>
  <c r="R290" i="6"/>
  <c r="Z290" i="6" s="1"/>
  <c r="R291" i="6"/>
  <c r="Z291" i="6" s="1"/>
  <c r="R292" i="6"/>
  <c r="Z292" i="6" s="1"/>
  <c r="R293" i="6"/>
  <c r="Z293" i="6" s="1"/>
  <c r="R294" i="6"/>
  <c r="Z294" i="6" s="1"/>
  <c r="R295" i="6"/>
  <c r="Z295" i="6" s="1"/>
  <c r="R296" i="6"/>
  <c r="Z296" i="6" s="1"/>
  <c r="R297" i="6"/>
  <c r="Z297" i="6" s="1"/>
  <c r="R298" i="6"/>
  <c r="Z298" i="6" s="1"/>
  <c r="R299" i="6"/>
  <c r="Z299" i="6" s="1"/>
  <c r="R300" i="6"/>
  <c r="Z300" i="6" s="1"/>
  <c r="R301" i="6"/>
  <c r="Z301" i="6" s="1"/>
  <c r="R302" i="6"/>
  <c r="Z302" i="6" s="1"/>
  <c r="R303" i="6"/>
  <c r="Z303" i="6" s="1"/>
  <c r="R304" i="6"/>
  <c r="Z304" i="6" s="1"/>
  <c r="R305" i="6"/>
  <c r="Z305" i="6" s="1"/>
  <c r="R306" i="6"/>
  <c r="Z306" i="6" s="1"/>
  <c r="R307" i="6"/>
  <c r="Z307" i="6" s="1"/>
  <c r="R308" i="6"/>
  <c r="Z308" i="6" s="1"/>
  <c r="R309" i="6"/>
  <c r="Z309" i="6" s="1"/>
  <c r="R310" i="6"/>
  <c r="Z310" i="6" s="1"/>
  <c r="R311" i="6"/>
  <c r="Z311" i="6" s="1"/>
  <c r="R312" i="6"/>
  <c r="Z312" i="6" s="1"/>
  <c r="R313" i="6"/>
  <c r="Z313" i="6" s="1"/>
  <c r="R314" i="6"/>
  <c r="Z314" i="6" s="1"/>
  <c r="R315" i="6"/>
  <c r="Z315" i="6" s="1"/>
  <c r="R316" i="6"/>
  <c r="Z316" i="6" s="1"/>
  <c r="R317" i="6"/>
  <c r="Z317" i="6" s="1"/>
  <c r="R318" i="6"/>
  <c r="Z318" i="6" s="1"/>
  <c r="R319" i="6"/>
  <c r="Z319" i="6" s="1"/>
  <c r="R320" i="6"/>
  <c r="Z320" i="6" s="1"/>
  <c r="R321" i="6"/>
  <c r="Z321" i="6" s="1"/>
  <c r="R322" i="6"/>
  <c r="Z322" i="6" s="1"/>
  <c r="R323" i="6"/>
  <c r="Z323" i="6" s="1"/>
  <c r="R324" i="6"/>
  <c r="Z324" i="6" s="1"/>
  <c r="R325" i="6"/>
  <c r="Z325" i="6" s="1"/>
  <c r="R326" i="6"/>
  <c r="Z326" i="6" s="1"/>
  <c r="R327" i="6"/>
  <c r="Z327" i="6" s="1"/>
  <c r="R328" i="6"/>
  <c r="Z328" i="6" s="1"/>
  <c r="R329" i="6"/>
  <c r="Z329" i="6" s="1"/>
  <c r="R330" i="6"/>
  <c r="Z330" i="6" s="1"/>
  <c r="R331" i="6"/>
  <c r="Z331" i="6" s="1"/>
  <c r="R332" i="6"/>
  <c r="Z332" i="6" s="1"/>
  <c r="R333" i="6"/>
  <c r="Z333" i="6" s="1"/>
  <c r="R334" i="6"/>
  <c r="Z334" i="6" s="1"/>
  <c r="R335" i="6"/>
  <c r="Z335" i="6" s="1"/>
  <c r="R336" i="6"/>
  <c r="Z336" i="6" s="1"/>
  <c r="R337" i="6"/>
  <c r="Z337" i="6" s="1"/>
  <c r="R338" i="6"/>
  <c r="Z338" i="6" s="1"/>
  <c r="R339" i="6"/>
  <c r="Z339" i="6" s="1"/>
  <c r="R340" i="6"/>
  <c r="Z340" i="6" s="1"/>
  <c r="R341" i="6"/>
  <c r="Z341" i="6" s="1"/>
  <c r="R342" i="6"/>
  <c r="Z342" i="6" s="1"/>
  <c r="R343" i="6"/>
  <c r="Z343" i="6" s="1"/>
  <c r="R344" i="6"/>
  <c r="Z344" i="6" s="1"/>
  <c r="R345" i="6"/>
  <c r="Z345" i="6" s="1"/>
  <c r="R346" i="6"/>
  <c r="Z346" i="6" s="1"/>
  <c r="R347" i="6"/>
  <c r="Z347" i="6" s="1"/>
  <c r="R348" i="6"/>
  <c r="Z348" i="6" s="1"/>
  <c r="R349" i="6"/>
  <c r="Z349" i="6" s="1"/>
  <c r="R350" i="6"/>
  <c r="Z350" i="6" s="1"/>
  <c r="R351" i="6"/>
  <c r="Z351" i="6" s="1"/>
  <c r="R352" i="6"/>
  <c r="Z352" i="6" s="1"/>
  <c r="R353" i="6"/>
  <c r="Z353" i="6" s="1"/>
  <c r="R354" i="6"/>
  <c r="Z354" i="6" s="1"/>
  <c r="R355" i="6"/>
  <c r="Z355" i="6" s="1"/>
  <c r="R356" i="6"/>
  <c r="Z356" i="6" s="1"/>
  <c r="R357" i="6"/>
  <c r="Z357" i="6" s="1"/>
  <c r="R358" i="6"/>
  <c r="Z358" i="6" s="1"/>
  <c r="R359" i="6"/>
  <c r="Z359" i="6" s="1"/>
  <c r="R360" i="6"/>
  <c r="Z360" i="6" s="1"/>
  <c r="R361" i="6"/>
  <c r="Z361" i="6" s="1"/>
  <c r="R362" i="6"/>
  <c r="Z362" i="6" s="1"/>
  <c r="R363" i="6"/>
  <c r="Z363" i="6" s="1"/>
  <c r="R364" i="6"/>
  <c r="Z364" i="6" s="1"/>
  <c r="R365" i="6"/>
  <c r="Z365" i="6" s="1"/>
  <c r="R366" i="6"/>
  <c r="Z366" i="6" s="1"/>
  <c r="R367" i="6"/>
  <c r="Z367" i="6" s="1"/>
  <c r="R368" i="6"/>
  <c r="Z368" i="6" s="1"/>
  <c r="R369" i="6"/>
  <c r="Z369" i="6" s="1"/>
  <c r="R370" i="6"/>
  <c r="Z370" i="6" s="1"/>
  <c r="R371" i="6"/>
  <c r="Z371" i="6" s="1"/>
  <c r="R372" i="6"/>
  <c r="Z372" i="6" s="1"/>
  <c r="R373" i="6"/>
  <c r="Z373" i="6" s="1"/>
  <c r="R374" i="6"/>
  <c r="Z374" i="6" s="1"/>
  <c r="R375" i="6"/>
  <c r="Z375" i="6" s="1"/>
  <c r="R376" i="6"/>
  <c r="Z376" i="6" s="1"/>
  <c r="R377" i="6"/>
  <c r="Z377" i="6" s="1"/>
  <c r="R378" i="6"/>
  <c r="Z378" i="6" s="1"/>
  <c r="R379" i="6"/>
  <c r="Z379" i="6" s="1"/>
  <c r="R380" i="6"/>
  <c r="Z380" i="6" s="1"/>
  <c r="R381" i="6"/>
  <c r="Z381" i="6" s="1"/>
  <c r="R382" i="6"/>
  <c r="Z382" i="6" s="1"/>
  <c r="R383" i="6"/>
  <c r="Z383" i="6" s="1"/>
  <c r="R384" i="6"/>
  <c r="Z384" i="6" s="1"/>
  <c r="R385" i="6"/>
  <c r="Z385" i="6" s="1"/>
  <c r="R386" i="6"/>
  <c r="Z386" i="6" s="1"/>
  <c r="R387" i="6"/>
  <c r="Z387" i="6" s="1"/>
  <c r="R388" i="6"/>
  <c r="Z388" i="6" s="1"/>
  <c r="R389" i="6"/>
  <c r="Z389" i="6" s="1"/>
  <c r="R390" i="6"/>
  <c r="Z390" i="6" s="1"/>
  <c r="R391" i="6"/>
  <c r="Z391" i="6" s="1"/>
  <c r="R392" i="6"/>
  <c r="Z392" i="6" s="1"/>
  <c r="R393" i="6"/>
  <c r="Z393" i="6" s="1"/>
  <c r="R394" i="6"/>
  <c r="Z394" i="6" s="1"/>
  <c r="R395" i="6"/>
  <c r="Z395" i="6" s="1"/>
  <c r="R396" i="6"/>
  <c r="Z396" i="6" s="1"/>
  <c r="R397" i="6"/>
  <c r="Z397" i="6" s="1"/>
  <c r="R398" i="6"/>
  <c r="Z398" i="6" s="1"/>
  <c r="R399" i="6"/>
  <c r="Z399" i="6" s="1"/>
  <c r="R400" i="6"/>
  <c r="Z400" i="6" s="1"/>
  <c r="R401" i="6"/>
  <c r="Z401" i="6" s="1"/>
  <c r="R402" i="6"/>
  <c r="Z402" i="6" s="1"/>
  <c r="R403" i="6"/>
  <c r="Z403" i="6" s="1"/>
  <c r="R404" i="6"/>
  <c r="Z404" i="6" s="1"/>
  <c r="R405" i="6"/>
  <c r="Z405" i="6" s="1"/>
  <c r="R406" i="6"/>
  <c r="Z406" i="6" s="1"/>
  <c r="R407" i="6"/>
  <c r="Z407" i="6" s="1"/>
  <c r="R408" i="6"/>
  <c r="Z408" i="6" s="1"/>
  <c r="R409" i="6"/>
  <c r="Z409" i="6" s="1"/>
  <c r="R410" i="6"/>
  <c r="Z410" i="6" s="1"/>
  <c r="R411" i="6"/>
  <c r="Z411" i="6" s="1"/>
  <c r="R412" i="6"/>
  <c r="Z412" i="6" s="1"/>
  <c r="R413" i="6"/>
  <c r="Z413" i="6" s="1"/>
  <c r="R414" i="6"/>
  <c r="Z414" i="6" s="1"/>
  <c r="R415" i="6"/>
  <c r="Z415" i="6" s="1"/>
  <c r="R416" i="6"/>
  <c r="Z416" i="6" s="1"/>
  <c r="R417" i="6"/>
  <c r="Z417" i="6" s="1"/>
  <c r="R418" i="6"/>
  <c r="Z418" i="6" s="1"/>
  <c r="R419" i="6"/>
  <c r="Z419" i="6" s="1"/>
  <c r="R420" i="6"/>
  <c r="Z420" i="6" s="1"/>
  <c r="R421" i="6"/>
  <c r="Z421" i="6" s="1"/>
  <c r="R422" i="6"/>
  <c r="Z422" i="6" s="1"/>
  <c r="R423" i="6"/>
  <c r="Z423" i="6" s="1"/>
  <c r="R424" i="6"/>
  <c r="Z424" i="6" s="1"/>
  <c r="R425" i="6"/>
  <c r="Z425" i="6" s="1"/>
  <c r="R426" i="6"/>
  <c r="Z426" i="6" s="1"/>
  <c r="R427" i="6"/>
  <c r="Z427" i="6" s="1"/>
  <c r="R428" i="6"/>
  <c r="Z428" i="6" s="1"/>
  <c r="R429" i="6"/>
  <c r="Z429" i="6" s="1"/>
  <c r="R430" i="6"/>
  <c r="Z430" i="6" s="1"/>
  <c r="R431" i="6"/>
  <c r="Z431" i="6" s="1"/>
  <c r="R432" i="6"/>
  <c r="Z432" i="6" s="1"/>
  <c r="R433" i="6"/>
  <c r="Z433" i="6" s="1"/>
  <c r="R434" i="6"/>
  <c r="Z434" i="6" s="1"/>
  <c r="R435" i="6"/>
  <c r="Z435" i="6" s="1"/>
  <c r="R436" i="6"/>
  <c r="Z436" i="6" s="1"/>
  <c r="R437" i="6"/>
  <c r="Z437" i="6" s="1"/>
  <c r="R438" i="6"/>
  <c r="Z438" i="6" s="1"/>
  <c r="R439" i="6"/>
  <c r="Z439" i="6" s="1"/>
  <c r="R440" i="6"/>
  <c r="Z440" i="6" s="1"/>
  <c r="R441" i="6"/>
  <c r="Z441" i="6" s="1"/>
  <c r="R442" i="6"/>
  <c r="Z442" i="6" s="1"/>
  <c r="R443" i="6"/>
  <c r="Z443" i="6" s="1"/>
  <c r="R444" i="6"/>
  <c r="Z444" i="6" s="1"/>
  <c r="R445" i="6"/>
  <c r="Z445" i="6" s="1"/>
  <c r="R446" i="6"/>
  <c r="Z446" i="6" s="1"/>
  <c r="R447" i="6"/>
  <c r="Z447" i="6" s="1"/>
  <c r="R448" i="6"/>
  <c r="Z448" i="6" s="1"/>
  <c r="R449" i="6"/>
  <c r="Z449" i="6" s="1"/>
  <c r="R450" i="6"/>
  <c r="Z450" i="6" s="1"/>
  <c r="R451" i="6"/>
  <c r="Z451" i="6" s="1"/>
  <c r="R452" i="6"/>
  <c r="Z452" i="6" s="1"/>
  <c r="R453" i="6"/>
  <c r="Z453" i="6" s="1"/>
  <c r="R454" i="6"/>
  <c r="Z454" i="6" s="1"/>
  <c r="R455" i="6"/>
  <c r="Z455" i="6" s="1"/>
  <c r="R456" i="6"/>
  <c r="Z456" i="6" s="1"/>
  <c r="R457" i="6"/>
  <c r="Z457" i="6" s="1"/>
  <c r="R458" i="6"/>
  <c r="Z458" i="6" s="1"/>
  <c r="R459" i="6"/>
  <c r="Z459" i="6" s="1"/>
  <c r="R460" i="6"/>
  <c r="Z460" i="6" s="1"/>
  <c r="R461" i="6"/>
  <c r="Z461" i="6" s="1"/>
  <c r="R462" i="6"/>
  <c r="Z462" i="6" s="1"/>
  <c r="R463" i="6"/>
  <c r="Z463" i="6" s="1"/>
  <c r="R464" i="6"/>
  <c r="Z464" i="6" s="1"/>
  <c r="R465" i="6"/>
  <c r="Z465" i="6" s="1"/>
  <c r="R466" i="6"/>
  <c r="Z466" i="6" s="1"/>
  <c r="R467" i="6"/>
  <c r="Z467" i="6" s="1"/>
  <c r="R468" i="6"/>
  <c r="Z468" i="6" s="1"/>
  <c r="R469" i="6"/>
  <c r="Z469" i="6" s="1"/>
  <c r="R470" i="6"/>
  <c r="Z470" i="6" s="1"/>
  <c r="R471" i="6"/>
  <c r="Z471" i="6" s="1"/>
  <c r="R472" i="6"/>
  <c r="Z472" i="6" s="1"/>
  <c r="R473" i="6"/>
  <c r="Z473" i="6" s="1"/>
  <c r="R474" i="6"/>
  <c r="Z474" i="6" s="1"/>
  <c r="R475" i="6"/>
  <c r="Z475" i="6" s="1"/>
  <c r="R476" i="6"/>
  <c r="Z476" i="6" s="1"/>
  <c r="R477" i="6"/>
  <c r="Z477" i="6" s="1"/>
  <c r="R478" i="6"/>
  <c r="Z478" i="6" s="1"/>
  <c r="R479" i="6"/>
  <c r="Z479" i="6" s="1"/>
  <c r="R480" i="6"/>
  <c r="Z480" i="6" s="1"/>
  <c r="R481" i="6"/>
  <c r="Z481" i="6" s="1"/>
  <c r="R482" i="6"/>
  <c r="Z482" i="6" s="1"/>
  <c r="R483" i="6"/>
  <c r="Z483" i="6" s="1"/>
  <c r="R484" i="6"/>
  <c r="Z484" i="6" s="1"/>
  <c r="R485" i="6"/>
  <c r="Z485" i="6" s="1"/>
  <c r="R486" i="6"/>
  <c r="Z486" i="6" s="1"/>
  <c r="R487" i="6"/>
  <c r="Z487" i="6" s="1"/>
  <c r="R488" i="6"/>
  <c r="Z488" i="6" s="1"/>
  <c r="R489" i="6"/>
  <c r="Z489" i="6" s="1"/>
  <c r="R490" i="6"/>
  <c r="Z490" i="6" s="1"/>
  <c r="R491" i="6"/>
  <c r="Z491" i="6" s="1"/>
  <c r="R492" i="6"/>
  <c r="Z492" i="6" s="1"/>
  <c r="R493" i="6"/>
  <c r="Z493" i="6" s="1"/>
  <c r="R494" i="6"/>
  <c r="Z494" i="6" s="1"/>
  <c r="R495" i="6"/>
  <c r="Z495" i="6" s="1"/>
  <c r="R496" i="6"/>
  <c r="Z496" i="6" s="1"/>
  <c r="R497" i="6"/>
  <c r="Z497" i="6" s="1"/>
  <c r="R498" i="6"/>
  <c r="Z498" i="6" s="1"/>
  <c r="R499" i="6"/>
  <c r="Z499" i="6" s="1"/>
  <c r="R500" i="6"/>
  <c r="Z500" i="6" s="1"/>
  <c r="R501" i="6"/>
  <c r="Z501" i="6" s="1"/>
  <c r="R502" i="6"/>
  <c r="Z502" i="6" s="1"/>
  <c r="R503" i="6"/>
  <c r="Z503" i="6" s="1"/>
  <c r="R504" i="6"/>
  <c r="Z504" i="6" s="1"/>
  <c r="R505" i="6"/>
  <c r="Z505" i="6" s="1"/>
  <c r="R506" i="6"/>
  <c r="Z506" i="6" s="1"/>
  <c r="R507" i="6"/>
  <c r="Z507" i="6" s="1"/>
  <c r="R508" i="6"/>
  <c r="Z508" i="6" s="1"/>
  <c r="R509" i="6"/>
  <c r="Z509" i="6" s="1"/>
  <c r="R510" i="6"/>
  <c r="Z510" i="6" s="1"/>
  <c r="R511" i="6"/>
  <c r="Z511" i="6" s="1"/>
  <c r="R512" i="6"/>
  <c r="Z512" i="6" s="1"/>
  <c r="R513" i="6"/>
  <c r="Z513" i="6" s="1"/>
  <c r="R514" i="6"/>
  <c r="Z514" i="6" s="1"/>
  <c r="R515" i="6"/>
  <c r="Z515" i="6" s="1"/>
  <c r="R516" i="6"/>
  <c r="Z516" i="6" s="1"/>
  <c r="R517" i="6"/>
  <c r="Z517" i="6" s="1"/>
  <c r="R518" i="6"/>
  <c r="Z518" i="6" s="1"/>
  <c r="R519" i="6"/>
  <c r="Z519" i="6" s="1"/>
  <c r="R520" i="6"/>
  <c r="Z520" i="6" s="1"/>
  <c r="R521" i="6"/>
  <c r="Z521" i="6" s="1"/>
  <c r="R522" i="6"/>
  <c r="Z522" i="6" s="1"/>
  <c r="R523" i="6"/>
  <c r="Z523" i="6" s="1"/>
  <c r="R524" i="6"/>
  <c r="Z524" i="6" s="1"/>
  <c r="R525" i="6"/>
  <c r="Z525" i="6" s="1"/>
  <c r="R526" i="6"/>
  <c r="Z526" i="6" s="1"/>
  <c r="R527" i="6"/>
  <c r="Z527" i="6" s="1"/>
  <c r="R528" i="6"/>
  <c r="Z528" i="6" s="1"/>
  <c r="R529" i="6"/>
  <c r="Z529" i="6" s="1"/>
  <c r="R530" i="6"/>
  <c r="Z530" i="6" s="1"/>
  <c r="R531" i="6"/>
  <c r="Z531" i="6" s="1"/>
  <c r="R532" i="6"/>
  <c r="Z532" i="6" s="1"/>
  <c r="R533" i="6"/>
  <c r="Z533" i="6" s="1"/>
  <c r="R534" i="6"/>
  <c r="Z534" i="6" s="1"/>
  <c r="R535" i="6"/>
  <c r="Z535" i="6" s="1"/>
  <c r="R536" i="6"/>
  <c r="Z536" i="6" s="1"/>
  <c r="R537" i="6"/>
  <c r="Z537" i="6" s="1"/>
  <c r="R538" i="6"/>
  <c r="Z538" i="6" s="1"/>
  <c r="R539" i="6"/>
  <c r="Z539" i="6" s="1"/>
  <c r="R540" i="6"/>
  <c r="Z540" i="6" s="1"/>
  <c r="R541" i="6"/>
  <c r="Z541" i="6" s="1"/>
  <c r="R542" i="6"/>
  <c r="Z542" i="6" s="1"/>
  <c r="R543" i="6"/>
  <c r="Z543" i="6" s="1"/>
  <c r="R544" i="6"/>
  <c r="Z544" i="6" s="1"/>
  <c r="R545" i="6"/>
  <c r="Z545" i="6" s="1"/>
  <c r="R546" i="6"/>
  <c r="Z546" i="6" s="1"/>
  <c r="R547" i="6"/>
  <c r="Z547" i="6" s="1"/>
  <c r="R548" i="6"/>
  <c r="Z548" i="6" s="1"/>
  <c r="R549" i="6"/>
  <c r="Z549" i="6" s="1"/>
  <c r="R550" i="6"/>
  <c r="Z550" i="6" s="1"/>
  <c r="R551" i="6"/>
  <c r="Z551" i="6" s="1"/>
  <c r="R552" i="6"/>
  <c r="Z552" i="6" s="1"/>
  <c r="R553" i="6"/>
  <c r="Z553" i="6" s="1"/>
  <c r="R554" i="6"/>
  <c r="Z554" i="6" s="1"/>
  <c r="R555" i="6"/>
  <c r="Z555" i="6" s="1"/>
  <c r="R556" i="6"/>
  <c r="Z556" i="6" s="1"/>
  <c r="R557" i="6"/>
  <c r="Z557" i="6" s="1"/>
  <c r="R558" i="6"/>
  <c r="Z558" i="6" s="1"/>
  <c r="R559" i="6"/>
  <c r="Z559" i="6" s="1"/>
  <c r="R560" i="6"/>
  <c r="Z560" i="6" s="1"/>
  <c r="R561" i="6"/>
  <c r="Z561" i="6" s="1"/>
  <c r="R562" i="6"/>
  <c r="Z562" i="6" s="1"/>
  <c r="R563" i="6"/>
  <c r="Z563" i="6" s="1"/>
  <c r="R564" i="6"/>
  <c r="Z564" i="6" s="1"/>
  <c r="R565" i="6"/>
  <c r="Z565" i="6" s="1"/>
  <c r="R566" i="6"/>
  <c r="Z566" i="6" s="1"/>
  <c r="R567" i="6"/>
  <c r="Z567" i="6" s="1"/>
  <c r="R568" i="6"/>
  <c r="Z568" i="6" s="1"/>
  <c r="R569" i="6"/>
  <c r="Z569" i="6" s="1"/>
  <c r="R570" i="6"/>
  <c r="Z570" i="6" s="1"/>
  <c r="R571" i="6"/>
  <c r="Z571" i="6" s="1"/>
  <c r="R572" i="6"/>
  <c r="Z572" i="6" s="1"/>
  <c r="R573" i="6"/>
  <c r="Z573" i="6" s="1"/>
  <c r="R574" i="6"/>
  <c r="Z574" i="6" s="1"/>
  <c r="R575" i="6"/>
  <c r="Z575" i="6" s="1"/>
  <c r="R576" i="6"/>
  <c r="Z576" i="6" s="1"/>
  <c r="R577" i="6"/>
  <c r="Z577" i="6" s="1"/>
  <c r="R578" i="6"/>
  <c r="Z578" i="6" s="1"/>
  <c r="R579" i="6"/>
  <c r="Z579" i="6" s="1"/>
  <c r="R580" i="6"/>
  <c r="Z580" i="6" s="1"/>
  <c r="R581" i="6"/>
  <c r="Z581" i="6" s="1"/>
  <c r="R582" i="6"/>
  <c r="Z582" i="6" s="1"/>
  <c r="R583" i="6"/>
  <c r="Z583" i="6" s="1"/>
  <c r="R584" i="6"/>
  <c r="Z584" i="6" s="1"/>
  <c r="R585" i="6"/>
  <c r="Z585" i="6" s="1"/>
  <c r="R586" i="6"/>
  <c r="Z586" i="6" s="1"/>
  <c r="R587" i="6"/>
  <c r="Z587" i="6" s="1"/>
  <c r="R588" i="6"/>
  <c r="Z588" i="6" s="1"/>
  <c r="R589" i="6"/>
  <c r="Z589" i="6" s="1"/>
  <c r="R590" i="6"/>
  <c r="Z590" i="6" s="1"/>
  <c r="R591" i="6"/>
  <c r="Z591" i="6" s="1"/>
  <c r="R592" i="6"/>
  <c r="Z592" i="6" s="1"/>
  <c r="R593" i="6"/>
  <c r="Z593" i="6" s="1"/>
  <c r="R594" i="6"/>
  <c r="Z594" i="6" s="1"/>
  <c r="R595" i="6"/>
  <c r="Z595" i="6" s="1"/>
  <c r="R596" i="6"/>
  <c r="Z596" i="6" s="1"/>
  <c r="R597" i="6"/>
  <c r="Z597" i="6" s="1"/>
  <c r="R598" i="6"/>
  <c r="Z598" i="6" s="1"/>
  <c r="R599" i="6"/>
  <c r="Z599" i="6" s="1"/>
  <c r="R600" i="6"/>
  <c r="Z600" i="6" s="1"/>
  <c r="R601" i="6"/>
  <c r="Z601" i="6" s="1"/>
  <c r="R602" i="6"/>
  <c r="Z602" i="6" s="1"/>
  <c r="R603" i="6"/>
  <c r="Z603" i="6" s="1"/>
  <c r="R604" i="6"/>
  <c r="Z604" i="6" s="1"/>
  <c r="R605" i="6"/>
  <c r="Z605" i="6" s="1"/>
  <c r="R606" i="6"/>
  <c r="Z606" i="6" s="1"/>
  <c r="R607" i="6"/>
  <c r="Z607" i="6" s="1"/>
  <c r="R608" i="6"/>
  <c r="Z608" i="6" s="1"/>
  <c r="R609" i="6"/>
  <c r="Z609" i="6" s="1"/>
  <c r="R610" i="6"/>
  <c r="Z610" i="6" s="1"/>
  <c r="R611" i="6"/>
  <c r="Z611" i="6" s="1"/>
  <c r="R612" i="6"/>
  <c r="Z612" i="6" s="1"/>
  <c r="R613" i="6"/>
  <c r="Z613" i="6" s="1"/>
  <c r="R614" i="6"/>
  <c r="Z614" i="6" s="1"/>
  <c r="R615" i="6"/>
  <c r="Z615" i="6" s="1"/>
  <c r="R616" i="6"/>
  <c r="Z616" i="6" s="1"/>
  <c r="R617" i="6"/>
  <c r="Z617" i="6" s="1"/>
  <c r="R618" i="6"/>
  <c r="Z618" i="6" s="1"/>
  <c r="R619" i="6"/>
  <c r="Z619" i="6" s="1"/>
  <c r="R620" i="6"/>
  <c r="Z620" i="6" s="1"/>
  <c r="R621" i="6"/>
  <c r="Z621" i="6" s="1"/>
  <c r="R622" i="6"/>
  <c r="Z622" i="6" s="1"/>
  <c r="R623" i="6"/>
  <c r="Z623" i="6" s="1"/>
  <c r="R624" i="6"/>
  <c r="Z624" i="6" s="1"/>
  <c r="R625" i="6"/>
  <c r="Z625" i="6" s="1"/>
  <c r="R626" i="6"/>
  <c r="Z626" i="6" s="1"/>
  <c r="R627" i="6"/>
  <c r="Z627" i="6" s="1"/>
  <c r="R628" i="6"/>
  <c r="Z628" i="6" s="1"/>
  <c r="R629" i="6"/>
  <c r="Z629" i="6" s="1"/>
  <c r="R630" i="6"/>
  <c r="Z630" i="6" s="1"/>
  <c r="R631" i="6"/>
  <c r="Z631" i="6" s="1"/>
  <c r="R632" i="6"/>
  <c r="Z632" i="6" s="1"/>
  <c r="R633" i="6"/>
  <c r="Z633" i="6" s="1"/>
  <c r="R634" i="6"/>
  <c r="Z634" i="6" s="1"/>
  <c r="R635" i="6"/>
  <c r="Z635" i="6" s="1"/>
  <c r="R636" i="6"/>
  <c r="Z636" i="6" s="1"/>
  <c r="R637" i="6"/>
  <c r="Z637" i="6" s="1"/>
  <c r="R638" i="6"/>
  <c r="Z638" i="6" s="1"/>
  <c r="R639" i="6"/>
  <c r="Z639" i="6" s="1"/>
  <c r="R640" i="6"/>
  <c r="Z640" i="6" s="1"/>
  <c r="R641" i="6"/>
  <c r="Z641" i="6" s="1"/>
  <c r="R642" i="6"/>
  <c r="Z642" i="6" s="1"/>
  <c r="R643" i="6"/>
  <c r="Z643" i="6" s="1"/>
  <c r="R644" i="6"/>
  <c r="Z644" i="6" s="1"/>
  <c r="R645" i="6"/>
  <c r="Z645" i="6" s="1"/>
  <c r="R646" i="6"/>
  <c r="Z646" i="6" s="1"/>
  <c r="R647" i="6"/>
  <c r="Z647" i="6" s="1"/>
  <c r="R648" i="6"/>
  <c r="Z648" i="6" s="1"/>
  <c r="R649" i="6"/>
  <c r="Z649" i="6" s="1"/>
  <c r="R650" i="6"/>
  <c r="Z650" i="6" s="1"/>
  <c r="R651" i="6"/>
  <c r="Z651" i="6" s="1"/>
  <c r="R652" i="6"/>
  <c r="Z652" i="6" s="1"/>
  <c r="R653" i="6"/>
  <c r="Z653" i="6" s="1"/>
  <c r="R654" i="6"/>
  <c r="Z654" i="6" s="1"/>
  <c r="R655" i="6"/>
  <c r="Z655" i="6" s="1"/>
  <c r="R656" i="6"/>
  <c r="Z656" i="6" s="1"/>
  <c r="R657" i="6"/>
  <c r="Z657" i="6" s="1"/>
  <c r="R658" i="6"/>
  <c r="Z658" i="6" s="1"/>
  <c r="R659" i="6"/>
  <c r="Z659" i="6" s="1"/>
  <c r="R660" i="6"/>
  <c r="Z660" i="6" s="1"/>
  <c r="R661" i="6"/>
  <c r="Z661" i="6" s="1"/>
  <c r="R662" i="6"/>
  <c r="Z662" i="6" s="1"/>
  <c r="R663" i="6"/>
  <c r="Z663" i="6" s="1"/>
  <c r="R664" i="6"/>
  <c r="Z664" i="6" s="1"/>
  <c r="R665" i="6"/>
  <c r="Z665" i="6" s="1"/>
  <c r="R666" i="6"/>
  <c r="Z666" i="6" s="1"/>
  <c r="R667" i="6"/>
  <c r="Z667" i="6" s="1"/>
  <c r="R668" i="6"/>
  <c r="Z668" i="6" s="1"/>
  <c r="R669" i="6"/>
  <c r="Z669" i="6" s="1"/>
  <c r="R670" i="6"/>
  <c r="Z670" i="6" s="1"/>
  <c r="R671" i="6"/>
  <c r="Z671" i="6" s="1"/>
  <c r="R672" i="6"/>
  <c r="Z672" i="6" s="1"/>
  <c r="R673" i="6"/>
  <c r="Z673" i="6" s="1"/>
  <c r="R674" i="6"/>
  <c r="Z674" i="6" s="1"/>
  <c r="R675" i="6"/>
  <c r="Z675" i="6" s="1"/>
  <c r="R676" i="6"/>
  <c r="Z676" i="6" s="1"/>
  <c r="R677" i="6"/>
  <c r="Z677" i="6" s="1"/>
  <c r="R678" i="6"/>
  <c r="Z678" i="6" s="1"/>
  <c r="R679" i="6"/>
  <c r="Z679" i="6" s="1"/>
  <c r="R680" i="6"/>
  <c r="Z680" i="6" s="1"/>
  <c r="R681" i="6"/>
  <c r="Z681" i="6" s="1"/>
  <c r="R682" i="6"/>
  <c r="Z682" i="6" s="1"/>
  <c r="R683" i="6"/>
  <c r="Z683" i="6" s="1"/>
  <c r="R684" i="6"/>
  <c r="Z684" i="6" s="1"/>
  <c r="R685" i="6"/>
  <c r="Z685" i="6" s="1"/>
  <c r="R686" i="6"/>
  <c r="Z686" i="6" s="1"/>
  <c r="R687" i="6"/>
  <c r="Z687" i="6" s="1"/>
  <c r="R688" i="6"/>
  <c r="Z688" i="6" s="1"/>
  <c r="R689" i="6"/>
  <c r="Z689" i="6" s="1"/>
  <c r="R690" i="6"/>
  <c r="Z690" i="6" s="1"/>
  <c r="R691" i="6"/>
  <c r="Z691" i="6" s="1"/>
  <c r="R692" i="6"/>
  <c r="Z692" i="6" s="1"/>
  <c r="R693" i="6"/>
  <c r="Z693" i="6" s="1"/>
  <c r="R694" i="6"/>
  <c r="Z694" i="6" s="1"/>
  <c r="R695" i="6"/>
  <c r="Z695" i="6" s="1"/>
  <c r="R696" i="6"/>
  <c r="Z696" i="6" s="1"/>
  <c r="R697" i="6"/>
  <c r="Z697" i="6" s="1"/>
  <c r="R698" i="6"/>
  <c r="Z698" i="6" s="1"/>
  <c r="R699" i="6"/>
  <c r="Z699" i="6" s="1"/>
  <c r="R700" i="6"/>
  <c r="Z700" i="6" s="1"/>
  <c r="R701" i="6"/>
  <c r="Z701" i="6" s="1"/>
  <c r="R702" i="6"/>
  <c r="Z702" i="6" s="1"/>
  <c r="R703" i="6"/>
  <c r="Z703" i="6" s="1"/>
  <c r="R704" i="6"/>
  <c r="Z704" i="6" s="1"/>
  <c r="R705" i="6"/>
  <c r="Z705" i="6" s="1"/>
  <c r="R706" i="6"/>
  <c r="Z706" i="6" s="1"/>
  <c r="R707" i="6"/>
  <c r="Z707" i="6" s="1"/>
  <c r="R708" i="6"/>
  <c r="Z708" i="6" s="1"/>
  <c r="R709" i="6"/>
  <c r="Z709" i="6" s="1"/>
  <c r="R710" i="6"/>
  <c r="Z710" i="6" s="1"/>
  <c r="R711" i="6"/>
  <c r="Z711" i="6" s="1"/>
  <c r="R712" i="6"/>
  <c r="Z712" i="6" s="1"/>
  <c r="R713" i="6"/>
  <c r="Z713" i="6" s="1"/>
  <c r="R714" i="6"/>
  <c r="Z714" i="6" s="1"/>
  <c r="R715" i="6"/>
  <c r="Z715" i="6" s="1"/>
  <c r="R716" i="6"/>
  <c r="Z716" i="6" s="1"/>
  <c r="R717" i="6"/>
  <c r="Z717" i="6" s="1"/>
  <c r="R718" i="6"/>
  <c r="Z718" i="6" s="1"/>
  <c r="R719" i="6"/>
  <c r="Z719" i="6" s="1"/>
  <c r="R720" i="6"/>
  <c r="Z720" i="6" s="1"/>
  <c r="R721" i="6"/>
  <c r="Z721" i="6" s="1"/>
  <c r="R722" i="6"/>
  <c r="Z722" i="6" s="1"/>
  <c r="R723" i="6"/>
  <c r="Z723" i="6" s="1"/>
  <c r="R724" i="6"/>
  <c r="Z724" i="6" s="1"/>
  <c r="R725" i="6"/>
  <c r="Z725" i="6" s="1"/>
  <c r="R726" i="6"/>
  <c r="Z726" i="6" s="1"/>
  <c r="R727" i="6"/>
  <c r="Z727" i="6" s="1"/>
  <c r="E2" i="7"/>
  <c r="H2" i="4"/>
  <c r="Q2" i="6"/>
  <c r="X2" i="6" s="1"/>
  <c r="Q3" i="6"/>
  <c r="X3" i="6" s="1"/>
  <c r="Q4" i="6"/>
  <c r="X4" i="6" s="1"/>
  <c r="Q5" i="6"/>
  <c r="X5" i="6" s="1"/>
  <c r="Q6" i="6"/>
  <c r="X6" i="6" s="1"/>
  <c r="Q7" i="6"/>
  <c r="X7" i="6" s="1"/>
  <c r="Q8" i="6"/>
  <c r="X8" i="6" s="1"/>
  <c r="Q9" i="6"/>
  <c r="X9" i="6" s="1"/>
  <c r="Q10" i="6"/>
  <c r="X10" i="6" s="1"/>
  <c r="Q11" i="6"/>
  <c r="X11" i="6" s="1"/>
  <c r="Q12" i="6"/>
  <c r="X12" i="6" s="1"/>
  <c r="Q13" i="6"/>
  <c r="X13" i="6" s="1"/>
  <c r="Q14" i="6"/>
  <c r="X14" i="6" s="1"/>
  <c r="Q15" i="6"/>
  <c r="X15" i="6" s="1"/>
  <c r="Q16" i="6"/>
  <c r="X16" i="6" s="1"/>
  <c r="Q17" i="6"/>
  <c r="X17" i="6" s="1"/>
  <c r="Q18" i="6"/>
  <c r="X18" i="6" s="1"/>
  <c r="Q19" i="6"/>
  <c r="X19" i="6" s="1"/>
  <c r="Q20" i="6"/>
  <c r="X20" i="6" s="1"/>
  <c r="Q21" i="6"/>
  <c r="X21" i="6" s="1"/>
  <c r="Q22" i="6"/>
  <c r="X22" i="6" s="1"/>
  <c r="Q23" i="6"/>
  <c r="X23" i="6" s="1"/>
  <c r="Q24" i="6"/>
  <c r="X24" i="6" s="1"/>
  <c r="Q25" i="6"/>
  <c r="X25" i="6" s="1"/>
  <c r="Q26" i="6"/>
  <c r="X26" i="6" s="1"/>
  <c r="Q27" i="6"/>
  <c r="X27" i="6" s="1"/>
  <c r="Q28" i="6"/>
  <c r="X28" i="6" s="1"/>
  <c r="Q29" i="6"/>
  <c r="X29" i="6" s="1"/>
  <c r="Q30" i="6"/>
  <c r="X30" i="6" s="1"/>
  <c r="Q31" i="6"/>
  <c r="X31" i="6" s="1"/>
  <c r="Q32" i="6"/>
  <c r="X32" i="6" s="1"/>
  <c r="Q33" i="6"/>
  <c r="X33" i="6" s="1"/>
  <c r="Q34" i="6"/>
  <c r="X34" i="6" s="1"/>
  <c r="Q35" i="6"/>
  <c r="X35" i="6" s="1"/>
  <c r="Q36" i="6"/>
  <c r="X36" i="6" s="1"/>
  <c r="Q37" i="6"/>
  <c r="X37" i="6" s="1"/>
  <c r="Q38" i="6"/>
  <c r="X38" i="6" s="1"/>
  <c r="Q39" i="6"/>
  <c r="X39" i="6" s="1"/>
  <c r="Q40" i="6"/>
  <c r="X40" i="6" s="1"/>
  <c r="Q41" i="6"/>
  <c r="X41" i="6" s="1"/>
  <c r="Q42" i="6"/>
  <c r="X42" i="6" s="1"/>
  <c r="Q43" i="6"/>
  <c r="X43" i="6" s="1"/>
  <c r="Q44" i="6"/>
  <c r="X44" i="6" s="1"/>
  <c r="Q45" i="6"/>
  <c r="X45" i="6" s="1"/>
  <c r="Q46" i="6"/>
  <c r="X46" i="6" s="1"/>
  <c r="Q47" i="6"/>
  <c r="X47" i="6" s="1"/>
  <c r="Q48" i="6"/>
  <c r="X48" i="6" s="1"/>
  <c r="Q49" i="6"/>
  <c r="X49" i="6" s="1"/>
  <c r="Q50" i="6"/>
  <c r="X50" i="6" s="1"/>
  <c r="Q51" i="6"/>
  <c r="X51" i="6" s="1"/>
  <c r="Q52" i="6"/>
  <c r="X52" i="6" s="1"/>
  <c r="Q53" i="6"/>
  <c r="X53" i="6" s="1"/>
  <c r="Q54" i="6"/>
  <c r="X54" i="6" s="1"/>
  <c r="Q55" i="6"/>
  <c r="X55" i="6" s="1"/>
  <c r="Q56" i="6"/>
  <c r="X56" i="6" s="1"/>
  <c r="Q57" i="6"/>
  <c r="X57" i="6" s="1"/>
  <c r="Q58" i="6"/>
  <c r="X58" i="6" s="1"/>
  <c r="Q59" i="6"/>
  <c r="X59" i="6" s="1"/>
  <c r="Q60" i="6"/>
  <c r="X60" i="6" s="1"/>
  <c r="Q61" i="6"/>
  <c r="X61" i="6" s="1"/>
  <c r="Q62" i="6"/>
  <c r="X62" i="6" s="1"/>
  <c r="Q63" i="6"/>
  <c r="X63" i="6" s="1"/>
  <c r="Q64" i="6"/>
  <c r="X64" i="6" s="1"/>
  <c r="Q65" i="6"/>
  <c r="X65" i="6" s="1"/>
  <c r="Q66" i="6"/>
  <c r="X66" i="6" s="1"/>
  <c r="Q67" i="6"/>
  <c r="X67" i="6" s="1"/>
  <c r="Q68" i="6"/>
  <c r="X68" i="6" s="1"/>
  <c r="Q69" i="6"/>
  <c r="X69" i="6" s="1"/>
  <c r="Q70" i="6"/>
  <c r="X70" i="6" s="1"/>
  <c r="Q71" i="6"/>
  <c r="X71" i="6" s="1"/>
  <c r="Q72" i="6"/>
  <c r="X72" i="6" s="1"/>
  <c r="Q73" i="6"/>
  <c r="X73" i="6" s="1"/>
  <c r="Q74" i="6"/>
  <c r="X74" i="6" s="1"/>
  <c r="Q75" i="6"/>
  <c r="X75" i="6" s="1"/>
  <c r="Q76" i="6"/>
  <c r="X76" i="6" s="1"/>
  <c r="Q77" i="6"/>
  <c r="X77" i="6" s="1"/>
  <c r="Q78" i="6"/>
  <c r="X78" i="6" s="1"/>
  <c r="Q79" i="6"/>
  <c r="X79" i="6" s="1"/>
  <c r="Q80" i="6"/>
  <c r="X80" i="6" s="1"/>
  <c r="Q81" i="6"/>
  <c r="X81" i="6" s="1"/>
  <c r="Q82" i="6"/>
  <c r="X82" i="6" s="1"/>
  <c r="Q83" i="6"/>
  <c r="X83" i="6" s="1"/>
  <c r="Q84" i="6"/>
  <c r="X84" i="6" s="1"/>
  <c r="Q85" i="6"/>
  <c r="X85" i="6" s="1"/>
  <c r="Q86" i="6"/>
  <c r="X86" i="6" s="1"/>
  <c r="Q87" i="6"/>
  <c r="X87" i="6" s="1"/>
  <c r="Q88" i="6"/>
  <c r="X88" i="6" s="1"/>
  <c r="Q89" i="6"/>
  <c r="X89" i="6" s="1"/>
  <c r="Q90" i="6"/>
  <c r="X90" i="6" s="1"/>
  <c r="Q91" i="6"/>
  <c r="X91" i="6" s="1"/>
  <c r="Q92" i="6"/>
  <c r="X92" i="6" s="1"/>
  <c r="Q93" i="6"/>
  <c r="X93" i="6" s="1"/>
  <c r="Q94" i="6"/>
  <c r="X94" i="6" s="1"/>
  <c r="Q95" i="6"/>
  <c r="X95" i="6" s="1"/>
  <c r="Q96" i="6"/>
  <c r="X96" i="6" s="1"/>
  <c r="Q97" i="6"/>
  <c r="X97" i="6" s="1"/>
  <c r="Q98" i="6"/>
  <c r="X98" i="6" s="1"/>
  <c r="Q99" i="6"/>
  <c r="X99" i="6" s="1"/>
  <c r="Q100" i="6"/>
  <c r="X100" i="6" s="1"/>
  <c r="Q101" i="6"/>
  <c r="X101" i="6" s="1"/>
  <c r="Q102" i="6"/>
  <c r="X102" i="6" s="1"/>
  <c r="Q103" i="6"/>
  <c r="X103" i="6" s="1"/>
  <c r="Q104" i="6"/>
  <c r="X104" i="6" s="1"/>
  <c r="Q105" i="6"/>
  <c r="X105" i="6" s="1"/>
  <c r="Q106" i="6"/>
  <c r="X106" i="6" s="1"/>
  <c r="Q107" i="6"/>
  <c r="X107" i="6" s="1"/>
  <c r="Q108" i="6"/>
  <c r="X108" i="6" s="1"/>
  <c r="Q109" i="6"/>
  <c r="X109" i="6" s="1"/>
  <c r="Q110" i="6"/>
  <c r="X110" i="6" s="1"/>
  <c r="Q111" i="6"/>
  <c r="X111" i="6" s="1"/>
  <c r="Q112" i="6"/>
  <c r="X112" i="6" s="1"/>
  <c r="Q113" i="6"/>
  <c r="X113" i="6" s="1"/>
  <c r="Q114" i="6"/>
  <c r="X114" i="6" s="1"/>
  <c r="Q115" i="6"/>
  <c r="X115" i="6" s="1"/>
  <c r="Q116" i="6"/>
  <c r="X116" i="6" s="1"/>
  <c r="Q117" i="6"/>
  <c r="X117" i="6" s="1"/>
  <c r="Q118" i="6"/>
  <c r="X118" i="6" s="1"/>
  <c r="Q119" i="6"/>
  <c r="X119" i="6" s="1"/>
  <c r="Q120" i="6"/>
  <c r="X120" i="6" s="1"/>
  <c r="Q121" i="6"/>
  <c r="X121" i="6" s="1"/>
  <c r="Q122" i="6"/>
  <c r="X122" i="6" s="1"/>
  <c r="Q123" i="6"/>
  <c r="X123" i="6" s="1"/>
  <c r="Q124" i="6"/>
  <c r="X124" i="6" s="1"/>
  <c r="Q125" i="6"/>
  <c r="X125" i="6" s="1"/>
  <c r="Q126" i="6"/>
  <c r="X126" i="6" s="1"/>
  <c r="Q127" i="6"/>
  <c r="X127" i="6" s="1"/>
  <c r="Q128" i="6"/>
  <c r="X128" i="6" s="1"/>
  <c r="Q129" i="6"/>
  <c r="X129" i="6" s="1"/>
  <c r="Q130" i="6"/>
  <c r="X130" i="6" s="1"/>
  <c r="Q131" i="6"/>
  <c r="X131" i="6" s="1"/>
  <c r="Q132" i="6"/>
  <c r="X132" i="6" s="1"/>
  <c r="Q133" i="6"/>
  <c r="X133" i="6" s="1"/>
  <c r="Q134" i="6"/>
  <c r="X134" i="6" s="1"/>
  <c r="Q135" i="6"/>
  <c r="X135" i="6" s="1"/>
  <c r="Q136" i="6"/>
  <c r="X136" i="6" s="1"/>
  <c r="Q137" i="6"/>
  <c r="X137" i="6" s="1"/>
  <c r="Q138" i="6"/>
  <c r="X138" i="6" s="1"/>
  <c r="Q139" i="6"/>
  <c r="X139" i="6" s="1"/>
  <c r="Q140" i="6"/>
  <c r="X140" i="6" s="1"/>
  <c r="Q141" i="6"/>
  <c r="X141" i="6" s="1"/>
  <c r="Q142" i="6"/>
  <c r="X142" i="6" s="1"/>
  <c r="Q143" i="6"/>
  <c r="X143" i="6" s="1"/>
  <c r="Q144" i="6"/>
  <c r="X144" i="6" s="1"/>
  <c r="Q145" i="6"/>
  <c r="X145" i="6" s="1"/>
  <c r="Q146" i="6"/>
  <c r="X146" i="6" s="1"/>
  <c r="Q147" i="6"/>
  <c r="X147" i="6" s="1"/>
  <c r="Q148" i="6"/>
  <c r="X148" i="6" s="1"/>
  <c r="Q149" i="6"/>
  <c r="X149" i="6" s="1"/>
  <c r="Q150" i="6"/>
  <c r="X150" i="6" s="1"/>
  <c r="Q151" i="6"/>
  <c r="X151" i="6" s="1"/>
  <c r="Q152" i="6"/>
  <c r="X152" i="6" s="1"/>
  <c r="Q153" i="6"/>
  <c r="X153" i="6" s="1"/>
  <c r="Q154" i="6"/>
  <c r="X154" i="6" s="1"/>
  <c r="Q155" i="6"/>
  <c r="X155" i="6" s="1"/>
  <c r="Q156" i="6"/>
  <c r="X156" i="6" s="1"/>
  <c r="Q157" i="6"/>
  <c r="X157" i="6" s="1"/>
  <c r="Q158" i="6"/>
  <c r="X158" i="6" s="1"/>
  <c r="Q159" i="6"/>
  <c r="X159" i="6" s="1"/>
  <c r="Q160" i="6"/>
  <c r="X160" i="6" s="1"/>
  <c r="Q161" i="6"/>
  <c r="X161" i="6" s="1"/>
  <c r="Q162" i="6"/>
  <c r="X162" i="6" s="1"/>
  <c r="Q163" i="6"/>
  <c r="X163" i="6" s="1"/>
  <c r="Q164" i="6"/>
  <c r="X164" i="6" s="1"/>
  <c r="Q165" i="6"/>
  <c r="X165" i="6" s="1"/>
  <c r="Q166" i="6"/>
  <c r="X166" i="6" s="1"/>
  <c r="Q167" i="6"/>
  <c r="X167" i="6" s="1"/>
  <c r="Q168" i="6"/>
  <c r="X168" i="6" s="1"/>
  <c r="Q169" i="6"/>
  <c r="X169" i="6" s="1"/>
  <c r="Q170" i="6"/>
  <c r="X170" i="6" s="1"/>
  <c r="Q171" i="6"/>
  <c r="X171" i="6" s="1"/>
  <c r="Q172" i="6"/>
  <c r="X172" i="6" s="1"/>
  <c r="Q173" i="6"/>
  <c r="X173" i="6" s="1"/>
  <c r="Q174" i="6"/>
  <c r="X174" i="6" s="1"/>
  <c r="Q175" i="6"/>
  <c r="X175" i="6" s="1"/>
  <c r="Q176" i="6"/>
  <c r="X176" i="6" s="1"/>
  <c r="Q177" i="6"/>
  <c r="X177" i="6" s="1"/>
  <c r="Q178" i="6"/>
  <c r="X178" i="6" s="1"/>
  <c r="Q179" i="6"/>
  <c r="X179" i="6" s="1"/>
  <c r="Q180" i="6"/>
  <c r="X180" i="6" s="1"/>
  <c r="Q181" i="6"/>
  <c r="X181" i="6" s="1"/>
  <c r="Q182" i="6"/>
  <c r="X182" i="6" s="1"/>
  <c r="Q183" i="6"/>
  <c r="X183" i="6" s="1"/>
  <c r="Q184" i="6"/>
  <c r="X184" i="6" s="1"/>
  <c r="Q185" i="6"/>
  <c r="X185" i="6" s="1"/>
  <c r="Q186" i="6"/>
  <c r="X186" i="6" s="1"/>
  <c r="Q187" i="6"/>
  <c r="X187" i="6" s="1"/>
  <c r="Q188" i="6"/>
  <c r="X188" i="6" s="1"/>
  <c r="Q189" i="6"/>
  <c r="X189" i="6" s="1"/>
  <c r="Q190" i="6"/>
  <c r="X190" i="6" s="1"/>
  <c r="Q191" i="6"/>
  <c r="X191" i="6" s="1"/>
  <c r="Q192" i="6"/>
  <c r="X192" i="6" s="1"/>
  <c r="Q193" i="6"/>
  <c r="X193" i="6" s="1"/>
  <c r="Q194" i="6"/>
  <c r="X194" i="6" s="1"/>
  <c r="Q195" i="6"/>
  <c r="X195" i="6" s="1"/>
  <c r="Q196" i="6"/>
  <c r="X196" i="6" s="1"/>
  <c r="Q197" i="6"/>
  <c r="X197" i="6" s="1"/>
  <c r="Q198" i="6"/>
  <c r="X198" i="6" s="1"/>
  <c r="Q199" i="6"/>
  <c r="X199" i="6" s="1"/>
  <c r="Q200" i="6"/>
  <c r="X200" i="6" s="1"/>
  <c r="Q201" i="6"/>
  <c r="X201" i="6" s="1"/>
  <c r="Q202" i="6"/>
  <c r="X202" i="6" s="1"/>
  <c r="Q203" i="6"/>
  <c r="X203" i="6" s="1"/>
  <c r="Q204" i="6"/>
  <c r="X204" i="6" s="1"/>
  <c r="Q205" i="6"/>
  <c r="X205" i="6" s="1"/>
  <c r="Q206" i="6"/>
  <c r="X206" i="6" s="1"/>
  <c r="Q207" i="6"/>
  <c r="X207" i="6" s="1"/>
  <c r="Q208" i="6"/>
  <c r="X208" i="6" s="1"/>
  <c r="Q209" i="6"/>
  <c r="X209" i="6" s="1"/>
  <c r="Q210" i="6"/>
  <c r="X210" i="6" s="1"/>
  <c r="Q211" i="6"/>
  <c r="X211" i="6" s="1"/>
  <c r="Q212" i="6"/>
  <c r="X212" i="6" s="1"/>
  <c r="Q213" i="6"/>
  <c r="X213" i="6" s="1"/>
  <c r="Q214" i="6"/>
  <c r="X214" i="6" s="1"/>
  <c r="Q215" i="6"/>
  <c r="X215" i="6" s="1"/>
  <c r="Q216" i="6"/>
  <c r="X216" i="6" s="1"/>
  <c r="Q217" i="6"/>
  <c r="X217" i="6" s="1"/>
  <c r="Q218" i="6"/>
  <c r="X218" i="6" s="1"/>
  <c r="Q219" i="6"/>
  <c r="X219" i="6" s="1"/>
  <c r="Q220" i="6"/>
  <c r="X220" i="6" s="1"/>
  <c r="Q221" i="6"/>
  <c r="X221" i="6" s="1"/>
  <c r="Q222" i="6"/>
  <c r="X222" i="6" s="1"/>
  <c r="Q223" i="6"/>
  <c r="X223" i="6" s="1"/>
  <c r="Q224" i="6"/>
  <c r="X224" i="6" s="1"/>
  <c r="Q225" i="6"/>
  <c r="X225" i="6" s="1"/>
  <c r="Q226" i="6"/>
  <c r="X226" i="6" s="1"/>
  <c r="Q227" i="6"/>
  <c r="X227" i="6" s="1"/>
  <c r="Q228" i="6"/>
  <c r="X228" i="6" s="1"/>
  <c r="Q229" i="6"/>
  <c r="X229" i="6" s="1"/>
  <c r="Q230" i="6"/>
  <c r="X230" i="6" s="1"/>
  <c r="Q231" i="6"/>
  <c r="X231" i="6" s="1"/>
  <c r="Q232" i="6"/>
  <c r="X232" i="6" s="1"/>
  <c r="Q233" i="6"/>
  <c r="X233" i="6" s="1"/>
  <c r="Q234" i="6"/>
  <c r="X234" i="6" s="1"/>
  <c r="Q235" i="6"/>
  <c r="X235" i="6" s="1"/>
  <c r="Q236" i="6"/>
  <c r="X236" i="6" s="1"/>
  <c r="Q237" i="6"/>
  <c r="X237" i="6" s="1"/>
  <c r="Q238" i="6"/>
  <c r="X238" i="6" s="1"/>
  <c r="Q239" i="6"/>
  <c r="X239" i="6" s="1"/>
  <c r="Q240" i="6"/>
  <c r="X240" i="6" s="1"/>
  <c r="Q241" i="6"/>
  <c r="X241" i="6" s="1"/>
  <c r="Q242" i="6"/>
  <c r="X242" i="6" s="1"/>
  <c r="Q243" i="6"/>
  <c r="X243" i="6" s="1"/>
  <c r="Q244" i="6"/>
  <c r="X244" i="6" s="1"/>
  <c r="Q245" i="6"/>
  <c r="X245" i="6" s="1"/>
  <c r="Q246" i="6"/>
  <c r="X246" i="6" s="1"/>
  <c r="Q247" i="6"/>
  <c r="X247" i="6" s="1"/>
  <c r="Q248" i="6"/>
  <c r="X248" i="6" s="1"/>
  <c r="Q249" i="6"/>
  <c r="X249" i="6" s="1"/>
  <c r="Q250" i="6"/>
  <c r="X250" i="6" s="1"/>
  <c r="Q251" i="6"/>
  <c r="X251" i="6" s="1"/>
  <c r="Q252" i="6"/>
  <c r="X252" i="6" s="1"/>
  <c r="Q253" i="6"/>
  <c r="X253" i="6" s="1"/>
  <c r="Q254" i="6"/>
  <c r="X254" i="6" s="1"/>
  <c r="Q255" i="6"/>
  <c r="X255" i="6" s="1"/>
  <c r="Q256" i="6"/>
  <c r="X256" i="6" s="1"/>
  <c r="Q257" i="6"/>
  <c r="X257" i="6" s="1"/>
  <c r="Q258" i="6"/>
  <c r="X258" i="6" s="1"/>
  <c r="Q259" i="6"/>
  <c r="X259" i="6" s="1"/>
  <c r="Q260" i="6"/>
  <c r="X260" i="6" s="1"/>
  <c r="Q261" i="6"/>
  <c r="X261" i="6" s="1"/>
  <c r="Q262" i="6"/>
  <c r="X262" i="6" s="1"/>
  <c r="Q263" i="6"/>
  <c r="X263" i="6" s="1"/>
  <c r="Q264" i="6"/>
  <c r="X264" i="6" s="1"/>
  <c r="Q265" i="6"/>
  <c r="X265" i="6" s="1"/>
  <c r="Q266" i="6"/>
  <c r="X266" i="6" s="1"/>
  <c r="Q267" i="6"/>
  <c r="X267" i="6" s="1"/>
  <c r="Q268" i="6"/>
  <c r="X268" i="6" s="1"/>
  <c r="Q269" i="6"/>
  <c r="X269" i="6" s="1"/>
  <c r="Q270" i="6"/>
  <c r="X270" i="6" s="1"/>
  <c r="Q271" i="6"/>
  <c r="X271" i="6" s="1"/>
  <c r="Q272" i="6"/>
  <c r="X272" i="6" s="1"/>
  <c r="Q273" i="6"/>
  <c r="X273" i="6" s="1"/>
  <c r="Q274" i="6"/>
  <c r="X274" i="6" s="1"/>
  <c r="Q275" i="6"/>
  <c r="X275" i="6" s="1"/>
  <c r="Q276" i="6"/>
  <c r="X276" i="6" s="1"/>
  <c r="Q277" i="6"/>
  <c r="X277" i="6" s="1"/>
  <c r="Q278" i="6"/>
  <c r="X278" i="6" s="1"/>
  <c r="Q279" i="6"/>
  <c r="X279" i="6" s="1"/>
  <c r="Q280" i="6"/>
  <c r="X280" i="6" s="1"/>
  <c r="Q281" i="6"/>
  <c r="X281" i="6" s="1"/>
  <c r="Q282" i="6"/>
  <c r="X282" i="6" s="1"/>
  <c r="Q283" i="6"/>
  <c r="X283" i="6" s="1"/>
  <c r="Q284" i="6"/>
  <c r="X284" i="6" s="1"/>
  <c r="Q285" i="6"/>
  <c r="X285" i="6" s="1"/>
  <c r="Q286" i="6"/>
  <c r="X286" i="6" s="1"/>
  <c r="Q287" i="6"/>
  <c r="X287" i="6" s="1"/>
  <c r="Q288" i="6"/>
  <c r="X288" i="6" s="1"/>
  <c r="Q289" i="6"/>
  <c r="X289" i="6" s="1"/>
  <c r="Q290" i="6"/>
  <c r="X290" i="6" s="1"/>
  <c r="Q291" i="6"/>
  <c r="X291" i="6" s="1"/>
  <c r="Q292" i="6"/>
  <c r="X292" i="6" s="1"/>
  <c r="Q293" i="6"/>
  <c r="X293" i="6" s="1"/>
  <c r="Q294" i="6"/>
  <c r="X294" i="6" s="1"/>
  <c r="Q295" i="6"/>
  <c r="X295" i="6" s="1"/>
  <c r="Q296" i="6"/>
  <c r="X296" i="6" s="1"/>
  <c r="Q297" i="6"/>
  <c r="X297" i="6" s="1"/>
  <c r="Q298" i="6"/>
  <c r="X298" i="6" s="1"/>
  <c r="Q299" i="6"/>
  <c r="X299" i="6" s="1"/>
  <c r="Q300" i="6"/>
  <c r="X300" i="6" s="1"/>
  <c r="Q301" i="6"/>
  <c r="X301" i="6" s="1"/>
  <c r="Q302" i="6"/>
  <c r="X302" i="6" s="1"/>
  <c r="Q303" i="6"/>
  <c r="X303" i="6" s="1"/>
  <c r="Q304" i="6"/>
  <c r="X304" i="6" s="1"/>
  <c r="Q305" i="6"/>
  <c r="X305" i="6" s="1"/>
  <c r="Q306" i="6"/>
  <c r="X306" i="6" s="1"/>
  <c r="Q307" i="6"/>
  <c r="X307" i="6" s="1"/>
  <c r="Q308" i="6"/>
  <c r="X308" i="6" s="1"/>
  <c r="Q309" i="6"/>
  <c r="X309" i="6" s="1"/>
  <c r="Q310" i="6"/>
  <c r="X310" i="6" s="1"/>
  <c r="Q311" i="6"/>
  <c r="X311" i="6" s="1"/>
  <c r="Q312" i="6"/>
  <c r="X312" i="6" s="1"/>
  <c r="Q313" i="6"/>
  <c r="X313" i="6" s="1"/>
  <c r="Q314" i="6"/>
  <c r="X314" i="6" s="1"/>
  <c r="Q315" i="6"/>
  <c r="X315" i="6" s="1"/>
  <c r="Q316" i="6"/>
  <c r="X316" i="6" s="1"/>
  <c r="Q317" i="6"/>
  <c r="X317" i="6" s="1"/>
  <c r="Q318" i="6"/>
  <c r="X318" i="6" s="1"/>
  <c r="Q319" i="6"/>
  <c r="X319" i="6" s="1"/>
  <c r="Q320" i="6"/>
  <c r="X320" i="6" s="1"/>
  <c r="Q321" i="6"/>
  <c r="X321" i="6" s="1"/>
  <c r="Q322" i="6"/>
  <c r="X322" i="6" s="1"/>
  <c r="Q323" i="6"/>
  <c r="X323" i="6" s="1"/>
  <c r="Q324" i="6"/>
  <c r="X324" i="6" s="1"/>
  <c r="Q325" i="6"/>
  <c r="X325" i="6" s="1"/>
  <c r="Q326" i="6"/>
  <c r="X326" i="6" s="1"/>
  <c r="Q327" i="6"/>
  <c r="X327" i="6" s="1"/>
  <c r="Q328" i="6"/>
  <c r="X328" i="6" s="1"/>
  <c r="Q329" i="6"/>
  <c r="X329" i="6" s="1"/>
  <c r="Q330" i="6"/>
  <c r="X330" i="6" s="1"/>
  <c r="Q331" i="6"/>
  <c r="X331" i="6" s="1"/>
  <c r="Q332" i="6"/>
  <c r="X332" i="6" s="1"/>
  <c r="Q333" i="6"/>
  <c r="X333" i="6" s="1"/>
  <c r="Q334" i="6"/>
  <c r="X334" i="6" s="1"/>
  <c r="Q335" i="6"/>
  <c r="X335" i="6" s="1"/>
  <c r="Q336" i="6"/>
  <c r="X336" i="6" s="1"/>
  <c r="Q337" i="6"/>
  <c r="X337" i="6" s="1"/>
  <c r="Q338" i="6"/>
  <c r="X338" i="6" s="1"/>
  <c r="Q339" i="6"/>
  <c r="X339" i="6" s="1"/>
  <c r="Q340" i="6"/>
  <c r="X340" i="6" s="1"/>
  <c r="Q341" i="6"/>
  <c r="X341" i="6" s="1"/>
  <c r="Q342" i="6"/>
  <c r="X342" i="6" s="1"/>
  <c r="Q343" i="6"/>
  <c r="X343" i="6" s="1"/>
  <c r="Q344" i="6"/>
  <c r="X344" i="6" s="1"/>
  <c r="Q345" i="6"/>
  <c r="X345" i="6" s="1"/>
  <c r="Q346" i="6"/>
  <c r="X346" i="6" s="1"/>
  <c r="Q347" i="6"/>
  <c r="X347" i="6" s="1"/>
  <c r="Q348" i="6"/>
  <c r="X348" i="6" s="1"/>
  <c r="Q349" i="6"/>
  <c r="X349" i="6" s="1"/>
  <c r="Q350" i="6"/>
  <c r="X350" i="6" s="1"/>
  <c r="Q351" i="6"/>
  <c r="X351" i="6" s="1"/>
  <c r="Q352" i="6"/>
  <c r="X352" i="6" s="1"/>
  <c r="Q353" i="6"/>
  <c r="X353" i="6" s="1"/>
  <c r="Q354" i="6"/>
  <c r="X354" i="6" s="1"/>
  <c r="Q355" i="6"/>
  <c r="X355" i="6" s="1"/>
  <c r="Q356" i="6"/>
  <c r="X356" i="6" s="1"/>
  <c r="Q357" i="6"/>
  <c r="X357" i="6" s="1"/>
  <c r="Q358" i="6"/>
  <c r="X358" i="6" s="1"/>
  <c r="Q359" i="6"/>
  <c r="X359" i="6" s="1"/>
  <c r="Q360" i="6"/>
  <c r="X360" i="6" s="1"/>
  <c r="Q361" i="6"/>
  <c r="X361" i="6" s="1"/>
  <c r="Q362" i="6"/>
  <c r="X362" i="6" s="1"/>
  <c r="Q363" i="6"/>
  <c r="X363" i="6" s="1"/>
  <c r="Q364" i="6"/>
  <c r="X364" i="6" s="1"/>
  <c r="Q365" i="6"/>
  <c r="X365" i="6" s="1"/>
  <c r="Q366" i="6"/>
  <c r="X366" i="6" s="1"/>
  <c r="Q367" i="6"/>
  <c r="X367" i="6" s="1"/>
  <c r="Q368" i="6"/>
  <c r="X368" i="6" s="1"/>
  <c r="Q369" i="6"/>
  <c r="X369" i="6" s="1"/>
  <c r="Q370" i="6"/>
  <c r="X370" i="6" s="1"/>
  <c r="Q371" i="6"/>
  <c r="X371" i="6" s="1"/>
  <c r="Q372" i="6"/>
  <c r="X372" i="6" s="1"/>
  <c r="Q373" i="6"/>
  <c r="X373" i="6" s="1"/>
  <c r="Q374" i="6"/>
  <c r="X374" i="6" s="1"/>
  <c r="Q375" i="6"/>
  <c r="X375" i="6" s="1"/>
  <c r="Q376" i="6"/>
  <c r="X376" i="6" s="1"/>
  <c r="Q377" i="6"/>
  <c r="X377" i="6" s="1"/>
  <c r="Q378" i="6"/>
  <c r="X378" i="6" s="1"/>
  <c r="Q379" i="6"/>
  <c r="X379" i="6" s="1"/>
  <c r="Q380" i="6"/>
  <c r="X380" i="6" s="1"/>
  <c r="Q381" i="6"/>
  <c r="X381" i="6" s="1"/>
  <c r="Q382" i="6"/>
  <c r="X382" i="6" s="1"/>
  <c r="Q383" i="6"/>
  <c r="X383" i="6" s="1"/>
  <c r="Q384" i="6"/>
  <c r="X384" i="6" s="1"/>
  <c r="Q385" i="6"/>
  <c r="X385" i="6" s="1"/>
  <c r="Q386" i="6"/>
  <c r="X386" i="6" s="1"/>
  <c r="Q387" i="6"/>
  <c r="X387" i="6" s="1"/>
  <c r="Q388" i="6"/>
  <c r="X388" i="6" s="1"/>
  <c r="Q389" i="6"/>
  <c r="X389" i="6" s="1"/>
  <c r="Q390" i="6"/>
  <c r="X390" i="6" s="1"/>
  <c r="Q391" i="6"/>
  <c r="X391" i="6" s="1"/>
  <c r="Q392" i="6"/>
  <c r="X392" i="6" s="1"/>
  <c r="Q393" i="6"/>
  <c r="X393" i="6" s="1"/>
  <c r="Q394" i="6"/>
  <c r="X394" i="6" s="1"/>
  <c r="Q395" i="6"/>
  <c r="X395" i="6" s="1"/>
  <c r="Q396" i="6"/>
  <c r="X396" i="6" s="1"/>
  <c r="Q397" i="6"/>
  <c r="X397" i="6" s="1"/>
  <c r="Q398" i="6"/>
  <c r="X398" i="6" s="1"/>
  <c r="Q399" i="6"/>
  <c r="X399" i="6" s="1"/>
  <c r="Q400" i="6"/>
  <c r="X400" i="6" s="1"/>
  <c r="Q401" i="6"/>
  <c r="X401" i="6" s="1"/>
  <c r="Q402" i="6"/>
  <c r="X402" i="6" s="1"/>
  <c r="Q403" i="6"/>
  <c r="X403" i="6" s="1"/>
  <c r="Q404" i="6"/>
  <c r="X404" i="6" s="1"/>
  <c r="Q405" i="6"/>
  <c r="X405" i="6" s="1"/>
  <c r="Q406" i="6"/>
  <c r="X406" i="6" s="1"/>
  <c r="Q407" i="6"/>
  <c r="X407" i="6" s="1"/>
  <c r="Q408" i="6"/>
  <c r="X408" i="6" s="1"/>
  <c r="Q409" i="6"/>
  <c r="X409" i="6" s="1"/>
  <c r="Q410" i="6"/>
  <c r="X410" i="6" s="1"/>
  <c r="Q411" i="6"/>
  <c r="X411" i="6" s="1"/>
  <c r="Q412" i="6"/>
  <c r="X412" i="6" s="1"/>
  <c r="Q413" i="6"/>
  <c r="X413" i="6" s="1"/>
  <c r="Q414" i="6"/>
  <c r="X414" i="6" s="1"/>
  <c r="Q415" i="6"/>
  <c r="X415" i="6" s="1"/>
  <c r="Q416" i="6"/>
  <c r="X416" i="6" s="1"/>
  <c r="Q417" i="6"/>
  <c r="X417" i="6" s="1"/>
  <c r="Q418" i="6"/>
  <c r="X418" i="6" s="1"/>
  <c r="Q419" i="6"/>
  <c r="X419" i="6" s="1"/>
  <c r="Q420" i="6"/>
  <c r="X420" i="6" s="1"/>
  <c r="Q421" i="6"/>
  <c r="X421" i="6" s="1"/>
  <c r="Q422" i="6"/>
  <c r="X422" i="6" s="1"/>
  <c r="Q423" i="6"/>
  <c r="X423" i="6" s="1"/>
  <c r="Q424" i="6"/>
  <c r="X424" i="6" s="1"/>
  <c r="Q425" i="6"/>
  <c r="X425" i="6" s="1"/>
  <c r="Q426" i="6"/>
  <c r="X426" i="6" s="1"/>
  <c r="Q427" i="6"/>
  <c r="X427" i="6" s="1"/>
  <c r="Q428" i="6"/>
  <c r="X428" i="6" s="1"/>
  <c r="Q429" i="6"/>
  <c r="X429" i="6" s="1"/>
  <c r="Q430" i="6"/>
  <c r="X430" i="6" s="1"/>
  <c r="Q431" i="6"/>
  <c r="X431" i="6" s="1"/>
  <c r="Q432" i="6"/>
  <c r="X432" i="6" s="1"/>
  <c r="Q433" i="6"/>
  <c r="X433" i="6" s="1"/>
  <c r="Q434" i="6"/>
  <c r="X434" i="6" s="1"/>
  <c r="Q435" i="6"/>
  <c r="X435" i="6" s="1"/>
  <c r="Q436" i="6"/>
  <c r="X436" i="6" s="1"/>
  <c r="Q437" i="6"/>
  <c r="X437" i="6" s="1"/>
  <c r="Q438" i="6"/>
  <c r="X438" i="6" s="1"/>
  <c r="Q439" i="6"/>
  <c r="X439" i="6" s="1"/>
  <c r="Q440" i="6"/>
  <c r="X440" i="6" s="1"/>
  <c r="Q441" i="6"/>
  <c r="X441" i="6" s="1"/>
  <c r="Q442" i="6"/>
  <c r="X442" i="6" s="1"/>
  <c r="Q443" i="6"/>
  <c r="X443" i="6" s="1"/>
  <c r="Q444" i="6"/>
  <c r="X444" i="6" s="1"/>
  <c r="Q445" i="6"/>
  <c r="X445" i="6" s="1"/>
  <c r="Q446" i="6"/>
  <c r="X446" i="6" s="1"/>
  <c r="Q447" i="6"/>
  <c r="X447" i="6" s="1"/>
  <c r="Q448" i="6"/>
  <c r="X448" i="6" s="1"/>
  <c r="Q449" i="6"/>
  <c r="X449" i="6" s="1"/>
  <c r="Q450" i="6"/>
  <c r="X450" i="6" s="1"/>
  <c r="Q451" i="6"/>
  <c r="X451" i="6" s="1"/>
  <c r="Q452" i="6"/>
  <c r="X452" i="6" s="1"/>
  <c r="Q453" i="6"/>
  <c r="X453" i="6" s="1"/>
  <c r="Q454" i="6"/>
  <c r="X454" i="6" s="1"/>
  <c r="Q455" i="6"/>
  <c r="X455" i="6" s="1"/>
  <c r="Q456" i="6"/>
  <c r="X456" i="6" s="1"/>
  <c r="Q457" i="6"/>
  <c r="X457" i="6" s="1"/>
  <c r="Q458" i="6"/>
  <c r="X458" i="6" s="1"/>
  <c r="Q459" i="6"/>
  <c r="X459" i="6" s="1"/>
  <c r="Q460" i="6"/>
  <c r="X460" i="6" s="1"/>
  <c r="Q461" i="6"/>
  <c r="X461" i="6" s="1"/>
  <c r="Q462" i="6"/>
  <c r="X462" i="6" s="1"/>
  <c r="Q463" i="6"/>
  <c r="X463" i="6" s="1"/>
  <c r="Q464" i="6"/>
  <c r="X464" i="6" s="1"/>
  <c r="Q465" i="6"/>
  <c r="X465" i="6" s="1"/>
  <c r="Q466" i="6"/>
  <c r="X466" i="6" s="1"/>
  <c r="Q467" i="6"/>
  <c r="X467" i="6" s="1"/>
  <c r="Q468" i="6"/>
  <c r="X468" i="6" s="1"/>
  <c r="Q469" i="6"/>
  <c r="X469" i="6" s="1"/>
  <c r="Q470" i="6"/>
  <c r="X470" i="6" s="1"/>
  <c r="Q471" i="6"/>
  <c r="X471" i="6" s="1"/>
  <c r="Q472" i="6"/>
  <c r="X472" i="6" s="1"/>
  <c r="Q473" i="6"/>
  <c r="X473" i="6" s="1"/>
  <c r="Q474" i="6"/>
  <c r="X474" i="6" s="1"/>
  <c r="Q475" i="6"/>
  <c r="X475" i="6" s="1"/>
  <c r="Q476" i="6"/>
  <c r="X476" i="6" s="1"/>
  <c r="Q477" i="6"/>
  <c r="X477" i="6" s="1"/>
  <c r="Q478" i="6"/>
  <c r="X478" i="6" s="1"/>
  <c r="Q479" i="6"/>
  <c r="X479" i="6" s="1"/>
  <c r="Q480" i="6"/>
  <c r="X480" i="6" s="1"/>
  <c r="Q481" i="6"/>
  <c r="X481" i="6" s="1"/>
  <c r="Q482" i="6"/>
  <c r="X482" i="6" s="1"/>
  <c r="Q483" i="6"/>
  <c r="X483" i="6" s="1"/>
  <c r="Q484" i="6"/>
  <c r="X484" i="6" s="1"/>
  <c r="Q485" i="6"/>
  <c r="X485" i="6" s="1"/>
  <c r="Q486" i="6"/>
  <c r="X486" i="6" s="1"/>
  <c r="Q487" i="6"/>
  <c r="X487" i="6" s="1"/>
  <c r="Q488" i="6"/>
  <c r="X488" i="6" s="1"/>
  <c r="Q489" i="6"/>
  <c r="X489" i="6" s="1"/>
  <c r="Q490" i="6"/>
  <c r="X490" i="6" s="1"/>
  <c r="Q491" i="6"/>
  <c r="X491" i="6" s="1"/>
  <c r="Q492" i="6"/>
  <c r="X492" i="6" s="1"/>
  <c r="Q493" i="6"/>
  <c r="X493" i="6" s="1"/>
  <c r="Q494" i="6"/>
  <c r="X494" i="6" s="1"/>
  <c r="Q495" i="6"/>
  <c r="X495" i="6" s="1"/>
  <c r="Q496" i="6"/>
  <c r="X496" i="6" s="1"/>
  <c r="Q497" i="6"/>
  <c r="X497" i="6" s="1"/>
  <c r="Q498" i="6"/>
  <c r="X498" i="6" s="1"/>
  <c r="Q499" i="6"/>
  <c r="X499" i="6" s="1"/>
  <c r="Q500" i="6"/>
  <c r="X500" i="6" s="1"/>
  <c r="Q501" i="6"/>
  <c r="X501" i="6" s="1"/>
  <c r="Q502" i="6"/>
  <c r="X502" i="6" s="1"/>
  <c r="Q503" i="6"/>
  <c r="X503" i="6" s="1"/>
  <c r="Q504" i="6"/>
  <c r="X504" i="6" s="1"/>
  <c r="Q505" i="6"/>
  <c r="X505" i="6" s="1"/>
  <c r="Q506" i="6"/>
  <c r="X506" i="6" s="1"/>
  <c r="Q507" i="6"/>
  <c r="X507" i="6" s="1"/>
  <c r="Q508" i="6"/>
  <c r="X508" i="6" s="1"/>
  <c r="Q509" i="6"/>
  <c r="X509" i="6" s="1"/>
  <c r="Q510" i="6"/>
  <c r="X510" i="6" s="1"/>
  <c r="Q511" i="6"/>
  <c r="X511" i="6" s="1"/>
  <c r="Q512" i="6"/>
  <c r="X512" i="6" s="1"/>
  <c r="Q513" i="6"/>
  <c r="X513" i="6" s="1"/>
  <c r="Q514" i="6"/>
  <c r="X514" i="6" s="1"/>
  <c r="Q515" i="6"/>
  <c r="X515" i="6" s="1"/>
  <c r="Q516" i="6"/>
  <c r="X516" i="6" s="1"/>
  <c r="Q517" i="6"/>
  <c r="X517" i="6" s="1"/>
  <c r="Q518" i="6"/>
  <c r="X518" i="6" s="1"/>
  <c r="Q519" i="6"/>
  <c r="X519" i="6" s="1"/>
  <c r="Q520" i="6"/>
  <c r="X520" i="6" s="1"/>
  <c r="Q521" i="6"/>
  <c r="X521" i="6" s="1"/>
  <c r="Q522" i="6"/>
  <c r="X522" i="6" s="1"/>
  <c r="Q523" i="6"/>
  <c r="X523" i="6" s="1"/>
  <c r="Q524" i="6"/>
  <c r="X524" i="6" s="1"/>
  <c r="Q525" i="6"/>
  <c r="X525" i="6" s="1"/>
  <c r="Q526" i="6"/>
  <c r="X526" i="6" s="1"/>
  <c r="Q527" i="6"/>
  <c r="X527" i="6" s="1"/>
  <c r="Q528" i="6"/>
  <c r="X528" i="6" s="1"/>
  <c r="Q529" i="6"/>
  <c r="X529" i="6" s="1"/>
  <c r="Q530" i="6"/>
  <c r="X530" i="6" s="1"/>
  <c r="Q531" i="6"/>
  <c r="X531" i="6" s="1"/>
  <c r="Q532" i="6"/>
  <c r="X532" i="6" s="1"/>
  <c r="Q533" i="6"/>
  <c r="X533" i="6" s="1"/>
  <c r="Q534" i="6"/>
  <c r="X534" i="6" s="1"/>
  <c r="Q535" i="6"/>
  <c r="X535" i="6" s="1"/>
  <c r="Q536" i="6"/>
  <c r="X536" i="6" s="1"/>
  <c r="Q537" i="6"/>
  <c r="X537" i="6" s="1"/>
  <c r="Q538" i="6"/>
  <c r="X538" i="6" s="1"/>
  <c r="Q539" i="6"/>
  <c r="X539" i="6" s="1"/>
  <c r="Q540" i="6"/>
  <c r="X540" i="6" s="1"/>
  <c r="Q541" i="6"/>
  <c r="X541" i="6" s="1"/>
  <c r="Q542" i="6"/>
  <c r="X542" i="6" s="1"/>
  <c r="Q543" i="6"/>
  <c r="X543" i="6" s="1"/>
  <c r="Q544" i="6"/>
  <c r="X544" i="6" s="1"/>
  <c r="Q545" i="6"/>
  <c r="X545" i="6" s="1"/>
  <c r="Q546" i="6"/>
  <c r="X546" i="6" s="1"/>
  <c r="Q547" i="6"/>
  <c r="X547" i="6" s="1"/>
  <c r="Q548" i="6"/>
  <c r="X548" i="6" s="1"/>
  <c r="Q549" i="6"/>
  <c r="X549" i="6" s="1"/>
  <c r="Q550" i="6"/>
  <c r="X550" i="6" s="1"/>
  <c r="Q551" i="6"/>
  <c r="X551" i="6" s="1"/>
  <c r="Q552" i="6"/>
  <c r="X552" i="6" s="1"/>
  <c r="Q553" i="6"/>
  <c r="X553" i="6" s="1"/>
  <c r="Q554" i="6"/>
  <c r="X554" i="6" s="1"/>
  <c r="Q555" i="6"/>
  <c r="X555" i="6" s="1"/>
  <c r="Q556" i="6"/>
  <c r="X556" i="6" s="1"/>
  <c r="Q557" i="6"/>
  <c r="X557" i="6" s="1"/>
  <c r="Q558" i="6"/>
  <c r="X558" i="6" s="1"/>
  <c r="Q559" i="6"/>
  <c r="X559" i="6" s="1"/>
  <c r="Q560" i="6"/>
  <c r="X560" i="6" s="1"/>
  <c r="Q561" i="6"/>
  <c r="X561" i="6" s="1"/>
  <c r="Q562" i="6"/>
  <c r="X562" i="6" s="1"/>
  <c r="Q563" i="6"/>
  <c r="X563" i="6" s="1"/>
  <c r="Q564" i="6"/>
  <c r="X564" i="6" s="1"/>
  <c r="Q565" i="6"/>
  <c r="X565" i="6" s="1"/>
  <c r="Q566" i="6"/>
  <c r="X566" i="6" s="1"/>
  <c r="Q567" i="6"/>
  <c r="X567" i="6" s="1"/>
  <c r="Q568" i="6"/>
  <c r="X568" i="6" s="1"/>
  <c r="Q569" i="6"/>
  <c r="X569" i="6" s="1"/>
  <c r="Q570" i="6"/>
  <c r="X570" i="6" s="1"/>
  <c r="Q571" i="6"/>
  <c r="X571" i="6" s="1"/>
  <c r="Q572" i="6"/>
  <c r="X572" i="6" s="1"/>
  <c r="Q573" i="6"/>
  <c r="X573" i="6" s="1"/>
  <c r="Q574" i="6"/>
  <c r="X574" i="6" s="1"/>
  <c r="Q575" i="6"/>
  <c r="X575" i="6" s="1"/>
  <c r="Q576" i="6"/>
  <c r="X576" i="6" s="1"/>
  <c r="Q577" i="6"/>
  <c r="X577" i="6" s="1"/>
  <c r="Q578" i="6"/>
  <c r="X578" i="6" s="1"/>
  <c r="Q579" i="6"/>
  <c r="X579" i="6" s="1"/>
  <c r="Q580" i="6"/>
  <c r="X580" i="6" s="1"/>
  <c r="Q581" i="6"/>
  <c r="X581" i="6" s="1"/>
  <c r="Q582" i="6"/>
  <c r="X582" i="6" s="1"/>
  <c r="Q583" i="6"/>
  <c r="X583" i="6" s="1"/>
  <c r="Q584" i="6"/>
  <c r="X584" i="6" s="1"/>
  <c r="Q585" i="6"/>
  <c r="X585" i="6" s="1"/>
  <c r="Q586" i="6"/>
  <c r="X586" i="6" s="1"/>
  <c r="Q587" i="6"/>
  <c r="X587" i="6" s="1"/>
  <c r="Q588" i="6"/>
  <c r="X588" i="6" s="1"/>
  <c r="Q589" i="6"/>
  <c r="X589" i="6" s="1"/>
  <c r="Q590" i="6"/>
  <c r="X590" i="6" s="1"/>
  <c r="Q591" i="6"/>
  <c r="X591" i="6" s="1"/>
  <c r="Q592" i="6"/>
  <c r="X592" i="6" s="1"/>
  <c r="Q593" i="6"/>
  <c r="X593" i="6" s="1"/>
  <c r="Q594" i="6"/>
  <c r="X594" i="6" s="1"/>
  <c r="Q595" i="6"/>
  <c r="X595" i="6" s="1"/>
  <c r="Q596" i="6"/>
  <c r="X596" i="6" s="1"/>
  <c r="Q597" i="6"/>
  <c r="X597" i="6" s="1"/>
  <c r="Q598" i="6"/>
  <c r="X598" i="6" s="1"/>
  <c r="Q599" i="6"/>
  <c r="X599" i="6" s="1"/>
  <c r="Q600" i="6"/>
  <c r="X600" i="6" s="1"/>
  <c r="Q601" i="6"/>
  <c r="X601" i="6" s="1"/>
  <c r="Q602" i="6"/>
  <c r="X602" i="6" s="1"/>
  <c r="Q603" i="6"/>
  <c r="X603" i="6" s="1"/>
  <c r="Q604" i="6"/>
  <c r="X604" i="6" s="1"/>
  <c r="Q605" i="6"/>
  <c r="X605" i="6" s="1"/>
  <c r="Q606" i="6"/>
  <c r="X606" i="6" s="1"/>
  <c r="Q607" i="6"/>
  <c r="X607" i="6" s="1"/>
  <c r="Q608" i="6"/>
  <c r="X608" i="6" s="1"/>
  <c r="Q609" i="6"/>
  <c r="X609" i="6" s="1"/>
  <c r="Q610" i="6"/>
  <c r="X610" i="6" s="1"/>
  <c r="Q611" i="6"/>
  <c r="X611" i="6" s="1"/>
  <c r="Q612" i="6"/>
  <c r="X612" i="6" s="1"/>
  <c r="Q613" i="6"/>
  <c r="X613" i="6" s="1"/>
  <c r="Q614" i="6"/>
  <c r="X614" i="6" s="1"/>
  <c r="Q615" i="6"/>
  <c r="X615" i="6" s="1"/>
  <c r="Q616" i="6"/>
  <c r="X616" i="6" s="1"/>
  <c r="Q617" i="6"/>
  <c r="X617" i="6" s="1"/>
  <c r="Q618" i="6"/>
  <c r="X618" i="6" s="1"/>
  <c r="Q619" i="6"/>
  <c r="X619" i="6" s="1"/>
  <c r="Q620" i="6"/>
  <c r="X620" i="6" s="1"/>
  <c r="Q621" i="6"/>
  <c r="X621" i="6" s="1"/>
  <c r="Q622" i="6"/>
  <c r="X622" i="6" s="1"/>
  <c r="Q623" i="6"/>
  <c r="X623" i="6" s="1"/>
  <c r="Q624" i="6"/>
  <c r="X624" i="6" s="1"/>
  <c r="Q625" i="6"/>
  <c r="X625" i="6" s="1"/>
  <c r="Q626" i="6"/>
  <c r="X626" i="6" s="1"/>
  <c r="Q627" i="6"/>
  <c r="X627" i="6" s="1"/>
  <c r="Q628" i="6"/>
  <c r="X628" i="6" s="1"/>
  <c r="Q629" i="6"/>
  <c r="X629" i="6" s="1"/>
  <c r="Q630" i="6"/>
  <c r="X630" i="6" s="1"/>
  <c r="Q631" i="6"/>
  <c r="X631" i="6" s="1"/>
  <c r="Q632" i="6"/>
  <c r="X632" i="6" s="1"/>
  <c r="Q633" i="6"/>
  <c r="X633" i="6" s="1"/>
  <c r="Q634" i="6"/>
  <c r="X634" i="6" s="1"/>
  <c r="Q635" i="6"/>
  <c r="X635" i="6" s="1"/>
  <c r="Q636" i="6"/>
  <c r="X636" i="6" s="1"/>
  <c r="Q637" i="6"/>
  <c r="X637" i="6" s="1"/>
  <c r="Q638" i="6"/>
  <c r="X638" i="6" s="1"/>
  <c r="Q639" i="6"/>
  <c r="X639" i="6" s="1"/>
  <c r="Q640" i="6"/>
  <c r="X640" i="6" s="1"/>
  <c r="Q641" i="6"/>
  <c r="X641" i="6" s="1"/>
  <c r="Q642" i="6"/>
  <c r="X642" i="6" s="1"/>
  <c r="Q643" i="6"/>
  <c r="X643" i="6" s="1"/>
  <c r="Q644" i="6"/>
  <c r="X644" i="6" s="1"/>
  <c r="Q645" i="6"/>
  <c r="X645" i="6" s="1"/>
  <c r="Q646" i="6"/>
  <c r="X646" i="6" s="1"/>
  <c r="Q647" i="6"/>
  <c r="X647" i="6" s="1"/>
  <c r="Q648" i="6"/>
  <c r="X648" i="6" s="1"/>
  <c r="Q649" i="6"/>
  <c r="X649" i="6" s="1"/>
  <c r="Q650" i="6"/>
  <c r="X650" i="6" s="1"/>
  <c r="Q651" i="6"/>
  <c r="X651" i="6" s="1"/>
  <c r="Q652" i="6"/>
  <c r="X652" i="6" s="1"/>
  <c r="Q653" i="6"/>
  <c r="X653" i="6" s="1"/>
  <c r="Q654" i="6"/>
  <c r="X654" i="6" s="1"/>
  <c r="Q655" i="6"/>
  <c r="X655" i="6" s="1"/>
  <c r="Q656" i="6"/>
  <c r="X656" i="6" s="1"/>
  <c r="Q657" i="6"/>
  <c r="X657" i="6" s="1"/>
  <c r="Q658" i="6"/>
  <c r="X658" i="6" s="1"/>
  <c r="Q659" i="6"/>
  <c r="X659" i="6" s="1"/>
  <c r="Q660" i="6"/>
  <c r="X660" i="6" s="1"/>
  <c r="Q661" i="6"/>
  <c r="X661" i="6" s="1"/>
  <c r="Q662" i="6"/>
  <c r="X662" i="6" s="1"/>
  <c r="Q663" i="6"/>
  <c r="X663" i="6" s="1"/>
  <c r="Q664" i="6"/>
  <c r="X664" i="6" s="1"/>
  <c r="Q665" i="6"/>
  <c r="X665" i="6" s="1"/>
  <c r="Q666" i="6"/>
  <c r="X666" i="6" s="1"/>
  <c r="Q667" i="6"/>
  <c r="X667" i="6" s="1"/>
  <c r="Q668" i="6"/>
  <c r="X668" i="6" s="1"/>
  <c r="Q669" i="6"/>
  <c r="X669" i="6" s="1"/>
  <c r="Q670" i="6"/>
  <c r="X670" i="6" s="1"/>
  <c r="Q671" i="6"/>
  <c r="X671" i="6" s="1"/>
  <c r="Q672" i="6"/>
  <c r="X672" i="6" s="1"/>
  <c r="Q673" i="6"/>
  <c r="X673" i="6" s="1"/>
  <c r="Q674" i="6"/>
  <c r="X674" i="6" s="1"/>
  <c r="Q675" i="6"/>
  <c r="X675" i="6" s="1"/>
  <c r="Q676" i="6"/>
  <c r="X676" i="6" s="1"/>
  <c r="Q677" i="6"/>
  <c r="X677" i="6" s="1"/>
  <c r="Q678" i="6"/>
  <c r="X678" i="6" s="1"/>
  <c r="Q679" i="6"/>
  <c r="X679" i="6" s="1"/>
  <c r="Q680" i="6"/>
  <c r="X680" i="6" s="1"/>
  <c r="Q681" i="6"/>
  <c r="X681" i="6" s="1"/>
  <c r="Q682" i="6"/>
  <c r="X682" i="6" s="1"/>
  <c r="Q683" i="6"/>
  <c r="X683" i="6" s="1"/>
  <c r="Q684" i="6"/>
  <c r="X684" i="6" s="1"/>
  <c r="Q685" i="6"/>
  <c r="X685" i="6" s="1"/>
  <c r="Q686" i="6"/>
  <c r="X686" i="6" s="1"/>
  <c r="Q687" i="6"/>
  <c r="X687" i="6" s="1"/>
  <c r="Q688" i="6"/>
  <c r="X688" i="6" s="1"/>
  <c r="Q689" i="6"/>
  <c r="X689" i="6" s="1"/>
  <c r="Q690" i="6"/>
  <c r="X690" i="6" s="1"/>
  <c r="Q691" i="6"/>
  <c r="X691" i="6" s="1"/>
  <c r="Q692" i="6"/>
  <c r="X692" i="6" s="1"/>
  <c r="Q693" i="6"/>
  <c r="X693" i="6" s="1"/>
  <c r="Q694" i="6"/>
  <c r="X694" i="6" s="1"/>
  <c r="Q695" i="6"/>
  <c r="X695" i="6" s="1"/>
  <c r="Q696" i="6"/>
  <c r="X696" i="6" s="1"/>
  <c r="Q697" i="6"/>
  <c r="X697" i="6" s="1"/>
  <c r="Q698" i="6"/>
  <c r="X698" i="6" s="1"/>
  <c r="Q699" i="6"/>
  <c r="X699" i="6" s="1"/>
  <c r="Q700" i="6"/>
  <c r="X700" i="6" s="1"/>
  <c r="Q701" i="6"/>
  <c r="X701" i="6" s="1"/>
  <c r="Q702" i="6"/>
  <c r="X702" i="6" s="1"/>
  <c r="Q703" i="6"/>
  <c r="X703" i="6" s="1"/>
  <c r="Q704" i="6"/>
  <c r="X704" i="6" s="1"/>
  <c r="Q705" i="6"/>
  <c r="X705" i="6" s="1"/>
  <c r="Q706" i="6"/>
  <c r="X706" i="6" s="1"/>
  <c r="Q707" i="6"/>
  <c r="X707" i="6" s="1"/>
  <c r="Q708" i="6"/>
  <c r="X708" i="6" s="1"/>
  <c r="Q709" i="6"/>
  <c r="X709" i="6" s="1"/>
  <c r="Q710" i="6"/>
  <c r="X710" i="6" s="1"/>
  <c r="Q711" i="6"/>
  <c r="X711" i="6" s="1"/>
  <c r="Q712" i="6"/>
  <c r="X712" i="6" s="1"/>
  <c r="Q713" i="6"/>
  <c r="X713" i="6" s="1"/>
  <c r="Q714" i="6"/>
  <c r="X714" i="6" s="1"/>
  <c r="Q715" i="6"/>
  <c r="X715" i="6" s="1"/>
  <c r="Q716" i="6"/>
  <c r="X716" i="6" s="1"/>
  <c r="Q717" i="6"/>
  <c r="X717" i="6" s="1"/>
  <c r="Q718" i="6"/>
  <c r="X718" i="6" s="1"/>
  <c r="Q719" i="6"/>
  <c r="X719" i="6" s="1"/>
  <c r="Q720" i="6"/>
  <c r="X720" i="6" s="1"/>
  <c r="Q721" i="6"/>
  <c r="X721" i="6" s="1"/>
  <c r="Q722" i="6"/>
  <c r="X722" i="6" s="1"/>
  <c r="Q723" i="6"/>
  <c r="X723" i="6" s="1"/>
  <c r="Q724" i="6"/>
  <c r="X724" i="6" s="1"/>
  <c r="Q725" i="6"/>
  <c r="X725" i="6" s="1"/>
  <c r="Q726" i="6"/>
  <c r="X726" i="6" s="1"/>
  <c r="Q727" i="6"/>
  <c r="X727" i="6" s="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P2" i="6"/>
  <c r="Y2" i="6" s="1"/>
  <c r="P3" i="6"/>
  <c r="Y3" i="6" s="1"/>
  <c r="P4" i="6"/>
  <c r="Y4" i="6" s="1"/>
  <c r="P5" i="6"/>
  <c r="Y5" i="6" s="1"/>
  <c r="P6" i="6"/>
  <c r="Y6" i="6" s="1"/>
  <c r="P7" i="6"/>
  <c r="Y7" i="6" s="1"/>
  <c r="P8" i="6"/>
  <c r="Y8" i="6" s="1"/>
  <c r="P9" i="6"/>
  <c r="Y9" i="6" s="1"/>
  <c r="P10" i="6"/>
  <c r="Y10" i="6" s="1"/>
  <c r="P11" i="6"/>
  <c r="Y11" i="6" s="1"/>
  <c r="P12" i="6"/>
  <c r="Y12" i="6" s="1"/>
  <c r="P13" i="6"/>
  <c r="Y13" i="6" s="1"/>
  <c r="P14" i="6"/>
  <c r="Y14" i="6" s="1"/>
  <c r="P15" i="6"/>
  <c r="Y15" i="6" s="1"/>
  <c r="P16" i="6"/>
  <c r="Y16" i="6" s="1"/>
  <c r="P17" i="6"/>
  <c r="Y17" i="6" s="1"/>
  <c r="P18" i="6"/>
  <c r="Y18" i="6" s="1"/>
  <c r="P19" i="6"/>
  <c r="Y19" i="6" s="1"/>
  <c r="P20" i="6"/>
  <c r="Y20" i="6" s="1"/>
  <c r="P21" i="6"/>
  <c r="Y21" i="6" s="1"/>
  <c r="P22" i="6"/>
  <c r="Y22" i="6" s="1"/>
  <c r="P23" i="6"/>
  <c r="Y23" i="6" s="1"/>
  <c r="P24" i="6"/>
  <c r="Y24" i="6" s="1"/>
  <c r="P25" i="6"/>
  <c r="Y25" i="6" s="1"/>
  <c r="P26" i="6"/>
  <c r="Y26" i="6" s="1"/>
  <c r="P27" i="6"/>
  <c r="Y27" i="6" s="1"/>
  <c r="P28" i="6"/>
  <c r="Y28" i="6" s="1"/>
  <c r="P29" i="6"/>
  <c r="Y29" i="6" s="1"/>
  <c r="P30" i="6"/>
  <c r="Y30" i="6" s="1"/>
  <c r="P31" i="6"/>
  <c r="Y31" i="6" s="1"/>
  <c r="P32" i="6"/>
  <c r="Y32" i="6" s="1"/>
  <c r="P33" i="6"/>
  <c r="Y33" i="6" s="1"/>
  <c r="P34" i="6"/>
  <c r="Y34" i="6" s="1"/>
  <c r="P35" i="6"/>
  <c r="Y35" i="6" s="1"/>
  <c r="P36" i="6"/>
  <c r="Y36" i="6" s="1"/>
  <c r="P37" i="6"/>
  <c r="Y37" i="6" s="1"/>
  <c r="P38" i="6"/>
  <c r="Y38" i="6" s="1"/>
  <c r="P39" i="6"/>
  <c r="Y39" i="6" s="1"/>
  <c r="P40" i="6"/>
  <c r="Y40" i="6" s="1"/>
  <c r="P41" i="6"/>
  <c r="Y41" i="6" s="1"/>
  <c r="P42" i="6"/>
  <c r="Y42" i="6" s="1"/>
  <c r="P43" i="6"/>
  <c r="Y43" i="6" s="1"/>
  <c r="P44" i="6"/>
  <c r="Y44" i="6" s="1"/>
  <c r="P45" i="6"/>
  <c r="Y45" i="6" s="1"/>
  <c r="P46" i="6"/>
  <c r="Y46" i="6" s="1"/>
  <c r="P47" i="6"/>
  <c r="Y47" i="6" s="1"/>
  <c r="P48" i="6"/>
  <c r="Y48" i="6" s="1"/>
  <c r="P49" i="6"/>
  <c r="Y49" i="6" s="1"/>
  <c r="P50" i="6"/>
  <c r="Y50" i="6" s="1"/>
  <c r="P51" i="6"/>
  <c r="Y51" i="6" s="1"/>
  <c r="P52" i="6"/>
  <c r="Y52" i="6" s="1"/>
  <c r="P53" i="6"/>
  <c r="Y53" i="6" s="1"/>
  <c r="P54" i="6"/>
  <c r="Y54" i="6" s="1"/>
  <c r="P55" i="6"/>
  <c r="Y55" i="6" s="1"/>
  <c r="P56" i="6"/>
  <c r="Y56" i="6" s="1"/>
  <c r="P57" i="6"/>
  <c r="Y57" i="6" s="1"/>
  <c r="P58" i="6"/>
  <c r="Y58" i="6" s="1"/>
  <c r="P59" i="6"/>
  <c r="Y59" i="6" s="1"/>
  <c r="P60" i="6"/>
  <c r="Y60" i="6" s="1"/>
  <c r="P61" i="6"/>
  <c r="Y61" i="6" s="1"/>
  <c r="P62" i="6"/>
  <c r="Y62" i="6" s="1"/>
  <c r="P63" i="6"/>
  <c r="Y63" i="6" s="1"/>
  <c r="P64" i="6"/>
  <c r="Y64" i="6" s="1"/>
  <c r="P65" i="6"/>
  <c r="Y65" i="6" s="1"/>
  <c r="P66" i="6"/>
  <c r="Y66" i="6" s="1"/>
  <c r="P67" i="6"/>
  <c r="Y67" i="6" s="1"/>
  <c r="P68" i="6"/>
  <c r="Y68" i="6" s="1"/>
  <c r="P69" i="6"/>
  <c r="Y69" i="6" s="1"/>
  <c r="P70" i="6"/>
  <c r="Y70" i="6" s="1"/>
  <c r="P71" i="6"/>
  <c r="Y71" i="6" s="1"/>
  <c r="P72" i="6"/>
  <c r="Y72" i="6" s="1"/>
  <c r="P73" i="6"/>
  <c r="Y73" i="6" s="1"/>
  <c r="P74" i="6"/>
  <c r="Y74" i="6" s="1"/>
  <c r="P75" i="6"/>
  <c r="Y75" i="6" s="1"/>
  <c r="P76" i="6"/>
  <c r="Y76" i="6" s="1"/>
  <c r="P77" i="6"/>
  <c r="Y77" i="6" s="1"/>
  <c r="P78" i="6"/>
  <c r="Y78" i="6" s="1"/>
  <c r="P79" i="6"/>
  <c r="Y79" i="6" s="1"/>
  <c r="P80" i="6"/>
  <c r="Y80" i="6" s="1"/>
  <c r="P81" i="6"/>
  <c r="Y81" i="6" s="1"/>
  <c r="P82" i="6"/>
  <c r="Y82" i="6" s="1"/>
  <c r="P83" i="6"/>
  <c r="Y83" i="6" s="1"/>
  <c r="P84" i="6"/>
  <c r="Y84" i="6" s="1"/>
  <c r="P85" i="6"/>
  <c r="Y85" i="6" s="1"/>
  <c r="P86" i="6"/>
  <c r="Y86" i="6" s="1"/>
  <c r="P87" i="6"/>
  <c r="Y87" i="6" s="1"/>
  <c r="P88" i="6"/>
  <c r="Y88" i="6" s="1"/>
  <c r="P89" i="6"/>
  <c r="Y89" i="6" s="1"/>
  <c r="P90" i="6"/>
  <c r="Y90" i="6" s="1"/>
  <c r="P91" i="6"/>
  <c r="Y91" i="6" s="1"/>
  <c r="P92" i="6"/>
  <c r="Y92" i="6" s="1"/>
  <c r="P93" i="6"/>
  <c r="Y93" i="6" s="1"/>
  <c r="P94" i="6"/>
  <c r="Y94" i="6" s="1"/>
  <c r="P95" i="6"/>
  <c r="Y95" i="6" s="1"/>
  <c r="P96" i="6"/>
  <c r="Y96" i="6" s="1"/>
  <c r="P97" i="6"/>
  <c r="Y97" i="6" s="1"/>
  <c r="P98" i="6"/>
  <c r="Y98" i="6" s="1"/>
  <c r="P99" i="6"/>
  <c r="Y99" i="6" s="1"/>
  <c r="P100" i="6"/>
  <c r="Y100" i="6" s="1"/>
  <c r="P101" i="6"/>
  <c r="Y101" i="6" s="1"/>
  <c r="P102" i="6"/>
  <c r="Y102" i="6" s="1"/>
  <c r="P103" i="6"/>
  <c r="Y103" i="6" s="1"/>
  <c r="P104" i="6"/>
  <c r="Y104" i="6" s="1"/>
  <c r="P105" i="6"/>
  <c r="Y105" i="6" s="1"/>
  <c r="P106" i="6"/>
  <c r="Y106" i="6" s="1"/>
  <c r="P107" i="6"/>
  <c r="Y107" i="6" s="1"/>
  <c r="P108" i="6"/>
  <c r="Y108" i="6" s="1"/>
  <c r="P109" i="6"/>
  <c r="Y109" i="6" s="1"/>
  <c r="P110" i="6"/>
  <c r="Y110" i="6" s="1"/>
  <c r="P111" i="6"/>
  <c r="Y111" i="6" s="1"/>
  <c r="P112" i="6"/>
  <c r="Y112" i="6" s="1"/>
  <c r="P113" i="6"/>
  <c r="Y113" i="6" s="1"/>
  <c r="P114" i="6"/>
  <c r="Y114" i="6" s="1"/>
  <c r="P115" i="6"/>
  <c r="Y115" i="6" s="1"/>
  <c r="P116" i="6"/>
  <c r="Y116" i="6" s="1"/>
  <c r="P117" i="6"/>
  <c r="Y117" i="6" s="1"/>
  <c r="P118" i="6"/>
  <c r="Y118" i="6" s="1"/>
  <c r="P119" i="6"/>
  <c r="Y119" i="6" s="1"/>
  <c r="P120" i="6"/>
  <c r="Y120" i="6" s="1"/>
  <c r="P121" i="6"/>
  <c r="Y121" i="6" s="1"/>
  <c r="P122" i="6"/>
  <c r="Y122" i="6" s="1"/>
  <c r="P123" i="6"/>
  <c r="Y123" i="6" s="1"/>
  <c r="P124" i="6"/>
  <c r="Y124" i="6" s="1"/>
  <c r="P125" i="6"/>
  <c r="Y125" i="6" s="1"/>
  <c r="P126" i="6"/>
  <c r="Y126" i="6" s="1"/>
  <c r="P127" i="6"/>
  <c r="Y127" i="6" s="1"/>
  <c r="P128" i="6"/>
  <c r="Y128" i="6" s="1"/>
  <c r="P129" i="6"/>
  <c r="Y129" i="6" s="1"/>
  <c r="P130" i="6"/>
  <c r="Y130" i="6" s="1"/>
  <c r="P131" i="6"/>
  <c r="Y131" i="6" s="1"/>
  <c r="P132" i="6"/>
  <c r="Y132" i="6" s="1"/>
  <c r="P133" i="6"/>
  <c r="Y133" i="6" s="1"/>
  <c r="P134" i="6"/>
  <c r="Y134" i="6" s="1"/>
  <c r="P135" i="6"/>
  <c r="Y135" i="6" s="1"/>
  <c r="P136" i="6"/>
  <c r="Y136" i="6" s="1"/>
  <c r="P137" i="6"/>
  <c r="Y137" i="6" s="1"/>
  <c r="P138" i="6"/>
  <c r="Y138" i="6" s="1"/>
  <c r="P139" i="6"/>
  <c r="Y139" i="6" s="1"/>
  <c r="P140" i="6"/>
  <c r="Y140" i="6" s="1"/>
  <c r="P141" i="6"/>
  <c r="Y141" i="6" s="1"/>
  <c r="P142" i="6"/>
  <c r="Y142" i="6" s="1"/>
  <c r="P143" i="6"/>
  <c r="Y143" i="6" s="1"/>
  <c r="P144" i="6"/>
  <c r="Y144" i="6" s="1"/>
  <c r="P145" i="6"/>
  <c r="Y145" i="6" s="1"/>
  <c r="P146" i="6"/>
  <c r="Y146" i="6" s="1"/>
  <c r="P147" i="6"/>
  <c r="Y147" i="6" s="1"/>
  <c r="P148" i="6"/>
  <c r="Y148" i="6" s="1"/>
  <c r="P149" i="6"/>
  <c r="Y149" i="6" s="1"/>
  <c r="P150" i="6"/>
  <c r="Y150" i="6" s="1"/>
  <c r="P151" i="6"/>
  <c r="Y151" i="6" s="1"/>
  <c r="P152" i="6"/>
  <c r="Y152" i="6" s="1"/>
  <c r="P153" i="6"/>
  <c r="Y153" i="6" s="1"/>
  <c r="P154" i="6"/>
  <c r="Y154" i="6" s="1"/>
  <c r="P155" i="6"/>
  <c r="Y155" i="6" s="1"/>
  <c r="P156" i="6"/>
  <c r="Y156" i="6" s="1"/>
  <c r="P157" i="6"/>
  <c r="Y157" i="6" s="1"/>
  <c r="P158" i="6"/>
  <c r="Y158" i="6" s="1"/>
  <c r="P159" i="6"/>
  <c r="Y159" i="6" s="1"/>
  <c r="P160" i="6"/>
  <c r="Y160" i="6" s="1"/>
  <c r="P161" i="6"/>
  <c r="Y161" i="6" s="1"/>
  <c r="P162" i="6"/>
  <c r="Y162" i="6" s="1"/>
  <c r="P163" i="6"/>
  <c r="Y163" i="6" s="1"/>
  <c r="P164" i="6"/>
  <c r="Y164" i="6" s="1"/>
  <c r="P165" i="6"/>
  <c r="Y165" i="6" s="1"/>
  <c r="P166" i="6"/>
  <c r="Y166" i="6" s="1"/>
  <c r="P167" i="6"/>
  <c r="Y167" i="6" s="1"/>
  <c r="P168" i="6"/>
  <c r="Y168" i="6" s="1"/>
  <c r="P169" i="6"/>
  <c r="Y169" i="6" s="1"/>
  <c r="P170" i="6"/>
  <c r="Y170" i="6" s="1"/>
  <c r="P171" i="6"/>
  <c r="Y171" i="6" s="1"/>
  <c r="P172" i="6"/>
  <c r="Y172" i="6" s="1"/>
  <c r="P173" i="6"/>
  <c r="Y173" i="6" s="1"/>
  <c r="P174" i="6"/>
  <c r="Y174" i="6" s="1"/>
  <c r="P175" i="6"/>
  <c r="Y175" i="6" s="1"/>
  <c r="P176" i="6"/>
  <c r="Y176" i="6" s="1"/>
  <c r="P177" i="6"/>
  <c r="Y177" i="6" s="1"/>
  <c r="P178" i="6"/>
  <c r="Y178" i="6" s="1"/>
  <c r="P179" i="6"/>
  <c r="Y179" i="6" s="1"/>
  <c r="P180" i="6"/>
  <c r="Y180" i="6" s="1"/>
  <c r="P181" i="6"/>
  <c r="Y181" i="6" s="1"/>
  <c r="P182" i="6"/>
  <c r="Y182" i="6" s="1"/>
  <c r="P183" i="6"/>
  <c r="Y183" i="6" s="1"/>
  <c r="P184" i="6"/>
  <c r="Y184" i="6" s="1"/>
  <c r="P185" i="6"/>
  <c r="Y185" i="6" s="1"/>
  <c r="P186" i="6"/>
  <c r="Y186" i="6" s="1"/>
  <c r="P187" i="6"/>
  <c r="Y187" i="6" s="1"/>
  <c r="P188" i="6"/>
  <c r="Y188" i="6" s="1"/>
  <c r="P189" i="6"/>
  <c r="Y189" i="6" s="1"/>
  <c r="P190" i="6"/>
  <c r="Y190" i="6" s="1"/>
  <c r="P191" i="6"/>
  <c r="Y191" i="6" s="1"/>
  <c r="P192" i="6"/>
  <c r="Y192" i="6" s="1"/>
  <c r="P193" i="6"/>
  <c r="Y193" i="6" s="1"/>
  <c r="P194" i="6"/>
  <c r="Y194" i="6" s="1"/>
  <c r="P195" i="6"/>
  <c r="Y195" i="6" s="1"/>
  <c r="P196" i="6"/>
  <c r="Y196" i="6" s="1"/>
  <c r="P197" i="6"/>
  <c r="Y197" i="6" s="1"/>
  <c r="P198" i="6"/>
  <c r="Y198" i="6" s="1"/>
  <c r="P199" i="6"/>
  <c r="Y199" i="6" s="1"/>
  <c r="P200" i="6"/>
  <c r="Y200" i="6" s="1"/>
  <c r="P201" i="6"/>
  <c r="Y201" i="6" s="1"/>
  <c r="P202" i="6"/>
  <c r="Y202" i="6" s="1"/>
  <c r="P203" i="6"/>
  <c r="Y203" i="6" s="1"/>
  <c r="P204" i="6"/>
  <c r="Y204" i="6" s="1"/>
  <c r="P205" i="6"/>
  <c r="Y205" i="6" s="1"/>
  <c r="P206" i="6"/>
  <c r="Y206" i="6" s="1"/>
  <c r="P207" i="6"/>
  <c r="Y207" i="6" s="1"/>
  <c r="P208" i="6"/>
  <c r="Y208" i="6" s="1"/>
  <c r="P209" i="6"/>
  <c r="Y209" i="6" s="1"/>
  <c r="P210" i="6"/>
  <c r="Y210" i="6" s="1"/>
  <c r="P211" i="6"/>
  <c r="Y211" i="6" s="1"/>
  <c r="P212" i="6"/>
  <c r="Y212" i="6" s="1"/>
  <c r="P213" i="6"/>
  <c r="Y213" i="6" s="1"/>
  <c r="P214" i="6"/>
  <c r="Y214" i="6" s="1"/>
  <c r="P215" i="6"/>
  <c r="Y215" i="6" s="1"/>
  <c r="P216" i="6"/>
  <c r="Y216" i="6" s="1"/>
  <c r="P217" i="6"/>
  <c r="Y217" i="6" s="1"/>
  <c r="P218" i="6"/>
  <c r="Y218" i="6" s="1"/>
  <c r="P219" i="6"/>
  <c r="Y219" i="6" s="1"/>
  <c r="P220" i="6"/>
  <c r="Y220" i="6" s="1"/>
  <c r="P221" i="6"/>
  <c r="Y221" i="6" s="1"/>
  <c r="P222" i="6"/>
  <c r="Y222" i="6" s="1"/>
  <c r="P223" i="6"/>
  <c r="Y223" i="6" s="1"/>
  <c r="P224" i="6"/>
  <c r="Y224" i="6" s="1"/>
  <c r="P225" i="6"/>
  <c r="Y225" i="6" s="1"/>
  <c r="P226" i="6"/>
  <c r="Y226" i="6" s="1"/>
  <c r="P227" i="6"/>
  <c r="Y227" i="6" s="1"/>
  <c r="P228" i="6"/>
  <c r="Y228" i="6" s="1"/>
  <c r="P229" i="6"/>
  <c r="Y229" i="6" s="1"/>
  <c r="P230" i="6"/>
  <c r="Y230" i="6" s="1"/>
  <c r="P231" i="6"/>
  <c r="Y231" i="6" s="1"/>
  <c r="P232" i="6"/>
  <c r="Y232" i="6" s="1"/>
  <c r="P233" i="6"/>
  <c r="Y233" i="6" s="1"/>
  <c r="P234" i="6"/>
  <c r="Y234" i="6" s="1"/>
  <c r="P235" i="6"/>
  <c r="Y235" i="6" s="1"/>
  <c r="P236" i="6"/>
  <c r="Y236" i="6" s="1"/>
  <c r="P237" i="6"/>
  <c r="Y237" i="6" s="1"/>
  <c r="P238" i="6"/>
  <c r="Y238" i="6" s="1"/>
  <c r="P239" i="6"/>
  <c r="Y239" i="6" s="1"/>
  <c r="P240" i="6"/>
  <c r="Y240" i="6" s="1"/>
  <c r="P241" i="6"/>
  <c r="Y241" i="6" s="1"/>
  <c r="P242" i="6"/>
  <c r="Y242" i="6" s="1"/>
  <c r="P243" i="6"/>
  <c r="Y243" i="6" s="1"/>
  <c r="P244" i="6"/>
  <c r="Y244" i="6" s="1"/>
  <c r="P245" i="6"/>
  <c r="Y245" i="6" s="1"/>
  <c r="P246" i="6"/>
  <c r="Y246" i="6" s="1"/>
  <c r="P247" i="6"/>
  <c r="Y247" i="6" s="1"/>
  <c r="P248" i="6"/>
  <c r="Y248" i="6" s="1"/>
  <c r="P249" i="6"/>
  <c r="Y249" i="6" s="1"/>
  <c r="P250" i="6"/>
  <c r="Y250" i="6" s="1"/>
  <c r="P251" i="6"/>
  <c r="Y251" i="6" s="1"/>
  <c r="P252" i="6"/>
  <c r="Y252" i="6" s="1"/>
  <c r="P253" i="6"/>
  <c r="Y253" i="6" s="1"/>
  <c r="P254" i="6"/>
  <c r="Y254" i="6" s="1"/>
  <c r="P255" i="6"/>
  <c r="Y255" i="6" s="1"/>
  <c r="P256" i="6"/>
  <c r="Y256" i="6" s="1"/>
  <c r="P257" i="6"/>
  <c r="Y257" i="6" s="1"/>
  <c r="P258" i="6"/>
  <c r="Y258" i="6" s="1"/>
  <c r="P259" i="6"/>
  <c r="Y259" i="6" s="1"/>
  <c r="P260" i="6"/>
  <c r="Y260" i="6" s="1"/>
  <c r="P261" i="6"/>
  <c r="Y261" i="6" s="1"/>
  <c r="P262" i="6"/>
  <c r="Y262" i="6" s="1"/>
  <c r="P263" i="6"/>
  <c r="Y263" i="6" s="1"/>
  <c r="P264" i="6"/>
  <c r="Y264" i="6" s="1"/>
  <c r="P265" i="6"/>
  <c r="Y265" i="6" s="1"/>
  <c r="P266" i="6"/>
  <c r="Y266" i="6" s="1"/>
  <c r="P267" i="6"/>
  <c r="Y267" i="6" s="1"/>
  <c r="P268" i="6"/>
  <c r="Y268" i="6" s="1"/>
  <c r="P269" i="6"/>
  <c r="Y269" i="6" s="1"/>
  <c r="P270" i="6"/>
  <c r="Y270" i="6" s="1"/>
  <c r="P271" i="6"/>
  <c r="Y271" i="6" s="1"/>
  <c r="P272" i="6"/>
  <c r="Y272" i="6" s="1"/>
  <c r="P273" i="6"/>
  <c r="Y273" i="6" s="1"/>
  <c r="P274" i="6"/>
  <c r="Y274" i="6" s="1"/>
  <c r="P275" i="6"/>
  <c r="Y275" i="6" s="1"/>
  <c r="P276" i="6"/>
  <c r="Y276" i="6" s="1"/>
  <c r="P277" i="6"/>
  <c r="Y277" i="6" s="1"/>
  <c r="P278" i="6"/>
  <c r="Y278" i="6" s="1"/>
  <c r="P279" i="6"/>
  <c r="Y279" i="6" s="1"/>
  <c r="P280" i="6"/>
  <c r="Y280" i="6" s="1"/>
  <c r="P281" i="6"/>
  <c r="Y281" i="6" s="1"/>
  <c r="P282" i="6"/>
  <c r="Y282" i="6" s="1"/>
  <c r="P283" i="6"/>
  <c r="Y283" i="6" s="1"/>
  <c r="P284" i="6"/>
  <c r="Y284" i="6" s="1"/>
  <c r="P285" i="6"/>
  <c r="Y285" i="6" s="1"/>
  <c r="P286" i="6"/>
  <c r="Y286" i="6" s="1"/>
  <c r="P287" i="6"/>
  <c r="Y287" i="6" s="1"/>
  <c r="P288" i="6"/>
  <c r="Y288" i="6" s="1"/>
  <c r="P289" i="6"/>
  <c r="Y289" i="6" s="1"/>
  <c r="P290" i="6"/>
  <c r="Y290" i="6" s="1"/>
  <c r="P291" i="6"/>
  <c r="Y291" i="6" s="1"/>
  <c r="P292" i="6"/>
  <c r="Y292" i="6" s="1"/>
  <c r="P293" i="6"/>
  <c r="Y293" i="6" s="1"/>
  <c r="P294" i="6"/>
  <c r="Y294" i="6" s="1"/>
  <c r="P295" i="6"/>
  <c r="Y295" i="6" s="1"/>
  <c r="P296" i="6"/>
  <c r="Y296" i="6" s="1"/>
  <c r="P297" i="6"/>
  <c r="Y297" i="6" s="1"/>
  <c r="P298" i="6"/>
  <c r="Y298" i="6" s="1"/>
  <c r="P299" i="6"/>
  <c r="Y299" i="6" s="1"/>
  <c r="P300" i="6"/>
  <c r="Y300" i="6" s="1"/>
  <c r="P301" i="6"/>
  <c r="Y301" i="6" s="1"/>
  <c r="P302" i="6"/>
  <c r="Y302" i="6" s="1"/>
  <c r="P303" i="6"/>
  <c r="Y303" i="6" s="1"/>
  <c r="P304" i="6"/>
  <c r="Y304" i="6" s="1"/>
  <c r="P305" i="6"/>
  <c r="Y305" i="6" s="1"/>
  <c r="P306" i="6"/>
  <c r="Y306" i="6" s="1"/>
  <c r="P307" i="6"/>
  <c r="Y307" i="6" s="1"/>
  <c r="P308" i="6"/>
  <c r="Y308" i="6" s="1"/>
  <c r="P309" i="6"/>
  <c r="Y309" i="6" s="1"/>
  <c r="P310" i="6"/>
  <c r="Y310" i="6" s="1"/>
  <c r="P311" i="6"/>
  <c r="Y311" i="6" s="1"/>
  <c r="P312" i="6"/>
  <c r="Y312" i="6" s="1"/>
  <c r="P313" i="6"/>
  <c r="Y313" i="6" s="1"/>
  <c r="P314" i="6"/>
  <c r="Y314" i="6" s="1"/>
  <c r="P315" i="6"/>
  <c r="Y315" i="6" s="1"/>
  <c r="P316" i="6"/>
  <c r="Y316" i="6" s="1"/>
  <c r="P317" i="6"/>
  <c r="Y317" i="6" s="1"/>
  <c r="P318" i="6"/>
  <c r="Y318" i="6" s="1"/>
  <c r="P319" i="6"/>
  <c r="Y319" i="6" s="1"/>
  <c r="P320" i="6"/>
  <c r="Y320" i="6" s="1"/>
  <c r="P321" i="6"/>
  <c r="Y321" i="6" s="1"/>
  <c r="P322" i="6"/>
  <c r="Y322" i="6" s="1"/>
  <c r="P323" i="6"/>
  <c r="Y323" i="6" s="1"/>
  <c r="P324" i="6"/>
  <c r="Y324" i="6" s="1"/>
  <c r="P325" i="6"/>
  <c r="Y325" i="6" s="1"/>
  <c r="P326" i="6"/>
  <c r="Y326" i="6" s="1"/>
  <c r="P327" i="6"/>
  <c r="Y327" i="6" s="1"/>
  <c r="P328" i="6"/>
  <c r="Y328" i="6" s="1"/>
  <c r="P329" i="6"/>
  <c r="Y329" i="6" s="1"/>
  <c r="P330" i="6"/>
  <c r="Y330" i="6" s="1"/>
  <c r="P331" i="6"/>
  <c r="Y331" i="6" s="1"/>
  <c r="P332" i="6"/>
  <c r="Y332" i="6" s="1"/>
  <c r="P333" i="6"/>
  <c r="Y333" i="6" s="1"/>
  <c r="P334" i="6"/>
  <c r="Y334" i="6" s="1"/>
  <c r="P335" i="6"/>
  <c r="Y335" i="6" s="1"/>
  <c r="P336" i="6"/>
  <c r="Y336" i="6" s="1"/>
  <c r="P337" i="6"/>
  <c r="Y337" i="6" s="1"/>
  <c r="P338" i="6"/>
  <c r="Y338" i="6" s="1"/>
  <c r="P339" i="6"/>
  <c r="Y339" i="6" s="1"/>
  <c r="P340" i="6"/>
  <c r="Y340" i="6" s="1"/>
  <c r="P341" i="6"/>
  <c r="Y341" i="6" s="1"/>
  <c r="P342" i="6"/>
  <c r="Y342" i="6" s="1"/>
  <c r="P343" i="6"/>
  <c r="Y343" i="6" s="1"/>
  <c r="P344" i="6"/>
  <c r="Y344" i="6" s="1"/>
  <c r="P345" i="6"/>
  <c r="Y345" i="6" s="1"/>
  <c r="P346" i="6"/>
  <c r="Y346" i="6" s="1"/>
  <c r="P347" i="6"/>
  <c r="Y347" i="6" s="1"/>
  <c r="P348" i="6"/>
  <c r="Y348" i="6" s="1"/>
  <c r="P349" i="6"/>
  <c r="Y349" i="6" s="1"/>
  <c r="P350" i="6"/>
  <c r="Y350" i="6" s="1"/>
  <c r="P351" i="6"/>
  <c r="Y351" i="6" s="1"/>
  <c r="P352" i="6"/>
  <c r="Y352" i="6" s="1"/>
  <c r="P353" i="6"/>
  <c r="Y353" i="6" s="1"/>
  <c r="P354" i="6"/>
  <c r="Y354" i="6" s="1"/>
  <c r="P355" i="6"/>
  <c r="Y355" i="6" s="1"/>
  <c r="P356" i="6"/>
  <c r="Y356" i="6" s="1"/>
  <c r="P357" i="6"/>
  <c r="Y357" i="6" s="1"/>
  <c r="P358" i="6"/>
  <c r="Y358" i="6" s="1"/>
  <c r="P359" i="6"/>
  <c r="Y359" i="6" s="1"/>
  <c r="P360" i="6"/>
  <c r="Y360" i="6" s="1"/>
  <c r="P361" i="6"/>
  <c r="Y361" i="6" s="1"/>
  <c r="P362" i="6"/>
  <c r="Y362" i="6" s="1"/>
  <c r="P363" i="6"/>
  <c r="Y363" i="6" s="1"/>
  <c r="P364" i="6"/>
  <c r="Y364" i="6" s="1"/>
  <c r="P365" i="6"/>
  <c r="Y365" i="6" s="1"/>
  <c r="P366" i="6"/>
  <c r="Y366" i="6" s="1"/>
  <c r="P367" i="6"/>
  <c r="Y367" i="6" s="1"/>
  <c r="P368" i="6"/>
  <c r="Y368" i="6" s="1"/>
  <c r="P369" i="6"/>
  <c r="Y369" i="6" s="1"/>
  <c r="P370" i="6"/>
  <c r="Y370" i="6" s="1"/>
  <c r="P371" i="6"/>
  <c r="Y371" i="6" s="1"/>
  <c r="P372" i="6"/>
  <c r="Y372" i="6" s="1"/>
  <c r="P373" i="6"/>
  <c r="Y373" i="6" s="1"/>
  <c r="P374" i="6"/>
  <c r="Y374" i="6" s="1"/>
  <c r="P375" i="6"/>
  <c r="Y375" i="6" s="1"/>
  <c r="P376" i="6"/>
  <c r="Y376" i="6" s="1"/>
  <c r="P377" i="6"/>
  <c r="Y377" i="6" s="1"/>
  <c r="P378" i="6"/>
  <c r="Y378" i="6" s="1"/>
  <c r="P379" i="6"/>
  <c r="Y379" i="6" s="1"/>
  <c r="P380" i="6"/>
  <c r="Y380" i="6" s="1"/>
  <c r="P381" i="6"/>
  <c r="Y381" i="6" s="1"/>
  <c r="P382" i="6"/>
  <c r="Y382" i="6" s="1"/>
  <c r="P383" i="6"/>
  <c r="Y383" i="6" s="1"/>
  <c r="P384" i="6"/>
  <c r="Y384" i="6" s="1"/>
  <c r="P385" i="6"/>
  <c r="Y385" i="6" s="1"/>
  <c r="P386" i="6"/>
  <c r="Y386" i="6" s="1"/>
  <c r="P387" i="6"/>
  <c r="Y387" i="6" s="1"/>
  <c r="P388" i="6"/>
  <c r="Y388" i="6" s="1"/>
  <c r="P389" i="6"/>
  <c r="Y389" i="6" s="1"/>
  <c r="P390" i="6"/>
  <c r="Y390" i="6" s="1"/>
  <c r="P391" i="6"/>
  <c r="Y391" i="6" s="1"/>
  <c r="P392" i="6"/>
  <c r="Y392" i="6" s="1"/>
  <c r="P393" i="6"/>
  <c r="Y393" i="6" s="1"/>
  <c r="P394" i="6"/>
  <c r="Y394" i="6" s="1"/>
  <c r="P395" i="6"/>
  <c r="Y395" i="6" s="1"/>
  <c r="P396" i="6"/>
  <c r="Y396" i="6" s="1"/>
  <c r="P397" i="6"/>
  <c r="Y397" i="6" s="1"/>
  <c r="P398" i="6"/>
  <c r="Y398" i="6" s="1"/>
  <c r="P399" i="6"/>
  <c r="Y399" i="6" s="1"/>
  <c r="P400" i="6"/>
  <c r="Y400" i="6" s="1"/>
  <c r="P401" i="6"/>
  <c r="Y401" i="6" s="1"/>
  <c r="P402" i="6"/>
  <c r="Y402" i="6" s="1"/>
  <c r="P403" i="6"/>
  <c r="Y403" i="6" s="1"/>
  <c r="P404" i="6"/>
  <c r="Y404" i="6" s="1"/>
  <c r="P405" i="6"/>
  <c r="Y405" i="6" s="1"/>
  <c r="P406" i="6"/>
  <c r="Y406" i="6" s="1"/>
  <c r="P407" i="6"/>
  <c r="Y407" i="6" s="1"/>
  <c r="P408" i="6"/>
  <c r="Y408" i="6" s="1"/>
  <c r="P409" i="6"/>
  <c r="Y409" i="6" s="1"/>
  <c r="P410" i="6"/>
  <c r="Y410" i="6" s="1"/>
  <c r="P411" i="6"/>
  <c r="Y411" i="6" s="1"/>
  <c r="P412" i="6"/>
  <c r="Y412" i="6" s="1"/>
  <c r="P413" i="6"/>
  <c r="Y413" i="6" s="1"/>
  <c r="P414" i="6"/>
  <c r="Y414" i="6" s="1"/>
  <c r="P415" i="6"/>
  <c r="Y415" i="6" s="1"/>
  <c r="P416" i="6"/>
  <c r="Y416" i="6" s="1"/>
  <c r="P417" i="6"/>
  <c r="Y417" i="6" s="1"/>
  <c r="P418" i="6"/>
  <c r="Y418" i="6" s="1"/>
  <c r="P419" i="6"/>
  <c r="Y419" i="6" s="1"/>
  <c r="P420" i="6"/>
  <c r="Y420" i="6" s="1"/>
  <c r="P421" i="6"/>
  <c r="Y421" i="6" s="1"/>
  <c r="P422" i="6"/>
  <c r="Y422" i="6" s="1"/>
  <c r="P423" i="6"/>
  <c r="Y423" i="6" s="1"/>
  <c r="P424" i="6"/>
  <c r="Y424" i="6" s="1"/>
  <c r="P425" i="6"/>
  <c r="Y425" i="6" s="1"/>
  <c r="P426" i="6"/>
  <c r="Y426" i="6" s="1"/>
  <c r="P427" i="6"/>
  <c r="Y427" i="6" s="1"/>
  <c r="P428" i="6"/>
  <c r="Y428" i="6" s="1"/>
  <c r="P429" i="6"/>
  <c r="Y429" i="6" s="1"/>
  <c r="P430" i="6"/>
  <c r="Y430" i="6" s="1"/>
  <c r="P431" i="6"/>
  <c r="Y431" i="6" s="1"/>
  <c r="P432" i="6"/>
  <c r="Y432" i="6" s="1"/>
  <c r="P433" i="6"/>
  <c r="Y433" i="6" s="1"/>
  <c r="P434" i="6"/>
  <c r="Y434" i="6" s="1"/>
  <c r="P435" i="6"/>
  <c r="Y435" i="6" s="1"/>
  <c r="P436" i="6"/>
  <c r="Y436" i="6" s="1"/>
  <c r="P437" i="6"/>
  <c r="Y437" i="6" s="1"/>
  <c r="P438" i="6"/>
  <c r="Y438" i="6" s="1"/>
  <c r="P439" i="6"/>
  <c r="Y439" i="6" s="1"/>
  <c r="P440" i="6"/>
  <c r="Y440" i="6" s="1"/>
  <c r="P441" i="6"/>
  <c r="Y441" i="6" s="1"/>
  <c r="P442" i="6"/>
  <c r="Y442" i="6" s="1"/>
  <c r="P443" i="6"/>
  <c r="Y443" i="6" s="1"/>
  <c r="P444" i="6"/>
  <c r="Y444" i="6" s="1"/>
  <c r="P445" i="6"/>
  <c r="Y445" i="6" s="1"/>
  <c r="P446" i="6"/>
  <c r="Y446" i="6" s="1"/>
  <c r="P447" i="6"/>
  <c r="Y447" i="6" s="1"/>
  <c r="P448" i="6"/>
  <c r="Y448" i="6" s="1"/>
  <c r="P449" i="6"/>
  <c r="Y449" i="6" s="1"/>
  <c r="P450" i="6"/>
  <c r="Y450" i="6" s="1"/>
  <c r="P451" i="6"/>
  <c r="Y451" i="6" s="1"/>
  <c r="P452" i="6"/>
  <c r="Y452" i="6" s="1"/>
  <c r="P453" i="6"/>
  <c r="Y453" i="6" s="1"/>
  <c r="P454" i="6"/>
  <c r="Y454" i="6" s="1"/>
  <c r="P455" i="6"/>
  <c r="Y455" i="6" s="1"/>
  <c r="P456" i="6"/>
  <c r="Y456" i="6" s="1"/>
  <c r="P457" i="6"/>
  <c r="Y457" i="6" s="1"/>
  <c r="P458" i="6"/>
  <c r="Y458" i="6" s="1"/>
  <c r="P459" i="6"/>
  <c r="Y459" i="6" s="1"/>
  <c r="P460" i="6"/>
  <c r="Y460" i="6" s="1"/>
  <c r="P461" i="6"/>
  <c r="Y461" i="6" s="1"/>
  <c r="P462" i="6"/>
  <c r="Y462" i="6" s="1"/>
  <c r="P463" i="6"/>
  <c r="Y463" i="6" s="1"/>
  <c r="P464" i="6"/>
  <c r="Y464" i="6" s="1"/>
  <c r="P465" i="6"/>
  <c r="Y465" i="6" s="1"/>
  <c r="P466" i="6"/>
  <c r="Y466" i="6" s="1"/>
  <c r="P467" i="6"/>
  <c r="Y467" i="6" s="1"/>
  <c r="P468" i="6"/>
  <c r="Y468" i="6" s="1"/>
  <c r="P469" i="6"/>
  <c r="Y469" i="6" s="1"/>
  <c r="P470" i="6"/>
  <c r="Y470" i="6" s="1"/>
  <c r="P471" i="6"/>
  <c r="Y471" i="6" s="1"/>
  <c r="P472" i="6"/>
  <c r="Y472" i="6" s="1"/>
  <c r="P473" i="6"/>
  <c r="Y473" i="6" s="1"/>
  <c r="P474" i="6"/>
  <c r="Y474" i="6" s="1"/>
  <c r="P475" i="6"/>
  <c r="Y475" i="6" s="1"/>
  <c r="P476" i="6"/>
  <c r="Y476" i="6" s="1"/>
  <c r="P477" i="6"/>
  <c r="Y477" i="6" s="1"/>
  <c r="P478" i="6"/>
  <c r="Y478" i="6" s="1"/>
  <c r="P479" i="6"/>
  <c r="Y479" i="6" s="1"/>
  <c r="P480" i="6"/>
  <c r="Y480" i="6" s="1"/>
  <c r="P481" i="6"/>
  <c r="Y481" i="6" s="1"/>
  <c r="P482" i="6"/>
  <c r="Y482" i="6" s="1"/>
  <c r="P483" i="6"/>
  <c r="Y483" i="6" s="1"/>
  <c r="P484" i="6"/>
  <c r="Y484" i="6" s="1"/>
  <c r="P485" i="6"/>
  <c r="Y485" i="6" s="1"/>
  <c r="P486" i="6"/>
  <c r="Y486" i="6" s="1"/>
  <c r="P487" i="6"/>
  <c r="Y487" i="6" s="1"/>
  <c r="P488" i="6"/>
  <c r="Y488" i="6" s="1"/>
  <c r="P489" i="6"/>
  <c r="Y489" i="6" s="1"/>
  <c r="P490" i="6"/>
  <c r="Y490" i="6" s="1"/>
  <c r="P491" i="6"/>
  <c r="Y491" i="6" s="1"/>
  <c r="P492" i="6"/>
  <c r="Y492" i="6" s="1"/>
  <c r="P493" i="6"/>
  <c r="Y493" i="6" s="1"/>
  <c r="P494" i="6"/>
  <c r="Y494" i="6" s="1"/>
  <c r="P495" i="6"/>
  <c r="Y495" i="6" s="1"/>
  <c r="P496" i="6"/>
  <c r="Y496" i="6" s="1"/>
  <c r="P497" i="6"/>
  <c r="Y497" i="6" s="1"/>
  <c r="P498" i="6"/>
  <c r="Y498" i="6" s="1"/>
  <c r="P499" i="6"/>
  <c r="Y499" i="6" s="1"/>
  <c r="P500" i="6"/>
  <c r="Y500" i="6" s="1"/>
  <c r="P501" i="6"/>
  <c r="Y501" i="6" s="1"/>
  <c r="P502" i="6"/>
  <c r="Y502" i="6" s="1"/>
  <c r="P503" i="6"/>
  <c r="Y503" i="6" s="1"/>
  <c r="P504" i="6"/>
  <c r="Y504" i="6" s="1"/>
  <c r="P505" i="6"/>
  <c r="Y505" i="6" s="1"/>
  <c r="P506" i="6"/>
  <c r="Y506" i="6" s="1"/>
  <c r="P507" i="6"/>
  <c r="Y507" i="6" s="1"/>
  <c r="P508" i="6"/>
  <c r="Y508" i="6" s="1"/>
  <c r="P509" i="6"/>
  <c r="Y509" i="6" s="1"/>
  <c r="P510" i="6"/>
  <c r="Y510" i="6" s="1"/>
  <c r="P511" i="6"/>
  <c r="Y511" i="6" s="1"/>
  <c r="P512" i="6"/>
  <c r="Y512" i="6" s="1"/>
  <c r="P513" i="6"/>
  <c r="Y513" i="6" s="1"/>
  <c r="P514" i="6"/>
  <c r="Y514" i="6" s="1"/>
  <c r="P515" i="6"/>
  <c r="Y515" i="6" s="1"/>
  <c r="P516" i="6"/>
  <c r="Y516" i="6" s="1"/>
  <c r="P517" i="6"/>
  <c r="Y517" i="6" s="1"/>
  <c r="P518" i="6"/>
  <c r="Y518" i="6" s="1"/>
  <c r="P519" i="6"/>
  <c r="Y519" i="6" s="1"/>
  <c r="P520" i="6"/>
  <c r="Y520" i="6" s="1"/>
  <c r="P521" i="6"/>
  <c r="Y521" i="6" s="1"/>
  <c r="P522" i="6"/>
  <c r="Y522" i="6" s="1"/>
  <c r="P523" i="6"/>
  <c r="Y523" i="6" s="1"/>
  <c r="P524" i="6"/>
  <c r="Y524" i="6" s="1"/>
  <c r="P525" i="6"/>
  <c r="Y525" i="6" s="1"/>
  <c r="P526" i="6"/>
  <c r="Y526" i="6" s="1"/>
  <c r="P527" i="6"/>
  <c r="Y527" i="6" s="1"/>
  <c r="P528" i="6"/>
  <c r="Y528" i="6" s="1"/>
  <c r="P529" i="6"/>
  <c r="Y529" i="6" s="1"/>
  <c r="P530" i="6"/>
  <c r="Y530" i="6" s="1"/>
  <c r="P531" i="6"/>
  <c r="Y531" i="6" s="1"/>
  <c r="P532" i="6"/>
  <c r="Y532" i="6" s="1"/>
  <c r="P533" i="6"/>
  <c r="Y533" i="6" s="1"/>
  <c r="P534" i="6"/>
  <c r="Y534" i="6" s="1"/>
  <c r="P535" i="6"/>
  <c r="Y535" i="6" s="1"/>
  <c r="P536" i="6"/>
  <c r="Y536" i="6" s="1"/>
  <c r="P537" i="6"/>
  <c r="Y537" i="6" s="1"/>
  <c r="P538" i="6"/>
  <c r="Y538" i="6" s="1"/>
  <c r="P539" i="6"/>
  <c r="Y539" i="6" s="1"/>
  <c r="P540" i="6"/>
  <c r="Y540" i="6" s="1"/>
  <c r="P541" i="6"/>
  <c r="Y541" i="6" s="1"/>
  <c r="P542" i="6"/>
  <c r="Y542" i="6" s="1"/>
  <c r="P543" i="6"/>
  <c r="Y543" i="6" s="1"/>
  <c r="P544" i="6"/>
  <c r="Y544" i="6" s="1"/>
  <c r="P545" i="6"/>
  <c r="Y545" i="6" s="1"/>
  <c r="P546" i="6"/>
  <c r="Y546" i="6" s="1"/>
  <c r="P547" i="6"/>
  <c r="Y547" i="6" s="1"/>
  <c r="P548" i="6"/>
  <c r="Y548" i="6" s="1"/>
  <c r="P549" i="6"/>
  <c r="Y549" i="6" s="1"/>
  <c r="P550" i="6"/>
  <c r="Y550" i="6" s="1"/>
  <c r="P551" i="6"/>
  <c r="Y551" i="6" s="1"/>
  <c r="P552" i="6"/>
  <c r="Y552" i="6" s="1"/>
  <c r="P553" i="6"/>
  <c r="Y553" i="6" s="1"/>
  <c r="P554" i="6"/>
  <c r="Y554" i="6" s="1"/>
  <c r="P555" i="6"/>
  <c r="Y555" i="6" s="1"/>
  <c r="P556" i="6"/>
  <c r="Y556" i="6" s="1"/>
  <c r="P557" i="6"/>
  <c r="Y557" i="6" s="1"/>
  <c r="P558" i="6"/>
  <c r="Y558" i="6" s="1"/>
  <c r="P559" i="6"/>
  <c r="Y559" i="6" s="1"/>
  <c r="P560" i="6"/>
  <c r="Y560" i="6" s="1"/>
  <c r="P561" i="6"/>
  <c r="Y561" i="6" s="1"/>
  <c r="P562" i="6"/>
  <c r="Y562" i="6" s="1"/>
  <c r="P563" i="6"/>
  <c r="Y563" i="6" s="1"/>
  <c r="P564" i="6"/>
  <c r="Y564" i="6" s="1"/>
  <c r="P565" i="6"/>
  <c r="Y565" i="6" s="1"/>
  <c r="P566" i="6"/>
  <c r="Y566" i="6" s="1"/>
  <c r="P567" i="6"/>
  <c r="Y567" i="6" s="1"/>
  <c r="P568" i="6"/>
  <c r="Y568" i="6" s="1"/>
  <c r="P569" i="6"/>
  <c r="Y569" i="6" s="1"/>
  <c r="P570" i="6"/>
  <c r="Y570" i="6" s="1"/>
  <c r="P571" i="6"/>
  <c r="Y571" i="6" s="1"/>
  <c r="P572" i="6"/>
  <c r="Y572" i="6" s="1"/>
  <c r="P573" i="6"/>
  <c r="Y573" i="6" s="1"/>
  <c r="P574" i="6"/>
  <c r="Y574" i="6" s="1"/>
  <c r="P575" i="6"/>
  <c r="Y575" i="6" s="1"/>
  <c r="P576" i="6"/>
  <c r="Y576" i="6" s="1"/>
  <c r="P577" i="6"/>
  <c r="Y577" i="6" s="1"/>
  <c r="P578" i="6"/>
  <c r="Y578" i="6" s="1"/>
  <c r="P579" i="6"/>
  <c r="Y579" i="6" s="1"/>
  <c r="P580" i="6"/>
  <c r="Y580" i="6" s="1"/>
  <c r="P581" i="6"/>
  <c r="Y581" i="6" s="1"/>
  <c r="P582" i="6"/>
  <c r="Y582" i="6" s="1"/>
  <c r="P583" i="6"/>
  <c r="Y583" i="6" s="1"/>
  <c r="P584" i="6"/>
  <c r="Y584" i="6" s="1"/>
  <c r="P585" i="6"/>
  <c r="Y585" i="6" s="1"/>
  <c r="P586" i="6"/>
  <c r="Y586" i="6" s="1"/>
  <c r="P587" i="6"/>
  <c r="Y587" i="6" s="1"/>
  <c r="P588" i="6"/>
  <c r="Y588" i="6" s="1"/>
  <c r="P589" i="6"/>
  <c r="Y589" i="6" s="1"/>
  <c r="P590" i="6"/>
  <c r="Y590" i="6" s="1"/>
  <c r="P591" i="6"/>
  <c r="Y591" i="6" s="1"/>
  <c r="P592" i="6"/>
  <c r="Y592" i="6" s="1"/>
  <c r="P593" i="6"/>
  <c r="Y593" i="6" s="1"/>
  <c r="P594" i="6"/>
  <c r="Y594" i="6" s="1"/>
  <c r="P595" i="6"/>
  <c r="Y595" i="6" s="1"/>
  <c r="P596" i="6"/>
  <c r="Y596" i="6" s="1"/>
  <c r="P597" i="6"/>
  <c r="Y597" i="6" s="1"/>
  <c r="P598" i="6"/>
  <c r="Y598" i="6" s="1"/>
  <c r="P599" i="6"/>
  <c r="Y599" i="6" s="1"/>
  <c r="P600" i="6"/>
  <c r="Y600" i="6" s="1"/>
  <c r="P601" i="6"/>
  <c r="Y601" i="6" s="1"/>
  <c r="P602" i="6"/>
  <c r="Y602" i="6" s="1"/>
  <c r="P603" i="6"/>
  <c r="Y603" i="6" s="1"/>
  <c r="P604" i="6"/>
  <c r="Y604" i="6" s="1"/>
  <c r="P605" i="6"/>
  <c r="Y605" i="6" s="1"/>
  <c r="P606" i="6"/>
  <c r="Y606" i="6" s="1"/>
  <c r="P607" i="6"/>
  <c r="Y607" i="6" s="1"/>
  <c r="P608" i="6"/>
  <c r="Y608" i="6" s="1"/>
  <c r="P609" i="6"/>
  <c r="Y609" i="6" s="1"/>
  <c r="P610" i="6"/>
  <c r="Y610" i="6" s="1"/>
  <c r="P611" i="6"/>
  <c r="Y611" i="6" s="1"/>
  <c r="P612" i="6"/>
  <c r="Y612" i="6" s="1"/>
  <c r="P613" i="6"/>
  <c r="Y613" i="6" s="1"/>
  <c r="P614" i="6"/>
  <c r="Y614" i="6" s="1"/>
  <c r="P615" i="6"/>
  <c r="Y615" i="6" s="1"/>
  <c r="P616" i="6"/>
  <c r="Y616" i="6" s="1"/>
  <c r="P617" i="6"/>
  <c r="Y617" i="6" s="1"/>
  <c r="P618" i="6"/>
  <c r="Y618" i="6" s="1"/>
  <c r="P619" i="6"/>
  <c r="Y619" i="6" s="1"/>
  <c r="P620" i="6"/>
  <c r="Y620" i="6" s="1"/>
  <c r="P621" i="6"/>
  <c r="Y621" i="6" s="1"/>
  <c r="P622" i="6"/>
  <c r="Y622" i="6" s="1"/>
  <c r="P623" i="6"/>
  <c r="Y623" i="6" s="1"/>
  <c r="P624" i="6"/>
  <c r="Y624" i="6" s="1"/>
  <c r="P625" i="6"/>
  <c r="Y625" i="6" s="1"/>
  <c r="P626" i="6"/>
  <c r="Y626" i="6" s="1"/>
  <c r="P627" i="6"/>
  <c r="Y627" i="6" s="1"/>
  <c r="P628" i="6"/>
  <c r="Y628" i="6" s="1"/>
  <c r="P629" i="6"/>
  <c r="Y629" i="6" s="1"/>
  <c r="P630" i="6"/>
  <c r="Y630" i="6" s="1"/>
  <c r="P631" i="6"/>
  <c r="Y631" i="6" s="1"/>
  <c r="P632" i="6"/>
  <c r="Y632" i="6" s="1"/>
  <c r="P633" i="6"/>
  <c r="Y633" i="6" s="1"/>
  <c r="P634" i="6"/>
  <c r="Y634" i="6" s="1"/>
  <c r="P635" i="6"/>
  <c r="Y635" i="6" s="1"/>
  <c r="P636" i="6"/>
  <c r="Y636" i="6" s="1"/>
  <c r="P637" i="6"/>
  <c r="Y637" i="6" s="1"/>
  <c r="P638" i="6"/>
  <c r="Y638" i="6" s="1"/>
  <c r="P639" i="6"/>
  <c r="Y639" i="6" s="1"/>
  <c r="P640" i="6"/>
  <c r="Y640" i="6" s="1"/>
  <c r="P641" i="6"/>
  <c r="Y641" i="6" s="1"/>
  <c r="P642" i="6"/>
  <c r="Y642" i="6" s="1"/>
  <c r="P643" i="6"/>
  <c r="Y643" i="6" s="1"/>
  <c r="P644" i="6"/>
  <c r="Y644" i="6" s="1"/>
  <c r="P645" i="6"/>
  <c r="Y645" i="6" s="1"/>
  <c r="P646" i="6"/>
  <c r="Y646" i="6" s="1"/>
  <c r="P647" i="6"/>
  <c r="Y647" i="6" s="1"/>
  <c r="P648" i="6"/>
  <c r="Y648" i="6" s="1"/>
  <c r="P649" i="6"/>
  <c r="Y649" i="6" s="1"/>
  <c r="P650" i="6"/>
  <c r="Y650" i="6" s="1"/>
  <c r="P651" i="6"/>
  <c r="Y651" i="6" s="1"/>
  <c r="P652" i="6"/>
  <c r="Y652" i="6" s="1"/>
  <c r="P653" i="6"/>
  <c r="Y653" i="6" s="1"/>
  <c r="P654" i="6"/>
  <c r="Y654" i="6" s="1"/>
  <c r="P655" i="6"/>
  <c r="Y655" i="6" s="1"/>
  <c r="P656" i="6"/>
  <c r="Y656" i="6" s="1"/>
  <c r="P657" i="6"/>
  <c r="Y657" i="6" s="1"/>
  <c r="P658" i="6"/>
  <c r="Y658" i="6" s="1"/>
  <c r="P659" i="6"/>
  <c r="Y659" i="6" s="1"/>
  <c r="P660" i="6"/>
  <c r="Y660" i="6" s="1"/>
  <c r="P661" i="6"/>
  <c r="Y661" i="6" s="1"/>
  <c r="P662" i="6"/>
  <c r="Y662" i="6" s="1"/>
  <c r="P663" i="6"/>
  <c r="Y663" i="6" s="1"/>
  <c r="P664" i="6"/>
  <c r="Y664" i="6" s="1"/>
  <c r="P665" i="6"/>
  <c r="Y665" i="6" s="1"/>
  <c r="P666" i="6"/>
  <c r="Y666" i="6" s="1"/>
  <c r="P667" i="6"/>
  <c r="Y667" i="6" s="1"/>
  <c r="P668" i="6"/>
  <c r="Y668" i="6" s="1"/>
  <c r="P669" i="6"/>
  <c r="Y669" i="6" s="1"/>
  <c r="P670" i="6"/>
  <c r="Y670" i="6" s="1"/>
  <c r="P671" i="6"/>
  <c r="Y671" i="6" s="1"/>
  <c r="P672" i="6"/>
  <c r="Y672" i="6" s="1"/>
  <c r="P673" i="6"/>
  <c r="Y673" i="6" s="1"/>
  <c r="P674" i="6"/>
  <c r="Y674" i="6" s="1"/>
  <c r="P675" i="6"/>
  <c r="Y675" i="6" s="1"/>
  <c r="P676" i="6"/>
  <c r="Y676" i="6" s="1"/>
  <c r="P677" i="6"/>
  <c r="Y677" i="6" s="1"/>
  <c r="P678" i="6"/>
  <c r="Y678" i="6" s="1"/>
  <c r="P679" i="6"/>
  <c r="Y679" i="6" s="1"/>
  <c r="P680" i="6"/>
  <c r="Y680" i="6" s="1"/>
  <c r="P681" i="6"/>
  <c r="Y681" i="6" s="1"/>
  <c r="P682" i="6"/>
  <c r="Y682" i="6" s="1"/>
  <c r="P683" i="6"/>
  <c r="Y683" i="6" s="1"/>
  <c r="P684" i="6"/>
  <c r="Y684" i="6" s="1"/>
  <c r="P685" i="6"/>
  <c r="Y685" i="6" s="1"/>
  <c r="P686" i="6"/>
  <c r="Y686" i="6" s="1"/>
  <c r="P687" i="6"/>
  <c r="Y687" i="6" s="1"/>
  <c r="P688" i="6"/>
  <c r="Y688" i="6" s="1"/>
  <c r="P689" i="6"/>
  <c r="Y689" i="6" s="1"/>
  <c r="P690" i="6"/>
  <c r="Y690" i="6" s="1"/>
  <c r="P691" i="6"/>
  <c r="Y691" i="6" s="1"/>
  <c r="P692" i="6"/>
  <c r="Y692" i="6" s="1"/>
  <c r="P693" i="6"/>
  <c r="Y693" i="6" s="1"/>
  <c r="P694" i="6"/>
  <c r="Y694" i="6" s="1"/>
  <c r="P695" i="6"/>
  <c r="Y695" i="6" s="1"/>
  <c r="P696" i="6"/>
  <c r="Y696" i="6" s="1"/>
  <c r="P697" i="6"/>
  <c r="Y697" i="6" s="1"/>
  <c r="P698" i="6"/>
  <c r="Y698" i="6" s="1"/>
  <c r="P699" i="6"/>
  <c r="Y699" i="6" s="1"/>
  <c r="P700" i="6"/>
  <c r="Y700" i="6" s="1"/>
  <c r="P701" i="6"/>
  <c r="Y701" i="6" s="1"/>
  <c r="P702" i="6"/>
  <c r="Y702" i="6" s="1"/>
  <c r="P703" i="6"/>
  <c r="Y703" i="6" s="1"/>
  <c r="P704" i="6"/>
  <c r="Y704" i="6" s="1"/>
  <c r="P705" i="6"/>
  <c r="Y705" i="6" s="1"/>
  <c r="P706" i="6"/>
  <c r="Y706" i="6" s="1"/>
  <c r="P707" i="6"/>
  <c r="Y707" i="6" s="1"/>
  <c r="P708" i="6"/>
  <c r="Y708" i="6" s="1"/>
  <c r="P709" i="6"/>
  <c r="Y709" i="6" s="1"/>
  <c r="P710" i="6"/>
  <c r="Y710" i="6" s="1"/>
  <c r="P711" i="6"/>
  <c r="Y711" i="6" s="1"/>
  <c r="P712" i="6"/>
  <c r="Y712" i="6" s="1"/>
  <c r="P713" i="6"/>
  <c r="Y713" i="6" s="1"/>
  <c r="P714" i="6"/>
  <c r="Y714" i="6" s="1"/>
  <c r="P715" i="6"/>
  <c r="Y715" i="6" s="1"/>
  <c r="P716" i="6"/>
  <c r="Y716" i="6" s="1"/>
  <c r="P717" i="6"/>
  <c r="Y717" i="6" s="1"/>
  <c r="P718" i="6"/>
  <c r="Y718" i="6" s="1"/>
  <c r="P719" i="6"/>
  <c r="Y719" i="6" s="1"/>
  <c r="P720" i="6"/>
  <c r="Y720" i="6" s="1"/>
  <c r="P721" i="6"/>
  <c r="Y721" i="6" s="1"/>
  <c r="P722" i="6"/>
  <c r="Y722" i="6" s="1"/>
  <c r="P723" i="6"/>
  <c r="Y723" i="6" s="1"/>
  <c r="P724" i="6"/>
  <c r="Y724" i="6" s="1"/>
  <c r="P725" i="6"/>
  <c r="Y725" i="6" s="1"/>
  <c r="P726" i="6"/>
  <c r="Y726" i="6" s="1"/>
  <c r="P727" i="6"/>
  <c r="Y727" i="6" s="1"/>
  <c r="O2" i="6"/>
  <c r="W2" i="6" s="1"/>
  <c r="O3" i="6"/>
  <c r="W3" i="6" s="1"/>
  <c r="O4" i="6"/>
  <c r="W4" i="6" s="1"/>
  <c r="O5" i="6"/>
  <c r="W5" i="6" s="1"/>
  <c r="O6" i="6"/>
  <c r="W6" i="6" s="1"/>
  <c r="O7" i="6"/>
  <c r="W7" i="6" s="1"/>
  <c r="O8" i="6"/>
  <c r="W8" i="6" s="1"/>
  <c r="O9" i="6"/>
  <c r="W9" i="6" s="1"/>
  <c r="O10" i="6"/>
  <c r="W10" i="6" s="1"/>
  <c r="O11" i="6"/>
  <c r="W11" i="6" s="1"/>
  <c r="O12" i="6"/>
  <c r="W12" i="6" s="1"/>
  <c r="O13" i="6"/>
  <c r="W13" i="6" s="1"/>
  <c r="O14" i="6"/>
  <c r="W14" i="6" s="1"/>
  <c r="O15" i="6"/>
  <c r="W15" i="6" s="1"/>
  <c r="O16" i="6"/>
  <c r="W16" i="6" s="1"/>
  <c r="O17" i="6"/>
  <c r="W17" i="6" s="1"/>
  <c r="O18" i="6"/>
  <c r="W18" i="6" s="1"/>
  <c r="O19" i="6"/>
  <c r="W19" i="6" s="1"/>
  <c r="O20" i="6"/>
  <c r="W20" i="6" s="1"/>
  <c r="O21" i="6"/>
  <c r="W21" i="6" s="1"/>
  <c r="O22" i="6"/>
  <c r="W22" i="6" s="1"/>
  <c r="O23" i="6"/>
  <c r="W23" i="6" s="1"/>
  <c r="O24" i="6"/>
  <c r="W24" i="6" s="1"/>
  <c r="O25" i="6"/>
  <c r="W25" i="6" s="1"/>
  <c r="O26" i="6"/>
  <c r="W26" i="6" s="1"/>
  <c r="O27" i="6"/>
  <c r="W27" i="6" s="1"/>
  <c r="O28" i="6"/>
  <c r="W28" i="6" s="1"/>
  <c r="O29" i="6"/>
  <c r="W29" i="6" s="1"/>
  <c r="O30" i="6"/>
  <c r="W30" i="6" s="1"/>
  <c r="O31" i="6"/>
  <c r="W31" i="6" s="1"/>
  <c r="O32" i="6"/>
  <c r="W32" i="6" s="1"/>
  <c r="O33" i="6"/>
  <c r="W33" i="6" s="1"/>
  <c r="O34" i="6"/>
  <c r="W34" i="6" s="1"/>
  <c r="O35" i="6"/>
  <c r="W35" i="6" s="1"/>
  <c r="O36" i="6"/>
  <c r="W36" i="6" s="1"/>
  <c r="O37" i="6"/>
  <c r="W37" i="6" s="1"/>
  <c r="O38" i="6"/>
  <c r="W38" i="6" s="1"/>
  <c r="O39" i="6"/>
  <c r="W39" i="6" s="1"/>
  <c r="O40" i="6"/>
  <c r="W40" i="6" s="1"/>
  <c r="O41" i="6"/>
  <c r="W41" i="6" s="1"/>
  <c r="O42" i="6"/>
  <c r="W42" i="6" s="1"/>
  <c r="O43" i="6"/>
  <c r="W43" i="6" s="1"/>
  <c r="O44" i="6"/>
  <c r="W44" i="6" s="1"/>
  <c r="O45" i="6"/>
  <c r="W45" i="6" s="1"/>
  <c r="O46" i="6"/>
  <c r="W46" i="6" s="1"/>
  <c r="O47" i="6"/>
  <c r="W47" i="6" s="1"/>
  <c r="O48" i="6"/>
  <c r="W48" i="6" s="1"/>
  <c r="O49" i="6"/>
  <c r="W49" i="6" s="1"/>
  <c r="O50" i="6"/>
  <c r="W50" i="6" s="1"/>
  <c r="O51" i="6"/>
  <c r="W51" i="6" s="1"/>
  <c r="O52" i="6"/>
  <c r="W52" i="6" s="1"/>
  <c r="O53" i="6"/>
  <c r="W53" i="6" s="1"/>
  <c r="O54" i="6"/>
  <c r="W54" i="6" s="1"/>
  <c r="O55" i="6"/>
  <c r="W55" i="6" s="1"/>
  <c r="O56" i="6"/>
  <c r="W56" i="6" s="1"/>
  <c r="O57" i="6"/>
  <c r="W57" i="6" s="1"/>
  <c r="O58" i="6"/>
  <c r="W58" i="6" s="1"/>
  <c r="O59" i="6"/>
  <c r="W59" i="6" s="1"/>
  <c r="O60" i="6"/>
  <c r="W60" i="6" s="1"/>
  <c r="O61" i="6"/>
  <c r="W61" i="6" s="1"/>
  <c r="O62" i="6"/>
  <c r="W62" i="6" s="1"/>
  <c r="O63" i="6"/>
  <c r="W63" i="6" s="1"/>
  <c r="O64" i="6"/>
  <c r="W64" i="6" s="1"/>
  <c r="O65" i="6"/>
  <c r="W65" i="6" s="1"/>
  <c r="O66" i="6"/>
  <c r="W66" i="6" s="1"/>
  <c r="O67" i="6"/>
  <c r="W67" i="6" s="1"/>
  <c r="O68" i="6"/>
  <c r="W68" i="6" s="1"/>
  <c r="O69" i="6"/>
  <c r="W69" i="6" s="1"/>
  <c r="O70" i="6"/>
  <c r="W70" i="6" s="1"/>
  <c r="O71" i="6"/>
  <c r="W71" i="6" s="1"/>
  <c r="O72" i="6"/>
  <c r="W72" i="6" s="1"/>
  <c r="O73" i="6"/>
  <c r="W73" i="6" s="1"/>
  <c r="O74" i="6"/>
  <c r="W74" i="6" s="1"/>
  <c r="O75" i="6"/>
  <c r="W75" i="6" s="1"/>
  <c r="O76" i="6"/>
  <c r="W76" i="6" s="1"/>
  <c r="O77" i="6"/>
  <c r="W77" i="6" s="1"/>
  <c r="O78" i="6"/>
  <c r="W78" i="6" s="1"/>
  <c r="O79" i="6"/>
  <c r="W79" i="6" s="1"/>
  <c r="O80" i="6"/>
  <c r="W80" i="6" s="1"/>
  <c r="O81" i="6"/>
  <c r="W81" i="6" s="1"/>
  <c r="O82" i="6"/>
  <c r="W82" i="6" s="1"/>
  <c r="O83" i="6"/>
  <c r="W83" i="6" s="1"/>
  <c r="O84" i="6"/>
  <c r="W84" i="6" s="1"/>
  <c r="O85" i="6"/>
  <c r="W85" i="6" s="1"/>
  <c r="O86" i="6"/>
  <c r="W86" i="6" s="1"/>
  <c r="O87" i="6"/>
  <c r="W87" i="6" s="1"/>
  <c r="O88" i="6"/>
  <c r="W88" i="6" s="1"/>
  <c r="O89" i="6"/>
  <c r="W89" i="6" s="1"/>
  <c r="O90" i="6"/>
  <c r="W90" i="6" s="1"/>
  <c r="O91" i="6"/>
  <c r="W91" i="6" s="1"/>
  <c r="O92" i="6"/>
  <c r="W92" i="6" s="1"/>
  <c r="O93" i="6"/>
  <c r="W93" i="6" s="1"/>
  <c r="O94" i="6"/>
  <c r="W94" i="6" s="1"/>
  <c r="O95" i="6"/>
  <c r="W95" i="6" s="1"/>
  <c r="O96" i="6"/>
  <c r="W96" i="6" s="1"/>
  <c r="O97" i="6"/>
  <c r="W97" i="6" s="1"/>
  <c r="O98" i="6"/>
  <c r="W98" i="6" s="1"/>
  <c r="O99" i="6"/>
  <c r="W99" i="6" s="1"/>
  <c r="O100" i="6"/>
  <c r="W100" i="6" s="1"/>
  <c r="O101" i="6"/>
  <c r="W101" i="6" s="1"/>
  <c r="O102" i="6"/>
  <c r="W102" i="6" s="1"/>
  <c r="O103" i="6"/>
  <c r="W103" i="6" s="1"/>
  <c r="O104" i="6"/>
  <c r="W104" i="6" s="1"/>
  <c r="O105" i="6"/>
  <c r="W105" i="6" s="1"/>
  <c r="O106" i="6"/>
  <c r="W106" i="6" s="1"/>
  <c r="O107" i="6"/>
  <c r="W107" i="6" s="1"/>
  <c r="O108" i="6"/>
  <c r="W108" i="6" s="1"/>
  <c r="O109" i="6"/>
  <c r="W109" i="6" s="1"/>
  <c r="O110" i="6"/>
  <c r="W110" i="6" s="1"/>
  <c r="O111" i="6"/>
  <c r="W111" i="6" s="1"/>
  <c r="O112" i="6"/>
  <c r="W112" i="6" s="1"/>
  <c r="O113" i="6"/>
  <c r="W113" i="6" s="1"/>
  <c r="O114" i="6"/>
  <c r="W114" i="6" s="1"/>
  <c r="O115" i="6"/>
  <c r="W115" i="6" s="1"/>
  <c r="O116" i="6"/>
  <c r="W116" i="6" s="1"/>
  <c r="O117" i="6"/>
  <c r="W117" i="6" s="1"/>
  <c r="O118" i="6"/>
  <c r="W118" i="6" s="1"/>
  <c r="O119" i="6"/>
  <c r="W119" i="6" s="1"/>
  <c r="O120" i="6"/>
  <c r="W120" i="6" s="1"/>
  <c r="O121" i="6"/>
  <c r="W121" i="6" s="1"/>
  <c r="O122" i="6"/>
  <c r="W122" i="6" s="1"/>
  <c r="O123" i="6"/>
  <c r="W123" i="6" s="1"/>
  <c r="O124" i="6"/>
  <c r="W124" i="6" s="1"/>
  <c r="O125" i="6"/>
  <c r="W125" i="6" s="1"/>
  <c r="O126" i="6"/>
  <c r="W126" i="6" s="1"/>
  <c r="O127" i="6"/>
  <c r="W127" i="6" s="1"/>
  <c r="O128" i="6"/>
  <c r="W128" i="6" s="1"/>
  <c r="O129" i="6"/>
  <c r="W129" i="6" s="1"/>
  <c r="O130" i="6"/>
  <c r="W130" i="6" s="1"/>
  <c r="O131" i="6"/>
  <c r="W131" i="6" s="1"/>
  <c r="O132" i="6"/>
  <c r="W132" i="6" s="1"/>
  <c r="O133" i="6"/>
  <c r="W133" i="6" s="1"/>
  <c r="O134" i="6"/>
  <c r="W134" i="6" s="1"/>
  <c r="O135" i="6"/>
  <c r="W135" i="6" s="1"/>
  <c r="O136" i="6"/>
  <c r="W136" i="6" s="1"/>
  <c r="O137" i="6"/>
  <c r="W137" i="6" s="1"/>
  <c r="O138" i="6"/>
  <c r="W138" i="6" s="1"/>
  <c r="O139" i="6"/>
  <c r="W139" i="6" s="1"/>
  <c r="O140" i="6"/>
  <c r="W140" i="6" s="1"/>
  <c r="O141" i="6"/>
  <c r="W141" i="6" s="1"/>
  <c r="O142" i="6"/>
  <c r="W142" i="6" s="1"/>
  <c r="O143" i="6"/>
  <c r="W143" i="6" s="1"/>
  <c r="O144" i="6"/>
  <c r="W144" i="6" s="1"/>
  <c r="O145" i="6"/>
  <c r="W145" i="6" s="1"/>
  <c r="O146" i="6"/>
  <c r="W146" i="6" s="1"/>
  <c r="O147" i="6"/>
  <c r="W147" i="6" s="1"/>
  <c r="O148" i="6"/>
  <c r="W148" i="6" s="1"/>
  <c r="O149" i="6"/>
  <c r="W149" i="6" s="1"/>
  <c r="O150" i="6"/>
  <c r="W150" i="6" s="1"/>
  <c r="O151" i="6"/>
  <c r="W151" i="6" s="1"/>
  <c r="O152" i="6"/>
  <c r="W152" i="6" s="1"/>
  <c r="O153" i="6"/>
  <c r="W153" i="6" s="1"/>
  <c r="O154" i="6"/>
  <c r="W154" i="6" s="1"/>
  <c r="O155" i="6"/>
  <c r="W155" i="6" s="1"/>
  <c r="O156" i="6"/>
  <c r="W156" i="6" s="1"/>
  <c r="O157" i="6"/>
  <c r="W157" i="6" s="1"/>
  <c r="O158" i="6"/>
  <c r="W158" i="6" s="1"/>
  <c r="O159" i="6"/>
  <c r="W159" i="6" s="1"/>
  <c r="O160" i="6"/>
  <c r="W160" i="6" s="1"/>
  <c r="O161" i="6"/>
  <c r="W161" i="6" s="1"/>
  <c r="O162" i="6"/>
  <c r="W162" i="6" s="1"/>
  <c r="O163" i="6"/>
  <c r="W163" i="6" s="1"/>
  <c r="O164" i="6"/>
  <c r="W164" i="6" s="1"/>
  <c r="O165" i="6"/>
  <c r="W165" i="6" s="1"/>
  <c r="O166" i="6"/>
  <c r="W166" i="6" s="1"/>
  <c r="O167" i="6"/>
  <c r="W167" i="6" s="1"/>
  <c r="O168" i="6"/>
  <c r="W168" i="6" s="1"/>
  <c r="O169" i="6"/>
  <c r="W169" i="6" s="1"/>
  <c r="O170" i="6"/>
  <c r="W170" i="6" s="1"/>
  <c r="O171" i="6"/>
  <c r="W171" i="6" s="1"/>
  <c r="O172" i="6"/>
  <c r="W172" i="6" s="1"/>
  <c r="O173" i="6"/>
  <c r="W173" i="6" s="1"/>
  <c r="O174" i="6"/>
  <c r="W174" i="6" s="1"/>
  <c r="O175" i="6"/>
  <c r="W175" i="6" s="1"/>
  <c r="O176" i="6"/>
  <c r="W176" i="6" s="1"/>
  <c r="O177" i="6"/>
  <c r="W177" i="6" s="1"/>
  <c r="O178" i="6"/>
  <c r="W178" i="6" s="1"/>
  <c r="O179" i="6"/>
  <c r="W179" i="6" s="1"/>
  <c r="O180" i="6"/>
  <c r="W180" i="6" s="1"/>
  <c r="O181" i="6"/>
  <c r="W181" i="6" s="1"/>
  <c r="O182" i="6"/>
  <c r="W182" i="6" s="1"/>
  <c r="O183" i="6"/>
  <c r="W183" i="6" s="1"/>
  <c r="O184" i="6"/>
  <c r="W184" i="6" s="1"/>
  <c r="O185" i="6"/>
  <c r="W185" i="6" s="1"/>
  <c r="O186" i="6"/>
  <c r="W186" i="6" s="1"/>
  <c r="O187" i="6"/>
  <c r="W187" i="6" s="1"/>
  <c r="O188" i="6"/>
  <c r="W188" i="6" s="1"/>
  <c r="O189" i="6"/>
  <c r="W189" i="6" s="1"/>
  <c r="O190" i="6"/>
  <c r="W190" i="6" s="1"/>
  <c r="O191" i="6"/>
  <c r="W191" i="6" s="1"/>
  <c r="O192" i="6"/>
  <c r="W192" i="6" s="1"/>
  <c r="O193" i="6"/>
  <c r="W193" i="6" s="1"/>
  <c r="O194" i="6"/>
  <c r="W194" i="6" s="1"/>
  <c r="O195" i="6"/>
  <c r="W195" i="6" s="1"/>
  <c r="O196" i="6"/>
  <c r="W196" i="6" s="1"/>
  <c r="O197" i="6"/>
  <c r="W197" i="6" s="1"/>
  <c r="O198" i="6"/>
  <c r="W198" i="6" s="1"/>
  <c r="O199" i="6"/>
  <c r="W199" i="6" s="1"/>
  <c r="O200" i="6"/>
  <c r="W200" i="6" s="1"/>
  <c r="O201" i="6"/>
  <c r="W201" i="6" s="1"/>
  <c r="O202" i="6"/>
  <c r="W202" i="6" s="1"/>
  <c r="O203" i="6"/>
  <c r="W203" i="6" s="1"/>
  <c r="O204" i="6"/>
  <c r="W204" i="6" s="1"/>
  <c r="O205" i="6"/>
  <c r="W205" i="6" s="1"/>
  <c r="O206" i="6"/>
  <c r="W206" i="6" s="1"/>
  <c r="O207" i="6"/>
  <c r="W207" i="6" s="1"/>
  <c r="O208" i="6"/>
  <c r="W208" i="6" s="1"/>
  <c r="O209" i="6"/>
  <c r="W209" i="6" s="1"/>
  <c r="O210" i="6"/>
  <c r="W210" i="6" s="1"/>
  <c r="O211" i="6"/>
  <c r="W211" i="6" s="1"/>
  <c r="O212" i="6"/>
  <c r="W212" i="6" s="1"/>
  <c r="O213" i="6"/>
  <c r="W213" i="6" s="1"/>
  <c r="O214" i="6"/>
  <c r="W214" i="6" s="1"/>
  <c r="O215" i="6"/>
  <c r="W215" i="6" s="1"/>
  <c r="O216" i="6"/>
  <c r="W216" i="6" s="1"/>
  <c r="O217" i="6"/>
  <c r="W217" i="6" s="1"/>
  <c r="O218" i="6"/>
  <c r="W218" i="6" s="1"/>
  <c r="O219" i="6"/>
  <c r="W219" i="6" s="1"/>
  <c r="O220" i="6"/>
  <c r="W220" i="6" s="1"/>
  <c r="O221" i="6"/>
  <c r="W221" i="6" s="1"/>
  <c r="O222" i="6"/>
  <c r="W222" i="6" s="1"/>
  <c r="O223" i="6"/>
  <c r="W223" i="6" s="1"/>
  <c r="O224" i="6"/>
  <c r="W224" i="6" s="1"/>
  <c r="O225" i="6"/>
  <c r="W225" i="6" s="1"/>
  <c r="O226" i="6"/>
  <c r="W226" i="6" s="1"/>
  <c r="O227" i="6"/>
  <c r="W227" i="6" s="1"/>
  <c r="O228" i="6"/>
  <c r="W228" i="6" s="1"/>
  <c r="O229" i="6"/>
  <c r="W229" i="6" s="1"/>
  <c r="O230" i="6"/>
  <c r="W230" i="6" s="1"/>
  <c r="O231" i="6"/>
  <c r="W231" i="6" s="1"/>
  <c r="O232" i="6"/>
  <c r="W232" i="6" s="1"/>
  <c r="O233" i="6"/>
  <c r="W233" i="6" s="1"/>
  <c r="O234" i="6"/>
  <c r="W234" i="6" s="1"/>
  <c r="O235" i="6"/>
  <c r="W235" i="6" s="1"/>
  <c r="O236" i="6"/>
  <c r="W236" i="6" s="1"/>
  <c r="O237" i="6"/>
  <c r="W237" i="6" s="1"/>
  <c r="O238" i="6"/>
  <c r="W238" i="6" s="1"/>
  <c r="O239" i="6"/>
  <c r="W239" i="6" s="1"/>
  <c r="O240" i="6"/>
  <c r="W240" i="6" s="1"/>
  <c r="O241" i="6"/>
  <c r="W241" i="6" s="1"/>
  <c r="O242" i="6"/>
  <c r="W242" i="6" s="1"/>
  <c r="O243" i="6"/>
  <c r="W243" i="6" s="1"/>
  <c r="O244" i="6"/>
  <c r="W244" i="6" s="1"/>
  <c r="O245" i="6"/>
  <c r="W245" i="6" s="1"/>
  <c r="O246" i="6"/>
  <c r="W246" i="6" s="1"/>
  <c r="O247" i="6"/>
  <c r="W247" i="6" s="1"/>
  <c r="O248" i="6"/>
  <c r="W248" i="6" s="1"/>
  <c r="O249" i="6"/>
  <c r="W249" i="6" s="1"/>
  <c r="O250" i="6"/>
  <c r="W250" i="6" s="1"/>
  <c r="O251" i="6"/>
  <c r="W251" i="6" s="1"/>
  <c r="O252" i="6"/>
  <c r="W252" i="6" s="1"/>
  <c r="O253" i="6"/>
  <c r="W253" i="6" s="1"/>
  <c r="O254" i="6"/>
  <c r="W254" i="6" s="1"/>
  <c r="O255" i="6"/>
  <c r="W255" i="6" s="1"/>
  <c r="O256" i="6"/>
  <c r="W256" i="6" s="1"/>
  <c r="O257" i="6"/>
  <c r="W257" i="6" s="1"/>
  <c r="O258" i="6"/>
  <c r="W258" i="6" s="1"/>
  <c r="O259" i="6"/>
  <c r="W259" i="6" s="1"/>
  <c r="O260" i="6"/>
  <c r="W260" i="6" s="1"/>
  <c r="O261" i="6"/>
  <c r="W261" i="6" s="1"/>
  <c r="O262" i="6"/>
  <c r="W262" i="6" s="1"/>
  <c r="O263" i="6"/>
  <c r="W263" i="6" s="1"/>
  <c r="O264" i="6"/>
  <c r="W264" i="6" s="1"/>
  <c r="O265" i="6"/>
  <c r="W265" i="6" s="1"/>
  <c r="O266" i="6"/>
  <c r="W266" i="6" s="1"/>
  <c r="O267" i="6"/>
  <c r="W267" i="6" s="1"/>
  <c r="O268" i="6"/>
  <c r="W268" i="6" s="1"/>
  <c r="O269" i="6"/>
  <c r="W269" i="6" s="1"/>
  <c r="O270" i="6"/>
  <c r="W270" i="6" s="1"/>
  <c r="O271" i="6"/>
  <c r="W271" i="6" s="1"/>
  <c r="O272" i="6"/>
  <c r="W272" i="6" s="1"/>
  <c r="O273" i="6"/>
  <c r="W273" i="6" s="1"/>
  <c r="O274" i="6"/>
  <c r="W274" i="6" s="1"/>
  <c r="O275" i="6"/>
  <c r="W275" i="6" s="1"/>
  <c r="O276" i="6"/>
  <c r="W276" i="6" s="1"/>
  <c r="O277" i="6"/>
  <c r="W277" i="6" s="1"/>
  <c r="O278" i="6"/>
  <c r="W278" i="6" s="1"/>
  <c r="O279" i="6"/>
  <c r="W279" i="6" s="1"/>
  <c r="O280" i="6"/>
  <c r="W280" i="6" s="1"/>
  <c r="O281" i="6"/>
  <c r="W281" i="6" s="1"/>
  <c r="O282" i="6"/>
  <c r="W282" i="6" s="1"/>
  <c r="O283" i="6"/>
  <c r="W283" i="6" s="1"/>
  <c r="O284" i="6"/>
  <c r="W284" i="6" s="1"/>
  <c r="O285" i="6"/>
  <c r="W285" i="6" s="1"/>
  <c r="O286" i="6"/>
  <c r="W286" i="6" s="1"/>
  <c r="O287" i="6"/>
  <c r="W287" i="6" s="1"/>
  <c r="O288" i="6"/>
  <c r="W288" i="6" s="1"/>
  <c r="O289" i="6"/>
  <c r="W289" i="6" s="1"/>
  <c r="O290" i="6"/>
  <c r="W290" i="6" s="1"/>
  <c r="O291" i="6"/>
  <c r="W291" i="6" s="1"/>
  <c r="O292" i="6"/>
  <c r="W292" i="6" s="1"/>
  <c r="O293" i="6"/>
  <c r="W293" i="6" s="1"/>
  <c r="O294" i="6"/>
  <c r="W294" i="6" s="1"/>
  <c r="O295" i="6"/>
  <c r="W295" i="6" s="1"/>
  <c r="O296" i="6"/>
  <c r="W296" i="6" s="1"/>
  <c r="O297" i="6"/>
  <c r="W297" i="6" s="1"/>
  <c r="O298" i="6"/>
  <c r="W298" i="6" s="1"/>
  <c r="O299" i="6"/>
  <c r="W299" i="6" s="1"/>
  <c r="O300" i="6"/>
  <c r="W300" i="6" s="1"/>
  <c r="O301" i="6"/>
  <c r="W301" i="6" s="1"/>
  <c r="O302" i="6"/>
  <c r="W302" i="6" s="1"/>
  <c r="O303" i="6"/>
  <c r="W303" i="6" s="1"/>
  <c r="O304" i="6"/>
  <c r="W304" i="6" s="1"/>
  <c r="O305" i="6"/>
  <c r="W305" i="6" s="1"/>
  <c r="O306" i="6"/>
  <c r="W306" i="6" s="1"/>
  <c r="O307" i="6"/>
  <c r="W307" i="6" s="1"/>
  <c r="O308" i="6"/>
  <c r="W308" i="6" s="1"/>
  <c r="O309" i="6"/>
  <c r="W309" i="6" s="1"/>
  <c r="O310" i="6"/>
  <c r="W310" i="6" s="1"/>
  <c r="O311" i="6"/>
  <c r="W311" i="6" s="1"/>
  <c r="O312" i="6"/>
  <c r="W312" i="6" s="1"/>
  <c r="O313" i="6"/>
  <c r="W313" i="6" s="1"/>
  <c r="O314" i="6"/>
  <c r="W314" i="6" s="1"/>
  <c r="O315" i="6"/>
  <c r="W315" i="6" s="1"/>
  <c r="O316" i="6"/>
  <c r="W316" i="6" s="1"/>
  <c r="O317" i="6"/>
  <c r="W317" i="6" s="1"/>
  <c r="O318" i="6"/>
  <c r="W318" i="6" s="1"/>
  <c r="O319" i="6"/>
  <c r="W319" i="6" s="1"/>
  <c r="O320" i="6"/>
  <c r="W320" i="6" s="1"/>
  <c r="O321" i="6"/>
  <c r="W321" i="6" s="1"/>
  <c r="O322" i="6"/>
  <c r="W322" i="6" s="1"/>
  <c r="O323" i="6"/>
  <c r="W323" i="6" s="1"/>
  <c r="O324" i="6"/>
  <c r="W324" i="6" s="1"/>
  <c r="O325" i="6"/>
  <c r="W325" i="6" s="1"/>
  <c r="O326" i="6"/>
  <c r="W326" i="6" s="1"/>
  <c r="O327" i="6"/>
  <c r="W327" i="6" s="1"/>
  <c r="O328" i="6"/>
  <c r="W328" i="6" s="1"/>
  <c r="O329" i="6"/>
  <c r="W329" i="6" s="1"/>
  <c r="O330" i="6"/>
  <c r="W330" i="6" s="1"/>
  <c r="O331" i="6"/>
  <c r="W331" i="6" s="1"/>
  <c r="O332" i="6"/>
  <c r="W332" i="6" s="1"/>
  <c r="O333" i="6"/>
  <c r="W333" i="6" s="1"/>
  <c r="O334" i="6"/>
  <c r="W334" i="6" s="1"/>
  <c r="O335" i="6"/>
  <c r="W335" i="6" s="1"/>
  <c r="O336" i="6"/>
  <c r="W336" i="6" s="1"/>
  <c r="O337" i="6"/>
  <c r="W337" i="6" s="1"/>
  <c r="O338" i="6"/>
  <c r="W338" i="6" s="1"/>
  <c r="O339" i="6"/>
  <c r="W339" i="6" s="1"/>
  <c r="O340" i="6"/>
  <c r="W340" i="6" s="1"/>
  <c r="O341" i="6"/>
  <c r="W341" i="6" s="1"/>
  <c r="O342" i="6"/>
  <c r="W342" i="6" s="1"/>
  <c r="O343" i="6"/>
  <c r="W343" i="6" s="1"/>
  <c r="O344" i="6"/>
  <c r="W344" i="6" s="1"/>
  <c r="O345" i="6"/>
  <c r="W345" i="6" s="1"/>
  <c r="O346" i="6"/>
  <c r="W346" i="6" s="1"/>
  <c r="O347" i="6"/>
  <c r="W347" i="6" s="1"/>
  <c r="O348" i="6"/>
  <c r="W348" i="6" s="1"/>
  <c r="O349" i="6"/>
  <c r="W349" i="6" s="1"/>
  <c r="O350" i="6"/>
  <c r="W350" i="6" s="1"/>
  <c r="O351" i="6"/>
  <c r="W351" i="6" s="1"/>
  <c r="O352" i="6"/>
  <c r="W352" i="6" s="1"/>
  <c r="O353" i="6"/>
  <c r="W353" i="6" s="1"/>
  <c r="O354" i="6"/>
  <c r="W354" i="6" s="1"/>
  <c r="O355" i="6"/>
  <c r="W355" i="6" s="1"/>
  <c r="O356" i="6"/>
  <c r="W356" i="6" s="1"/>
  <c r="O357" i="6"/>
  <c r="W357" i="6" s="1"/>
  <c r="O358" i="6"/>
  <c r="W358" i="6" s="1"/>
  <c r="O359" i="6"/>
  <c r="W359" i="6" s="1"/>
  <c r="O360" i="6"/>
  <c r="W360" i="6" s="1"/>
  <c r="O361" i="6"/>
  <c r="W361" i="6" s="1"/>
  <c r="O362" i="6"/>
  <c r="W362" i="6" s="1"/>
  <c r="O363" i="6"/>
  <c r="W363" i="6" s="1"/>
  <c r="O364" i="6"/>
  <c r="W364" i="6" s="1"/>
  <c r="O365" i="6"/>
  <c r="W365" i="6" s="1"/>
  <c r="O366" i="6"/>
  <c r="W366" i="6" s="1"/>
  <c r="O367" i="6"/>
  <c r="W367" i="6" s="1"/>
  <c r="O368" i="6"/>
  <c r="W368" i="6" s="1"/>
  <c r="O369" i="6"/>
  <c r="W369" i="6" s="1"/>
  <c r="O370" i="6"/>
  <c r="W370" i="6" s="1"/>
  <c r="O371" i="6"/>
  <c r="W371" i="6" s="1"/>
  <c r="O372" i="6"/>
  <c r="W372" i="6" s="1"/>
  <c r="O373" i="6"/>
  <c r="W373" i="6" s="1"/>
  <c r="O374" i="6"/>
  <c r="W374" i="6" s="1"/>
  <c r="O375" i="6"/>
  <c r="W375" i="6" s="1"/>
  <c r="O376" i="6"/>
  <c r="W376" i="6" s="1"/>
  <c r="O377" i="6"/>
  <c r="W377" i="6" s="1"/>
  <c r="O378" i="6"/>
  <c r="W378" i="6" s="1"/>
  <c r="O379" i="6"/>
  <c r="W379" i="6" s="1"/>
  <c r="O380" i="6"/>
  <c r="W380" i="6" s="1"/>
  <c r="O381" i="6"/>
  <c r="W381" i="6" s="1"/>
  <c r="O382" i="6"/>
  <c r="W382" i="6" s="1"/>
  <c r="O383" i="6"/>
  <c r="W383" i="6" s="1"/>
  <c r="O384" i="6"/>
  <c r="W384" i="6" s="1"/>
  <c r="O385" i="6"/>
  <c r="W385" i="6" s="1"/>
  <c r="O386" i="6"/>
  <c r="W386" i="6" s="1"/>
  <c r="O387" i="6"/>
  <c r="W387" i="6" s="1"/>
  <c r="O388" i="6"/>
  <c r="W388" i="6" s="1"/>
  <c r="O389" i="6"/>
  <c r="W389" i="6" s="1"/>
  <c r="O390" i="6"/>
  <c r="W390" i="6" s="1"/>
  <c r="O391" i="6"/>
  <c r="W391" i="6" s="1"/>
  <c r="O392" i="6"/>
  <c r="W392" i="6" s="1"/>
  <c r="O393" i="6"/>
  <c r="W393" i="6" s="1"/>
  <c r="O394" i="6"/>
  <c r="W394" i="6" s="1"/>
  <c r="O395" i="6"/>
  <c r="W395" i="6" s="1"/>
  <c r="O396" i="6"/>
  <c r="W396" i="6" s="1"/>
  <c r="O397" i="6"/>
  <c r="W397" i="6" s="1"/>
  <c r="O398" i="6"/>
  <c r="W398" i="6" s="1"/>
  <c r="O399" i="6"/>
  <c r="W399" i="6" s="1"/>
  <c r="O400" i="6"/>
  <c r="W400" i="6" s="1"/>
  <c r="O401" i="6"/>
  <c r="W401" i="6" s="1"/>
  <c r="O402" i="6"/>
  <c r="W402" i="6" s="1"/>
  <c r="O403" i="6"/>
  <c r="W403" i="6" s="1"/>
  <c r="O404" i="6"/>
  <c r="W404" i="6" s="1"/>
  <c r="O405" i="6"/>
  <c r="W405" i="6" s="1"/>
  <c r="O406" i="6"/>
  <c r="W406" i="6" s="1"/>
  <c r="O407" i="6"/>
  <c r="W407" i="6" s="1"/>
  <c r="O408" i="6"/>
  <c r="W408" i="6" s="1"/>
  <c r="O409" i="6"/>
  <c r="W409" i="6" s="1"/>
  <c r="O410" i="6"/>
  <c r="W410" i="6" s="1"/>
  <c r="O411" i="6"/>
  <c r="W411" i="6" s="1"/>
  <c r="O412" i="6"/>
  <c r="W412" i="6" s="1"/>
  <c r="O413" i="6"/>
  <c r="W413" i="6" s="1"/>
  <c r="O414" i="6"/>
  <c r="W414" i="6" s="1"/>
  <c r="O415" i="6"/>
  <c r="W415" i="6" s="1"/>
  <c r="O416" i="6"/>
  <c r="W416" i="6" s="1"/>
  <c r="O417" i="6"/>
  <c r="W417" i="6" s="1"/>
  <c r="O418" i="6"/>
  <c r="W418" i="6" s="1"/>
  <c r="O419" i="6"/>
  <c r="W419" i="6" s="1"/>
  <c r="O420" i="6"/>
  <c r="W420" i="6" s="1"/>
  <c r="O421" i="6"/>
  <c r="W421" i="6" s="1"/>
  <c r="O422" i="6"/>
  <c r="W422" i="6" s="1"/>
  <c r="O423" i="6"/>
  <c r="W423" i="6" s="1"/>
  <c r="O424" i="6"/>
  <c r="W424" i="6" s="1"/>
  <c r="O425" i="6"/>
  <c r="W425" i="6" s="1"/>
  <c r="O426" i="6"/>
  <c r="W426" i="6" s="1"/>
  <c r="O427" i="6"/>
  <c r="W427" i="6" s="1"/>
  <c r="O428" i="6"/>
  <c r="W428" i="6" s="1"/>
  <c r="O429" i="6"/>
  <c r="W429" i="6" s="1"/>
  <c r="O430" i="6"/>
  <c r="W430" i="6" s="1"/>
  <c r="O431" i="6"/>
  <c r="W431" i="6" s="1"/>
  <c r="O432" i="6"/>
  <c r="W432" i="6" s="1"/>
  <c r="O433" i="6"/>
  <c r="W433" i="6" s="1"/>
  <c r="O434" i="6"/>
  <c r="W434" i="6" s="1"/>
  <c r="O435" i="6"/>
  <c r="W435" i="6" s="1"/>
  <c r="O436" i="6"/>
  <c r="W436" i="6" s="1"/>
  <c r="O437" i="6"/>
  <c r="W437" i="6" s="1"/>
  <c r="O438" i="6"/>
  <c r="W438" i="6" s="1"/>
  <c r="O439" i="6"/>
  <c r="W439" i="6" s="1"/>
  <c r="O440" i="6"/>
  <c r="W440" i="6" s="1"/>
  <c r="O441" i="6"/>
  <c r="W441" i="6" s="1"/>
  <c r="O442" i="6"/>
  <c r="W442" i="6" s="1"/>
  <c r="O443" i="6"/>
  <c r="W443" i="6" s="1"/>
  <c r="O444" i="6"/>
  <c r="W444" i="6" s="1"/>
  <c r="O445" i="6"/>
  <c r="W445" i="6" s="1"/>
  <c r="O446" i="6"/>
  <c r="W446" i="6" s="1"/>
  <c r="O447" i="6"/>
  <c r="W447" i="6" s="1"/>
  <c r="O448" i="6"/>
  <c r="W448" i="6" s="1"/>
  <c r="O449" i="6"/>
  <c r="W449" i="6" s="1"/>
  <c r="O450" i="6"/>
  <c r="W450" i="6" s="1"/>
  <c r="O451" i="6"/>
  <c r="W451" i="6" s="1"/>
  <c r="O452" i="6"/>
  <c r="W452" i="6" s="1"/>
  <c r="O453" i="6"/>
  <c r="W453" i="6" s="1"/>
  <c r="O454" i="6"/>
  <c r="W454" i="6" s="1"/>
  <c r="O455" i="6"/>
  <c r="W455" i="6" s="1"/>
  <c r="O456" i="6"/>
  <c r="W456" i="6" s="1"/>
  <c r="O457" i="6"/>
  <c r="W457" i="6" s="1"/>
  <c r="O458" i="6"/>
  <c r="W458" i="6" s="1"/>
  <c r="O459" i="6"/>
  <c r="W459" i="6" s="1"/>
  <c r="O460" i="6"/>
  <c r="W460" i="6" s="1"/>
  <c r="O461" i="6"/>
  <c r="W461" i="6" s="1"/>
  <c r="O462" i="6"/>
  <c r="W462" i="6" s="1"/>
  <c r="O463" i="6"/>
  <c r="W463" i="6" s="1"/>
  <c r="O464" i="6"/>
  <c r="W464" i="6" s="1"/>
  <c r="O465" i="6"/>
  <c r="W465" i="6" s="1"/>
  <c r="O466" i="6"/>
  <c r="W466" i="6" s="1"/>
  <c r="O467" i="6"/>
  <c r="W467" i="6" s="1"/>
  <c r="O468" i="6"/>
  <c r="W468" i="6" s="1"/>
  <c r="O469" i="6"/>
  <c r="W469" i="6" s="1"/>
  <c r="O470" i="6"/>
  <c r="W470" i="6" s="1"/>
  <c r="O471" i="6"/>
  <c r="W471" i="6" s="1"/>
  <c r="O472" i="6"/>
  <c r="W472" i="6" s="1"/>
  <c r="O473" i="6"/>
  <c r="W473" i="6" s="1"/>
  <c r="O474" i="6"/>
  <c r="W474" i="6" s="1"/>
  <c r="O475" i="6"/>
  <c r="W475" i="6" s="1"/>
  <c r="O476" i="6"/>
  <c r="W476" i="6" s="1"/>
  <c r="O477" i="6"/>
  <c r="W477" i="6" s="1"/>
  <c r="O478" i="6"/>
  <c r="W478" i="6" s="1"/>
  <c r="O479" i="6"/>
  <c r="W479" i="6" s="1"/>
  <c r="O480" i="6"/>
  <c r="W480" i="6" s="1"/>
  <c r="O481" i="6"/>
  <c r="W481" i="6" s="1"/>
  <c r="O482" i="6"/>
  <c r="W482" i="6" s="1"/>
  <c r="O483" i="6"/>
  <c r="W483" i="6" s="1"/>
  <c r="O484" i="6"/>
  <c r="W484" i="6" s="1"/>
  <c r="O485" i="6"/>
  <c r="W485" i="6" s="1"/>
  <c r="O486" i="6"/>
  <c r="W486" i="6" s="1"/>
  <c r="O487" i="6"/>
  <c r="W487" i="6" s="1"/>
  <c r="O488" i="6"/>
  <c r="W488" i="6" s="1"/>
  <c r="O489" i="6"/>
  <c r="W489" i="6" s="1"/>
  <c r="O490" i="6"/>
  <c r="W490" i="6" s="1"/>
  <c r="O491" i="6"/>
  <c r="W491" i="6" s="1"/>
  <c r="O492" i="6"/>
  <c r="W492" i="6" s="1"/>
  <c r="O493" i="6"/>
  <c r="W493" i="6" s="1"/>
  <c r="O494" i="6"/>
  <c r="W494" i="6" s="1"/>
  <c r="O495" i="6"/>
  <c r="W495" i="6" s="1"/>
  <c r="O496" i="6"/>
  <c r="W496" i="6" s="1"/>
  <c r="O497" i="6"/>
  <c r="W497" i="6" s="1"/>
  <c r="O498" i="6"/>
  <c r="W498" i="6" s="1"/>
  <c r="O499" i="6"/>
  <c r="W499" i="6" s="1"/>
  <c r="O500" i="6"/>
  <c r="W500" i="6" s="1"/>
  <c r="O501" i="6"/>
  <c r="W501" i="6" s="1"/>
  <c r="O502" i="6"/>
  <c r="W502" i="6" s="1"/>
  <c r="O503" i="6"/>
  <c r="W503" i="6" s="1"/>
  <c r="O504" i="6"/>
  <c r="W504" i="6" s="1"/>
  <c r="O505" i="6"/>
  <c r="W505" i="6" s="1"/>
  <c r="O506" i="6"/>
  <c r="W506" i="6" s="1"/>
  <c r="O507" i="6"/>
  <c r="W507" i="6" s="1"/>
  <c r="O508" i="6"/>
  <c r="W508" i="6" s="1"/>
  <c r="O509" i="6"/>
  <c r="W509" i="6" s="1"/>
  <c r="O510" i="6"/>
  <c r="W510" i="6" s="1"/>
  <c r="O511" i="6"/>
  <c r="W511" i="6" s="1"/>
  <c r="O512" i="6"/>
  <c r="W512" i="6" s="1"/>
  <c r="O513" i="6"/>
  <c r="W513" i="6" s="1"/>
  <c r="O514" i="6"/>
  <c r="W514" i="6" s="1"/>
  <c r="O515" i="6"/>
  <c r="W515" i="6" s="1"/>
  <c r="O516" i="6"/>
  <c r="W516" i="6" s="1"/>
  <c r="O517" i="6"/>
  <c r="W517" i="6" s="1"/>
  <c r="O518" i="6"/>
  <c r="W518" i="6" s="1"/>
  <c r="O519" i="6"/>
  <c r="W519" i="6" s="1"/>
  <c r="O520" i="6"/>
  <c r="W520" i="6" s="1"/>
  <c r="O521" i="6"/>
  <c r="W521" i="6" s="1"/>
  <c r="O522" i="6"/>
  <c r="W522" i="6" s="1"/>
  <c r="O523" i="6"/>
  <c r="W523" i="6" s="1"/>
  <c r="O524" i="6"/>
  <c r="W524" i="6" s="1"/>
  <c r="O525" i="6"/>
  <c r="W525" i="6" s="1"/>
  <c r="O526" i="6"/>
  <c r="W526" i="6" s="1"/>
  <c r="O527" i="6"/>
  <c r="W527" i="6" s="1"/>
  <c r="O528" i="6"/>
  <c r="W528" i="6" s="1"/>
  <c r="O529" i="6"/>
  <c r="W529" i="6" s="1"/>
  <c r="O530" i="6"/>
  <c r="W530" i="6" s="1"/>
  <c r="O531" i="6"/>
  <c r="W531" i="6" s="1"/>
  <c r="O532" i="6"/>
  <c r="W532" i="6" s="1"/>
  <c r="O533" i="6"/>
  <c r="W533" i="6" s="1"/>
  <c r="O534" i="6"/>
  <c r="W534" i="6" s="1"/>
  <c r="O535" i="6"/>
  <c r="W535" i="6" s="1"/>
  <c r="O536" i="6"/>
  <c r="W536" i="6" s="1"/>
  <c r="O537" i="6"/>
  <c r="W537" i="6" s="1"/>
  <c r="O538" i="6"/>
  <c r="W538" i="6" s="1"/>
  <c r="O539" i="6"/>
  <c r="W539" i="6" s="1"/>
  <c r="O540" i="6"/>
  <c r="W540" i="6" s="1"/>
  <c r="O541" i="6"/>
  <c r="W541" i="6" s="1"/>
  <c r="O542" i="6"/>
  <c r="W542" i="6" s="1"/>
  <c r="O543" i="6"/>
  <c r="W543" i="6" s="1"/>
  <c r="O544" i="6"/>
  <c r="W544" i="6" s="1"/>
  <c r="O545" i="6"/>
  <c r="W545" i="6" s="1"/>
  <c r="O546" i="6"/>
  <c r="W546" i="6" s="1"/>
  <c r="O547" i="6"/>
  <c r="W547" i="6" s="1"/>
  <c r="O548" i="6"/>
  <c r="W548" i="6" s="1"/>
  <c r="O549" i="6"/>
  <c r="W549" i="6" s="1"/>
  <c r="O550" i="6"/>
  <c r="W550" i="6" s="1"/>
  <c r="O551" i="6"/>
  <c r="W551" i="6" s="1"/>
  <c r="O552" i="6"/>
  <c r="W552" i="6" s="1"/>
  <c r="O553" i="6"/>
  <c r="W553" i="6" s="1"/>
  <c r="O554" i="6"/>
  <c r="W554" i="6" s="1"/>
  <c r="O555" i="6"/>
  <c r="W555" i="6" s="1"/>
  <c r="O556" i="6"/>
  <c r="W556" i="6" s="1"/>
  <c r="O557" i="6"/>
  <c r="W557" i="6" s="1"/>
  <c r="O558" i="6"/>
  <c r="W558" i="6" s="1"/>
  <c r="O559" i="6"/>
  <c r="W559" i="6" s="1"/>
  <c r="O560" i="6"/>
  <c r="W560" i="6" s="1"/>
  <c r="O561" i="6"/>
  <c r="W561" i="6" s="1"/>
  <c r="O562" i="6"/>
  <c r="W562" i="6" s="1"/>
  <c r="O563" i="6"/>
  <c r="W563" i="6" s="1"/>
  <c r="O564" i="6"/>
  <c r="W564" i="6" s="1"/>
  <c r="O565" i="6"/>
  <c r="W565" i="6" s="1"/>
  <c r="O566" i="6"/>
  <c r="W566" i="6" s="1"/>
  <c r="O567" i="6"/>
  <c r="W567" i="6" s="1"/>
  <c r="O568" i="6"/>
  <c r="W568" i="6" s="1"/>
  <c r="O569" i="6"/>
  <c r="W569" i="6" s="1"/>
  <c r="O570" i="6"/>
  <c r="W570" i="6" s="1"/>
  <c r="O571" i="6"/>
  <c r="W571" i="6" s="1"/>
  <c r="O572" i="6"/>
  <c r="W572" i="6" s="1"/>
  <c r="O573" i="6"/>
  <c r="W573" i="6" s="1"/>
  <c r="O574" i="6"/>
  <c r="W574" i="6" s="1"/>
  <c r="O575" i="6"/>
  <c r="W575" i="6" s="1"/>
  <c r="O576" i="6"/>
  <c r="W576" i="6" s="1"/>
  <c r="O577" i="6"/>
  <c r="W577" i="6" s="1"/>
  <c r="O578" i="6"/>
  <c r="W578" i="6" s="1"/>
  <c r="O579" i="6"/>
  <c r="W579" i="6" s="1"/>
  <c r="O580" i="6"/>
  <c r="W580" i="6" s="1"/>
  <c r="O581" i="6"/>
  <c r="W581" i="6" s="1"/>
  <c r="O582" i="6"/>
  <c r="W582" i="6" s="1"/>
  <c r="O583" i="6"/>
  <c r="W583" i="6" s="1"/>
  <c r="O584" i="6"/>
  <c r="W584" i="6" s="1"/>
  <c r="O585" i="6"/>
  <c r="W585" i="6" s="1"/>
  <c r="O586" i="6"/>
  <c r="W586" i="6" s="1"/>
  <c r="O587" i="6"/>
  <c r="W587" i="6" s="1"/>
  <c r="O588" i="6"/>
  <c r="W588" i="6" s="1"/>
  <c r="O589" i="6"/>
  <c r="W589" i="6" s="1"/>
  <c r="O590" i="6"/>
  <c r="W590" i="6" s="1"/>
  <c r="O591" i="6"/>
  <c r="W591" i="6" s="1"/>
  <c r="O592" i="6"/>
  <c r="W592" i="6" s="1"/>
  <c r="O593" i="6"/>
  <c r="W593" i="6" s="1"/>
  <c r="O594" i="6"/>
  <c r="W594" i="6" s="1"/>
  <c r="O595" i="6"/>
  <c r="W595" i="6" s="1"/>
  <c r="O596" i="6"/>
  <c r="W596" i="6" s="1"/>
  <c r="O597" i="6"/>
  <c r="W597" i="6" s="1"/>
  <c r="O598" i="6"/>
  <c r="W598" i="6" s="1"/>
  <c r="O599" i="6"/>
  <c r="W599" i="6" s="1"/>
  <c r="O600" i="6"/>
  <c r="W600" i="6" s="1"/>
  <c r="O601" i="6"/>
  <c r="W601" i="6" s="1"/>
  <c r="O602" i="6"/>
  <c r="W602" i="6" s="1"/>
  <c r="O603" i="6"/>
  <c r="W603" i="6" s="1"/>
  <c r="O604" i="6"/>
  <c r="W604" i="6" s="1"/>
  <c r="O605" i="6"/>
  <c r="W605" i="6" s="1"/>
  <c r="O606" i="6"/>
  <c r="W606" i="6" s="1"/>
  <c r="O607" i="6"/>
  <c r="W607" i="6" s="1"/>
  <c r="O608" i="6"/>
  <c r="W608" i="6" s="1"/>
  <c r="O609" i="6"/>
  <c r="W609" i="6" s="1"/>
  <c r="O610" i="6"/>
  <c r="W610" i="6" s="1"/>
  <c r="O611" i="6"/>
  <c r="W611" i="6" s="1"/>
  <c r="O612" i="6"/>
  <c r="W612" i="6" s="1"/>
  <c r="O613" i="6"/>
  <c r="W613" i="6" s="1"/>
  <c r="O614" i="6"/>
  <c r="W614" i="6" s="1"/>
  <c r="O615" i="6"/>
  <c r="W615" i="6" s="1"/>
  <c r="O616" i="6"/>
  <c r="W616" i="6" s="1"/>
  <c r="O617" i="6"/>
  <c r="W617" i="6" s="1"/>
  <c r="O618" i="6"/>
  <c r="W618" i="6" s="1"/>
  <c r="O619" i="6"/>
  <c r="W619" i="6" s="1"/>
  <c r="O620" i="6"/>
  <c r="W620" i="6" s="1"/>
  <c r="O621" i="6"/>
  <c r="W621" i="6" s="1"/>
  <c r="O622" i="6"/>
  <c r="W622" i="6" s="1"/>
  <c r="O623" i="6"/>
  <c r="W623" i="6" s="1"/>
  <c r="O624" i="6"/>
  <c r="W624" i="6" s="1"/>
  <c r="O625" i="6"/>
  <c r="W625" i="6" s="1"/>
  <c r="O626" i="6"/>
  <c r="W626" i="6" s="1"/>
  <c r="O627" i="6"/>
  <c r="W627" i="6" s="1"/>
  <c r="O628" i="6"/>
  <c r="W628" i="6" s="1"/>
  <c r="O629" i="6"/>
  <c r="W629" i="6" s="1"/>
  <c r="O630" i="6"/>
  <c r="W630" i="6" s="1"/>
  <c r="O631" i="6"/>
  <c r="W631" i="6" s="1"/>
  <c r="O632" i="6"/>
  <c r="W632" i="6" s="1"/>
  <c r="O633" i="6"/>
  <c r="W633" i="6" s="1"/>
  <c r="O634" i="6"/>
  <c r="W634" i="6" s="1"/>
  <c r="O635" i="6"/>
  <c r="W635" i="6" s="1"/>
  <c r="O636" i="6"/>
  <c r="W636" i="6" s="1"/>
  <c r="O637" i="6"/>
  <c r="W637" i="6" s="1"/>
  <c r="O638" i="6"/>
  <c r="W638" i="6" s="1"/>
  <c r="O639" i="6"/>
  <c r="W639" i="6" s="1"/>
  <c r="O640" i="6"/>
  <c r="W640" i="6" s="1"/>
  <c r="O641" i="6"/>
  <c r="W641" i="6" s="1"/>
  <c r="O642" i="6"/>
  <c r="W642" i="6" s="1"/>
  <c r="O643" i="6"/>
  <c r="W643" i="6" s="1"/>
  <c r="O644" i="6"/>
  <c r="W644" i="6" s="1"/>
  <c r="O645" i="6"/>
  <c r="W645" i="6" s="1"/>
  <c r="O646" i="6"/>
  <c r="W646" i="6" s="1"/>
  <c r="O647" i="6"/>
  <c r="W647" i="6" s="1"/>
  <c r="O648" i="6"/>
  <c r="W648" i="6" s="1"/>
  <c r="O649" i="6"/>
  <c r="W649" i="6" s="1"/>
  <c r="O650" i="6"/>
  <c r="W650" i="6" s="1"/>
  <c r="O651" i="6"/>
  <c r="W651" i="6" s="1"/>
  <c r="O652" i="6"/>
  <c r="W652" i="6" s="1"/>
  <c r="O653" i="6"/>
  <c r="W653" i="6" s="1"/>
  <c r="O654" i="6"/>
  <c r="W654" i="6" s="1"/>
  <c r="O655" i="6"/>
  <c r="W655" i="6" s="1"/>
  <c r="O656" i="6"/>
  <c r="W656" i="6" s="1"/>
  <c r="O657" i="6"/>
  <c r="W657" i="6" s="1"/>
  <c r="O658" i="6"/>
  <c r="W658" i="6" s="1"/>
  <c r="O659" i="6"/>
  <c r="W659" i="6" s="1"/>
  <c r="O660" i="6"/>
  <c r="W660" i="6" s="1"/>
  <c r="O661" i="6"/>
  <c r="W661" i="6" s="1"/>
  <c r="O662" i="6"/>
  <c r="W662" i="6" s="1"/>
  <c r="O663" i="6"/>
  <c r="W663" i="6" s="1"/>
  <c r="O664" i="6"/>
  <c r="W664" i="6" s="1"/>
  <c r="O665" i="6"/>
  <c r="W665" i="6" s="1"/>
  <c r="O666" i="6"/>
  <c r="W666" i="6" s="1"/>
  <c r="O667" i="6"/>
  <c r="W667" i="6" s="1"/>
  <c r="O668" i="6"/>
  <c r="W668" i="6" s="1"/>
  <c r="O669" i="6"/>
  <c r="W669" i="6" s="1"/>
  <c r="O670" i="6"/>
  <c r="W670" i="6" s="1"/>
  <c r="O671" i="6"/>
  <c r="W671" i="6" s="1"/>
  <c r="O672" i="6"/>
  <c r="W672" i="6" s="1"/>
  <c r="O673" i="6"/>
  <c r="W673" i="6" s="1"/>
  <c r="O674" i="6"/>
  <c r="W674" i="6" s="1"/>
  <c r="O675" i="6"/>
  <c r="W675" i="6" s="1"/>
  <c r="O676" i="6"/>
  <c r="W676" i="6" s="1"/>
  <c r="O677" i="6"/>
  <c r="W677" i="6" s="1"/>
  <c r="O678" i="6"/>
  <c r="W678" i="6" s="1"/>
  <c r="O679" i="6"/>
  <c r="W679" i="6" s="1"/>
  <c r="O680" i="6"/>
  <c r="W680" i="6" s="1"/>
  <c r="O681" i="6"/>
  <c r="W681" i="6" s="1"/>
  <c r="O682" i="6"/>
  <c r="W682" i="6" s="1"/>
  <c r="O683" i="6"/>
  <c r="W683" i="6" s="1"/>
  <c r="O684" i="6"/>
  <c r="W684" i="6" s="1"/>
  <c r="O685" i="6"/>
  <c r="W685" i="6" s="1"/>
  <c r="O686" i="6"/>
  <c r="W686" i="6" s="1"/>
  <c r="O687" i="6"/>
  <c r="W687" i="6" s="1"/>
  <c r="O688" i="6"/>
  <c r="W688" i="6" s="1"/>
  <c r="O689" i="6"/>
  <c r="W689" i="6" s="1"/>
  <c r="O690" i="6"/>
  <c r="W690" i="6" s="1"/>
  <c r="O691" i="6"/>
  <c r="W691" i="6" s="1"/>
  <c r="O692" i="6"/>
  <c r="W692" i="6" s="1"/>
  <c r="O693" i="6"/>
  <c r="W693" i="6" s="1"/>
  <c r="O694" i="6"/>
  <c r="W694" i="6" s="1"/>
  <c r="O695" i="6"/>
  <c r="W695" i="6" s="1"/>
  <c r="O696" i="6"/>
  <c r="W696" i="6" s="1"/>
  <c r="O697" i="6"/>
  <c r="W697" i="6" s="1"/>
  <c r="O698" i="6"/>
  <c r="W698" i="6" s="1"/>
  <c r="O699" i="6"/>
  <c r="W699" i="6" s="1"/>
  <c r="O700" i="6"/>
  <c r="W700" i="6" s="1"/>
  <c r="O701" i="6"/>
  <c r="W701" i="6" s="1"/>
  <c r="O702" i="6"/>
  <c r="W702" i="6" s="1"/>
  <c r="O703" i="6"/>
  <c r="W703" i="6" s="1"/>
  <c r="O704" i="6"/>
  <c r="W704" i="6" s="1"/>
  <c r="O705" i="6"/>
  <c r="W705" i="6" s="1"/>
  <c r="O706" i="6"/>
  <c r="W706" i="6" s="1"/>
  <c r="O707" i="6"/>
  <c r="W707" i="6" s="1"/>
  <c r="O708" i="6"/>
  <c r="W708" i="6" s="1"/>
  <c r="O709" i="6"/>
  <c r="W709" i="6" s="1"/>
  <c r="O710" i="6"/>
  <c r="W710" i="6" s="1"/>
  <c r="O711" i="6"/>
  <c r="W711" i="6" s="1"/>
  <c r="O712" i="6"/>
  <c r="W712" i="6" s="1"/>
  <c r="O713" i="6"/>
  <c r="W713" i="6" s="1"/>
  <c r="O714" i="6"/>
  <c r="W714" i="6" s="1"/>
  <c r="O715" i="6"/>
  <c r="W715" i="6" s="1"/>
  <c r="O716" i="6"/>
  <c r="W716" i="6" s="1"/>
  <c r="O717" i="6"/>
  <c r="W717" i="6" s="1"/>
  <c r="O718" i="6"/>
  <c r="W718" i="6" s="1"/>
  <c r="O719" i="6"/>
  <c r="W719" i="6" s="1"/>
  <c r="O720" i="6"/>
  <c r="W720" i="6" s="1"/>
  <c r="O721" i="6"/>
  <c r="W721" i="6" s="1"/>
  <c r="O722" i="6"/>
  <c r="W722" i="6" s="1"/>
  <c r="O723" i="6"/>
  <c r="W723" i="6" s="1"/>
  <c r="O724" i="6"/>
  <c r="W724" i="6" s="1"/>
  <c r="O725" i="6"/>
  <c r="W725" i="6" s="1"/>
  <c r="O726" i="6"/>
  <c r="W726" i="6" s="1"/>
  <c r="O727" i="6"/>
  <c r="W727" i="6" s="1"/>
  <c r="N2" i="6"/>
  <c r="V2" i="6" s="1"/>
  <c r="N3" i="6"/>
  <c r="V3" i="6" s="1"/>
  <c r="N4" i="6"/>
  <c r="V4" i="6" s="1"/>
  <c r="N5" i="6"/>
  <c r="V5" i="6" s="1"/>
  <c r="N6" i="6"/>
  <c r="V6" i="6" s="1"/>
  <c r="N7" i="6"/>
  <c r="V7" i="6" s="1"/>
  <c r="N8" i="6"/>
  <c r="V8" i="6" s="1"/>
  <c r="N9" i="6"/>
  <c r="V9" i="6" s="1"/>
  <c r="N10" i="6"/>
  <c r="V10" i="6" s="1"/>
  <c r="N11" i="6"/>
  <c r="V11" i="6" s="1"/>
  <c r="N12" i="6"/>
  <c r="V12" i="6" s="1"/>
  <c r="N13" i="6"/>
  <c r="V13" i="6" s="1"/>
  <c r="N14" i="6"/>
  <c r="V14" i="6" s="1"/>
  <c r="N15" i="6"/>
  <c r="V15" i="6" s="1"/>
  <c r="N16" i="6"/>
  <c r="V16" i="6" s="1"/>
  <c r="N17" i="6"/>
  <c r="V17" i="6" s="1"/>
  <c r="N18" i="6"/>
  <c r="V18" i="6" s="1"/>
  <c r="N19" i="6"/>
  <c r="V19" i="6" s="1"/>
  <c r="N20" i="6"/>
  <c r="V20" i="6" s="1"/>
  <c r="N21" i="6"/>
  <c r="V21" i="6" s="1"/>
  <c r="N22" i="6"/>
  <c r="V22" i="6" s="1"/>
  <c r="N23" i="6"/>
  <c r="V23" i="6" s="1"/>
  <c r="N24" i="6"/>
  <c r="V24" i="6" s="1"/>
  <c r="N25" i="6"/>
  <c r="V25" i="6" s="1"/>
  <c r="N26" i="6"/>
  <c r="V26" i="6" s="1"/>
  <c r="N27" i="6"/>
  <c r="V27" i="6" s="1"/>
  <c r="N28" i="6"/>
  <c r="V28" i="6" s="1"/>
  <c r="N29" i="6"/>
  <c r="V29" i="6" s="1"/>
  <c r="N30" i="6"/>
  <c r="V30" i="6" s="1"/>
  <c r="N31" i="6"/>
  <c r="V31" i="6" s="1"/>
  <c r="N32" i="6"/>
  <c r="V32" i="6" s="1"/>
  <c r="N33" i="6"/>
  <c r="V33" i="6" s="1"/>
  <c r="N34" i="6"/>
  <c r="V34" i="6" s="1"/>
  <c r="N35" i="6"/>
  <c r="V35" i="6" s="1"/>
  <c r="N36" i="6"/>
  <c r="V36" i="6" s="1"/>
  <c r="N37" i="6"/>
  <c r="V37" i="6" s="1"/>
  <c r="N38" i="6"/>
  <c r="V38" i="6" s="1"/>
  <c r="N39" i="6"/>
  <c r="V39" i="6" s="1"/>
  <c r="N40" i="6"/>
  <c r="V40" i="6" s="1"/>
  <c r="N41" i="6"/>
  <c r="V41" i="6" s="1"/>
  <c r="N42" i="6"/>
  <c r="V42" i="6" s="1"/>
  <c r="N43" i="6"/>
  <c r="V43" i="6" s="1"/>
  <c r="N44" i="6"/>
  <c r="V44" i="6" s="1"/>
  <c r="N45" i="6"/>
  <c r="V45" i="6" s="1"/>
  <c r="N46" i="6"/>
  <c r="V46" i="6" s="1"/>
  <c r="N47" i="6"/>
  <c r="V47" i="6" s="1"/>
  <c r="N48" i="6"/>
  <c r="V48" i="6" s="1"/>
  <c r="N49" i="6"/>
  <c r="V49" i="6" s="1"/>
  <c r="N50" i="6"/>
  <c r="V50" i="6" s="1"/>
  <c r="N51" i="6"/>
  <c r="V51" i="6" s="1"/>
  <c r="N52" i="6"/>
  <c r="V52" i="6" s="1"/>
  <c r="N53" i="6"/>
  <c r="V53" i="6" s="1"/>
  <c r="N54" i="6"/>
  <c r="V54" i="6" s="1"/>
  <c r="N55" i="6"/>
  <c r="V55" i="6" s="1"/>
  <c r="N56" i="6"/>
  <c r="V56" i="6" s="1"/>
  <c r="N57" i="6"/>
  <c r="V57" i="6" s="1"/>
  <c r="N58" i="6"/>
  <c r="V58" i="6" s="1"/>
  <c r="N59" i="6"/>
  <c r="V59" i="6" s="1"/>
  <c r="N60" i="6"/>
  <c r="V60" i="6" s="1"/>
  <c r="N61" i="6"/>
  <c r="V61" i="6" s="1"/>
  <c r="N62" i="6"/>
  <c r="V62" i="6" s="1"/>
  <c r="N63" i="6"/>
  <c r="V63" i="6" s="1"/>
  <c r="N64" i="6"/>
  <c r="V64" i="6" s="1"/>
  <c r="N65" i="6"/>
  <c r="V65" i="6" s="1"/>
  <c r="N66" i="6"/>
  <c r="V66" i="6" s="1"/>
  <c r="N67" i="6"/>
  <c r="V67" i="6" s="1"/>
  <c r="N68" i="6"/>
  <c r="V68" i="6" s="1"/>
  <c r="N69" i="6"/>
  <c r="V69" i="6" s="1"/>
  <c r="N70" i="6"/>
  <c r="V70" i="6" s="1"/>
  <c r="N71" i="6"/>
  <c r="V71" i="6" s="1"/>
  <c r="N72" i="6"/>
  <c r="V72" i="6" s="1"/>
  <c r="N73" i="6"/>
  <c r="V73" i="6" s="1"/>
  <c r="N74" i="6"/>
  <c r="V74" i="6" s="1"/>
  <c r="N75" i="6"/>
  <c r="V75" i="6" s="1"/>
  <c r="N76" i="6"/>
  <c r="V76" i="6" s="1"/>
  <c r="N77" i="6"/>
  <c r="V77" i="6" s="1"/>
  <c r="N78" i="6"/>
  <c r="V78" i="6" s="1"/>
  <c r="N79" i="6"/>
  <c r="V79" i="6" s="1"/>
  <c r="N80" i="6"/>
  <c r="V80" i="6" s="1"/>
  <c r="N81" i="6"/>
  <c r="V81" i="6" s="1"/>
  <c r="N82" i="6"/>
  <c r="V82" i="6" s="1"/>
  <c r="N83" i="6"/>
  <c r="V83" i="6" s="1"/>
  <c r="N84" i="6"/>
  <c r="V84" i="6" s="1"/>
  <c r="N85" i="6"/>
  <c r="V85" i="6" s="1"/>
  <c r="N86" i="6"/>
  <c r="V86" i="6" s="1"/>
  <c r="N87" i="6"/>
  <c r="V87" i="6" s="1"/>
  <c r="N88" i="6"/>
  <c r="V88" i="6" s="1"/>
  <c r="N89" i="6"/>
  <c r="V89" i="6" s="1"/>
  <c r="N90" i="6"/>
  <c r="V90" i="6" s="1"/>
  <c r="N91" i="6"/>
  <c r="V91" i="6" s="1"/>
  <c r="N92" i="6"/>
  <c r="V92" i="6" s="1"/>
  <c r="N93" i="6"/>
  <c r="V93" i="6" s="1"/>
  <c r="N94" i="6"/>
  <c r="V94" i="6" s="1"/>
  <c r="N95" i="6"/>
  <c r="V95" i="6" s="1"/>
  <c r="N96" i="6"/>
  <c r="V96" i="6" s="1"/>
  <c r="N97" i="6"/>
  <c r="V97" i="6" s="1"/>
  <c r="N98" i="6"/>
  <c r="V98" i="6" s="1"/>
  <c r="N99" i="6"/>
  <c r="V99" i="6" s="1"/>
  <c r="N100" i="6"/>
  <c r="V100" i="6" s="1"/>
  <c r="N101" i="6"/>
  <c r="V101" i="6" s="1"/>
  <c r="N102" i="6"/>
  <c r="V102" i="6" s="1"/>
  <c r="N103" i="6"/>
  <c r="V103" i="6" s="1"/>
  <c r="N104" i="6"/>
  <c r="V104" i="6" s="1"/>
  <c r="N105" i="6"/>
  <c r="V105" i="6" s="1"/>
  <c r="N106" i="6"/>
  <c r="V106" i="6" s="1"/>
  <c r="N107" i="6"/>
  <c r="V107" i="6" s="1"/>
  <c r="N108" i="6"/>
  <c r="V108" i="6" s="1"/>
  <c r="N109" i="6"/>
  <c r="V109" i="6" s="1"/>
  <c r="N110" i="6"/>
  <c r="V110" i="6" s="1"/>
  <c r="N111" i="6"/>
  <c r="V111" i="6" s="1"/>
  <c r="N112" i="6"/>
  <c r="V112" i="6" s="1"/>
  <c r="N113" i="6"/>
  <c r="V113" i="6" s="1"/>
  <c r="N114" i="6"/>
  <c r="V114" i="6" s="1"/>
  <c r="N115" i="6"/>
  <c r="V115" i="6" s="1"/>
  <c r="N116" i="6"/>
  <c r="V116" i="6" s="1"/>
  <c r="N117" i="6"/>
  <c r="V117" i="6" s="1"/>
  <c r="N118" i="6"/>
  <c r="V118" i="6" s="1"/>
  <c r="N119" i="6"/>
  <c r="V119" i="6" s="1"/>
  <c r="N120" i="6"/>
  <c r="V120" i="6" s="1"/>
  <c r="N121" i="6"/>
  <c r="V121" i="6" s="1"/>
  <c r="N122" i="6"/>
  <c r="V122" i="6" s="1"/>
  <c r="N123" i="6"/>
  <c r="V123" i="6" s="1"/>
  <c r="N124" i="6"/>
  <c r="V124" i="6" s="1"/>
  <c r="N125" i="6"/>
  <c r="V125" i="6" s="1"/>
  <c r="N126" i="6"/>
  <c r="V126" i="6" s="1"/>
  <c r="N127" i="6"/>
  <c r="V127" i="6" s="1"/>
  <c r="N128" i="6"/>
  <c r="V128" i="6" s="1"/>
  <c r="N129" i="6"/>
  <c r="V129" i="6" s="1"/>
  <c r="N130" i="6"/>
  <c r="V130" i="6" s="1"/>
  <c r="N131" i="6"/>
  <c r="V131" i="6" s="1"/>
  <c r="N132" i="6"/>
  <c r="V132" i="6" s="1"/>
  <c r="N133" i="6"/>
  <c r="V133" i="6" s="1"/>
  <c r="N134" i="6"/>
  <c r="V134" i="6" s="1"/>
  <c r="N135" i="6"/>
  <c r="V135" i="6" s="1"/>
  <c r="N136" i="6"/>
  <c r="V136" i="6" s="1"/>
  <c r="N137" i="6"/>
  <c r="V137" i="6" s="1"/>
  <c r="N138" i="6"/>
  <c r="V138" i="6" s="1"/>
  <c r="N139" i="6"/>
  <c r="V139" i="6" s="1"/>
  <c r="N140" i="6"/>
  <c r="V140" i="6" s="1"/>
  <c r="N141" i="6"/>
  <c r="V141" i="6" s="1"/>
  <c r="N142" i="6"/>
  <c r="V142" i="6" s="1"/>
  <c r="N143" i="6"/>
  <c r="V143" i="6" s="1"/>
  <c r="N144" i="6"/>
  <c r="V144" i="6" s="1"/>
  <c r="N145" i="6"/>
  <c r="V145" i="6" s="1"/>
  <c r="N146" i="6"/>
  <c r="V146" i="6" s="1"/>
  <c r="N147" i="6"/>
  <c r="V147" i="6" s="1"/>
  <c r="N148" i="6"/>
  <c r="V148" i="6" s="1"/>
  <c r="N149" i="6"/>
  <c r="V149" i="6" s="1"/>
  <c r="N150" i="6"/>
  <c r="V150" i="6" s="1"/>
  <c r="N151" i="6"/>
  <c r="V151" i="6" s="1"/>
  <c r="N152" i="6"/>
  <c r="V152" i="6" s="1"/>
  <c r="N153" i="6"/>
  <c r="V153" i="6" s="1"/>
  <c r="N154" i="6"/>
  <c r="V154" i="6" s="1"/>
  <c r="N155" i="6"/>
  <c r="V155" i="6" s="1"/>
  <c r="N156" i="6"/>
  <c r="V156" i="6" s="1"/>
  <c r="N157" i="6"/>
  <c r="V157" i="6" s="1"/>
  <c r="N158" i="6"/>
  <c r="V158" i="6" s="1"/>
  <c r="N159" i="6"/>
  <c r="V159" i="6" s="1"/>
  <c r="N160" i="6"/>
  <c r="V160" i="6" s="1"/>
  <c r="N161" i="6"/>
  <c r="V161" i="6" s="1"/>
  <c r="N162" i="6"/>
  <c r="V162" i="6" s="1"/>
  <c r="N163" i="6"/>
  <c r="V163" i="6" s="1"/>
  <c r="N164" i="6"/>
  <c r="V164" i="6" s="1"/>
  <c r="N165" i="6"/>
  <c r="V165" i="6" s="1"/>
  <c r="N166" i="6"/>
  <c r="V166" i="6" s="1"/>
  <c r="N167" i="6"/>
  <c r="V167" i="6" s="1"/>
  <c r="N168" i="6"/>
  <c r="V168" i="6" s="1"/>
  <c r="N169" i="6"/>
  <c r="V169" i="6" s="1"/>
  <c r="N170" i="6"/>
  <c r="V170" i="6" s="1"/>
  <c r="N171" i="6"/>
  <c r="V171" i="6" s="1"/>
  <c r="N172" i="6"/>
  <c r="V172" i="6" s="1"/>
  <c r="N173" i="6"/>
  <c r="V173" i="6" s="1"/>
  <c r="N174" i="6"/>
  <c r="V174" i="6" s="1"/>
  <c r="N175" i="6"/>
  <c r="V175" i="6" s="1"/>
  <c r="N176" i="6"/>
  <c r="V176" i="6" s="1"/>
  <c r="N177" i="6"/>
  <c r="V177" i="6" s="1"/>
  <c r="N178" i="6"/>
  <c r="V178" i="6" s="1"/>
  <c r="N179" i="6"/>
  <c r="V179" i="6" s="1"/>
  <c r="N180" i="6"/>
  <c r="V180" i="6" s="1"/>
  <c r="N181" i="6"/>
  <c r="V181" i="6" s="1"/>
  <c r="N182" i="6"/>
  <c r="V182" i="6" s="1"/>
  <c r="N183" i="6"/>
  <c r="V183" i="6" s="1"/>
  <c r="N184" i="6"/>
  <c r="V184" i="6" s="1"/>
  <c r="N185" i="6"/>
  <c r="V185" i="6" s="1"/>
  <c r="N186" i="6"/>
  <c r="V186" i="6" s="1"/>
  <c r="N187" i="6"/>
  <c r="V187" i="6" s="1"/>
  <c r="N188" i="6"/>
  <c r="V188" i="6" s="1"/>
  <c r="N189" i="6"/>
  <c r="V189" i="6" s="1"/>
  <c r="N190" i="6"/>
  <c r="V190" i="6" s="1"/>
  <c r="N191" i="6"/>
  <c r="V191" i="6" s="1"/>
  <c r="N192" i="6"/>
  <c r="V192" i="6" s="1"/>
  <c r="N193" i="6"/>
  <c r="V193" i="6" s="1"/>
  <c r="N194" i="6"/>
  <c r="V194" i="6" s="1"/>
  <c r="N195" i="6"/>
  <c r="V195" i="6" s="1"/>
  <c r="N196" i="6"/>
  <c r="V196" i="6" s="1"/>
  <c r="N197" i="6"/>
  <c r="V197" i="6" s="1"/>
  <c r="N198" i="6"/>
  <c r="V198" i="6" s="1"/>
  <c r="N199" i="6"/>
  <c r="V199" i="6" s="1"/>
  <c r="N200" i="6"/>
  <c r="V200" i="6" s="1"/>
  <c r="N201" i="6"/>
  <c r="V201" i="6" s="1"/>
  <c r="N202" i="6"/>
  <c r="V202" i="6" s="1"/>
  <c r="N203" i="6"/>
  <c r="V203" i="6" s="1"/>
  <c r="N204" i="6"/>
  <c r="V204" i="6" s="1"/>
  <c r="N205" i="6"/>
  <c r="V205" i="6" s="1"/>
  <c r="N206" i="6"/>
  <c r="V206" i="6" s="1"/>
  <c r="N207" i="6"/>
  <c r="V207" i="6" s="1"/>
  <c r="N208" i="6"/>
  <c r="V208" i="6" s="1"/>
  <c r="N209" i="6"/>
  <c r="V209" i="6" s="1"/>
  <c r="N210" i="6"/>
  <c r="V210" i="6" s="1"/>
  <c r="N211" i="6"/>
  <c r="V211" i="6" s="1"/>
  <c r="N212" i="6"/>
  <c r="V212" i="6" s="1"/>
  <c r="N213" i="6"/>
  <c r="V213" i="6" s="1"/>
  <c r="N214" i="6"/>
  <c r="V214" i="6" s="1"/>
  <c r="N215" i="6"/>
  <c r="V215" i="6" s="1"/>
  <c r="N216" i="6"/>
  <c r="V216" i="6" s="1"/>
  <c r="N217" i="6"/>
  <c r="V217" i="6" s="1"/>
  <c r="N218" i="6"/>
  <c r="V218" i="6" s="1"/>
  <c r="N219" i="6"/>
  <c r="V219" i="6" s="1"/>
  <c r="N220" i="6"/>
  <c r="V220" i="6" s="1"/>
  <c r="N221" i="6"/>
  <c r="V221" i="6" s="1"/>
  <c r="N222" i="6"/>
  <c r="V222" i="6" s="1"/>
  <c r="N223" i="6"/>
  <c r="V223" i="6" s="1"/>
  <c r="N224" i="6"/>
  <c r="V224" i="6" s="1"/>
  <c r="N225" i="6"/>
  <c r="V225" i="6" s="1"/>
  <c r="N226" i="6"/>
  <c r="V226" i="6" s="1"/>
  <c r="N227" i="6"/>
  <c r="V227" i="6" s="1"/>
  <c r="N228" i="6"/>
  <c r="V228" i="6" s="1"/>
  <c r="N229" i="6"/>
  <c r="V229" i="6" s="1"/>
  <c r="N230" i="6"/>
  <c r="V230" i="6" s="1"/>
  <c r="N231" i="6"/>
  <c r="V231" i="6" s="1"/>
  <c r="N232" i="6"/>
  <c r="V232" i="6" s="1"/>
  <c r="N233" i="6"/>
  <c r="V233" i="6" s="1"/>
  <c r="N234" i="6"/>
  <c r="V234" i="6" s="1"/>
  <c r="N235" i="6"/>
  <c r="V235" i="6" s="1"/>
  <c r="N236" i="6"/>
  <c r="V236" i="6" s="1"/>
  <c r="N237" i="6"/>
  <c r="V237" i="6" s="1"/>
  <c r="N238" i="6"/>
  <c r="V238" i="6" s="1"/>
  <c r="N239" i="6"/>
  <c r="V239" i="6" s="1"/>
  <c r="N240" i="6"/>
  <c r="V240" i="6" s="1"/>
  <c r="N241" i="6"/>
  <c r="V241" i="6" s="1"/>
  <c r="N242" i="6"/>
  <c r="V242" i="6" s="1"/>
  <c r="N243" i="6"/>
  <c r="V243" i="6" s="1"/>
  <c r="N244" i="6"/>
  <c r="V244" i="6" s="1"/>
  <c r="N245" i="6"/>
  <c r="V245" i="6" s="1"/>
  <c r="N246" i="6"/>
  <c r="V246" i="6" s="1"/>
  <c r="N247" i="6"/>
  <c r="V247" i="6" s="1"/>
  <c r="N248" i="6"/>
  <c r="V248" i="6" s="1"/>
  <c r="N249" i="6"/>
  <c r="V249" i="6" s="1"/>
  <c r="N250" i="6"/>
  <c r="V250" i="6" s="1"/>
  <c r="N251" i="6"/>
  <c r="V251" i="6" s="1"/>
  <c r="N252" i="6"/>
  <c r="V252" i="6" s="1"/>
  <c r="N253" i="6"/>
  <c r="V253" i="6" s="1"/>
  <c r="N254" i="6"/>
  <c r="V254" i="6" s="1"/>
  <c r="N255" i="6"/>
  <c r="V255" i="6" s="1"/>
  <c r="N256" i="6"/>
  <c r="V256" i="6" s="1"/>
  <c r="N257" i="6"/>
  <c r="V257" i="6" s="1"/>
  <c r="N258" i="6"/>
  <c r="V258" i="6" s="1"/>
  <c r="N259" i="6"/>
  <c r="V259" i="6" s="1"/>
  <c r="N260" i="6"/>
  <c r="V260" i="6" s="1"/>
  <c r="N261" i="6"/>
  <c r="V261" i="6" s="1"/>
  <c r="N262" i="6"/>
  <c r="V262" i="6" s="1"/>
  <c r="N263" i="6"/>
  <c r="V263" i="6" s="1"/>
  <c r="N264" i="6"/>
  <c r="V264" i="6" s="1"/>
  <c r="N265" i="6"/>
  <c r="V265" i="6" s="1"/>
  <c r="N266" i="6"/>
  <c r="V266" i="6" s="1"/>
  <c r="N267" i="6"/>
  <c r="V267" i="6" s="1"/>
  <c r="N268" i="6"/>
  <c r="V268" i="6" s="1"/>
  <c r="N269" i="6"/>
  <c r="V269" i="6" s="1"/>
  <c r="N270" i="6"/>
  <c r="V270" i="6" s="1"/>
  <c r="N271" i="6"/>
  <c r="V271" i="6" s="1"/>
  <c r="N272" i="6"/>
  <c r="V272" i="6" s="1"/>
  <c r="N273" i="6"/>
  <c r="V273" i="6" s="1"/>
  <c r="N274" i="6"/>
  <c r="V274" i="6" s="1"/>
  <c r="N275" i="6"/>
  <c r="V275" i="6" s="1"/>
  <c r="N276" i="6"/>
  <c r="V276" i="6" s="1"/>
  <c r="N277" i="6"/>
  <c r="V277" i="6" s="1"/>
  <c r="N278" i="6"/>
  <c r="V278" i="6" s="1"/>
  <c r="N279" i="6"/>
  <c r="V279" i="6" s="1"/>
  <c r="N280" i="6"/>
  <c r="V280" i="6" s="1"/>
  <c r="N281" i="6"/>
  <c r="V281" i="6" s="1"/>
  <c r="N282" i="6"/>
  <c r="V282" i="6" s="1"/>
  <c r="N283" i="6"/>
  <c r="V283" i="6" s="1"/>
  <c r="N284" i="6"/>
  <c r="V284" i="6" s="1"/>
  <c r="N285" i="6"/>
  <c r="V285" i="6" s="1"/>
  <c r="N286" i="6"/>
  <c r="V286" i="6" s="1"/>
  <c r="N287" i="6"/>
  <c r="V287" i="6" s="1"/>
  <c r="N288" i="6"/>
  <c r="V288" i="6" s="1"/>
  <c r="N289" i="6"/>
  <c r="V289" i="6" s="1"/>
  <c r="N290" i="6"/>
  <c r="V290" i="6" s="1"/>
  <c r="N291" i="6"/>
  <c r="V291" i="6" s="1"/>
  <c r="N292" i="6"/>
  <c r="V292" i="6" s="1"/>
  <c r="N293" i="6"/>
  <c r="V293" i="6" s="1"/>
  <c r="N294" i="6"/>
  <c r="V294" i="6" s="1"/>
  <c r="N295" i="6"/>
  <c r="V295" i="6" s="1"/>
  <c r="N296" i="6"/>
  <c r="V296" i="6" s="1"/>
  <c r="N297" i="6"/>
  <c r="V297" i="6" s="1"/>
  <c r="N298" i="6"/>
  <c r="V298" i="6" s="1"/>
  <c r="N299" i="6"/>
  <c r="V299" i="6" s="1"/>
  <c r="N300" i="6"/>
  <c r="V300" i="6" s="1"/>
  <c r="N301" i="6"/>
  <c r="V301" i="6" s="1"/>
  <c r="N302" i="6"/>
  <c r="V302" i="6" s="1"/>
  <c r="N303" i="6"/>
  <c r="V303" i="6" s="1"/>
  <c r="N304" i="6"/>
  <c r="V304" i="6" s="1"/>
  <c r="N305" i="6"/>
  <c r="V305" i="6" s="1"/>
  <c r="N306" i="6"/>
  <c r="V306" i="6" s="1"/>
  <c r="N307" i="6"/>
  <c r="V307" i="6" s="1"/>
  <c r="N308" i="6"/>
  <c r="V308" i="6" s="1"/>
  <c r="N309" i="6"/>
  <c r="V309" i="6" s="1"/>
  <c r="N310" i="6"/>
  <c r="V310" i="6" s="1"/>
  <c r="N311" i="6"/>
  <c r="V311" i="6" s="1"/>
  <c r="N312" i="6"/>
  <c r="V312" i="6" s="1"/>
  <c r="N313" i="6"/>
  <c r="V313" i="6" s="1"/>
  <c r="N314" i="6"/>
  <c r="V314" i="6" s="1"/>
  <c r="N315" i="6"/>
  <c r="V315" i="6" s="1"/>
  <c r="N316" i="6"/>
  <c r="V316" i="6" s="1"/>
  <c r="N317" i="6"/>
  <c r="V317" i="6" s="1"/>
  <c r="N318" i="6"/>
  <c r="V318" i="6" s="1"/>
  <c r="N319" i="6"/>
  <c r="V319" i="6" s="1"/>
  <c r="N320" i="6"/>
  <c r="V320" i="6" s="1"/>
  <c r="N321" i="6"/>
  <c r="V321" i="6" s="1"/>
  <c r="N322" i="6"/>
  <c r="V322" i="6" s="1"/>
  <c r="N323" i="6"/>
  <c r="V323" i="6" s="1"/>
  <c r="N324" i="6"/>
  <c r="V324" i="6" s="1"/>
  <c r="N325" i="6"/>
  <c r="V325" i="6" s="1"/>
  <c r="N326" i="6"/>
  <c r="V326" i="6" s="1"/>
  <c r="N327" i="6"/>
  <c r="V327" i="6" s="1"/>
  <c r="N328" i="6"/>
  <c r="V328" i="6" s="1"/>
  <c r="N329" i="6"/>
  <c r="V329" i="6" s="1"/>
  <c r="N330" i="6"/>
  <c r="V330" i="6" s="1"/>
  <c r="N331" i="6"/>
  <c r="V331" i="6" s="1"/>
  <c r="N332" i="6"/>
  <c r="V332" i="6" s="1"/>
  <c r="N333" i="6"/>
  <c r="V333" i="6" s="1"/>
  <c r="N334" i="6"/>
  <c r="V334" i="6" s="1"/>
  <c r="N335" i="6"/>
  <c r="V335" i="6" s="1"/>
  <c r="N336" i="6"/>
  <c r="V336" i="6" s="1"/>
  <c r="N337" i="6"/>
  <c r="V337" i="6" s="1"/>
  <c r="N338" i="6"/>
  <c r="V338" i="6" s="1"/>
  <c r="N339" i="6"/>
  <c r="V339" i="6" s="1"/>
  <c r="N340" i="6"/>
  <c r="V340" i="6" s="1"/>
  <c r="N341" i="6"/>
  <c r="V341" i="6" s="1"/>
  <c r="N342" i="6"/>
  <c r="V342" i="6" s="1"/>
  <c r="N343" i="6"/>
  <c r="V343" i="6" s="1"/>
  <c r="N344" i="6"/>
  <c r="V344" i="6" s="1"/>
  <c r="N345" i="6"/>
  <c r="V345" i="6" s="1"/>
  <c r="N346" i="6"/>
  <c r="V346" i="6" s="1"/>
  <c r="N347" i="6"/>
  <c r="V347" i="6" s="1"/>
  <c r="N348" i="6"/>
  <c r="V348" i="6" s="1"/>
  <c r="N349" i="6"/>
  <c r="V349" i="6" s="1"/>
  <c r="N350" i="6"/>
  <c r="V350" i="6" s="1"/>
  <c r="N351" i="6"/>
  <c r="V351" i="6" s="1"/>
  <c r="N352" i="6"/>
  <c r="V352" i="6" s="1"/>
  <c r="N353" i="6"/>
  <c r="V353" i="6" s="1"/>
  <c r="N354" i="6"/>
  <c r="V354" i="6" s="1"/>
  <c r="N355" i="6"/>
  <c r="V355" i="6" s="1"/>
  <c r="N356" i="6"/>
  <c r="V356" i="6" s="1"/>
  <c r="N357" i="6"/>
  <c r="V357" i="6" s="1"/>
  <c r="N358" i="6"/>
  <c r="V358" i="6" s="1"/>
  <c r="N359" i="6"/>
  <c r="V359" i="6" s="1"/>
  <c r="N360" i="6"/>
  <c r="V360" i="6" s="1"/>
  <c r="N361" i="6"/>
  <c r="V361" i="6" s="1"/>
  <c r="N362" i="6"/>
  <c r="V362" i="6" s="1"/>
  <c r="N363" i="6"/>
  <c r="V363" i="6" s="1"/>
  <c r="N364" i="6"/>
  <c r="V364" i="6" s="1"/>
  <c r="N365" i="6"/>
  <c r="V365" i="6" s="1"/>
  <c r="N366" i="6"/>
  <c r="V366" i="6" s="1"/>
  <c r="N367" i="6"/>
  <c r="V367" i="6" s="1"/>
  <c r="N368" i="6"/>
  <c r="V368" i="6" s="1"/>
  <c r="N369" i="6"/>
  <c r="V369" i="6" s="1"/>
  <c r="N370" i="6"/>
  <c r="V370" i="6" s="1"/>
  <c r="N371" i="6"/>
  <c r="V371" i="6" s="1"/>
  <c r="N372" i="6"/>
  <c r="V372" i="6" s="1"/>
  <c r="N373" i="6"/>
  <c r="V373" i="6" s="1"/>
  <c r="N374" i="6"/>
  <c r="V374" i="6" s="1"/>
  <c r="N375" i="6"/>
  <c r="V375" i="6" s="1"/>
  <c r="N376" i="6"/>
  <c r="V376" i="6" s="1"/>
  <c r="N377" i="6"/>
  <c r="V377" i="6" s="1"/>
  <c r="N378" i="6"/>
  <c r="V378" i="6" s="1"/>
  <c r="N379" i="6"/>
  <c r="V379" i="6" s="1"/>
  <c r="N380" i="6"/>
  <c r="V380" i="6" s="1"/>
  <c r="N381" i="6"/>
  <c r="V381" i="6" s="1"/>
  <c r="N382" i="6"/>
  <c r="V382" i="6" s="1"/>
  <c r="N383" i="6"/>
  <c r="V383" i="6" s="1"/>
  <c r="N384" i="6"/>
  <c r="V384" i="6" s="1"/>
  <c r="N385" i="6"/>
  <c r="V385" i="6" s="1"/>
  <c r="N386" i="6"/>
  <c r="V386" i="6" s="1"/>
  <c r="N387" i="6"/>
  <c r="V387" i="6" s="1"/>
  <c r="N388" i="6"/>
  <c r="V388" i="6" s="1"/>
  <c r="N389" i="6"/>
  <c r="V389" i="6" s="1"/>
  <c r="N390" i="6"/>
  <c r="V390" i="6" s="1"/>
  <c r="N391" i="6"/>
  <c r="V391" i="6" s="1"/>
  <c r="N392" i="6"/>
  <c r="V392" i="6" s="1"/>
  <c r="N393" i="6"/>
  <c r="V393" i="6" s="1"/>
  <c r="N394" i="6"/>
  <c r="V394" i="6" s="1"/>
  <c r="N395" i="6"/>
  <c r="V395" i="6" s="1"/>
  <c r="N396" i="6"/>
  <c r="V396" i="6" s="1"/>
  <c r="N397" i="6"/>
  <c r="V397" i="6" s="1"/>
  <c r="N398" i="6"/>
  <c r="V398" i="6" s="1"/>
  <c r="N399" i="6"/>
  <c r="V399" i="6" s="1"/>
  <c r="N400" i="6"/>
  <c r="V400" i="6" s="1"/>
  <c r="N401" i="6"/>
  <c r="V401" i="6" s="1"/>
  <c r="N402" i="6"/>
  <c r="V402" i="6" s="1"/>
  <c r="N403" i="6"/>
  <c r="V403" i="6" s="1"/>
  <c r="N404" i="6"/>
  <c r="V404" i="6" s="1"/>
  <c r="N405" i="6"/>
  <c r="V405" i="6" s="1"/>
  <c r="N406" i="6"/>
  <c r="V406" i="6" s="1"/>
  <c r="N407" i="6"/>
  <c r="V407" i="6" s="1"/>
  <c r="N408" i="6"/>
  <c r="V408" i="6" s="1"/>
  <c r="N409" i="6"/>
  <c r="V409" i="6" s="1"/>
  <c r="N410" i="6"/>
  <c r="V410" i="6" s="1"/>
  <c r="N411" i="6"/>
  <c r="V411" i="6" s="1"/>
  <c r="N412" i="6"/>
  <c r="V412" i="6" s="1"/>
  <c r="N413" i="6"/>
  <c r="V413" i="6" s="1"/>
  <c r="N414" i="6"/>
  <c r="V414" i="6" s="1"/>
  <c r="N415" i="6"/>
  <c r="V415" i="6" s="1"/>
  <c r="N416" i="6"/>
  <c r="V416" i="6" s="1"/>
  <c r="N417" i="6"/>
  <c r="V417" i="6" s="1"/>
  <c r="N418" i="6"/>
  <c r="V418" i="6" s="1"/>
  <c r="N419" i="6"/>
  <c r="V419" i="6" s="1"/>
  <c r="N420" i="6"/>
  <c r="V420" i="6" s="1"/>
  <c r="N421" i="6"/>
  <c r="V421" i="6" s="1"/>
  <c r="N422" i="6"/>
  <c r="V422" i="6" s="1"/>
  <c r="N423" i="6"/>
  <c r="V423" i="6" s="1"/>
  <c r="N424" i="6"/>
  <c r="V424" i="6" s="1"/>
  <c r="N425" i="6"/>
  <c r="V425" i="6" s="1"/>
  <c r="N426" i="6"/>
  <c r="V426" i="6" s="1"/>
  <c r="N427" i="6"/>
  <c r="V427" i="6" s="1"/>
  <c r="N428" i="6"/>
  <c r="V428" i="6" s="1"/>
  <c r="N429" i="6"/>
  <c r="V429" i="6" s="1"/>
  <c r="N430" i="6"/>
  <c r="V430" i="6" s="1"/>
  <c r="N431" i="6"/>
  <c r="V431" i="6" s="1"/>
  <c r="N432" i="6"/>
  <c r="V432" i="6" s="1"/>
  <c r="N433" i="6"/>
  <c r="V433" i="6" s="1"/>
  <c r="N434" i="6"/>
  <c r="V434" i="6" s="1"/>
  <c r="N435" i="6"/>
  <c r="V435" i="6" s="1"/>
  <c r="N436" i="6"/>
  <c r="V436" i="6" s="1"/>
  <c r="N437" i="6"/>
  <c r="V437" i="6" s="1"/>
  <c r="N438" i="6"/>
  <c r="V438" i="6" s="1"/>
  <c r="N439" i="6"/>
  <c r="V439" i="6" s="1"/>
  <c r="N440" i="6"/>
  <c r="V440" i="6" s="1"/>
  <c r="N441" i="6"/>
  <c r="V441" i="6" s="1"/>
  <c r="N442" i="6"/>
  <c r="V442" i="6" s="1"/>
  <c r="N443" i="6"/>
  <c r="V443" i="6" s="1"/>
  <c r="N444" i="6"/>
  <c r="V444" i="6" s="1"/>
  <c r="N445" i="6"/>
  <c r="V445" i="6" s="1"/>
  <c r="N446" i="6"/>
  <c r="V446" i="6" s="1"/>
  <c r="N447" i="6"/>
  <c r="V447" i="6" s="1"/>
  <c r="N448" i="6"/>
  <c r="V448" i="6" s="1"/>
  <c r="N449" i="6"/>
  <c r="V449" i="6" s="1"/>
  <c r="N450" i="6"/>
  <c r="V450" i="6" s="1"/>
  <c r="N451" i="6"/>
  <c r="V451" i="6" s="1"/>
  <c r="N452" i="6"/>
  <c r="V452" i="6" s="1"/>
  <c r="N453" i="6"/>
  <c r="V453" i="6" s="1"/>
  <c r="N454" i="6"/>
  <c r="V454" i="6" s="1"/>
  <c r="N455" i="6"/>
  <c r="V455" i="6" s="1"/>
  <c r="N456" i="6"/>
  <c r="V456" i="6" s="1"/>
  <c r="N457" i="6"/>
  <c r="V457" i="6" s="1"/>
  <c r="N458" i="6"/>
  <c r="V458" i="6" s="1"/>
  <c r="N459" i="6"/>
  <c r="V459" i="6" s="1"/>
  <c r="N460" i="6"/>
  <c r="V460" i="6" s="1"/>
  <c r="N461" i="6"/>
  <c r="V461" i="6" s="1"/>
  <c r="N462" i="6"/>
  <c r="V462" i="6" s="1"/>
  <c r="N463" i="6"/>
  <c r="V463" i="6" s="1"/>
  <c r="N464" i="6"/>
  <c r="V464" i="6" s="1"/>
  <c r="N465" i="6"/>
  <c r="V465" i="6" s="1"/>
  <c r="N466" i="6"/>
  <c r="V466" i="6" s="1"/>
  <c r="N467" i="6"/>
  <c r="V467" i="6" s="1"/>
  <c r="N468" i="6"/>
  <c r="V468" i="6" s="1"/>
  <c r="N469" i="6"/>
  <c r="V469" i="6" s="1"/>
  <c r="N470" i="6"/>
  <c r="V470" i="6" s="1"/>
  <c r="N471" i="6"/>
  <c r="V471" i="6" s="1"/>
  <c r="N472" i="6"/>
  <c r="V472" i="6" s="1"/>
  <c r="N473" i="6"/>
  <c r="V473" i="6" s="1"/>
  <c r="N474" i="6"/>
  <c r="V474" i="6" s="1"/>
  <c r="N475" i="6"/>
  <c r="V475" i="6" s="1"/>
  <c r="N476" i="6"/>
  <c r="V476" i="6" s="1"/>
  <c r="N477" i="6"/>
  <c r="V477" i="6" s="1"/>
  <c r="N478" i="6"/>
  <c r="V478" i="6" s="1"/>
  <c r="N479" i="6"/>
  <c r="V479" i="6" s="1"/>
  <c r="N480" i="6"/>
  <c r="V480" i="6" s="1"/>
  <c r="N481" i="6"/>
  <c r="V481" i="6" s="1"/>
  <c r="N482" i="6"/>
  <c r="V482" i="6" s="1"/>
  <c r="N483" i="6"/>
  <c r="V483" i="6" s="1"/>
  <c r="N484" i="6"/>
  <c r="V484" i="6" s="1"/>
  <c r="N485" i="6"/>
  <c r="V485" i="6" s="1"/>
  <c r="N486" i="6"/>
  <c r="V486" i="6" s="1"/>
  <c r="N487" i="6"/>
  <c r="V487" i="6" s="1"/>
  <c r="N488" i="6"/>
  <c r="V488" i="6" s="1"/>
  <c r="N489" i="6"/>
  <c r="V489" i="6" s="1"/>
  <c r="N490" i="6"/>
  <c r="V490" i="6" s="1"/>
  <c r="N491" i="6"/>
  <c r="V491" i="6" s="1"/>
  <c r="N492" i="6"/>
  <c r="V492" i="6" s="1"/>
  <c r="N493" i="6"/>
  <c r="V493" i="6" s="1"/>
  <c r="N494" i="6"/>
  <c r="V494" i="6" s="1"/>
  <c r="N495" i="6"/>
  <c r="V495" i="6" s="1"/>
  <c r="N496" i="6"/>
  <c r="V496" i="6" s="1"/>
  <c r="N497" i="6"/>
  <c r="V497" i="6" s="1"/>
  <c r="N498" i="6"/>
  <c r="V498" i="6" s="1"/>
  <c r="N499" i="6"/>
  <c r="V499" i="6" s="1"/>
  <c r="N500" i="6"/>
  <c r="V500" i="6" s="1"/>
  <c r="N501" i="6"/>
  <c r="V501" i="6" s="1"/>
  <c r="N502" i="6"/>
  <c r="V502" i="6" s="1"/>
  <c r="N503" i="6"/>
  <c r="V503" i="6" s="1"/>
  <c r="N504" i="6"/>
  <c r="V504" i="6" s="1"/>
  <c r="N505" i="6"/>
  <c r="V505" i="6" s="1"/>
  <c r="N506" i="6"/>
  <c r="V506" i="6" s="1"/>
  <c r="N507" i="6"/>
  <c r="V507" i="6" s="1"/>
  <c r="N508" i="6"/>
  <c r="V508" i="6" s="1"/>
  <c r="N509" i="6"/>
  <c r="V509" i="6" s="1"/>
  <c r="N510" i="6"/>
  <c r="V510" i="6" s="1"/>
  <c r="N511" i="6"/>
  <c r="V511" i="6" s="1"/>
  <c r="N512" i="6"/>
  <c r="V512" i="6" s="1"/>
  <c r="N513" i="6"/>
  <c r="V513" i="6" s="1"/>
  <c r="N514" i="6"/>
  <c r="V514" i="6" s="1"/>
  <c r="N515" i="6"/>
  <c r="V515" i="6" s="1"/>
  <c r="N516" i="6"/>
  <c r="V516" i="6" s="1"/>
  <c r="N517" i="6"/>
  <c r="V517" i="6" s="1"/>
  <c r="N518" i="6"/>
  <c r="V518" i="6" s="1"/>
  <c r="N519" i="6"/>
  <c r="V519" i="6" s="1"/>
  <c r="N520" i="6"/>
  <c r="V520" i="6" s="1"/>
  <c r="N521" i="6"/>
  <c r="V521" i="6" s="1"/>
  <c r="N522" i="6"/>
  <c r="V522" i="6" s="1"/>
  <c r="N523" i="6"/>
  <c r="V523" i="6" s="1"/>
  <c r="N524" i="6"/>
  <c r="V524" i="6" s="1"/>
  <c r="N525" i="6"/>
  <c r="V525" i="6" s="1"/>
  <c r="N526" i="6"/>
  <c r="V526" i="6" s="1"/>
  <c r="N527" i="6"/>
  <c r="V527" i="6" s="1"/>
  <c r="N528" i="6"/>
  <c r="V528" i="6" s="1"/>
  <c r="N529" i="6"/>
  <c r="V529" i="6" s="1"/>
  <c r="N530" i="6"/>
  <c r="V530" i="6" s="1"/>
  <c r="N531" i="6"/>
  <c r="V531" i="6" s="1"/>
  <c r="N532" i="6"/>
  <c r="V532" i="6" s="1"/>
  <c r="N533" i="6"/>
  <c r="V533" i="6" s="1"/>
  <c r="N534" i="6"/>
  <c r="V534" i="6" s="1"/>
  <c r="N535" i="6"/>
  <c r="V535" i="6" s="1"/>
  <c r="N536" i="6"/>
  <c r="V536" i="6" s="1"/>
  <c r="N537" i="6"/>
  <c r="V537" i="6" s="1"/>
  <c r="N538" i="6"/>
  <c r="V538" i="6" s="1"/>
  <c r="N539" i="6"/>
  <c r="V539" i="6" s="1"/>
  <c r="N540" i="6"/>
  <c r="V540" i="6" s="1"/>
  <c r="N541" i="6"/>
  <c r="V541" i="6" s="1"/>
  <c r="N542" i="6"/>
  <c r="V542" i="6" s="1"/>
  <c r="N543" i="6"/>
  <c r="V543" i="6" s="1"/>
  <c r="N544" i="6"/>
  <c r="V544" i="6" s="1"/>
  <c r="N545" i="6"/>
  <c r="V545" i="6" s="1"/>
  <c r="N546" i="6"/>
  <c r="V546" i="6" s="1"/>
  <c r="N547" i="6"/>
  <c r="V547" i="6" s="1"/>
  <c r="N548" i="6"/>
  <c r="V548" i="6" s="1"/>
  <c r="N549" i="6"/>
  <c r="V549" i="6" s="1"/>
  <c r="N550" i="6"/>
  <c r="V550" i="6" s="1"/>
  <c r="N551" i="6"/>
  <c r="V551" i="6" s="1"/>
  <c r="N552" i="6"/>
  <c r="V552" i="6" s="1"/>
  <c r="N553" i="6"/>
  <c r="V553" i="6" s="1"/>
  <c r="N554" i="6"/>
  <c r="V554" i="6" s="1"/>
  <c r="N555" i="6"/>
  <c r="V555" i="6" s="1"/>
  <c r="N556" i="6"/>
  <c r="V556" i="6" s="1"/>
  <c r="N557" i="6"/>
  <c r="V557" i="6" s="1"/>
  <c r="N558" i="6"/>
  <c r="V558" i="6" s="1"/>
  <c r="N559" i="6"/>
  <c r="V559" i="6" s="1"/>
  <c r="N560" i="6"/>
  <c r="V560" i="6" s="1"/>
  <c r="N561" i="6"/>
  <c r="V561" i="6" s="1"/>
  <c r="N562" i="6"/>
  <c r="V562" i="6" s="1"/>
  <c r="N563" i="6"/>
  <c r="V563" i="6" s="1"/>
  <c r="N564" i="6"/>
  <c r="V564" i="6" s="1"/>
  <c r="N565" i="6"/>
  <c r="V565" i="6" s="1"/>
  <c r="N566" i="6"/>
  <c r="V566" i="6" s="1"/>
  <c r="N567" i="6"/>
  <c r="V567" i="6" s="1"/>
  <c r="N568" i="6"/>
  <c r="V568" i="6" s="1"/>
  <c r="N569" i="6"/>
  <c r="V569" i="6" s="1"/>
  <c r="N570" i="6"/>
  <c r="V570" i="6" s="1"/>
  <c r="N571" i="6"/>
  <c r="V571" i="6" s="1"/>
  <c r="N572" i="6"/>
  <c r="V572" i="6" s="1"/>
  <c r="N573" i="6"/>
  <c r="V573" i="6" s="1"/>
  <c r="N574" i="6"/>
  <c r="V574" i="6" s="1"/>
  <c r="N575" i="6"/>
  <c r="V575" i="6" s="1"/>
  <c r="N576" i="6"/>
  <c r="V576" i="6" s="1"/>
  <c r="N577" i="6"/>
  <c r="V577" i="6" s="1"/>
  <c r="N578" i="6"/>
  <c r="V578" i="6" s="1"/>
  <c r="N579" i="6"/>
  <c r="V579" i="6" s="1"/>
  <c r="N580" i="6"/>
  <c r="V580" i="6" s="1"/>
  <c r="N581" i="6"/>
  <c r="V581" i="6" s="1"/>
  <c r="N582" i="6"/>
  <c r="V582" i="6" s="1"/>
  <c r="N583" i="6"/>
  <c r="V583" i="6" s="1"/>
  <c r="N584" i="6"/>
  <c r="V584" i="6" s="1"/>
  <c r="N585" i="6"/>
  <c r="V585" i="6" s="1"/>
  <c r="N586" i="6"/>
  <c r="V586" i="6" s="1"/>
  <c r="N587" i="6"/>
  <c r="V587" i="6" s="1"/>
  <c r="N588" i="6"/>
  <c r="V588" i="6" s="1"/>
  <c r="N589" i="6"/>
  <c r="V589" i="6" s="1"/>
  <c r="N590" i="6"/>
  <c r="V590" i="6" s="1"/>
  <c r="N591" i="6"/>
  <c r="V591" i="6" s="1"/>
  <c r="N592" i="6"/>
  <c r="V592" i="6" s="1"/>
  <c r="N593" i="6"/>
  <c r="V593" i="6" s="1"/>
  <c r="N594" i="6"/>
  <c r="V594" i="6" s="1"/>
  <c r="N595" i="6"/>
  <c r="V595" i="6" s="1"/>
  <c r="N596" i="6"/>
  <c r="V596" i="6" s="1"/>
  <c r="N597" i="6"/>
  <c r="V597" i="6" s="1"/>
  <c r="N598" i="6"/>
  <c r="V598" i="6" s="1"/>
  <c r="N599" i="6"/>
  <c r="V599" i="6" s="1"/>
  <c r="N600" i="6"/>
  <c r="V600" i="6" s="1"/>
  <c r="N601" i="6"/>
  <c r="V601" i="6" s="1"/>
  <c r="N602" i="6"/>
  <c r="V602" i="6" s="1"/>
  <c r="N603" i="6"/>
  <c r="V603" i="6" s="1"/>
  <c r="N604" i="6"/>
  <c r="V604" i="6" s="1"/>
  <c r="N605" i="6"/>
  <c r="V605" i="6" s="1"/>
  <c r="N606" i="6"/>
  <c r="V606" i="6" s="1"/>
  <c r="N607" i="6"/>
  <c r="V607" i="6" s="1"/>
  <c r="N608" i="6"/>
  <c r="V608" i="6" s="1"/>
  <c r="N609" i="6"/>
  <c r="V609" i="6" s="1"/>
  <c r="N610" i="6"/>
  <c r="V610" i="6" s="1"/>
  <c r="N611" i="6"/>
  <c r="V611" i="6" s="1"/>
  <c r="N612" i="6"/>
  <c r="V612" i="6" s="1"/>
  <c r="N613" i="6"/>
  <c r="V613" i="6" s="1"/>
  <c r="N614" i="6"/>
  <c r="V614" i="6" s="1"/>
  <c r="N615" i="6"/>
  <c r="V615" i="6" s="1"/>
  <c r="N616" i="6"/>
  <c r="V616" i="6" s="1"/>
  <c r="N617" i="6"/>
  <c r="V617" i="6" s="1"/>
  <c r="N618" i="6"/>
  <c r="V618" i="6" s="1"/>
  <c r="N619" i="6"/>
  <c r="V619" i="6" s="1"/>
  <c r="N620" i="6"/>
  <c r="V620" i="6" s="1"/>
  <c r="N621" i="6"/>
  <c r="V621" i="6" s="1"/>
  <c r="N622" i="6"/>
  <c r="V622" i="6" s="1"/>
  <c r="N623" i="6"/>
  <c r="V623" i="6" s="1"/>
  <c r="N624" i="6"/>
  <c r="V624" i="6" s="1"/>
  <c r="N625" i="6"/>
  <c r="V625" i="6" s="1"/>
  <c r="N626" i="6"/>
  <c r="V626" i="6" s="1"/>
  <c r="N627" i="6"/>
  <c r="V627" i="6" s="1"/>
  <c r="N628" i="6"/>
  <c r="V628" i="6" s="1"/>
  <c r="N629" i="6"/>
  <c r="V629" i="6" s="1"/>
  <c r="N630" i="6"/>
  <c r="V630" i="6" s="1"/>
  <c r="N631" i="6"/>
  <c r="V631" i="6" s="1"/>
  <c r="N632" i="6"/>
  <c r="V632" i="6" s="1"/>
  <c r="N633" i="6"/>
  <c r="V633" i="6" s="1"/>
  <c r="N634" i="6"/>
  <c r="V634" i="6" s="1"/>
  <c r="N635" i="6"/>
  <c r="V635" i="6" s="1"/>
  <c r="N636" i="6"/>
  <c r="V636" i="6" s="1"/>
  <c r="N637" i="6"/>
  <c r="V637" i="6" s="1"/>
  <c r="N638" i="6"/>
  <c r="V638" i="6" s="1"/>
  <c r="N639" i="6"/>
  <c r="V639" i="6" s="1"/>
  <c r="N640" i="6"/>
  <c r="V640" i="6" s="1"/>
  <c r="N641" i="6"/>
  <c r="V641" i="6" s="1"/>
  <c r="N642" i="6"/>
  <c r="V642" i="6" s="1"/>
  <c r="N643" i="6"/>
  <c r="V643" i="6" s="1"/>
  <c r="N644" i="6"/>
  <c r="V644" i="6" s="1"/>
  <c r="N645" i="6"/>
  <c r="V645" i="6" s="1"/>
  <c r="N646" i="6"/>
  <c r="V646" i="6" s="1"/>
  <c r="N647" i="6"/>
  <c r="V647" i="6" s="1"/>
  <c r="N648" i="6"/>
  <c r="V648" i="6" s="1"/>
  <c r="N649" i="6"/>
  <c r="V649" i="6" s="1"/>
  <c r="N650" i="6"/>
  <c r="V650" i="6" s="1"/>
  <c r="N651" i="6"/>
  <c r="V651" i="6" s="1"/>
  <c r="N652" i="6"/>
  <c r="V652" i="6" s="1"/>
  <c r="N653" i="6"/>
  <c r="V653" i="6" s="1"/>
  <c r="N654" i="6"/>
  <c r="V654" i="6" s="1"/>
  <c r="N655" i="6"/>
  <c r="V655" i="6" s="1"/>
  <c r="N656" i="6"/>
  <c r="V656" i="6" s="1"/>
  <c r="N657" i="6"/>
  <c r="V657" i="6" s="1"/>
  <c r="N658" i="6"/>
  <c r="V658" i="6" s="1"/>
  <c r="N659" i="6"/>
  <c r="V659" i="6" s="1"/>
  <c r="N660" i="6"/>
  <c r="V660" i="6" s="1"/>
  <c r="N661" i="6"/>
  <c r="V661" i="6" s="1"/>
  <c r="N662" i="6"/>
  <c r="V662" i="6" s="1"/>
  <c r="N663" i="6"/>
  <c r="V663" i="6" s="1"/>
  <c r="N664" i="6"/>
  <c r="V664" i="6" s="1"/>
  <c r="N665" i="6"/>
  <c r="V665" i="6" s="1"/>
  <c r="N666" i="6"/>
  <c r="V666" i="6" s="1"/>
  <c r="N667" i="6"/>
  <c r="V667" i="6" s="1"/>
  <c r="N668" i="6"/>
  <c r="V668" i="6" s="1"/>
  <c r="N669" i="6"/>
  <c r="V669" i="6" s="1"/>
  <c r="N670" i="6"/>
  <c r="V670" i="6" s="1"/>
  <c r="N671" i="6"/>
  <c r="V671" i="6" s="1"/>
  <c r="N672" i="6"/>
  <c r="V672" i="6" s="1"/>
  <c r="N673" i="6"/>
  <c r="V673" i="6" s="1"/>
  <c r="N674" i="6"/>
  <c r="V674" i="6" s="1"/>
  <c r="N675" i="6"/>
  <c r="V675" i="6" s="1"/>
  <c r="N676" i="6"/>
  <c r="V676" i="6" s="1"/>
  <c r="N677" i="6"/>
  <c r="V677" i="6" s="1"/>
  <c r="N678" i="6"/>
  <c r="V678" i="6" s="1"/>
  <c r="N679" i="6"/>
  <c r="V679" i="6" s="1"/>
  <c r="N680" i="6"/>
  <c r="V680" i="6" s="1"/>
  <c r="N681" i="6"/>
  <c r="V681" i="6" s="1"/>
  <c r="N682" i="6"/>
  <c r="V682" i="6" s="1"/>
  <c r="N683" i="6"/>
  <c r="V683" i="6" s="1"/>
  <c r="N684" i="6"/>
  <c r="V684" i="6" s="1"/>
  <c r="N685" i="6"/>
  <c r="V685" i="6" s="1"/>
  <c r="N686" i="6"/>
  <c r="V686" i="6" s="1"/>
  <c r="N687" i="6"/>
  <c r="V687" i="6" s="1"/>
  <c r="N688" i="6"/>
  <c r="V688" i="6" s="1"/>
  <c r="N689" i="6"/>
  <c r="V689" i="6" s="1"/>
  <c r="N690" i="6"/>
  <c r="V690" i="6" s="1"/>
  <c r="N691" i="6"/>
  <c r="V691" i="6" s="1"/>
  <c r="N692" i="6"/>
  <c r="V692" i="6" s="1"/>
  <c r="N693" i="6"/>
  <c r="V693" i="6" s="1"/>
  <c r="N694" i="6"/>
  <c r="V694" i="6" s="1"/>
  <c r="N695" i="6"/>
  <c r="V695" i="6" s="1"/>
  <c r="N696" i="6"/>
  <c r="V696" i="6" s="1"/>
  <c r="N697" i="6"/>
  <c r="V697" i="6" s="1"/>
  <c r="N698" i="6"/>
  <c r="V698" i="6" s="1"/>
  <c r="N699" i="6"/>
  <c r="V699" i="6" s="1"/>
  <c r="N700" i="6"/>
  <c r="V700" i="6" s="1"/>
  <c r="N701" i="6"/>
  <c r="V701" i="6" s="1"/>
  <c r="N702" i="6"/>
  <c r="V702" i="6" s="1"/>
  <c r="N703" i="6"/>
  <c r="V703" i="6" s="1"/>
  <c r="N704" i="6"/>
  <c r="V704" i="6" s="1"/>
  <c r="N705" i="6"/>
  <c r="V705" i="6" s="1"/>
  <c r="N706" i="6"/>
  <c r="V706" i="6" s="1"/>
  <c r="N707" i="6"/>
  <c r="V707" i="6" s="1"/>
  <c r="N708" i="6"/>
  <c r="V708" i="6" s="1"/>
  <c r="N709" i="6"/>
  <c r="V709" i="6" s="1"/>
  <c r="N710" i="6"/>
  <c r="V710" i="6" s="1"/>
  <c r="N711" i="6"/>
  <c r="V711" i="6" s="1"/>
  <c r="N712" i="6"/>
  <c r="V712" i="6" s="1"/>
  <c r="N713" i="6"/>
  <c r="V713" i="6" s="1"/>
  <c r="N714" i="6"/>
  <c r="V714" i="6" s="1"/>
  <c r="N715" i="6"/>
  <c r="V715" i="6" s="1"/>
  <c r="N716" i="6"/>
  <c r="V716" i="6" s="1"/>
  <c r="N717" i="6"/>
  <c r="V717" i="6" s="1"/>
  <c r="N718" i="6"/>
  <c r="V718" i="6" s="1"/>
  <c r="N719" i="6"/>
  <c r="V719" i="6" s="1"/>
  <c r="N720" i="6"/>
  <c r="V720" i="6" s="1"/>
  <c r="N721" i="6"/>
  <c r="V721" i="6" s="1"/>
  <c r="N722" i="6"/>
  <c r="V722" i="6" s="1"/>
  <c r="N723" i="6"/>
  <c r="V723" i="6" s="1"/>
  <c r="N724" i="6"/>
  <c r="V724" i="6" s="1"/>
  <c r="N725" i="6"/>
  <c r="V725" i="6" s="1"/>
  <c r="N726" i="6"/>
  <c r="V726" i="6" s="1"/>
  <c r="N727" i="6"/>
  <c r="V727" i="6" s="1"/>
  <c r="D2" i="7" l="1"/>
  <c r="C2" i="7"/>
  <c r="B2" i="7"/>
  <c r="A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2210E95-B555-44B2-8465-21206F53E91E}" keepAlive="1" name="Query - goods_receipts" description="Connection to the 'goods_receipts' query in the workbook." type="5" refreshedVersion="8" background="1" saveData="1">
    <dbPr connection="Provider=Microsoft.Mashup.OleDb.1;Data Source=$Workbook$;Location=goods_receipts;Extended Properties=&quot;&quot;" command="SELECT * FROM [goods_receipts]"/>
  </connection>
  <connection id="2" xr16:uid="{2528BA2D-C1CF-4731-9481-DB4C61DA7777}" keepAlive="1" name="Query - invoices" description="Connection to the 'invoices' query in the workbook." type="5" refreshedVersion="8" background="1" saveData="1">
    <dbPr connection="Provider=Microsoft.Mashup.OleDb.1;Data Source=$Workbook$;Location=invoices;Extended Properties=&quot;&quot;" command="SELECT * FROM [invoices]"/>
  </connection>
  <connection id="3" xr16:uid="{90ED7FA4-9018-4796-88C9-B6CB8DFE78F0}" keepAlive="1" name="Query - po_gr_merged" description="Connection to the 'po_gr_merged' query in the workbook." type="5" refreshedVersion="8" background="1" saveData="1">
    <dbPr connection="Provider=Microsoft.Mashup.OleDb.1;Data Source=$Workbook$;Location=po_gr_merged;Extended Properties=&quot;&quot;" command="SELECT * FROM [po_gr_merged]"/>
  </connection>
  <connection id="4" xr16:uid="{008942BE-8F4D-4D76-B3CB-AD65ACA5B384}" keepAlive="1" name="Query - po_master" description="Connection to the 'po_master' query in the workbook." type="5" refreshedVersion="8" background="1" saveData="1">
    <dbPr connection="Provider=Microsoft.Mashup.OleDb.1;Data Source=$Workbook$;Location=po_master;Extended Properties=&quot;&quot;" command="SELECT * FROM [po_master]"/>
  </connection>
  <connection id="5" xr16:uid="{844A28C7-C781-496A-BC81-6916C86E1B14}" keepAlive="1" name="Query - purchase_orders" description="Connection to the 'purchase_orders' query in the workbook." type="5" refreshedVersion="8" background="1" saveData="1">
    <dbPr connection="Provider=Microsoft.Mashup.OleDb.1;Data Source=$Workbook$;Location=purchase_orders;Extended Properties=&quot;&quot;" command="SELECT * FROM [purchase_orders]"/>
  </connection>
</connections>
</file>

<file path=xl/sharedStrings.xml><?xml version="1.0" encoding="utf-8"?>
<sst xmlns="http://schemas.openxmlformats.org/spreadsheetml/2006/main" count="9316" uniqueCount="1545">
  <si>
    <t>PO Number</t>
  </si>
  <si>
    <t>GR Quantity</t>
  </si>
  <si>
    <t>Actual Delivery Date</t>
  </si>
  <si>
    <t>PO1000</t>
  </si>
  <si>
    <t>PO1001</t>
  </si>
  <si>
    <t>PO1002</t>
  </si>
  <si>
    <t>PO1003</t>
  </si>
  <si>
    <t>PO1004</t>
  </si>
  <si>
    <t>PO1005</t>
  </si>
  <si>
    <t>PO1006</t>
  </si>
  <si>
    <t>PO1007</t>
  </si>
  <si>
    <t>PO1008</t>
  </si>
  <si>
    <t>PO1009</t>
  </si>
  <si>
    <t>PO1010</t>
  </si>
  <si>
    <t>PO1011</t>
  </si>
  <si>
    <t>PO1012</t>
  </si>
  <si>
    <t>PO1013</t>
  </si>
  <si>
    <t>PO1014</t>
  </si>
  <si>
    <t>PO1015</t>
  </si>
  <si>
    <t>PO1016</t>
  </si>
  <si>
    <t>PO1017</t>
  </si>
  <si>
    <t>PO1018</t>
  </si>
  <si>
    <t>PO1019</t>
  </si>
  <si>
    <t>PO1020</t>
  </si>
  <si>
    <t>PO1021</t>
  </si>
  <si>
    <t>PO1022</t>
  </si>
  <si>
    <t>PO1023</t>
  </si>
  <si>
    <t>PO1024</t>
  </si>
  <si>
    <t>PO1025</t>
  </si>
  <si>
    <t>PO1026</t>
  </si>
  <si>
    <t>PO1027</t>
  </si>
  <si>
    <t>PO1028</t>
  </si>
  <si>
    <t>PO1029</t>
  </si>
  <si>
    <t>PO1030</t>
  </si>
  <si>
    <t>PO1031</t>
  </si>
  <si>
    <t>PO1032</t>
  </si>
  <si>
    <t>PO1033</t>
  </si>
  <si>
    <t>PO1034</t>
  </si>
  <si>
    <t>PO1036</t>
  </si>
  <si>
    <t>PO1037</t>
  </si>
  <si>
    <t>PO1038</t>
  </si>
  <si>
    <t>PO1039</t>
  </si>
  <si>
    <t>PO1040</t>
  </si>
  <si>
    <t>PO1041</t>
  </si>
  <si>
    <t>PO1042</t>
  </si>
  <si>
    <t>PO1043</t>
  </si>
  <si>
    <t>PO1044</t>
  </si>
  <si>
    <t>PO1045</t>
  </si>
  <si>
    <t>PO1046</t>
  </si>
  <si>
    <t>PO1047</t>
  </si>
  <si>
    <t>PO1048</t>
  </si>
  <si>
    <t>PO1049</t>
  </si>
  <si>
    <t>PO1050</t>
  </si>
  <si>
    <t>PO1051</t>
  </si>
  <si>
    <t>PO1052</t>
  </si>
  <si>
    <t>PO1053</t>
  </si>
  <si>
    <t>PO1055</t>
  </si>
  <si>
    <t>PO1056</t>
  </si>
  <si>
    <t>PO1057</t>
  </si>
  <si>
    <t>PO1058</t>
  </si>
  <si>
    <t>PO1059</t>
  </si>
  <si>
    <t>PO1060</t>
  </si>
  <si>
    <t>PO1061</t>
  </si>
  <si>
    <t>PO1062</t>
  </si>
  <si>
    <t>PO1063</t>
  </si>
  <si>
    <t>PO1064</t>
  </si>
  <si>
    <t>PO1065</t>
  </si>
  <si>
    <t>PO1066</t>
  </si>
  <si>
    <t>PO1067</t>
  </si>
  <si>
    <t>PO1068</t>
  </si>
  <si>
    <t>PO1069</t>
  </si>
  <si>
    <t>PO1070</t>
  </si>
  <si>
    <t>PO1071</t>
  </si>
  <si>
    <t>PO1072</t>
  </si>
  <si>
    <t>PO1073</t>
  </si>
  <si>
    <t>PO1074</t>
  </si>
  <si>
    <t>PO1075</t>
  </si>
  <si>
    <t>PO1076</t>
  </si>
  <si>
    <t>PO1078</t>
  </si>
  <si>
    <t>PO1079</t>
  </si>
  <si>
    <t>PO1080</t>
  </si>
  <si>
    <t>PO1081</t>
  </si>
  <si>
    <t>PO1082</t>
  </si>
  <si>
    <t>PO1083</t>
  </si>
  <si>
    <t>PO1084</t>
  </si>
  <si>
    <t>PO1085</t>
  </si>
  <si>
    <t>PO1086</t>
  </si>
  <si>
    <t>PO1087</t>
  </si>
  <si>
    <t>PO1088</t>
  </si>
  <si>
    <t>PO1089</t>
  </si>
  <si>
    <t>PO1090</t>
  </si>
  <si>
    <t>PO1091</t>
  </si>
  <si>
    <t>PO1092</t>
  </si>
  <si>
    <t>PO1094</t>
  </si>
  <si>
    <t>PO1095</t>
  </si>
  <si>
    <t>PO1097</t>
  </si>
  <si>
    <t>PO1098</t>
  </si>
  <si>
    <t>PO1099</t>
  </si>
  <si>
    <t>PO1101</t>
  </si>
  <si>
    <t>PO1102</t>
  </si>
  <si>
    <t>PO1103</t>
  </si>
  <si>
    <t>PO1104</t>
  </si>
  <si>
    <t>PO1105</t>
  </si>
  <si>
    <t>PO1106</t>
  </si>
  <si>
    <t>PO1107</t>
  </si>
  <si>
    <t>PO1108</t>
  </si>
  <si>
    <t>PO1110</t>
  </si>
  <si>
    <t>PO1111</t>
  </si>
  <si>
    <t>PO1113</t>
  </si>
  <si>
    <t>PO1114</t>
  </si>
  <si>
    <t>PO1115</t>
  </si>
  <si>
    <t>PO1116</t>
  </si>
  <si>
    <t>PO1117</t>
  </si>
  <si>
    <t>PO1118</t>
  </si>
  <si>
    <t>PO1119</t>
  </si>
  <si>
    <t>PO1120</t>
  </si>
  <si>
    <t>PO1121</t>
  </si>
  <si>
    <t>PO1122</t>
  </si>
  <si>
    <t>PO1123</t>
  </si>
  <si>
    <t>PO1125</t>
  </si>
  <si>
    <t>PO1126</t>
  </si>
  <si>
    <t>PO1127</t>
  </si>
  <si>
    <t>PO1129</t>
  </si>
  <si>
    <t>PO1130</t>
  </si>
  <si>
    <t>PO1131</t>
  </si>
  <si>
    <t>PO1132</t>
  </si>
  <si>
    <t>PO1134</t>
  </si>
  <si>
    <t>PO1135</t>
  </si>
  <si>
    <t>PO1136</t>
  </si>
  <si>
    <t>PO1137</t>
  </si>
  <si>
    <t>PO1138</t>
  </si>
  <si>
    <t>PO1139</t>
  </si>
  <si>
    <t>PO1140</t>
  </si>
  <si>
    <t>PO1141</t>
  </si>
  <si>
    <t>PO1142</t>
  </si>
  <si>
    <t>PO1143</t>
  </si>
  <si>
    <t>PO1144</t>
  </si>
  <si>
    <t>PO1145</t>
  </si>
  <si>
    <t>PO1146</t>
  </si>
  <si>
    <t>PO1147</t>
  </si>
  <si>
    <t>PO1148</t>
  </si>
  <si>
    <t>PO1149</t>
  </si>
  <si>
    <t>PO1151</t>
  </si>
  <si>
    <t>PO1152</t>
  </si>
  <si>
    <t>PO1153</t>
  </si>
  <si>
    <t>PO1155</t>
  </si>
  <si>
    <t>PO1156</t>
  </si>
  <si>
    <t>PO1157</t>
  </si>
  <si>
    <t>PO1158</t>
  </si>
  <si>
    <t>PO1160</t>
  </si>
  <si>
    <t>PO1161</t>
  </si>
  <si>
    <t>PO1162</t>
  </si>
  <si>
    <t>PO1163</t>
  </si>
  <si>
    <t>PO1164</t>
  </si>
  <si>
    <t>PO1165</t>
  </si>
  <si>
    <t>PO1166</t>
  </si>
  <si>
    <t>PO1167</t>
  </si>
  <si>
    <t>PO1168</t>
  </si>
  <si>
    <t>PO1169</t>
  </si>
  <si>
    <t>PO1170</t>
  </si>
  <si>
    <t>PO1171</t>
  </si>
  <si>
    <t>PO1172</t>
  </si>
  <si>
    <t>PO1173</t>
  </si>
  <si>
    <t>PO1176</t>
  </si>
  <si>
    <t>PO1177</t>
  </si>
  <si>
    <t>PO1178</t>
  </si>
  <si>
    <t>PO1179</t>
  </si>
  <si>
    <t>PO1180</t>
  </si>
  <si>
    <t>PO1181</t>
  </si>
  <si>
    <t>PO1182</t>
  </si>
  <si>
    <t>PO1183</t>
  </si>
  <si>
    <t>PO1184</t>
  </si>
  <si>
    <t>PO1185</t>
  </si>
  <si>
    <t>PO1186</t>
  </si>
  <si>
    <t>PO1187</t>
  </si>
  <si>
    <t>PO1188</t>
  </si>
  <si>
    <t>PO1190</t>
  </si>
  <si>
    <t>PO1191</t>
  </si>
  <si>
    <t>PO1192</t>
  </si>
  <si>
    <t>PO1193</t>
  </si>
  <si>
    <t>PO1194</t>
  </si>
  <si>
    <t>PO1195</t>
  </si>
  <si>
    <t>PO1196</t>
  </si>
  <si>
    <t>PO1197</t>
  </si>
  <si>
    <t>PO1199</t>
  </si>
  <si>
    <t>PO1200</t>
  </si>
  <si>
    <t>PO1201</t>
  </si>
  <si>
    <t>PO1202</t>
  </si>
  <si>
    <t>PO1203</t>
  </si>
  <si>
    <t>PO1204</t>
  </si>
  <si>
    <t>PO1205</t>
  </si>
  <si>
    <t>PO1206</t>
  </si>
  <si>
    <t>PO1207</t>
  </si>
  <si>
    <t>PO1208</t>
  </si>
  <si>
    <t>PO1209</t>
  </si>
  <si>
    <t>PO1210</t>
  </si>
  <si>
    <t>PO1211</t>
  </si>
  <si>
    <t>PO1212</t>
  </si>
  <si>
    <t>PO1213</t>
  </si>
  <si>
    <t>PO1215</t>
  </si>
  <si>
    <t>PO1216</t>
  </si>
  <si>
    <t>PO1217</t>
  </si>
  <si>
    <t>PO1218</t>
  </si>
  <si>
    <t>PO1219</t>
  </si>
  <si>
    <t>PO1220</t>
  </si>
  <si>
    <t>PO1222</t>
  </si>
  <si>
    <t>PO1223</t>
  </si>
  <si>
    <t>PO1224</t>
  </si>
  <si>
    <t>PO1225</t>
  </si>
  <si>
    <t>PO1226</t>
  </si>
  <si>
    <t>PO1227</t>
  </si>
  <si>
    <t>PO1228</t>
  </si>
  <si>
    <t>PO1229</t>
  </si>
  <si>
    <t>PO1230</t>
  </si>
  <si>
    <t>PO1231</t>
  </si>
  <si>
    <t>PO1232</t>
  </si>
  <si>
    <t>PO1233</t>
  </si>
  <si>
    <t>PO1234</t>
  </si>
  <si>
    <t>PO1235</t>
  </si>
  <si>
    <t>PO1236</t>
  </si>
  <si>
    <t>PO1237</t>
  </si>
  <si>
    <t>PO1238</t>
  </si>
  <si>
    <t>PO1239</t>
  </si>
  <si>
    <t>PO1240</t>
  </si>
  <si>
    <t>PO1241</t>
  </si>
  <si>
    <t>PO1242</t>
  </si>
  <si>
    <t>PO1244</t>
  </si>
  <si>
    <t>PO1245</t>
  </si>
  <si>
    <t>PO1246</t>
  </si>
  <si>
    <t>PO1247</t>
  </si>
  <si>
    <t>PO1248</t>
  </si>
  <si>
    <t>PO1249</t>
  </si>
  <si>
    <t>PO1250</t>
  </si>
  <si>
    <t>PO1251</t>
  </si>
  <si>
    <t>PO1252</t>
  </si>
  <si>
    <t>PO1253</t>
  </si>
  <si>
    <t>PO1254</t>
  </si>
  <si>
    <t>PO1255</t>
  </si>
  <si>
    <t>PO1256</t>
  </si>
  <si>
    <t>PO1257</t>
  </si>
  <si>
    <t>PO1258</t>
  </si>
  <si>
    <t>PO1259</t>
  </si>
  <si>
    <t>PO1260</t>
  </si>
  <si>
    <t>PO1261</t>
  </si>
  <si>
    <t>PO1262</t>
  </si>
  <si>
    <t>PO1263</t>
  </si>
  <si>
    <t>PO1264</t>
  </si>
  <si>
    <t>PO1266</t>
  </si>
  <si>
    <t>PO1267</t>
  </si>
  <si>
    <t>PO1268</t>
  </si>
  <si>
    <t>PO1269</t>
  </si>
  <si>
    <t>PO1270</t>
  </si>
  <si>
    <t>PO1272</t>
  </si>
  <si>
    <t>PO1273</t>
  </si>
  <si>
    <t>PO1274</t>
  </si>
  <si>
    <t>PO1275</t>
  </si>
  <si>
    <t>PO1277</t>
  </si>
  <si>
    <t>PO1278</t>
  </si>
  <si>
    <t>PO1279</t>
  </si>
  <si>
    <t>PO1280</t>
  </si>
  <si>
    <t>PO1281</t>
  </si>
  <si>
    <t>PO1282</t>
  </si>
  <si>
    <t>PO1283</t>
  </si>
  <si>
    <t>PO1284</t>
  </si>
  <si>
    <t>PO1285</t>
  </si>
  <si>
    <t>PO1286</t>
  </si>
  <si>
    <t>PO1287</t>
  </si>
  <si>
    <t>PO1288</t>
  </si>
  <si>
    <t>PO1289</t>
  </si>
  <si>
    <t>PO1290</t>
  </si>
  <si>
    <t>PO1292</t>
  </si>
  <si>
    <t>PO1294</t>
  </si>
  <si>
    <t>PO1295</t>
  </si>
  <si>
    <t>PO1296</t>
  </si>
  <si>
    <t>PO1297</t>
  </si>
  <si>
    <t>PO1298</t>
  </si>
  <si>
    <t>PO1300</t>
  </si>
  <si>
    <t>PO1301</t>
  </si>
  <si>
    <t>PO1302</t>
  </si>
  <si>
    <t>PO1303</t>
  </si>
  <si>
    <t>PO1304</t>
  </si>
  <si>
    <t>PO1305</t>
  </si>
  <si>
    <t>PO1306</t>
  </si>
  <si>
    <t>PO1307</t>
  </si>
  <si>
    <t>PO1308</t>
  </si>
  <si>
    <t>PO1309</t>
  </si>
  <si>
    <t>PO1311</t>
  </si>
  <si>
    <t>PO1312</t>
  </si>
  <si>
    <t>PO1313</t>
  </si>
  <si>
    <t>PO1314</t>
  </si>
  <si>
    <t>PO1315</t>
  </si>
  <si>
    <t>PO1316</t>
  </si>
  <si>
    <t>PO1317</t>
  </si>
  <si>
    <t>PO1318</t>
  </si>
  <si>
    <t>PO1320</t>
  </si>
  <si>
    <t>PO1321</t>
  </si>
  <si>
    <t>PO1322</t>
  </si>
  <si>
    <t>PO1323</t>
  </si>
  <si>
    <t>PO1324</t>
  </si>
  <si>
    <t>PO1325</t>
  </si>
  <si>
    <t>PO1326</t>
  </si>
  <si>
    <t>PO1327</t>
  </si>
  <si>
    <t>PO1328</t>
  </si>
  <si>
    <t>PO1329</t>
  </si>
  <si>
    <t>PO1330</t>
  </si>
  <si>
    <t>PO1331</t>
  </si>
  <si>
    <t>PO1332</t>
  </si>
  <si>
    <t>PO1333</t>
  </si>
  <si>
    <t>PO1334</t>
  </si>
  <si>
    <t>PO1335</t>
  </si>
  <si>
    <t>PO1336</t>
  </si>
  <si>
    <t>PO1338</t>
  </si>
  <si>
    <t>PO1339</t>
  </si>
  <si>
    <t>PO1340</t>
  </si>
  <si>
    <t>PO1341</t>
  </si>
  <si>
    <t>PO1342</t>
  </si>
  <si>
    <t>PO1343</t>
  </si>
  <si>
    <t>PO1344</t>
  </si>
  <si>
    <t>PO1345</t>
  </si>
  <si>
    <t>PO1346</t>
  </si>
  <si>
    <t>PO1347</t>
  </si>
  <si>
    <t>PO1348</t>
  </si>
  <si>
    <t>PO1349</t>
  </si>
  <si>
    <t>PO1350</t>
  </si>
  <si>
    <t>PO1351</t>
  </si>
  <si>
    <t>PO1352</t>
  </si>
  <si>
    <t>PO1353</t>
  </si>
  <si>
    <t>PO1354</t>
  </si>
  <si>
    <t>PO1355</t>
  </si>
  <si>
    <t>PO1356</t>
  </si>
  <si>
    <t>PO1357</t>
  </si>
  <si>
    <t>PO1358</t>
  </si>
  <si>
    <t>PO1359</t>
  </si>
  <si>
    <t>PO1360</t>
  </si>
  <si>
    <t>PO1361</t>
  </si>
  <si>
    <t>PO1362</t>
  </si>
  <si>
    <t>PO1363</t>
  </si>
  <si>
    <t>PO1364</t>
  </si>
  <si>
    <t>PO1365</t>
  </si>
  <si>
    <t>PO1366</t>
  </si>
  <si>
    <t>PO1367</t>
  </si>
  <si>
    <t>PO1368</t>
  </si>
  <si>
    <t>PO1370</t>
  </si>
  <si>
    <t>PO1371</t>
  </si>
  <si>
    <t>PO1372</t>
  </si>
  <si>
    <t>PO1373</t>
  </si>
  <si>
    <t>PO1374</t>
  </si>
  <si>
    <t>PO1375</t>
  </si>
  <si>
    <t>PO1376</t>
  </si>
  <si>
    <t>PO1377</t>
  </si>
  <si>
    <t>PO1378</t>
  </si>
  <si>
    <t>PO1379</t>
  </si>
  <si>
    <t>PO1380</t>
  </si>
  <si>
    <t>PO1381</t>
  </si>
  <si>
    <t>PO1382</t>
  </si>
  <si>
    <t>PO1383</t>
  </si>
  <si>
    <t>PO1385</t>
  </si>
  <si>
    <t>PO1386</t>
  </si>
  <si>
    <t>PO1387</t>
  </si>
  <si>
    <t>PO1388</t>
  </si>
  <si>
    <t>PO1389</t>
  </si>
  <si>
    <t>PO1390</t>
  </si>
  <si>
    <t>PO1394</t>
  </si>
  <si>
    <t>PO1395</t>
  </si>
  <si>
    <t>PO1397</t>
  </si>
  <si>
    <t>PO1398</t>
  </si>
  <si>
    <t>PO1399</t>
  </si>
  <si>
    <t>PO1400</t>
  </si>
  <si>
    <t>PO1401</t>
  </si>
  <si>
    <t>PO1402</t>
  </si>
  <si>
    <t>PO1403</t>
  </si>
  <si>
    <t>PO1404</t>
  </si>
  <si>
    <t>PO1405</t>
  </si>
  <si>
    <t>PO1406</t>
  </si>
  <si>
    <t>PO1407</t>
  </si>
  <si>
    <t>PO1408</t>
  </si>
  <si>
    <t>PO1409</t>
  </si>
  <si>
    <t>PO1410</t>
  </si>
  <si>
    <t>PO1411</t>
  </si>
  <si>
    <t>PO1413</t>
  </si>
  <si>
    <t>PO1414</t>
  </si>
  <si>
    <t>PO1415</t>
  </si>
  <si>
    <t>PO1416</t>
  </si>
  <si>
    <t>PO1417</t>
  </si>
  <si>
    <t>PO1418</t>
  </si>
  <si>
    <t>PO1419</t>
  </si>
  <si>
    <t>PO1421</t>
  </si>
  <si>
    <t>PO1422</t>
  </si>
  <si>
    <t>PO1424</t>
  </si>
  <si>
    <t>PO1425</t>
  </si>
  <si>
    <t>PO1426</t>
  </si>
  <si>
    <t>PO1427</t>
  </si>
  <si>
    <t>PO1428</t>
  </si>
  <si>
    <t>PO1429</t>
  </si>
  <si>
    <t>PO1430</t>
  </si>
  <si>
    <t>PO1432</t>
  </si>
  <si>
    <t>PO1433</t>
  </si>
  <si>
    <t>PO1434</t>
  </si>
  <si>
    <t>PO1435</t>
  </si>
  <si>
    <t>PO1436</t>
  </si>
  <si>
    <t>PO1437</t>
  </si>
  <si>
    <t>PO1439</t>
  </si>
  <si>
    <t>PO1440</t>
  </si>
  <si>
    <t>PO1441</t>
  </si>
  <si>
    <t>PO1442</t>
  </si>
  <si>
    <t>PO1443</t>
  </si>
  <si>
    <t>PO1444</t>
  </si>
  <si>
    <t>PO1445</t>
  </si>
  <si>
    <t>PO1446</t>
  </si>
  <si>
    <t>PO1447</t>
  </si>
  <si>
    <t>PO1448</t>
  </si>
  <si>
    <t>PO1449</t>
  </si>
  <si>
    <t>PO1450</t>
  </si>
  <si>
    <t>PO1451</t>
  </si>
  <si>
    <t>PO1452</t>
  </si>
  <si>
    <t>PO1453</t>
  </si>
  <si>
    <t>PO1454</t>
  </si>
  <si>
    <t>PO1455</t>
  </si>
  <si>
    <t>PO1456</t>
  </si>
  <si>
    <t>PO1458</t>
  </si>
  <si>
    <t>PO1459</t>
  </si>
  <si>
    <t>PO1460</t>
  </si>
  <si>
    <t>PO1461</t>
  </si>
  <si>
    <t>PO1462</t>
  </si>
  <si>
    <t>PO1463</t>
  </si>
  <si>
    <t>PO1464</t>
  </si>
  <si>
    <t>PO1465</t>
  </si>
  <si>
    <t>PO1466</t>
  </si>
  <si>
    <t>PO1467</t>
  </si>
  <si>
    <t>PO1468</t>
  </si>
  <si>
    <t>PO1470</t>
  </si>
  <si>
    <t>PO1471</t>
  </si>
  <si>
    <t>PO1472</t>
  </si>
  <si>
    <t>PO1473</t>
  </si>
  <si>
    <t>PO1474</t>
  </si>
  <si>
    <t>PO1475</t>
  </si>
  <si>
    <t>PO1477</t>
  </si>
  <si>
    <t>PO1478</t>
  </si>
  <si>
    <t>PO1480</t>
  </si>
  <si>
    <t>PO1481</t>
  </si>
  <si>
    <t>PO1482</t>
  </si>
  <si>
    <t>PO1483</t>
  </si>
  <si>
    <t>PO1484</t>
  </si>
  <si>
    <t>PO1485</t>
  </si>
  <si>
    <t>PO1486</t>
  </si>
  <si>
    <t>PO1487</t>
  </si>
  <si>
    <t>PO1488</t>
  </si>
  <si>
    <t>PO1489</t>
  </si>
  <si>
    <t>PO1490</t>
  </si>
  <si>
    <t>PO1491</t>
  </si>
  <si>
    <t>PO1492</t>
  </si>
  <si>
    <t>PO1493</t>
  </si>
  <si>
    <t>PO1494</t>
  </si>
  <si>
    <t>PO1495</t>
  </si>
  <si>
    <t>PO1496</t>
  </si>
  <si>
    <t>PO1497</t>
  </si>
  <si>
    <t>PO1498</t>
  </si>
  <si>
    <t>PO1499</t>
  </si>
  <si>
    <t>PO1501</t>
  </si>
  <si>
    <t>PO1502</t>
  </si>
  <si>
    <t>PO1503</t>
  </si>
  <si>
    <t>PO1504</t>
  </si>
  <si>
    <t>PO1505</t>
  </si>
  <si>
    <t>PO1507</t>
  </si>
  <si>
    <t>PO1508</t>
  </si>
  <si>
    <t>PO1509</t>
  </si>
  <si>
    <t>PO1510</t>
  </si>
  <si>
    <t>PO1511</t>
  </si>
  <si>
    <t>PO1512</t>
  </si>
  <si>
    <t>PO1513</t>
  </si>
  <si>
    <t>PO1514</t>
  </si>
  <si>
    <t>PO1515</t>
  </si>
  <si>
    <t>PO1516</t>
  </si>
  <si>
    <t>PO1517</t>
  </si>
  <si>
    <t>PO1518</t>
  </si>
  <si>
    <t>PO1519</t>
  </si>
  <si>
    <t>PO1520</t>
  </si>
  <si>
    <t>PO1521</t>
  </si>
  <si>
    <t>PO1522</t>
  </si>
  <si>
    <t>PO1523</t>
  </si>
  <si>
    <t>PO1524</t>
  </si>
  <si>
    <t>PO1525</t>
  </si>
  <si>
    <t>PO1526</t>
  </si>
  <si>
    <t>PO1527</t>
  </si>
  <si>
    <t>PO1528</t>
  </si>
  <si>
    <t>PO1529</t>
  </si>
  <si>
    <t>PO1530</t>
  </si>
  <si>
    <t>PO1531</t>
  </si>
  <si>
    <t>PO1533</t>
  </si>
  <si>
    <t>PO1534</t>
  </si>
  <si>
    <t>PO1535</t>
  </si>
  <si>
    <t>PO1536</t>
  </si>
  <si>
    <t>PO1537</t>
  </si>
  <si>
    <t>PO1538</t>
  </si>
  <si>
    <t>PO1539</t>
  </si>
  <si>
    <t>PO1540</t>
  </si>
  <si>
    <t>PO1541</t>
  </si>
  <si>
    <t>PO1542</t>
  </si>
  <si>
    <t>PO1543</t>
  </si>
  <si>
    <t>PO1544</t>
  </si>
  <si>
    <t>PO1545</t>
  </si>
  <si>
    <t>PO1546</t>
  </si>
  <si>
    <t>PO1547</t>
  </si>
  <si>
    <t>PO1548</t>
  </si>
  <si>
    <t>PO1549</t>
  </si>
  <si>
    <t>PO1550</t>
  </si>
  <si>
    <t>PO1551</t>
  </si>
  <si>
    <t>PO1552</t>
  </si>
  <si>
    <t>PO1553</t>
  </si>
  <si>
    <t>PO1554</t>
  </si>
  <si>
    <t>PO1555</t>
  </si>
  <si>
    <t>PO1557</t>
  </si>
  <si>
    <t>PO1558</t>
  </si>
  <si>
    <t>PO1559</t>
  </si>
  <si>
    <t>PO1560</t>
  </si>
  <si>
    <t>PO1561</t>
  </si>
  <si>
    <t>PO1562</t>
  </si>
  <si>
    <t>PO1563</t>
  </si>
  <si>
    <t>PO1565</t>
  </si>
  <si>
    <t>PO1567</t>
  </si>
  <si>
    <t>PO1568</t>
  </si>
  <si>
    <t>PO1569</t>
  </si>
  <si>
    <t>PO1570</t>
  </si>
  <si>
    <t>PO1571</t>
  </si>
  <si>
    <t>PO1572</t>
  </si>
  <si>
    <t>PO1573</t>
  </si>
  <si>
    <t>PO1574</t>
  </si>
  <si>
    <t>PO1575</t>
  </si>
  <si>
    <t>PO1576</t>
  </si>
  <si>
    <t>PO1577</t>
  </si>
  <si>
    <t>PO1578</t>
  </si>
  <si>
    <t>PO1579</t>
  </si>
  <si>
    <t>PO1580</t>
  </si>
  <si>
    <t>PO1581</t>
  </si>
  <si>
    <t>PO1582</t>
  </si>
  <si>
    <t>PO1583</t>
  </si>
  <si>
    <t>PO1584</t>
  </si>
  <si>
    <t>PO1585</t>
  </si>
  <si>
    <t>PO1586</t>
  </si>
  <si>
    <t>PO1587</t>
  </si>
  <si>
    <t>PO1588</t>
  </si>
  <si>
    <t>PO1589</t>
  </si>
  <si>
    <t>PO1590</t>
  </si>
  <si>
    <t>PO1591</t>
  </si>
  <si>
    <t>PO1592</t>
  </si>
  <si>
    <t>PO1593</t>
  </si>
  <si>
    <t>PO1594</t>
  </si>
  <si>
    <t>PO1595</t>
  </si>
  <si>
    <t>PO1596</t>
  </si>
  <si>
    <t>PO1597</t>
  </si>
  <si>
    <t>PO1598</t>
  </si>
  <si>
    <t>PO1599</t>
  </si>
  <si>
    <t>PO1600</t>
  </si>
  <si>
    <t>PO1601</t>
  </si>
  <si>
    <t>PO1602</t>
  </si>
  <si>
    <t>PO1603</t>
  </si>
  <si>
    <t>PO1606</t>
  </si>
  <si>
    <t>PO1607</t>
  </si>
  <si>
    <t>PO1609</t>
  </si>
  <si>
    <t>PO1610</t>
  </si>
  <si>
    <t>PO1611</t>
  </si>
  <si>
    <t>PO1612</t>
  </si>
  <si>
    <t>PO1613</t>
  </si>
  <si>
    <t>PO1614</t>
  </si>
  <si>
    <t>PO1615</t>
  </si>
  <si>
    <t>PO1616</t>
  </si>
  <si>
    <t>PO1617</t>
  </si>
  <si>
    <t>PO1618</t>
  </si>
  <si>
    <t>PO1619</t>
  </si>
  <si>
    <t>PO1620</t>
  </si>
  <si>
    <t>PO1621</t>
  </si>
  <si>
    <t>PO1622</t>
  </si>
  <si>
    <t>PO1623</t>
  </si>
  <si>
    <t>PO1624</t>
  </si>
  <si>
    <t>PO1625</t>
  </si>
  <si>
    <t>PO1626</t>
  </si>
  <si>
    <t>PO1627</t>
  </si>
  <si>
    <t>PO1628</t>
  </si>
  <si>
    <t>PO1629</t>
  </si>
  <si>
    <t>PO1630</t>
  </si>
  <si>
    <t>PO1631</t>
  </si>
  <si>
    <t>PO1632</t>
  </si>
  <si>
    <t>PO1633</t>
  </si>
  <si>
    <t>PO1634</t>
  </si>
  <si>
    <t>PO1636</t>
  </si>
  <si>
    <t>PO1637</t>
  </si>
  <si>
    <t>PO1638</t>
  </si>
  <si>
    <t>PO1639</t>
  </si>
  <si>
    <t>PO1640</t>
  </si>
  <si>
    <t>PO1641</t>
  </si>
  <si>
    <t>PO1642</t>
  </si>
  <si>
    <t>PO1643</t>
  </si>
  <si>
    <t>PO1644</t>
  </si>
  <si>
    <t>PO1645</t>
  </si>
  <si>
    <t>PO1646</t>
  </si>
  <si>
    <t>PO1647</t>
  </si>
  <si>
    <t>PO1648</t>
  </si>
  <si>
    <t>PO1649</t>
  </si>
  <si>
    <t>PO1650</t>
  </si>
  <si>
    <t>PO1651</t>
  </si>
  <si>
    <t>PO1652</t>
  </si>
  <si>
    <t>PO1653</t>
  </si>
  <si>
    <t>PO1654</t>
  </si>
  <si>
    <t>PO1655</t>
  </si>
  <si>
    <t>PO1656</t>
  </si>
  <si>
    <t>PO1657</t>
  </si>
  <si>
    <t>PO1658</t>
  </si>
  <si>
    <t>PO1659</t>
  </si>
  <si>
    <t>PO1660</t>
  </si>
  <si>
    <t>PO1661</t>
  </si>
  <si>
    <t>PO1662</t>
  </si>
  <si>
    <t>PO1663</t>
  </si>
  <si>
    <t>PO1664</t>
  </si>
  <si>
    <t>PO1665</t>
  </si>
  <si>
    <t>PO1666</t>
  </si>
  <si>
    <t>PO1667</t>
  </si>
  <si>
    <t>PO1668</t>
  </si>
  <si>
    <t>PO1669</t>
  </si>
  <si>
    <t>PO1670</t>
  </si>
  <si>
    <t>PO1671</t>
  </si>
  <si>
    <t>PO1672</t>
  </si>
  <si>
    <t>PO1673</t>
  </si>
  <si>
    <t>PO1674</t>
  </si>
  <si>
    <t>PO1675</t>
  </si>
  <si>
    <t>PO1676</t>
  </si>
  <si>
    <t>PO1677</t>
  </si>
  <si>
    <t>PO1678</t>
  </si>
  <si>
    <t>PO1679</t>
  </si>
  <si>
    <t>PO1680</t>
  </si>
  <si>
    <t>PO1681</t>
  </si>
  <si>
    <t>PO1682</t>
  </si>
  <si>
    <t>PO1683</t>
  </si>
  <si>
    <t>PO1684</t>
  </si>
  <si>
    <t>PO1685</t>
  </si>
  <si>
    <t>PO1686</t>
  </si>
  <si>
    <t>PO1687</t>
  </si>
  <si>
    <t>PO1688</t>
  </si>
  <si>
    <t>PO1689</t>
  </si>
  <si>
    <t>PO1690</t>
  </si>
  <si>
    <t>PO1691</t>
  </si>
  <si>
    <t>PO1692</t>
  </si>
  <si>
    <t>PO1693</t>
  </si>
  <si>
    <t>PO1695</t>
  </si>
  <si>
    <t>PO1696</t>
  </si>
  <si>
    <t>PO1697</t>
  </si>
  <si>
    <t>PO1698</t>
  </si>
  <si>
    <t>PO1699</t>
  </si>
  <si>
    <t>Invoice Number</t>
  </si>
  <si>
    <t>Invoice Quantity</t>
  </si>
  <si>
    <t>Invoice Unit Price</t>
  </si>
  <si>
    <t>Invoice Date</t>
  </si>
  <si>
    <t>INV5001</t>
  </si>
  <si>
    <t>INV5002</t>
  </si>
  <si>
    <t>INV5003</t>
  </si>
  <si>
    <t>INV5004</t>
  </si>
  <si>
    <t>INV5005</t>
  </si>
  <si>
    <t>INV5006</t>
  </si>
  <si>
    <t>INV5007</t>
  </si>
  <si>
    <t>INV5008</t>
  </si>
  <si>
    <t>INV5009</t>
  </si>
  <si>
    <t>INV5010</t>
  </si>
  <si>
    <t>INV5011</t>
  </si>
  <si>
    <t>INV5012</t>
  </si>
  <si>
    <t>INV5013</t>
  </si>
  <si>
    <t>INV5014</t>
  </si>
  <si>
    <t>INV5015</t>
  </si>
  <si>
    <t>INV5016</t>
  </si>
  <si>
    <t>INV5017</t>
  </si>
  <si>
    <t>INV5018</t>
  </si>
  <si>
    <t>INV5019</t>
  </si>
  <si>
    <t>INV5020</t>
  </si>
  <si>
    <t>INV5021</t>
  </si>
  <si>
    <t>INV5022</t>
  </si>
  <si>
    <t>INV5023</t>
  </si>
  <si>
    <t>INV5024</t>
  </si>
  <si>
    <t>INV5025</t>
  </si>
  <si>
    <t>INV5026</t>
  </si>
  <si>
    <t>INV5027</t>
  </si>
  <si>
    <t>INV5028</t>
  </si>
  <si>
    <t>INV5029</t>
  </si>
  <si>
    <t>INV5030</t>
  </si>
  <si>
    <t>INV5031</t>
  </si>
  <si>
    <t>INV5032</t>
  </si>
  <si>
    <t>INV5033</t>
  </si>
  <si>
    <t>INV5034</t>
  </si>
  <si>
    <t>INV5035</t>
  </si>
  <si>
    <t>PO1035</t>
  </si>
  <si>
    <t>INV5036</t>
  </si>
  <si>
    <t>INV5037</t>
  </si>
  <si>
    <t>INV5038</t>
  </si>
  <si>
    <t>INV5039</t>
  </si>
  <si>
    <t>INV5040</t>
  </si>
  <si>
    <t>INV5041</t>
  </si>
  <si>
    <t>INV5042</t>
  </si>
  <si>
    <t>INV5043</t>
  </si>
  <si>
    <t>INV5044</t>
  </si>
  <si>
    <t>INV5045</t>
  </si>
  <si>
    <t>INV5046</t>
  </si>
  <si>
    <t>INV5047</t>
  </si>
  <si>
    <t>INV5048</t>
  </si>
  <si>
    <t>INV5049</t>
  </si>
  <si>
    <t>INV5050</t>
  </si>
  <si>
    <t>INV5051</t>
  </si>
  <si>
    <t>INV5052</t>
  </si>
  <si>
    <t>INV5053</t>
  </si>
  <si>
    <t>INV5054</t>
  </si>
  <si>
    <t>INV5055</t>
  </si>
  <si>
    <t>PO1054</t>
  </si>
  <si>
    <t>INV5056</t>
  </si>
  <si>
    <t>INV5057</t>
  </si>
  <si>
    <t>INV5058</t>
  </si>
  <si>
    <t>INV5059</t>
  </si>
  <si>
    <t>INV5060</t>
  </si>
  <si>
    <t>INV5061</t>
  </si>
  <si>
    <t>INV5062</t>
  </si>
  <si>
    <t>INV5063</t>
  </si>
  <si>
    <t>INV5064</t>
  </si>
  <si>
    <t>INV5065</t>
  </si>
  <si>
    <t>INV5066</t>
  </si>
  <si>
    <t>INV5067</t>
  </si>
  <si>
    <t>INV5068</t>
  </si>
  <si>
    <t>INV5069</t>
  </si>
  <si>
    <t>INV5070</t>
  </si>
  <si>
    <t>INV5071</t>
  </si>
  <si>
    <t>INV5072</t>
  </si>
  <si>
    <t>INV5073</t>
  </si>
  <si>
    <t>INV5074</t>
  </si>
  <si>
    <t>INV5075</t>
  </si>
  <si>
    <t>INV5076</t>
  </si>
  <si>
    <t>INV5077</t>
  </si>
  <si>
    <t>INV5078</t>
  </si>
  <si>
    <t>INV5079</t>
  </si>
  <si>
    <t>INV5080</t>
  </si>
  <si>
    <t>PO1077</t>
  </si>
  <si>
    <t>INV5081</t>
  </si>
  <si>
    <t>INV5082</t>
  </si>
  <si>
    <t>INV5083</t>
  </si>
  <si>
    <t>INV5084</t>
  </si>
  <si>
    <t>INV5085</t>
  </si>
  <si>
    <t>INV5086</t>
  </si>
  <si>
    <t>INV5087</t>
  </si>
  <si>
    <t>INV5088</t>
  </si>
  <si>
    <t>INV5089</t>
  </si>
  <si>
    <t>INV5090</t>
  </si>
  <si>
    <t>INV5091</t>
  </si>
  <si>
    <t>INV5092</t>
  </si>
  <si>
    <t>INV5093</t>
  </si>
  <si>
    <t>INV5094</t>
  </si>
  <si>
    <t>INV5095</t>
  </si>
  <si>
    <t>INV5096</t>
  </si>
  <si>
    <t>INV5097</t>
  </si>
  <si>
    <t>PO1093</t>
  </si>
  <si>
    <t>INV5098</t>
  </si>
  <si>
    <t>INV5099</t>
  </si>
  <si>
    <t>INV5100</t>
  </si>
  <si>
    <t>PO1096</t>
  </si>
  <si>
    <t>INV5101</t>
  </si>
  <si>
    <t>INV5102</t>
  </si>
  <si>
    <t>INV5103</t>
  </si>
  <si>
    <t>INV5104</t>
  </si>
  <si>
    <t>PO1100</t>
  </si>
  <si>
    <t>INV5105</t>
  </si>
  <si>
    <t>INV5106</t>
  </si>
  <si>
    <t>INV5107</t>
  </si>
  <si>
    <t>INV5108</t>
  </si>
  <si>
    <t>INV5109</t>
  </si>
  <si>
    <t>INV5110</t>
  </si>
  <si>
    <t>INV5111</t>
  </si>
  <si>
    <t>INV5112</t>
  </si>
  <si>
    <t>INV5113</t>
  </si>
  <si>
    <t>PO1109</t>
  </si>
  <si>
    <t>INV5114</t>
  </si>
  <si>
    <t>INV5115</t>
  </si>
  <si>
    <t>INV5116</t>
  </si>
  <si>
    <t>PO1112</t>
  </si>
  <si>
    <t>INV5117</t>
  </si>
  <si>
    <t>INV5118</t>
  </si>
  <si>
    <t>INV5119</t>
  </si>
  <si>
    <t>INV5120</t>
  </si>
  <si>
    <t>INV5121</t>
  </si>
  <si>
    <t>INV5122</t>
  </si>
  <si>
    <t>INV5123</t>
  </si>
  <si>
    <t>INV5124</t>
  </si>
  <si>
    <t>INV5125</t>
  </si>
  <si>
    <t>INV5126</t>
  </si>
  <si>
    <t>INV5127</t>
  </si>
  <si>
    <t>INV5128</t>
  </si>
  <si>
    <t>INV5129</t>
  </si>
  <si>
    <t>INV5130</t>
  </si>
  <si>
    <t>PO1124</t>
  </si>
  <si>
    <t>INV5131</t>
  </si>
  <si>
    <t>INV5132</t>
  </si>
  <si>
    <t>INV5133</t>
  </si>
  <si>
    <t>INV5134</t>
  </si>
  <si>
    <t>PO1128</t>
  </si>
  <si>
    <t>INV5135</t>
  </si>
  <si>
    <t>INV5136</t>
  </si>
  <si>
    <t>INV5137</t>
  </si>
  <si>
    <t>INV5138</t>
  </si>
  <si>
    <t>INV5139</t>
  </si>
  <si>
    <t>PO1133</t>
  </si>
  <si>
    <t>INV5140</t>
  </si>
  <si>
    <t>INV5141</t>
  </si>
  <si>
    <t>INV5142</t>
  </si>
  <si>
    <t>INV5143</t>
  </si>
  <si>
    <t>INV5144</t>
  </si>
  <si>
    <t>INV5145</t>
  </si>
  <si>
    <t>INV5146</t>
  </si>
  <si>
    <t>INV5147</t>
  </si>
  <si>
    <t>INV5148</t>
  </si>
  <si>
    <t>INV5149</t>
  </si>
  <si>
    <t>INV5150</t>
  </si>
  <si>
    <t>INV5151</t>
  </si>
  <si>
    <t>INV5152</t>
  </si>
  <si>
    <t>INV5153</t>
  </si>
  <si>
    <t>INV5154</t>
  </si>
  <si>
    <t>INV5155</t>
  </si>
  <si>
    <t>INV5156</t>
  </si>
  <si>
    <t>INV5157</t>
  </si>
  <si>
    <t>PO1150</t>
  </si>
  <si>
    <t>INV5158</t>
  </si>
  <si>
    <t>INV5159</t>
  </si>
  <si>
    <t>INV5160</t>
  </si>
  <si>
    <t>INV5161</t>
  </si>
  <si>
    <t>PO1154</t>
  </si>
  <si>
    <t>INV5162</t>
  </si>
  <si>
    <t>INV5163</t>
  </si>
  <si>
    <t>INV5164</t>
  </si>
  <si>
    <t>INV5165</t>
  </si>
  <si>
    <t>INV5166</t>
  </si>
  <si>
    <t>PO1159</t>
  </si>
  <si>
    <t>INV5167</t>
  </si>
  <si>
    <t>INV5168</t>
  </si>
  <si>
    <t>INV5169</t>
  </si>
  <si>
    <t>INV5170</t>
  </si>
  <si>
    <t>INV5171</t>
  </si>
  <si>
    <t>INV5172</t>
  </si>
  <si>
    <t>INV5173</t>
  </si>
  <si>
    <t>INV5174</t>
  </si>
  <si>
    <t>INV5175</t>
  </si>
  <si>
    <t>INV5176</t>
  </si>
  <si>
    <t>INV5177</t>
  </si>
  <si>
    <t>INV5178</t>
  </si>
  <si>
    <t>INV5179</t>
  </si>
  <si>
    <t>INV5180</t>
  </si>
  <si>
    <t>INV5181</t>
  </si>
  <si>
    <t>INV5182</t>
  </si>
  <si>
    <t>PO1174</t>
  </si>
  <si>
    <t>INV5183</t>
  </si>
  <si>
    <t>PO1175</t>
  </si>
  <si>
    <t>INV5184</t>
  </si>
  <si>
    <t>INV5185</t>
  </si>
  <si>
    <t>INV5186</t>
  </si>
  <si>
    <t>INV5187</t>
  </si>
  <si>
    <t>INV5188</t>
  </si>
  <si>
    <t>INV5189</t>
  </si>
  <si>
    <t>INV5190</t>
  </si>
  <si>
    <t>INV5191</t>
  </si>
  <si>
    <t>INV5192</t>
  </si>
  <si>
    <t>INV5193</t>
  </si>
  <si>
    <t>INV5194</t>
  </si>
  <si>
    <t>INV5195</t>
  </si>
  <si>
    <t>INV5196</t>
  </si>
  <si>
    <t>INV5197</t>
  </si>
  <si>
    <t>INV5198</t>
  </si>
  <si>
    <t>PO1189</t>
  </si>
  <si>
    <t>INV5199</t>
  </si>
  <si>
    <t>INV5200</t>
  </si>
  <si>
    <t>INV5201</t>
  </si>
  <si>
    <t>INV5202</t>
  </si>
  <si>
    <t>INV5203</t>
  </si>
  <si>
    <t>INV5204</t>
  </si>
  <si>
    <t>INV5205</t>
  </si>
  <si>
    <t>INV5206</t>
  </si>
  <si>
    <t>INV5207</t>
  </si>
  <si>
    <t>PO1198</t>
  </si>
  <si>
    <t>INV5208</t>
  </si>
  <si>
    <t>INV5209</t>
  </si>
  <si>
    <t>INV5210</t>
  </si>
  <si>
    <t>INV5211</t>
  </si>
  <si>
    <t>INV5212</t>
  </si>
  <si>
    <t>INV5213</t>
  </si>
  <si>
    <t>INV5214</t>
  </si>
  <si>
    <t>INV5215</t>
  </si>
  <si>
    <t>INV5216</t>
  </si>
  <si>
    <t>INV5217</t>
  </si>
  <si>
    <t>INV5218</t>
  </si>
  <si>
    <t>INV5219</t>
  </si>
  <si>
    <t>INV5220</t>
  </si>
  <si>
    <t>INV5221</t>
  </si>
  <si>
    <t>INV5222</t>
  </si>
  <si>
    <t>INV5223</t>
  </si>
  <si>
    <t>PO1214</t>
  </si>
  <si>
    <t>INV5224</t>
  </si>
  <si>
    <t>INV5225</t>
  </si>
  <si>
    <t>INV5226</t>
  </si>
  <si>
    <t>INV5227</t>
  </si>
  <si>
    <t>INV5228</t>
  </si>
  <si>
    <t>INV5229</t>
  </si>
  <si>
    <t>INV5230</t>
  </si>
  <si>
    <t>PO1221</t>
  </si>
  <si>
    <t>INV5231</t>
  </si>
  <si>
    <t>INV5232</t>
  </si>
  <si>
    <t>INV5233</t>
  </si>
  <si>
    <t>INV5234</t>
  </si>
  <si>
    <t>INV5235</t>
  </si>
  <si>
    <t>INV5236</t>
  </si>
  <si>
    <t>INV5237</t>
  </si>
  <si>
    <t>INV5238</t>
  </si>
  <si>
    <t>INV5239</t>
  </si>
  <si>
    <t>INV5240</t>
  </si>
  <si>
    <t>INV5241</t>
  </si>
  <si>
    <t>INV5242</t>
  </si>
  <si>
    <t>INV5243</t>
  </si>
  <si>
    <t>INV5244</t>
  </si>
  <si>
    <t>INV5245</t>
  </si>
  <si>
    <t>INV5246</t>
  </si>
  <si>
    <t>INV5247</t>
  </si>
  <si>
    <t>INV5248</t>
  </si>
  <si>
    <t>INV5249</t>
  </si>
  <si>
    <t>INV5250</t>
  </si>
  <si>
    <t>INV5251</t>
  </si>
  <si>
    <t>INV5252</t>
  </si>
  <si>
    <t>INV5253</t>
  </si>
  <si>
    <t>INV5254</t>
  </si>
  <si>
    <t>INV5255</t>
  </si>
  <si>
    <t>PO1243</t>
  </si>
  <si>
    <t>INV5256</t>
  </si>
  <si>
    <t>INV5257</t>
  </si>
  <si>
    <t>INV5258</t>
  </si>
  <si>
    <t>INV5259</t>
  </si>
  <si>
    <t>INV5260</t>
  </si>
  <si>
    <t>INV5261</t>
  </si>
  <si>
    <t>INV5262</t>
  </si>
  <si>
    <t>INV5263</t>
  </si>
  <si>
    <t>INV5264</t>
  </si>
  <si>
    <t>INV5265</t>
  </si>
  <si>
    <t>INV5266</t>
  </si>
  <si>
    <t>INV5267</t>
  </si>
  <si>
    <t>INV5268</t>
  </si>
  <si>
    <t>INV5269</t>
  </si>
  <si>
    <t>INV5270</t>
  </si>
  <si>
    <t>INV5271</t>
  </si>
  <si>
    <t>INV5272</t>
  </si>
  <si>
    <t>INV5273</t>
  </si>
  <si>
    <t>INV5274</t>
  </si>
  <si>
    <t>INV5275</t>
  </si>
  <si>
    <t>INV5276</t>
  </si>
  <si>
    <t>INV5277</t>
  </si>
  <si>
    <t>INV5278</t>
  </si>
  <si>
    <t>PO1265</t>
  </si>
  <si>
    <t>INV5279</t>
  </si>
  <si>
    <t>INV5280</t>
  </si>
  <si>
    <t>INV5281</t>
  </si>
  <si>
    <t>INV5282</t>
  </si>
  <si>
    <t>INV5283</t>
  </si>
  <si>
    <t>INV5284</t>
  </si>
  <si>
    <t>PO1271</t>
  </si>
  <si>
    <t>INV5285</t>
  </si>
  <si>
    <t>INV5286</t>
  </si>
  <si>
    <t>INV5287</t>
  </si>
  <si>
    <t>INV5288</t>
  </si>
  <si>
    <t>INV5289</t>
  </si>
  <si>
    <t>PO1276</t>
  </si>
  <si>
    <t>INV5290</t>
  </si>
  <si>
    <t>INV5291</t>
  </si>
  <si>
    <t>INV5292</t>
  </si>
  <si>
    <t>INV5293</t>
  </si>
  <si>
    <t>INV5294</t>
  </si>
  <si>
    <t>INV5295</t>
  </si>
  <si>
    <t>INV5296</t>
  </si>
  <si>
    <t>INV5297</t>
  </si>
  <si>
    <t>INV5298</t>
  </si>
  <si>
    <t>INV5299</t>
  </si>
  <si>
    <t>INV5300</t>
  </si>
  <si>
    <t>INV5301</t>
  </si>
  <si>
    <t>INV5302</t>
  </si>
  <si>
    <t>INV5303</t>
  </si>
  <si>
    <t>INV5304</t>
  </si>
  <si>
    <t>INV5305</t>
  </si>
  <si>
    <t>PO1291</t>
  </si>
  <si>
    <t>INV5306</t>
  </si>
  <si>
    <t>INV5307</t>
  </si>
  <si>
    <t>PO1293</t>
  </si>
  <si>
    <t>INV5308</t>
  </si>
  <si>
    <t>INV5309</t>
  </si>
  <si>
    <t>INV5310</t>
  </si>
  <si>
    <t>INV5311</t>
  </si>
  <si>
    <t>INV5312</t>
  </si>
  <si>
    <t>INV5313</t>
  </si>
  <si>
    <t>PO1299</t>
  </si>
  <si>
    <t>INV5314</t>
  </si>
  <si>
    <t>INV5315</t>
  </si>
  <si>
    <t>INV5316</t>
  </si>
  <si>
    <t>INV5317</t>
  </si>
  <si>
    <t>INV5318</t>
  </si>
  <si>
    <t>INV5319</t>
  </si>
  <si>
    <t>INV5320</t>
  </si>
  <si>
    <t>INV5321</t>
  </si>
  <si>
    <t>INV5322</t>
  </si>
  <si>
    <t>INV5323</t>
  </si>
  <si>
    <t>INV5324</t>
  </si>
  <si>
    <t>PO1310</t>
  </si>
  <si>
    <t>INV5325</t>
  </si>
  <si>
    <t>INV5326</t>
  </si>
  <si>
    <t>INV5327</t>
  </si>
  <si>
    <t>INV5328</t>
  </si>
  <si>
    <t>INV5329</t>
  </si>
  <si>
    <t>INV5330</t>
  </si>
  <si>
    <t>INV5331</t>
  </si>
  <si>
    <t>INV5332</t>
  </si>
  <si>
    <t>INV5333</t>
  </si>
  <si>
    <t>PO1319</t>
  </si>
  <si>
    <t>INV5334</t>
  </si>
  <si>
    <t>INV5335</t>
  </si>
  <si>
    <t>INV5336</t>
  </si>
  <si>
    <t>INV5337</t>
  </si>
  <si>
    <t>INV5338</t>
  </si>
  <si>
    <t>INV5339</t>
  </si>
  <si>
    <t>INV5340</t>
  </si>
  <si>
    <t>INV5341</t>
  </si>
  <si>
    <t>INV5342</t>
  </si>
  <si>
    <t>INV5343</t>
  </si>
  <si>
    <t>INV5344</t>
  </si>
  <si>
    <t>INV5345</t>
  </si>
  <si>
    <t>INV5346</t>
  </si>
  <si>
    <t>INV5347</t>
  </si>
  <si>
    <t>INV5348</t>
  </si>
  <si>
    <t>INV5349</t>
  </si>
  <si>
    <t>INV5350</t>
  </si>
  <si>
    <t>INV5351</t>
  </si>
  <si>
    <t>PO1337</t>
  </si>
  <si>
    <t>INV5352</t>
  </si>
  <si>
    <t>INV5353</t>
  </si>
  <si>
    <t>INV5354</t>
  </si>
  <si>
    <t>INV5355</t>
  </si>
  <si>
    <t>INV5356</t>
  </si>
  <si>
    <t>INV5357</t>
  </si>
  <si>
    <t>INV5358</t>
  </si>
  <si>
    <t>INV5359</t>
  </si>
  <si>
    <t>INV5360</t>
  </si>
  <si>
    <t>INV5361</t>
  </si>
  <si>
    <t>INV5362</t>
  </si>
  <si>
    <t>INV5363</t>
  </si>
  <si>
    <t>INV5364</t>
  </si>
  <si>
    <t>INV5365</t>
  </si>
  <si>
    <t>INV5366</t>
  </si>
  <si>
    <t>INV5367</t>
  </si>
  <si>
    <t>INV5368</t>
  </si>
  <si>
    <t>INV5369</t>
  </si>
  <si>
    <t>INV5370</t>
  </si>
  <si>
    <t>INV5371</t>
  </si>
  <si>
    <t>INV5372</t>
  </si>
  <si>
    <t>INV5373</t>
  </si>
  <si>
    <t>INV5374</t>
  </si>
  <si>
    <t>INV5375</t>
  </si>
  <si>
    <t>INV5376</t>
  </si>
  <si>
    <t>INV5377</t>
  </si>
  <si>
    <t>INV5378</t>
  </si>
  <si>
    <t>INV5379</t>
  </si>
  <si>
    <t>INV5380</t>
  </si>
  <si>
    <t>INV5381</t>
  </si>
  <si>
    <t>INV5382</t>
  </si>
  <si>
    <t>INV5383</t>
  </si>
  <si>
    <t>PO1369</t>
  </si>
  <si>
    <t>INV5384</t>
  </si>
  <si>
    <t>INV5385</t>
  </si>
  <si>
    <t>INV5386</t>
  </si>
  <si>
    <t>INV5387</t>
  </si>
  <si>
    <t>INV5388</t>
  </si>
  <si>
    <t>INV5389</t>
  </si>
  <si>
    <t>INV5390</t>
  </si>
  <si>
    <t>INV5391</t>
  </si>
  <si>
    <t>INV5392</t>
  </si>
  <si>
    <t>INV5393</t>
  </si>
  <si>
    <t>INV5394</t>
  </si>
  <si>
    <t>INV5395</t>
  </si>
  <si>
    <t>INV5396</t>
  </si>
  <si>
    <t>INV5397</t>
  </si>
  <si>
    <t>INV5398</t>
  </si>
  <si>
    <t>PO1384</t>
  </si>
  <si>
    <t>INV5399</t>
  </si>
  <si>
    <t>INV5400</t>
  </si>
  <si>
    <t>INV5401</t>
  </si>
  <si>
    <t>INV5402</t>
  </si>
  <si>
    <t>INV5403</t>
  </si>
  <si>
    <t>INV5404</t>
  </si>
  <si>
    <t>INV5405</t>
  </si>
  <si>
    <t>PO1391</t>
  </si>
  <si>
    <t>INV5406</t>
  </si>
  <si>
    <t>PO1392</t>
  </si>
  <si>
    <t>INV5407</t>
  </si>
  <si>
    <t>PO1393</t>
  </si>
  <si>
    <t>INV5408</t>
  </si>
  <si>
    <t>INV5409</t>
  </si>
  <si>
    <t>INV5410</t>
  </si>
  <si>
    <t>PO1396</t>
  </si>
  <si>
    <t>INV5411</t>
  </si>
  <si>
    <t>INV5412</t>
  </si>
  <si>
    <t>INV5413</t>
  </si>
  <si>
    <t>INV5414</t>
  </si>
  <si>
    <t>INV5415</t>
  </si>
  <si>
    <t>INV5416</t>
  </si>
  <si>
    <t>INV5417</t>
  </si>
  <si>
    <t>INV5418</t>
  </si>
  <si>
    <t>INV5419</t>
  </si>
  <si>
    <t>INV5420</t>
  </si>
  <si>
    <t>INV5421</t>
  </si>
  <si>
    <t>INV5422</t>
  </si>
  <si>
    <t>INV5423</t>
  </si>
  <si>
    <t>INV5424</t>
  </si>
  <si>
    <t>INV5425</t>
  </si>
  <si>
    <t>INV5426</t>
  </si>
  <si>
    <t>PO1412</t>
  </si>
  <si>
    <t>INV5427</t>
  </si>
  <si>
    <t>INV5428</t>
  </si>
  <si>
    <t>INV5429</t>
  </si>
  <si>
    <t>INV5430</t>
  </si>
  <si>
    <t>INV5431</t>
  </si>
  <si>
    <t>INV5432</t>
  </si>
  <si>
    <t>INV5433</t>
  </si>
  <si>
    <t>INV5434</t>
  </si>
  <si>
    <t>PO1420</t>
  </si>
  <si>
    <t>INV5435</t>
  </si>
  <si>
    <t>INV5436</t>
  </si>
  <si>
    <t>INV5437</t>
  </si>
  <si>
    <t>PO1423</t>
  </si>
  <si>
    <t>INV5438</t>
  </si>
  <si>
    <t>INV5439</t>
  </si>
  <si>
    <t>INV5440</t>
  </si>
  <si>
    <t>INV5441</t>
  </si>
  <si>
    <t>INV5442</t>
  </si>
  <si>
    <t>INV5443</t>
  </si>
  <si>
    <t>INV5444</t>
  </si>
  <si>
    <t>INV5445</t>
  </si>
  <si>
    <t>PO1431</t>
  </si>
  <si>
    <t>INV5446</t>
  </si>
  <si>
    <t>INV5447</t>
  </si>
  <si>
    <t>INV5448</t>
  </si>
  <si>
    <t>INV5449</t>
  </si>
  <si>
    <t>INV5450</t>
  </si>
  <si>
    <t>INV5451</t>
  </si>
  <si>
    <t>INV5452</t>
  </si>
  <si>
    <t>PO1438</t>
  </si>
  <si>
    <t>INV5453</t>
  </si>
  <si>
    <t>INV5454</t>
  </si>
  <si>
    <t>INV5455</t>
  </si>
  <si>
    <t>INV5456</t>
  </si>
  <si>
    <t>INV5457</t>
  </si>
  <si>
    <t>INV5458</t>
  </si>
  <si>
    <t>INV5459</t>
  </si>
  <si>
    <t>INV5460</t>
  </si>
  <si>
    <t>INV5461</t>
  </si>
  <si>
    <t>INV5462</t>
  </si>
  <si>
    <t>INV5463</t>
  </si>
  <si>
    <t>INV5464</t>
  </si>
  <si>
    <t>INV5465</t>
  </si>
  <si>
    <t>INV5466</t>
  </si>
  <si>
    <t>INV5467</t>
  </si>
  <si>
    <t>INV5468</t>
  </si>
  <si>
    <t>INV5469</t>
  </si>
  <si>
    <t>INV5470</t>
  </si>
  <si>
    <t>INV5471</t>
  </si>
  <si>
    <t>INV5472</t>
  </si>
  <si>
    <t>PO1457</t>
  </si>
  <si>
    <t>INV5473</t>
  </si>
  <si>
    <t>INV5474</t>
  </si>
  <si>
    <t>INV5475</t>
  </si>
  <si>
    <t>INV5476</t>
  </si>
  <si>
    <t>INV5477</t>
  </si>
  <si>
    <t>INV5478</t>
  </si>
  <si>
    <t>INV5479</t>
  </si>
  <si>
    <t>INV5480</t>
  </si>
  <si>
    <t>INV5481</t>
  </si>
  <si>
    <t>INV5482</t>
  </si>
  <si>
    <t>INV5483</t>
  </si>
  <si>
    <t>INV5484</t>
  </si>
  <si>
    <t>INV5485</t>
  </si>
  <si>
    <t>PO1469</t>
  </si>
  <si>
    <t>INV5486</t>
  </si>
  <si>
    <t>INV5487</t>
  </si>
  <si>
    <t>INV5488</t>
  </si>
  <si>
    <t>INV5489</t>
  </si>
  <si>
    <t>INV5490</t>
  </si>
  <si>
    <t>INV5491</t>
  </si>
  <si>
    <t>INV5492</t>
  </si>
  <si>
    <t>INV5493</t>
  </si>
  <si>
    <t>PO1476</t>
  </si>
  <si>
    <t>INV5494</t>
  </si>
  <si>
    <t>INV5495</t>
  </si>
  <si>
    <t>INV5496</t>
  </si>
  <si>
    <t>PO1479</t>
  </si>
  <si>
    <t>INV5497</t>
  </si>
  <si>
    <t>INV5498</t>
  </si>
  <si>
    <t>INV5499</t>
  </si>
  <si>
    <t>INV5500</t>
  </si>
  <si>
    <t>INV5501</t>
  </si>
  <si>
    <t>INV5502</t>
  </si>
  <si>
    <t>INV5503</t>
  </si>
  <si>
    <t>INV5504</t>
  </si>
  <si>
    <t>INV5505</t>
  </si>
  <si>
    <t>INV5506</t>
  </si>
  <si>
    <t>INV5507</t>
  </si>
  <si>
    <t>INV5508</t>
  </si>
  <si>
    <t>INV5509</t>
  </si>
  <si>
    <t>INV5510</t>
  </si>
  <si>
    <t>INV5511</t>
  </si>
  <si>
    <t>INV5512</t>
  </si>
  <si>
    <t>INV5513</t>
  </si>
  <si>
    <t>INV5514</t>
  </si>
  <si>
    <t>INV5515</t>
  </si>
  <si>
    <t>INV5516</t>
  </si>
  <si>
    <t>INV5517</t>
  </si>
  <si>
    <t>INV5518</t>
  </si>
  <si>
    <t>INV5519</t>
  </si>
  <si>
    <t>INV5520</t>
  </si>
  <si>
    <t>PO1500</t>
  </si>
  <si>
    <t>INV5521</t>
  </si>
  <si>
    <t>INV5522</t>
  </si>
  <si>
    <t>INV5523</t>
  </si>
  <si>
    <t>INV5524</t>
  </si>
  <si>
    <t>INV5525</t>
  </si>
  <si>
    <t>INV5526</t>
  </si>
  <si>
    <t>PO1506</t>
  </si>
  <si>
    <t>INV5527</t>
  </si>
  <si>
    <t>INV5528</t>
  </si>
  <si>
    <t>INV5529</t>
  </si>
  <si>
    <t>INV5530</t>
  </si>
  <si>
    <t>INV5531</t>
  </si>
  <si>
    <t>INV5532</t>
  </si>
  <si>
    <t>INV5533</t>
  </si>
  <si>
    <t>INV5534</t>
  </si>
  <si>
    <t>INV5535</t>
  </si>
  <si>
    <t>INV5536</t>
  </si>
  <si>
    <t>INV5537</t>
  </si>
  <si>
    <t>INV5538</t>
  </si>
  <si>
    <t>INV5539</t>
  </si>
  <si>
    <t>INV5540</t>
  </si>
  <si>
    <t>INV5541</t>
  </si>
  <si>
    <t>INV5542</t>
  </si>
  <si>
    <t>INV5543</t>
  </si>
  <si>
    <t>INV5544</t>
  </si>
  <si>
    <t>INV5545</t>
  </si>
  <si>
    <t>INV5546</t>
  </si>
  <si>
    <t>INV5547</t>
  </si>
  <si>
    <t>INV5548</t>
  </si>
  <si>
    <t>INV5549</t>
  </si>
  <si>
    <t>INV5550</t>
  </si>
  <si>
    <t>INV5551</t>
  </si>
  <si>
    <t>INV5552</t>
  </si>
  <si>
    <t>PO1532</t>
  </si>
  <si>
    <t>INV5553</t>
  </si>
  <si>
    <t>INV5554</t>
  </si>
  <si>
    <t>INV5555</t>
  </si>
  <si>
    <t>INV5556</t>
  </si>
  <si>
    <t>INV5557</t>
  </si>
  <si>
    <t>INV5558</t>
  </si>
  <si>
    <t>INV5559</t>
  </si>
  <si>
    <t>INV5560</t>
  </si>
  <si>
    <t>INV5561</t>
  </si>
  <si>
    <t>INV5562</t>
  </si>
  <si>
    <t>INV5563</t>
  </si>
  <si>
    <t>INV5564</t>
  </si>
  <si>
    <t>INV5565</t>
  </si>
  <si>
    <t>INV5566</t>
  </si>
  <si>
    <t>INV5567</t>
  </si>
  <si>
    <t>INV5568</t>
  </si>
  <si>
    <t>INV5569</t>
  </si>
  <si>
    <t>INV5570</t>
  </si>
  <si>
    <t>INV5571</t>
  </si>
  <si>
    <t>INV5572</t>
  </si>
  <si>
    <t>INV5573</t>
  </si>
  <si>
    <t>INV5574</t>
  </si>
  <si>
    <t>INV5575</t>
  </si>
  <si>
    <t>INV5576</t>
  </si>
  <si>
    <t>PO1556</t>
  </si>
  <si>
    <t>INV5577</t>
  </si>
  <si>
    <t>INV5578</t>
  </si>
  <si>
    <t>INV5579</t>
  </si>
  <si>
    <t>INV5580</t>
  </si>
  <si>
    <t>INV5581</t>
  </si>
  <si>
    <t>INV5582</t>
  </si>
  <si>
    <t>INV5583</t>
  </si>
  <si>
    <t>INV5584</t>
  </si>
  <si>
    <t>PO1564</t>
  </si>
  <si>
    <t>INV5585</t>
  </si>
  <si>
    <t>INV5586</t>
  </si>
  <si>
    <t>INV5587</t>
  </si>
  <si>
    <t>PO1566</t>
  </si>
  <si>
    <t>INV5588</t>
  </si>
  <si>
    <t>INV5589</t>
  </si>
  <si>
    <t>INV5590</t>
  </si>
  <si>
    <t>INV5591</t>
  </si>
  <si>
    <t>INV5592</t>
  </si>
  <si>
    <t>INV5593</t>
  </si>
  <si>
    <t>INV5594</t>
  </si>
  <si>
    <t>INV5595</t>
  </si>
  <si>
    <t>INV5596</t>
  </si>
  <si>
    <t>INV5597</t>
  </si>
  <si>
    <t>INV5598</t>
  </si>
  <si>
    <t>INV5599</t>
  </si>
  <si>
    <t>INV5600</t>
  </si>
  <si>
    <t>INV5601</t>
  </si>
  <si>
    <t>INV5602</t>
  </si>
  <si>
    <t>INV5603</t>
  </si>
  <si>
    <t>INV5604</t>
  </si>
  <si>
    <t>INV5605</t>
  </si>
  <si>
    <t>INV5606</t>
  </si>
  <si>
    <t>INV5607</t>
  </si>
  <si>
    <t>INV5608</t>
  </si>
  <si>
    <t>INV5609</t>
  </si>
  <si>
    <t>INV5610</t>
  </si>
  <si>
    <t>INV5611</t>
  </si>
  <si>
    <t>INV5612</t>
  </si>
  <si>
    <t>INV5613</t>
  </si>
  <si>
    <t>INV5614</t>
  </si>
  <si>
    <t>INV5615</t>
  </si>
  <si>
    <t>INV5616</t>
  </si>
  <si>
    <t>INV5617</t>
  </si>
  <si>
    <t>INV5618</t>
  </si>
  <si>
    <t>INV5619</t>
  </si>
  <si>
    <t>INV5620</t>
  </si>
  <si>
    <t>INV5621</t>
  </si>
  <si>
    <t>INV5622</t>
  </si>
  <si>
    <t>INV5623</t>
  </si>
  <si>
    <t>INV5624</t>
  </si>
  <si>
    <t>INV5625</t>
  </si>
  <si>
    <t>INV5626</t>
  </si>
  <si>
    <t>INV5627</t>
  </si>
  <si>
    <t>INV5628</t>
  </si>
  <si>
    <t>PO1604</t>
  </si>
  <si>
    <t>INV5629</t>
  </si>
  <si>
    <t>INV5630</t>
  </si>
  <si>
    <t>PO1605</t>
  </si>
  <si>
    <t>INV5631</t>
  </si>
  <si>
    <t>INV5632</t>
  </si>
  <si>
    <t>INV5633</t>
  </si>
  <si>
    <t>PO1608</t>
  </si>
  <si>
    <t>INV5634</t>
  </si>
  <si>
    <t>INV5635</t>
  </si>
  <si>
    <t>INV5636</t>
  </si>
  <si>
    <t>INV5637</t>
  </si>
  <si>
    <t>INV5638</t>
  </si>
  <si>
    <t>INV5639</t>
  </si>
  <si>
    <t>INV5640</t>
  </si>
  <si>
    <t>INV5641</t>
  </si>
  <si>
    <t>INV5642</t>
  </si>
  <si>
    <t>INV5643</t>
  </si>
  <si>
    <t>INV5644</t>
  </si>
  <si>
    <t>INV5645</t>
  </si>
  <si>
    <t>INV5646</t>
  </si>
  <si>
    <t>INV5647</t>
  </si>
  <si>
    <t>INV5648</t>
  </si>
  <si>
    <t>INV5649</t>
  </si>
  <si>
    <t>INV5650</t>
  </si>
  <si>
    <t>INV5651</t>
  </si>
  <si>
    <t>INV5652</t>
  </si>
  <si>
    <t>INV5653</t>
  </si>
  <si>
    <t>INV5654</t>
  </si>
  <si>
    <t>INV5655</t>
  </si>
  <si>
    <t>INV5656</t>
  </si>
  <si>
    <t>INV5657</t>
  </si>
  <si>
    <t>INV5658</t>
  </si>
  <si>
    <t>INV5659</t>
  </si>
  <si>
    <t>INV5660</t>
  </si>
  <si>
    <t>PO1635</t>
  </si>
  <si>
    <t>INV5661</t>
  </si>
  <si>
    <t>INV5662</t>
  </si>
  <si>
    <t>INV5663</t>
  </si>
  <si>
    <t>INV5664</t>
  </si>
  <si>
    <t>INV5665</t>
  </si>
  <si>
    <t>INV5666</t>
  </si>
  <si>
    <t>INV5667</t>
  </si>
  <si>
    <t>INV5668</t>
  </si>
  <si>
    <t>INV5669</t>
  </si>
  <si>
    <t>INV5670</t>
  </si>
  <si>
    <t>INV5671</t>
  </si>
  <si>
    <t>INV5672</t>
  </si>
  <si>
    <t>INV5673</t>
  </si>
  <si>
    <t>INV5674</t>
  </si>
  <si>
    <t>INV5675</t>
  </si>
  <si>
    <t>INV5676</t>
  </si>
  <si>
    <t>INV5677</t>
  </si>
  <si>
    <t>INV5678</t>
  </si>
  <si>
    <t>INV5679</t>
  </si>
  <si>
    <t>INV5680</t>
  </si>
  <si>
    <t>INV5681</t>
  </si>
  <si>
    <t>INV5682</t>
  </si>
  <si>
    <t>INV5683</t>
  </si>
  <si>
    <t>INV5684</t>
  </si>
  <si>
    <t>INV5685</t>
  </si>
  <si>
    <t>INV5686</t>
  </si>
  <si>
    <t>INV5687</t>
  </si>
  <si>
    <t>INV5688</t>
  </si>
  <si>
    <t>INV5689</t>
  </si>
  <si>
    <t>INV5690</t>
  </si>
  <si>
    <t>INV5691</t>
  </si>
  <si>
    <t>INV5692</t>
  </si>
  <si>
    <t>INV5693</t>
  </si>
  <si>
    <t>INV5694</t>
  </si>
  <si>
    <t>INV5695</t>
  </si>
  <si>
    <t>INV5696</t>
  </si>
  <si>
    <t>INV5697</t>
  </si>
  <si>
    <t>INV5698</t>
  </si>
  <si>
    <t>INV5699</t>
  </si>
  <si>
    <t>INV5700</t>
  </si>
  <si>
    <t>INV5701</t>
  </si>
  <si>
    <t>INV5702</t>
  </si>
  <si>
    <t>INV5703</t>
  </si>
  <si>
    <t>INV5704</t>
  </si>
  <si>
    <t>INV5705</t>
  </si>
  <si>
    <t>INV5706</t>
  </si>
  <si>
    <t>INV5707</t>
  </si>
  <si>
    <t>INV5708</t>
  </si>
  <si>
    <t>INV5709</t>
  </si>
  <si>
    <t>INV5710</t>
  </si>
  <si>
    <t>INV5711</t>
  </si>
  <si>
    <t>INV5712</t>
  </si>
  <si>
    <t>INV5713</t>
  </si>
  <si>
    <t>INV5714</t>
  </si>
  <si>
    <t>INV5715</t>
  </si>
  <si>
    <t>INV5716</t>
  </si>
  <si>
    <t>INV5717</t>
  </si>
  <si>
    <t>INV5718</t>
  </si>
  <si>
    <t>INV5719</t>
  </si>
  <si>
    <t>INV5720</t>
  </si>
  <si>
    <t>PO1694</t>
  </si>
  <si>
    <t>INV5721</t>
  </si>
  <si>
    <t>INV5722</t>
  </si>
  <si>
    <t>INV5723</t>
  </si>
  <si>
    <t>INV5724</t>
  </si>
  <si>
    <t>INV5725</t>
  </si>
  <si>
    <t>INV5726</t>
  </si>
  <si>
    <t>Vendor</t>
  </si>
  <si>
    <t>Order Date</t>
  </si>
  <si>
    <t>PO Quantity</t>
  </si>
  <si>
    <t>PO Unit Price</t>
  </si>
  <si>
    <t>Approved By</t>
  </si>
  <si>
    <t>Promised Delivey Date</t>
  </si>
  <si>
    <t>Pioneer Logistics</t>
  </si>
  <si>
    <t>Mateo García</t>
  </si>
  <si>
    <t>Flow Freight</t>
  </si>
  <si>
    <t>Pavel Horák</t>
  </si>
  <si>
    <t>Orion Business Services</t>
  </si>
  <si>
    <t>Sofia Rossi</t>
  </si>
  <si>
    <t>Apex Distribution</t>
  </si>
  <si>
    <t>Katarina Jovanović</t>
  </si>
  <si>
    <t>Anchor</t>
  </si>
  <si>
    <t>J. Kovacs</t>
  </si>
  <si>
    <t>IronGate Engineering</t>
  </si>
  <si>
    <t>Apex More</t>
  </si>
  <si>
    <t>Jakub Novák</t>
  </si>
  <si>
    <t>BlueLine Logistics</t>
  </si>
  <si>
    <t>Laura Schmidt</t>
  </si>
  <si>
    <t>Helix Innovations</t>
  </si>
  <si>
    <t>ClearPath Solutions</t>
  </si>
  <si>
    <t>Eva Andersson</t>
  </si>
  <si>
    <t>Zenith Freight</t>
  </si>
  <si>
    <t>Anna Kowalska</t>
  </si>
  <si>
    <t/>
  </si>
  <si>
    <t>Swiftstream Logistics</t>
  </si>
  <si>
    <t>Vantage Partners</t>
  </si>
  <si>
    <t>A. Nagy</t>
  </si>
  <si>
    <t>Wayfinder Logistics</t>
  </si>
  <si>
    <t>Vectra Movers</t>
  </si>
  <si>
    <t>OmegaTech Europe</t>
  </si>
  <si>
    <t>Shift Cargo</t>
  </si>
  <si>
    <t>Felix Bauer</t>
  </si>
  <si>
    <t>Everest Trading Co.</t>
  </si>
  <si>
    <t>Ingrid Hansen</t>
  </si>
  <si>
    <t>Steadfast</t>
  </si>
  <si>
    <t>FusionWorks Europe</t>
  </si>
  <si>
    <t>Elena Petrova</t>
  </si>
  <si>
    <t>Nordic Freight</t>
  </si>
  <si>
    <t>Nicolas Dubois</t>
  </si>
  <si>
    <t>SameDay</t>
  </si>
  <si>
    <t>Camila Cantrell</t>
  </si>
  <si>
    <t>WestBridge Suppliers</t>
  </si>
  <si>
    <t>NovaEdge Services</t>
  </si>
  <si>
    <t>BlueRiver Logistics</t>
  </si>
  <si>
    <t>Emma Johansson</t>
  </si>
  <si>
    <t>Acme Supplies</t>
  </si>
  <si>
    <t>Pinnacle</t>
  </si>
  <si>
    <t>Haley Rivas</t>
  </si>
  <si>
    <t>Skyline Equipment</t>
  </si>
  <si>
    <t>Winter Underwood</t>
  </si>
  <si>
    <t>Quantum Express</t>
  </si>
  <si>
    <t>Andreas Weber</t>
  </si>
  <si>
    <t>GlobalTrade Europe</t>
  </si>
  <si>
    <t>Titan Machinery Group</t>
  </si>
  <si>
    <t>Victor Popescu</t>
  </si>
  <si>
    <t>Continental Solutions</t>
  </si>
  <si>
    <t>Mustang101</t>
  </si>
  <si>
    <t>DeltaPro Industries</t>
  </si>
  <si>
    <t>Thomas Lefèvre</t>
  </si>
  <si>
    <t>PrimeLine Manufacturing</t>
  </si>
  <si>
    <t>GreenField Components</t>
  </si>
  <si>
    <t>QuantumWare Ltd.</t>
  </si>
  <si>
    <t>UrbanSource Supplies</t>
  </si>
  <si>
    <t>Marta Nowak</t>
  </si>
  <si>
    <t>SilverOak Consulting</t>
  </si>
  <si>
    <t>Lukas Müller</t>
  </si>
  <si>
    <t>AlphaCore Technologies</t>
  </si>
  <si>
    <t>Vertex Systems</t>
  </si>
  <si>
    <t>Clara Silva</t>
  </si>
  <si>
    <t>Compass Crate</t>
  </si>
  <si>
    <t>NordicTech Solutions</t>
  </si>
  <si>
    <t>Marco Bianchi</t>
  </si>
  <si>
    <t>RedStone Materials</t>
  </si>
  <si>
    <t>Atlas Industrial Parts</t>
  </si>
  <si>
    <t>BrightWave Electronics</t>
  </si>
  <si>
    <t>Vanguard</t>
  </si>
  <si>
    <t>EuroSupply GmbH</t>
  </si>
  <si>
    <t>Missing Approval</t>
  </si>
  <si>
    <t>GR Receipt Status</t>
  </si>
  <si>
    <t>Date Check</t>
  </si>
  <si>
    <t>Dup Check</t>
  </si>
  <si>
    <t>Missing approval</t>
  </si>
  <si>
    <t>No Gr</t>
  </si>
  <si>
    <t>No invoice</t>
  </si>
  <si>
    <t>Invalid date</t>
  </si>
  <si>
    <t>Duplicate Pos</t>
  </si>
  <si>
    <t>Qty Variance Flag</t>
  </si>
  <si>
    <t>Price Variance Flag</t>
  </si>
  <si>
    <t>Late Delivery Flag</t>
  </si>
  <si>
    <t>Duplicate Invoice Flag</t>
  </si>
  <si>
    <t>Row Labels</t>
  </si>
  <si>
    <t>Grand Total</t>
  </si>
  <si>
    <t>Approval Flag (1/0)</t>
  </si>
  <si>
    <t>GR Flag 1/0</t>
  </si>
  <si>
    <t>Invoice flag 1/0</t>
  </si>
  <si>
    <t>Date Flag 1/0</t>
  </si>
  <si>
    <t>Qty Flag 1/0</t>
  </si>
  <si>
    <t>Price Var 1/0</t>
  </si>
  <si>
    <t>Late Del 1/0</t>
  </si>
  <si>
    <t>Dup Invoice 1/0</t>
  </si>
  <si>
    <t>Sum of Approval Flag (1/0)</t>
  </si>
  <si>
    <t>Sum of GR Flag 1/0</t>
  </si>
  <si>
    <t>Sum of Invoice flag 1/0</t>
  </si>
  <si>
    <t>Sum of Date Flag 1/0</t>
  </si>
  <si>
    <t>Sum of Qty Flag 1/0</t>
  </si>
  <si>
    <t>Sum of Price Var 1/0</t>
  </si>
  <si>
    <t>Sum of Late Del 1/0</t>
  </si>
  <si>
    <t>Sum of Dup Invoice 1/0</t>
  </si>
  <si>
    <t>Order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</si>
</sst>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3"/>
      <name val="Aptos Narrow"/>
      <family val="2"/>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4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19" formatCode="dd/mm/yyyy"/>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[po-delivery-analyzer.xlsx]Dashboard!PivotTable2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Sum of Approval Flag (1/0)</c:v>
                </c:pt>
              </c:strCache>
            </c:strRef>
          </c:tx>
          <c:spPr>
            <a:solidFill>
              <a:schemeClr val="accent1"/>
            </a:solidFill>
            <a:ln>
              <a:noFill/>
            </a:ln>
            <a:effectLst/>
          </c:spPr>
          <c:invertIfNegative val="0"/>
          <c:cat>
            <c:strRef>
              <c:f>Dashboard!$A$4:$A$52</c:f>
              <c:strCache>
                <c:ptCount val="48"/>
                <c:pt idx="0">
                  <c:v>Apex More</c:v>
                </c:pt>
                <c:pt idx="1">
                  <c:v>PrimeLine Manufacturing</c:v>
                </c:pt>
                <c:pt idx="2">
                  <c:v>BrightWave Electronics</c:v>
                </c:pt>
                <c:pt idx="3">
                  <c:v>Compass Crate</c:v>
                </c:pt>
                <c:pt idx="4">
                  <c:v>Apex Distribution</c:v>
                </c:pt>
                <c:pt idx="5">
                  <c:v>GreenField Components</c:v>
                </c:pt>
                <c:pt idx="6">
                  <c:v>Orion Business Services</c:v>
                </c:pt>
                <c:pt idx="7">
                  <c:v>SameDay</c:v>
                </c:pt>
                <c:pt idx="8">
                  <c:v>Wayfinder Logistics</c:v>
                </c:pt>
                <c:pt idx="9">
                  <c:v>Vectra Movers</c:v>
                </c:pt>
                <c:pt idx="10">
                  <c:v>SilverOak Consulting</c:v>
                </c:pt>
                <c:pt idx="11">
                  <c:v>Acme Supplies</c:v>
                </c:pt>
                <c:pt idx="12">
                  <c:v>Skyline Equipment</c:v>
                </c:pt>
                <c:pt idx="13">
                  <c:v>Shift Cargo</c:v>
                </c:pt>
                <c:pt idx="14">
                  <c:v>Titan Machinery Group</c:v>
                </c:pt>
                <c:pt idx="15">
                  <c:v>Atlas Industrial Parts</c:v>
                </c:pt>
                <c:pt idx="16">
                  <c:v>UrbanSource Supplies</c:v>
                </c:pt>
                <c:pt idx="17">
                  <c:v>Nordic Freight</c:v>
                </c:pt>
                <c:pt idx="18">
                  <c:v>Vantage Partners</c:v>
                </c:pt>
                <c:pt idx="19">
                  <c:v>Helix Innovations</c:v>
                </c:pt>
                <c:pt idx="20">
                  <c:v>RedStone Materials</c:v>
                </c:pt>
                <c:pt idx="21">
                  <c:v>BlueRiver Logistics</c:v>
                </c:pt>
                <c:pt idx="22">
                  <c:v>Vertex Systems</c:v>
                </c:pt>
                <c:pt idx="23">
                  <c:v>NordicTech Solutions</c:v>
                </c:pt>
                <c:pt idx="24">
                  <c:v>QuantumWare Ltd.</c:v>
                </c:pt>
                <c:pt idx="25">
                  <c:v>IronGate Engineering</c:v>
                </c:pt>
                <c:pt idx="26">
                  <c:v>Everest Trading Co.</c:v>
                </c:pt>
                <c:pt idx="27">
                  <c:v>Quantum Express</c:v>
                </c:pt>
                <c:pt idx="28">
                  <c:v>GlobalTrade Europe</c:v>
                </c:pt>
                <c:pt idx="29">
                  <c:v>FusionWorks Europe</c:v>
                </c:pt>
                <c:pt idx="30">
                  <c:v>OmegaTech Europe</c:v>
                </c:pt>
                <c:pt idx="31">
                  <c:v>Vanguard</c:v>
                </c:pt>
                <c:pt idx="32">
                  <c:v>ClearPath Solutions</c:v>
                </c:pt>
                <c:pt idx="33">
                  <c:v>Mustang101</c:v>
                </c:pt>
                <c:pt idx="34">
                  <c:v>AlphaCore Technologies</c:v>
                </c:pt>
                <c:pt idx="35">
                  <c:v>WestBridge Suppliers</c:v>
                </c:pt>
                <c:pt idx="36">
                  <c:v>Flow Freight</c:v>
                </c:pt>
                <c:pt idx="37">
                  <c:v>Steadfast</c:v>
                </c:pt>
                <c:pt idx="38">
                  <c:v>Continental Solutions</c:v>
                </c:pt>
                <c:pt idx="39">
                  <c:v>NovaEdge Services</c:v>
                </c:pt>
                <c:pt idx="40">
                  <c:v>Pinnacle</c:v>
                </c:pt>
                <c:pt idx="41">
                  <c:v>Zenith Freight</c:v>
                </c:pt>
                <c:pt idx="42">
                  <c:v>Anchor</c:v>
                </c:pt>
                <c:pt idx="43">
                  <c:v>EuroSupply GmbH</c:v>
                </c:pt>
                <c:pt idx="44">
                  <c:v>Swiftstream Logistics</c:v>
                </c:pt>
                <c:pt idx="45">
                  <c:v>Pioneer Logistics</c:v>
                </c:pt>
                <c:pt idx="46">
                  <c:v>BlueLine Logistics</c:v>
                </c:pt>
                <c:pt idx="47">
                  <c:v>DeltaPro Industries</c:v>
                </c:pt>
              </c:strCache>
            </c:strRef>
          </c:cat>
          <c:val>
            <c:numRef>
              <c:f>Dashboard!$B$4:$B$52</c:f>
              <c:numCache>
                <c:formatCode>General</c:formatCode>
                <c:ptCount val="48"/>
                <c:pt idx="0">
                  <c:v>3</c:v>
                </c:pt>
                <c:pt idx="1">
                  <c:v>0</c:v>
                </c:pt>
                <c:pt idx="2">
                  <c:v>2</c:v>
                </c:pt>
                <c:pt idx="3">
                  <c:v>1</c:v>
                </c:pt>
                <c:pt idx="4">
                  <c:v>0</c:v>
                </c:pt>
                <c:pt idx="5">
                  <c:v>0</c:v>
                </c:pt>
                <c:pt idx="6">
                  <c:v>1</c:v>
                </c:pt>
                <c:pt idx="7">
                  <c:v>0</c:v>
                </c:pt>
                <c:pt idx="8">
                  <c:v>0</c:v>
                </c:pt>
                <c:pt idx="9">
                  <c:v>2</c:v>
                </c:pt>
                <c:pt idx="10">
                  <c:v>1</c:v>
                </c:pt>
                <c:pt idx="11">
                  <c:v>0</c:v>
                </c:pt>
                <c:pt idx="12">
                  <c:v>0</c:v>
                </c:pt>
                <c:pt idx="13">
                  <c:v>3</c:v>
                </c:pt>
                <c:pt idx="14">
                  <c:v>3</c:v>
                </c:pt>
                <c:pt idx="15">
                  <c:v>0</c:v>
                </c:pt>
                <c:pt idx="16">
                  <c:v>0</c:v>
                </c:pt>
                <c:pt idx="17">
                  <c:v>0</c:v>
                </c:pt>
                <c:pt idx="18">
                  <c:v>1</c:v>
                </c:pt>
                <c:pt idx="19">
                  <c:v>0</c:v>
                </c:pt>
                <c:pt idx="20">
                  <c:v>0</c:v>
                </c:pt>
                <c:pt idx="21">
                  <c:v>0</c:v>
                </c:pt>
                <c:pt idx="22">
                  <c:v>0</c:v>
                </c:pt>
                <c:pt idx="23">
                  <c:v>1</c:v>
                </c:pt>
                <c:pt idx="24">
                  <c:v>1</c:v>
                </c:pt>
                <c:pt idx="25">
                  <c:v>1</c:v>
                </c:pt>
                <c:pt idx="26">
                  <c:v>0</c:v>
                </c:pt>
                <c:pt idx="27">
                  <c:v>0</c:v>
                </c:pt>
                <c:pt idx="28">
                  <c:v>0</c:v>
                </c:pt>
                <c:pt idx="29">
                  <c:v>1</c:v>
                </c:pt>
                <c:pt idx="30">
                  <c:v>0</c:v>
                </c:pt>
                <c:pt idx="31">
                  <c:v>1</c:v>
                </c:pt>
                <c:pt idx="32">
                  <c:v>1</c:v>
                </c:pt>
                <c:pt idx="33">
                  <c:v>0</c:v>
                </c:pt>
                <c:pt idx="34">
                  <c:v>1</c:v>
                </c:pt>
                <c:pt idx="35">
                  <c:v>2</c:v>
                </c:pt>
                <c:pt idx="36">
                  <c:v>1</c:v>
                </c:pt>
                <c:pt idx="37">
                  <c:v>1</c:v>
                </c:pt>
                <c:pt idx="38">
                  <c:v>4</c:v>
                </c:pt>
                <c:pt idx="39">
                  <c:v>0</c:v>
                </c:pt>
                <c:pt idx="40">
                  <c:v>0</c:v>
                </c:pt>
                <c:pt idx="41">
                  <c:v>3</c:v>
                </c:pt>
                <c:pt idx="42">
                  <c:v>1</c:v>
                </c:pt>
                <c:pt idx="43">
                  <c:v>1</c:v>
                </c:pt>
                <c:pt idx="44">
                  <c:v>0</c:v>
                </c:pt>
                <c:pt idx="45">
                  <c:v>1</c:v>
                </c:pt>
                <c:pt idx="46">
                  <c:v>0</c:v>
                </c:pt>
                <c:pt idx="47">
                  <c:v>1</c:v>
                </c:pt>
              </c:numCache>
            </c:numRef>
          </c:val>
          <c:extLst>
            <c:ext xmlns:c16="http://schemas.microsoft.com/office/drawing/2014/chart" uri="{C3380CC4-5D6E-409C-BE32-E72D297353CC}">
              <c16:uniqueId val="{00000000-DFC4-477B-9D4D-C8F68847DCAE}"/>
            </c:ext>
          </c:extLst>
        </c:ser>
        <c:ser>
          <c:idx val="1"/>
          <c:order val="1"/>
          <c:tx>
            <c:strRef>
              <c:f>Dashboard!$C$3</c:f>
              <c:strCache>
                <c:ptCount val="1"/>
                <c:pt idx="0">
                  <c:v>Sum of GR Flag 1/0</c:v>
                </c:pt>
              </c:strCache>
            </c:strRef>
          </c:tx>
          <c:spPr>
            <a:solidFill>
              <a:schemeClr val="accent2"/>
            </a:solidFill>
            <a:ln>
              <a:noFill/>
            </a:ln>
            <a:effectLst/>
          </c:spPr>
          <c:invertIfNegative val="0"/>
          <c:cat>
            <c:strRef>
              <c:f>Dashboard!$A$4:$A$52</c:f>
              <c:strCache>
                <c:ptCount val="48"/>
                <c:pt idx="0">
                  <c:v>Apex More</c:v>
                </c:pt>
                <c:pt idx="1">
                  <c:v>PrimeLine Manufacturing</c:v>
                </c:pt>
                <c:pt idx="2">
                  <c:v>BrightWave Electronics</c:v>
                </c:pt>
                <c:pt idx="3">
                  <c:v>Compass Crate</c:v>
                </c:pt>
                <c:pt idx="4">
                  <c:v>Apex Distribution</c:v>
                </c:pt>
                <c:pt idx="5">
                  <c:v>GreenField Components</c:v>
                </c:pt>
                <c:pt idx="6">
                  <c:v>Orion Business Services</c:v>
                </c:pt>
                <c:pt idx="7">
                  <c:v>SameDay</c:v>
                </c:pt>
                <c:pt idx="8">
                  <c:v>Wayfinder Logistics</c:v>
                </c:pt>
                <c:pt idx="9">
                  <c:v>Vectra Movers</c:v>
                </c:pt>
                <c:pt idx="10">
                  <c:v>SilverOak Consulting</c:v>
                </c:pt>
                <c:pt idx="11">
                  <c:v>Acme Supplies</c:v>
                </c:pt>
                <c:pt idx="12">
                  <c:v>Skyline Equipment</c:v>
                </c:pt>
                <c:pt idx="13">
                  <c:v>Shift Cargo</c:v>
                </c:pt>
                <c:pt idx="14">
                  <c:v>Titan Machinery Group</c:v>
                </c:pt>
                <c:pt idx="15">
                  <c:v>Atlas Industrial Parts</c:v>
                </c:pt>
                <c:pt idx="16">
                  <c:v>UrbanSource Supplies</c:v>
                </c:pt>
                <c:pt idx="17">
                  <c:v>Nordic Freight</c:v>
                </c:pt>
                <c:pt idx="18">
                  <c:v>Vantage Partners</c:v>
                </c:pt>
                <c:pt idx="19">
                  <c:v>Helix Innovations</c:v>
                </c:pt>
                <c:pt idx="20">
                  <c:v>RedStone Materials</c:v>
                </c:pt>
                <c:pt idx="21">
                  <c:v>BlueRiver Logistics</c:v>
                </c:pt>
                <c:pt idx="22">
                  <c:v>Vertex Systems</c:v>
                </c:pt>
                <c:pt idx="23">
                  <c:v>NordicTech Solutions</c:v>
                </c:pt>
                <c:pt idx="24">
                  <c:v>QuantumWare Ltd.</c:v>
                </c:pt>
                <c:pt idx="25">
                  <c:v>IronGate Engineering</c:v>
                </c:pt>
                <c:pt idx="26">
                  <c:v>Everest Trading Co.</c:v>
                </c:pt>
                <c:pt idx="27">
                  <c:v>Quantum Express</c:v>
                </c:pt>
                <c:pt idx="28">
                  <c:v>GlobalTrade Europe</c:v>
                </c:pt>
                <c:pt idx="29">
                  <c:v>FusionWorks Europe</c:v>
                </c:pt>
                <c:pt idx="30">
                  <c:v>OmegaTech Europe</c:v>
                </c:pt>
                <c:pt idx="31">
                  <c:v>Vanguard</c:v>
                </c:pt>
                <c:pt idx="32">
                  <c:v>ClearPath Solutions</c:v>
                </c:pt>
                <c:pt idx="33">
                  <c:v>Mustang101</c:v>
                </c:pt>
                <c:pt idx="34">
                  <c:v>AlphaCore Technologies</c:v>
                </c:pt>
                <c:pt idx="35">
                  <c:v>WestBridge Suppliers</c:v>
                </c:pt>
                <c:pt idx="36">
                  <c:v>Flow Freight</c:v>
                </c:pt>
                <c:pt idx="37">
                  <c:v>Steadfast</c:v>
                </c:pt>
                <c:pt idx="38">
                  <c:v>Continental Solutions</c:v>
                </c:pt>
                <c:pt idx="39">
                  <c:v>NovaEdge Services</c:v>
                </c:pt>
                <c:pt idx="40">
                  <c:v>Pinnacle</c:v>
                </c:pt>
                <c:pt idx="41">
                  <c:v>Zenith Freight</c:v>
                </c:pt>
                <c:pt idx="42">
                  <c:v>Anchor</c:v>
                </c:pt>
                <c:pt idx="43">
                  <c:v>EuroSupply GmbH</c:v>
                </c:pt>
                <c:pt idx="44">
                  <c:v>Swiftstream Logistics</c:v>
                </c:pt>
                <c:pt idx="45">
                  <c:v>Pioneer Logistics</c:v>
                </c:pt>
                <c:pt idx="46">
                  <c:v>BlueLine Logistics</c:v>
                </c:pt>
                <c:pt idx="47">
                  <c:v>DeltaPro Industries</c:v>
                </c:pt>
              </c:strCache>
            </c:strRef>
          </c:cat>
          <c:val>
            <c:numRef>
              <c:f>Dashboard!$C$4:$C$52</c:f>
              <c:numCache>
                <c:formatCode>General</c:formatCode>
                <c:ptCount val="48"/>
                <c:pt idx="0">
                  <c:v>2</c:v>
                </c:pt>
                <c:pt idx="1">
                  <c:v>2</c:v>
                </c:pt>
                <c:pt idx="2">
                  <c:v>0</c:v>
                </c:pt>
                <c:pt idx="3">
                  <c:v>0</c:v>
                </c:pt>
                <c:pt idx="4">
                  <c:v>0</c:v>
                </c:pt>
                <c:pt idx="5">
                  <c:v>2</c:v>
                </c:pt>
                <c:pt idx="6">
                  <c:v>0</c:v>
                </c:pt>
                <c:pt idx="7">
                  <c:v>3</c:v>
                </c:pt>
                <c:pt idx="8">
                  <c:v>1</c:v>
                </c:pt>
                <c:pt idx="9">
                  <c:v>1</c:v>
                </c:pt>
                <c:pt idx="10">
                  <c:v>3</c:v>
                </c:pt>
                <c:pt idx="11">
                  <c:v>1</c:v>
                </c:pt>
                <c:pt idx="12">
                  <c:v>1</c:v>
                </c:pt>
                <c:pt idx="13">
                  <c:v>0</c:v>
                </c:pt>
                <c:pt idx="14">
                  <c:v>1</c:v>
                </c:pt>
                <c:pt idx="15">
                  <c:v>4</c:v>
                </c:pt>
                <c:pt idx="16">
                  <c:v>2</c:v>
                </c:pt>
                <c:pt idx="17">
                  <c:v>1</c:v>
                </c:pt>
                <c:pt idx="18">
                  <c:v>1</c:v>
                </c:pt>
                <c:pt idx="19">
                  <c:v>1</c:v>
                </c:pt>
                <c:pt idx="20">
                  <c:v>0</c:v>
                </c:pt>
                <c:pt idx="21">
                  <c:v>2</c:v>
                </c:pt>
                <c:pt idx="22">
                  <c:v>1</c:v>
                </c:pt>
                <c:pt idx="23">
                  <c:v>0</c:v>
                </c:pt>
                <c:pt idx="24">
                  <c:v>0</c:v>
                </c:pt>
                <c:pt idx="25">
                  <c:v>4</c:v>
                </c:pt>
                <c:pt idx="26">
                  <c:v>0</c:v>
                </c:pt>
                <c:pt idx="27">
                  <c:v>2</c:v>
                </c:pt>
                <c:pt idx="28">
                  <c:v>1</c:v>
                </c:pt>
                <c:pt idx="29">
                  <c:v>3</c:v>
                </c:pt>
                <c:pt idx="30">
                  <c:v>1</c:v>
                </c:pt>
                <c:pt idx="31">
                  <c:v>0</c:v>
                </c:pt>
                <c:pt idx="32">
                  <c:v>0</c:v>
                </c:pt>
                <c:pt idx="33">
                  <c:v>0</c:v>
                </c:pt>
                <c:pt idx="34">
                  <c:v>1</c:v>
                </c:pt>
                <c:pt idx="35">
                  <c:v>0</c:v>
                </c:pt>
                <c:pt idx="36">
                  <c:v>2</c:v>
                </c:pt>
                <c:pt idx="37">
                  <c:v>3</c:v>
                </c:pt>
                <c:pt idx="38">
                  <c:v>1</c:v>
                </c:pt>
                <c:pt idx="39">
                  <c:v>2</c:v>
                </c:pt>
                <c:pt idx="40">
                  <c:v>3</c:v>
                </c:pt>
                <c:pt idx="41">
                  <c:v>2</c:v>
                </c:pt>
                <c:pt idx="42">
                  <c:v>2</c:v>
                </c:pt>
                <c:pt idx="43">
                  <c:v>1</c:v>
                </c:pt>
                <c:pt idx="44">
                  <c:v>0</c:v>
                </c:pt>
                <c:pt idx="45">
                  <c:v>1</c:v>
                </c:pt>
                <c:pt idx="46">
                  <c:v>0</c:v>
                </c:pt>
                <c:pt idx="47">
                  <c:v>0</c:v>
                </c:pt>
              </c:numCache>
            </c:numRef>
          </c:val>
          <c:extLst>
            <c:ext xmlns:c16="http://schemas.microsoft.com/office/drawing/2014/chart" uri="{C3380CC4-5D6E-409C-BE32-E72D297353CC}">
              <c16:uniqueId val="{00000001-DFC4-477B-9D4D-C8F68847DCAE}"/>
            </c:ext>
          </c:extLst>
        </c:ser>
        <c:ser>
          <c:idx val="2"/>
          <c:order val="2"/>
          <c:tx>
            <c:strRef>
              <c:f>Dashboard!$D$3</c:f>
              <c:strCache>
                <c:ptCount val="1"/>
                <c:pt idx="0">
                  <c:v>Sum of Invoice flag 1/0</c:v>
                </c:pt>
              </c:strCache>
            </c:strRef>
          </c:tx>
          <c:spPr>
            <a:solidFill>
              <a:schemeClr val="accent3"/>
            </a:solidFill>
            <a:ln>
              <a:noFill/>
            </a:ln>
            <a:effectLst/>
          </c:spPr>
          <c:invertIfNegative val="0"/>
          <c:cat>
            <c:strRef>
              <c:f>Dashboard!$A$4:$A$52</c:f>
              <c:strCache>
                <c:ptCount val="48"/>
                <c:pt idx="0">
                  <c:v>Apex More</c:v>
                </c:pt>
                <c:pt idx="1">
                  <c:v>PrimeLine Manufacturing</c:v>
                </c:pt>
                <c:pt idx="2">
                  <c:v>BrightWave Electronics</c:v>
                </c:pt>
                <c:pt idx="3">
                  <c:v>Compass Crate</c:v>
                </c:pt>
                <c:pt idx="4">
                  <c:v>Apex Distribution</c:v>
                </c:pt>
                <c:pt idx="5">
                  <c:v>GreenField Components</c:v>
                </c:pt>
                <c:pt idx="6">
                  <c:v>Orion Business Services</c:v>
                </c:pt>
                <c:pt idx="7">
                  <c:v>SameDay</c:v>
                </c:pt>
                <c:pt idx="8">
                  <c:v>Wayfinder Logistics</c:v>
                </c:pt>
                <c:pt idx="9">
                  <c:v>Vectra Movers</c:v>
                </c:pt>
                <c:pt idx="10">
                  <c:v>SilverOak Consulting</c:v>
                </c:pt>
                <c:pt idx="11">
                  <c:v>Acme Supplies</c:v>
                </c:pt>
                <c:pt idx="12">
                  <c:v>Skyline Equipment</c:v>
                </c:pt>
                <c:pt idx="13">
                  <c:v>Shift Cargo</c:v>
                </c:pt>
                <c:pt idx="14">
                  <c:v>Titan Machinery Group</c:v>
                </c:pt>
                <c:pt idx="15">
                  <c:v>Atlas Industrial Parts</c:v>
                </c:pt>
                <c:pt idx="16">
                  <c:v>UrbanSource Supplies</c:v>
                </c:pt>
                <c:pt idx="17">
                  <c:v>Nordic Freight</c:v>
                </c:pt>
                <c:pt idx="18">
                  <c:v>Vantage Partners</c:v>
                </c:pt>
                <c:pt idx="19">
                  <c:v>Helix Innovations</c:v>
                </c:pt>
                <c:pt idx="20">
                  <c:v>RedStone Materials</c:v>
                </c:pt>
                <c:pt idx="21">
                  <c:v>BlueRiver Logistics</c:v>
                </c:pt>
                <c:pt idx="22">
                  <c:v>Vertex Systems</c:v>
                </c:pt>
                <c:pt idx="23">
                  <c:v>NordicTech Solutions</c:v>
                </c:pt>
                <c:pt idx="24">
                  <c:v>QuantumWare Ltd.</c:v>
                </c:pt>
                <c:pt idx="25">
                  <c:v>IronGate Engineering</c:v>
                </c:pt>
                <c:pt idx="26">
                  <c:v>Everest Trading Co.</c:v>
                </c:pt>
                <c:pt idx="27">
                  <c:v>Quantum Express</c:v>
                </c:pt>
                <c:pt idx="28">
                  <c:v>GlobalTrade Europe</c:v>
                </c:pt>
                <c:pt idx="29">
                  <c:v>FusionWorks Europe</c:v>
                </c:pt>
                <c:pt idx="30">
                  <c:v>OmegaTech Europe</c:v>
                </c:pt>
                <c:pt idx="31">
                  <c:v>Vanguard</c:v>
                </c:pt>
                <c:pt idx="32">
                  <c:v>ClearPath Solutions</c:v>
                </c:pt>
                <c:pt idx="33">
                  <c:v>Mustang101</c:v>
                </c:pt>
                <c:pt idx="34">
                  <c:v>AlphaCore Technologies</c:v>
                </c:pt>
                <c:pt idx="35">
                  <c:v>WestBridge Suppliers</c:v>
                </c:pt>
                <c:pt idx="36">
                  <c:v>Flow Freight</c:v>
                </c:pt>
                <c:pt idx="37">
                  <c:v>Steadfast</c:v>
                </c:pt>
                <c:pt idx="38">
                  <c:v>Continental Solutions</c:v>
                </c:pt>
                <c:pt idx="39">
                  <c:v>NovaEdge Services</c:v>
                </c:pt>
                <c:pt idx="40">
                  <c:v>Pinnacle</c:v>
                </c:pt>
                <c:pt idx="41">
                  <c:v>Zenith Freight</c:v>
                </c:pt>
                <c:pt idx="42">
                  <c:v>Anchor</c:v>
                </c:pt>
                <c:pt idx="43">
                  <c:v>EuroSupply GmbH</c:v>
                </c:pt>
                <c:pt idx="44">
                  <c:v>Swiftstream Logistics</c:v>
                </c:pt>
                <c:pt idx="45">
                  <c:v>Pioneer Logistics</c:v>
                </c:pt>
                <c:pt idx="46">
                  <c:v>BlueLine Logistics</c:v>
                </c:pt>
                <c:pt idx="47">
                  <c:v>DeltaPro Industries</c:v>
                </c:pt>
              </c:strCache>
            </c:strRef>
          </c:cat>
          <c:val>
            <c:numRef>
              <c:f>Dashboard!$D$4:$D$52</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FC4-477B-9D4D-C8F68847DCAE}"/>
            </c:ext>
          </c:extLst>
        </c:ser>
        <c:ser>
          <c:idx val="3"/>
          <c:order val="3"/>
          <c:tx>
            <c:strRef>
              <c:f>Dashboard!$E$3</c:f>
              <c:strCache>
                <c:ptCount val="1"/>
                <c:pt idx="0">
                  <c:v>Sum of Date Flag 1/0</c:v>
                </c:pt>
              </c:strCache>
            </c:strRef>
          </c:tx>
          <c:spPr>
            <a:solidFill>
              <a:schemeClr val="accent4"/>
            </a:solidFill>
            <a:ln>
              <a:noFill/>
            </a:ln>
            <a:effectLst/>
          </c:spPr>
          <c:invertIfNegative val="0"/>
          <c:cat>
            <c:strRef>
              <c:f>Dashboard!$A$4:$A$52</c:f>
              <c:strCache>
                <c:ptCount val="48"/>
                <c:pt idx="0">
                  <c:v>Apex More</c:v>
                </c:pt>
                <c:pt idx="1">
                  <c:v>PrimeLine Manufacturing</c:v>
                </c:pt>
                <c:pt idx="2">
                  <c:v>BrightWave Electronics</c:v>
                </c:pt>
                <c:pt idx="3">
                  <c:v>Compass Crate</c:v>
                </c:pt>
                <c:pt idx="4">
                  <c:v>Apex Distribution</c:v>
                </c:pt>
                <c:pt idx="5">
                  <c:v>GreenField Components</c:v>
                </c:pt>
                <c:pt idx="6">
                  <c:v>Orion Business Services</c:v>
                </c:pt>
                <c:pt idx="7">
                  <c:v>SameDay</c:v>
                </c:pt>
                <c:pt idx="8">
                  <c:v>Wayfinder Logistics</c:v>
                </c:pt>
                <c:pt idx="9">
                  <c:v>Vectra Movers</c:v>
                </c:pt>
                <c:pt idx="10">
                  <c:v>SilverOak Consulting</c:v>
                </c:pt>
                <c:pt idx="11">
                  <c:v>Acme Supplies</c:v>
                </c:pt>
                <c:pt idx="12">
                  <c:v>Skyline Equipment</c:v>
                </c:pt>
                <c:pt idx="13">
                  <c:v>Shift Cargo</c:v>
                </c:pt>
                <c:pt idx="14">
                  <c:v>Titan Machinery Group</c:v>
                </c:pt>
                <c:pt idx="15">
                  <c:v>Atlas Industrial Parts</c:v>
                </c:pt>
                <c:pt idx="16">
                  <c:v>UrbanSource Supplies</c:v>
                </c:pt>
                <c:pt idx="17">
                  <c:v>Nordic Freight</c:v>
                </c:pt>
                <c:pt idx="18">
                  <c:v>Vantage Partners</c:v>
                </c:pt>
                <c:pt idx="19">
                  <c:v>Helix Innovations</c:v>
                </c:pt>
                <c:pt idx="20">
                  <c:v>RedStone Materials</c:v>
                </c:pt>
                <c:pt idx="21">
                  <c:v>BlueRiver Logistics</c:v>
                </c:pt>
                <c:pt idx="22">
                  <c:v>Vertex Systems</c:v>
                </c:pt>
                <c:pt idx="23">
                  <c:v>NordicTech Solutions</c:v>
                </c:pt>
                <c:pt idx="24">
                  <c:v>QuantumWare Ltd.</c:v>
                </c:pt>
                <c:pt idx="25">
                  <c:v>IronGate Engineering</c:v>
                </c:pt>
                <c:pt idx="26">
                  <c:v>Everest Trading Co.</c:v>
                </c:pt>
                <c:pt idx="27">
                  <c:v>Quantum Express</c:v>
                </c:pt>
                <c:pt idx="28">
                  <c:v>GlobalTrade Europe</c:v>
                </c:pt>
                <c:pt idx="29">
                  <c:v>FusionWorks Europe</c:v>
                </c:pt>
                <c:pt idx="30">
                  <c:v>OmegaTech Europe</c:v>
                </c:pt>
                <c:pt idx="31">
                  <c:v>Vanguard</c:v>
                </c:pt>
                <c:pt idx="32">
                  <c:v>ClearPath Solutions</c:v>
                </c:pt>
                <c:pt idx="33">
                  <c:v>Mustang101</c:v>
                </c:pt>
                <c:pt idx="34">
                  <c:v>AlphaCore Technologies</c:v>
                </c:pt>
                <c:pt idx="35">
                  <c:v>WestBridge Suppliers</c:v>
                </c:pt>
                <c:pt idx="36">
                  <c:v>Flow Freight</c:v>
                </c:pt>
                <c:pt idx="37">
                  <c:v>Steadfast</c:v>
                </c:pt>
                <c:pt idx="38">
                  <c:v>Continental Solutions</c:v>
                </c:pt>
                <c:pt idx="39">
                  <c:v>NovaEdge Services</c:v>
                </c:pt>
                <c:pt idx="40">
                  <c:v>Pinnacle</c:v>
                </c:pt>
                <c:pt idx="41">
                  <c:v>Zenith Freight</c:v>
                </c:pt>
                <c:pt idx="42">
                  <c:v>Anchor</c:v>
                </c:pt>
                <c:pt idx="43">
                  <c:v>EuroSupply GmbH</c:v>
                </c:pt>
                <c:pt idx="44">
                  <c:v>Swiftstream Logistics</c:v>
                </c:pt>
                <c:pt idx="45">
                  <c:v>Pioneer Logistics</c:v>
                </c:pt>
                <c:pt idx="46">
                  <c:v>BlueLine Logistics</c:v>
                </c:pt>
                <c:pt idx="47">
                  <c:v>DeltaPro Industries</c:v>
                </c:pt>
              </c:strCache>
            </c:strRef>
          </c:cat>
          <c:val>
            <c:numRef>
              <c:f>Dashboard!$E$4:$E$52</c:f>
              <c:numCache>
                <c:formatCode>General</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DFC4-477B-9D4D-C8F68847DCAE}"/>
            </c:ext>
          </c:extLst>
        </c:ser>
        <c:ser>
          <c:idx val="4"/>
          <c:order val="4"/>
          <c:tx>
            <c:strRef>
              <c:f>Dashboard!$F$3</c:f>
              <c:strCache>
                <c:ptCount val="1"/>
                <c:pt idx="0">
                  <c:v>Sum of Qty Flag 1/0</c:v>
                </c:pt>
              </c:strCache>
            </c:strRef>
          </c:tx>
          <c:spPr>
            <a:solidFill>
              <a:schemeClr val="accent5"/>
            </a:solidFill>
            <a:ln>
              <a:noFill/>
            </a:ln>
            <a:effectLst/>
          </c:spPr>
          <c:invertIfNegative val="0"/>
          <c:cat>
            <c:strRef>
              <c:f>Dashboard!$A$4:$A$52</c:f>
              <c:strCache>
                <c:ptCount val="48"/>
                <c:pt idx="0">
                  <c:v>Apex More</c:v>
                </c:pt>
                <c:pt idx="1">
                  <c:v>PrimeLine Manufacturing</c:v>
                </c:pt>
                <c:pt idx="2">
                  <c:v>BrightWave Electronics</c:v>
                </c:pt>
                <c:pt idx="3">
                  <c:v>Compass Crate</c:v>
                </c:pt>
                <c:pt idx="4">
                  <c:v>Apex Distribution</c:v>
                </c:pt>
                <c:pt idx="5">
                  <c:v>GreenField Components</c:v>
                </c:pt>
                <c:pt idx="6">
                  <c:v>Orion Business Services</c:v>
                </c:pt>
                <c:pt idx="7">
                  <c:v>SameDay</c:v>
                </c:pt>
                <c:pt idx="8">
                  <c:v>Wayfinder Logistics</c:v>
                </c:pt>
                <c:pt idx="9">
                  <c:v>Vectra Movers</c:v>
                </c:pt>
                <c:pt idx="10">
                  <c:v>SilverOak Consulting</c:v>
                </c:pt>
                <c:pt idx="11">
                  <c:v>Acme Supplies</c:v>
                </c:pt>
                <c:pt idx="12">
                  <c:v>Skyline Equipment</c:v>
                </c:pt>
                <c:pt idx="13">
                  <c:v>Shift Cargo</c:v>
                </c:pt>
                <c:pt idx="14">
                  <c:v>Titan Machinery Group</c:v>
                </c:pt>
                <c:pt idx="15">
                  <c:v>Atlas Industrial Parts</c:v>
                </c:pt>
                <c:pt idx="16">
                  <c:v>UrbanSource Supplies</c:v>
                </c:pt>
                <c:pt idx="17">
                  <c:v>Nordic Freight</c:v>
                </c:pt>
                <c:pt idx="18">
                  <c:v>Vantage Partners</c:v>
                </c:pt>
                <c:pt idx="19">
                  <c:v>Helix Innovations</c:v>
                </c:pt>
                <c:pt idx="20">
                  <c:v>RedStone Materials</c:v>
                </c:pt>
                <c:pt idx="21">
                  <c:v>BlueRiver Logistics</c:v>
                </c:pt>
                <c:pt idx="22">
                  <c:v>Vertex Systems</c:v>
                </c:pt>
                <c:pt idx="23">
                  <c:v>NordicTech Solutions</c:v>
                </c:pt>
                <c:pt idx="24">
                  <c:v>QuantumWare Ltd.</c:v>
                </c:pt>
                <c:pt idx="25">
                  <c:v>IronGate Engineering</c:v>
                </c:pt>
                <c:pt idx="26">
                  <c:v>Everest Trading Co.</c:v>
                </c:pt>
                <c:pt idx="27">
                  <c:v>Quantum Express</c:v>
                </c:pt>
                <c:pt idx="28">
                  <c:v>GlobalTrade Europe</c:v>
                </c:pt>
                <c:pt idx="29">
                  <c:v>FusionWorks Europe</c:v>
                </c:pt>
                <c:pt idx="30">
                  <c:v>OmegaTech Europe</c:v>
                </c:pt>
                <c:pt idx="31">
                  <c:v>Vanguard</c:v>
                </c:pt>
                <c:pt idx="32">
                  <c:v>ClearPath Solutions</c:v>
                </c:pt>
                <c:pt idx="33">
                  <c:v>Mustang101</c:v>
                </c:pt>
                <c:pt idx="34">
                  <c:v>AlphaCore Technologies</c:v>
                </c:pt>
                <c:pt idx="35">
                  <c:v>WestBridge Suppliers</c:v>
                </c:pt>
                <c:pt idx="36">
                  <c:v>Flow Freight</c:v>
                </c:pt>
                <c:pt idx="37">
                  <c:v>Steadfast</c:v>
                </c:pt>
                <c:pt idx="38">
                  <c:v>Continental Solutions</c:v>
                </c:pt>
                <c:pt idx="39">
                  <c:v>NovaEdge Services</c:v>
                </c:pt>
                <c:pt idx="40">
                  <c:v>Pinnacle</c:v>
                </c:pt>
                <c:pt idx="41">
                  <c:v>Zenith Freight</c:v>
                </c:pt>
                <c:pt idx="42">
                  <c:v>Anchor</c:v>
                </c:pt>
                <c:pt idx="43">
                  <c:v>EuroSupply GmbH</c:v>
                </c:pt>
                <c:pt idx="44">
                  <c:v>Swiftstream Logistics</c:v>
                </c:pt>
                <c:pt idx="45">
                  <c:v>Pioneer Logistics</c:v>
                </c:pt>
                <c:pt idx="46">
                  <c:v>BlueLine Logistics</c:v>
                </c:pt>
                <c:pt idx="47">
                  <c:v>DeltaPro Industries</c:v>
                </c:pt>
              </c:strCache>
            </c:strRef>
          </c:cat>
          <c:val>
            <c:numRef>
              <c:f>Dashboard!$F$4:$F$52</c:f>
              <c:numCache>
                <c:formatCode>General</c:formatCode>
                <c:ptCount val="48"/>
                <c:pt idx="0">
                  <c:v>1</c:v>
                </c:pt>
                <c:pt idx="1">
                  <c:v>1</c:v>
                </c:pt>
                <c:pt idx="2">
                  <c:v>1</c:v>
                </c:pt>
                <c:pt idx="3">
                  <c:v>1</c:v>
                </c:pt>
                <c:pt idx="4">
                  <c:v>3</c:v>
                </c:pt>
                <c:pt idx="5">
                  <c:v>0</c:v>
                </c:pt>
                <c:pt idx="6">
                  <c:v>0</c:v>
                </c:pt>
                <c:pt idx="7">
                  <c:v>2</c:v>
                </c:pt>
                <c:pt idx="8">
                  <c:v>3</c:v>
                </c:pt>
                <c:pt idx="9">
                  <c:v>1</c:v>
                </c:pt>
                <c:pt idx="10">
                  <c:v>1</c:v>
                </c:pt>
                <c:pt idx="11">
                  <c:v>1</c:v>
                </c:pt>
                <c:pt idx="12">
                  <c:v>2</c:v>
                </c:pt>
                <c:pt idx="13">
                  <c:v>0</c:v>
                </c:pt>
                <c:pt idx="14">
                  <c:v>0</c:v>
                </c:pt>
                <c:pt idx="15">
                  <c:v>1</c:v>
                </c:pt>
                <c:pt idx="16">
                  <c:v>3</c:v>
                </c:pt>
                <c:pt idx="17">
                  <c:v>1</c:v>
                </c:pt>
                <c:pt idx="18">
                  <c:v>1</c:v>
                </c:pt>
                <c:pt idx="19">
                  <c:v>0</c:v>
                </c:pt>
                <c:pt idx="20">
                  <c:v>1</c:v>
                </c:pt>
                <c:pt idx="21">
                  <c:v>1</c:v>
                </c:pt>
                <c:pt idx="22">
                  <c:v>0</c:v>
                </c:pt>
                <c:pt idx="23">
                  <c:v>1</c:v>
                </c:pt>
                <c:pt idx="24">
                  <c:v>0</c:v>
                </c:pt>
                <c:pt idx="25">
                  <c:v>3</c:v>
                </c:pt>
                <c:pt idx="26">
                  <c:v>0</c:v>
                </c:pt>
                <c:pt idx="27">
                  <c:v>1</c:v>
                </c:pt>
                <c:pt idx="28">
                  <c:v>3</c:v>
                </c:pt>
                <c:pt idx="29">
                  <c:v>1</c:v>
                </c:pt>
                <c:pt idx="30">
                  <c:v>0</c:v>
                </c:pt>
                <c:pt idx="31">
                  <c:v>0</c:v>
                </c:pt>
                <c:pt idx="32">
                  <c:v>0</c:v>
                </c:pt>
                <c:pt idx="33">
                  <c:v>0</c:v>
                </c:pt>
                <c:pt idx="34">
                  <c:v>2</c:v>
                </c:pt>
                <c:pt idx="35">
                  <c:v>2</c:v>
                </c:pt>
                <c:pt idx="36">
                  <c:v>1</c:v>
                </c:pt>
                <c:pt idx="37">
                  <c:v>1</c:v>
                </c:pt>
                <c:pt idx="38">
                  <c:v>1</c:v>
                </c:pt>
                <c:pt idx="39">
                  <c:v>1</c:v>
                </c:pt>
                <c:pt idx="40">
                  <c:v>2</c:v>
                </c:pt>
                <c:pt idx="41">
                  <c:v>3</c:v>
                </c:pt>
                <c:pt idx="42">
                  <c:v>1</c:v>
                </c:pt>
                <c:pt idx="43">
                  <c:v>3</c:v>
                </c:pt>
                <c:pt idx="44">
                  <c:v>0</c:v>
                </c:pt>
                <c:pt idx="45">
                  <c:v>1</c:v>
                </c:pt>
                <c:pt idx="46">
                  <c:v>2</c:v>
                </c:pt>
                <c:pt idx="47">
                  <c:v>3</c:v>
                </c:pt>
              </c:numCache>
            </c:numRef>
          </c:val>
          <c:extLst>
            <c:ext xmlns:c16="http://schemas.microsoft.com/office/drawing/2014/chart" uri="{C3380CC4-5D6E-409C-BE32-E72D297353CC}">
              <c16:uniqueId val="{00000004-DFC4-477B-9D4D-C8F68847DCAE}"/>
            </c:ext>
          </c:extLst>
        </c:ser>
        <c:ser>
          <c:idx val="5"/>
          <c:order val="5"/>
          <c:tx>
            <c:strRef>
              <c:f>Dashboard!$G$3</c:f>
              <c:strCache>
                <c:ptCount val="1"/>
                <c:pt idx="0">
                  <c:v>Sum of Price Var 1/0</c:v>
                </c:pt>
              </c:strCache>
            </c:strRef>
          </c:tx>
          <c:spPr>
            <a:solidFill>
              <a:schemeClr val="accent6"/>
            </a:solidFill>
            <a:ln>
              <a:noFill/>
            </a:ln>
            <a:effectLst/>
          </c:spPr>
          <c:invertIfNegative val="0"/>
          <c:cat>
            <c:strRef>
              <c:f>Dashboard!$A$4:$A$52</c:f>
              <c:strCache>
                <c:ptCount val="48"/>
                <c:pt idx="0">
                  <c:v>Apex More</c:v>
                </c:pt>
                <c:pt idx="1">
                  <c:v>PrimeLine Manufacturing</c:v>
                </c:pt>
                <c:pt idx="2">
                  <c:v>BrightWave Electronics</c:v>
                </c:pt>
                <c:pt idx="3">
                  <c:v>Compass Crate</c:v>
                </c:pt>
                <c:pt idx="4">
                  <c:v>Apex Distribution</c:v>
                </c:pt>
                <c:pt idx="5">
                  <c:v>GreenField Components</c:v>
                </c:pt>
                <c:pt idx="6">
                  <c:v>Orion Business Services</c:v>
                </c:pt>
                <c:pt idx="7">
                  <c:v>SameDay</c:v>
                </c:pt>
                <c:pt idx="8">
                  <c:v>Wayfinder Logistics</c:v>
                </c:pt>
                <c:pt idx="9">
                  <c:v>Vectra Movers</c:v>
                </c:pt>
                <c:pt idx="10">
                  <c:v>SilverOak Consulting</c:v>
                </c:pt>
                <c:pt idx="11">
                  <c:v>Acme Supplies</c:v>
                </c:pt>
                <c:pt idx="12">
                  <c:v>Skyline Equipment</c:v>
                </c:pt>
                <c:pt idx="13">
                  <c:v>Shift Cargo</c:v>
                </c:pt>
                <c:pt idx="14">
                  <c:v>Titan Machinery Group</c:v>
                </c:pt>
                <c:pt idx="15">
                  <c:v>Atlas Industrial Parts</c:v>
                </c:pt>
                <c:pt idx="16">
                  <c:v>UrbanSource Supplies</c:v>
                </c:pt>
                <c:pt idx="17">
                  <c:v>Nordic Freight</c:v>
                </c:pt>
                <c:pt idx="18">
                  <c:v>Vantage Partners</c:v>
                </c:pt>
                <c:pt idx="19">
                  <c:v>Helix Innovations</c:v>
                </c:pt>
                <c:pt idx="20">
                  <c:v>RedStone Materials</c:v>
                </c:pt>
                <c:pt idx="21">
                  <c:v>BlueRiver Logistics</c:v>
                </c:pt>
                <c:pt idx="22">
                  <c:v>Vertex Systems</c:v>
                </c:pt>
                <c:pt idx="23">
                  <c:v>NordicTech Solutions</c:v>
                </c:pt>
                <c:pt idx="24">
                  <c:v>QuantumWare Ltd.</c:v>
                </c:pt>
                <c:pt idx="25">
                  <c:v>IronGate Engineering</c:v>
                </c:pt>
                <c:pt idx="26">
                  <c:v>Everest Trading Co.</c:v>
                </c:pt>
                <c:pt idx="27">
                  <c:v>Quantum Express</c:v>
                </c:pt>
                <c:pt idx="28">
                  <c:v>GlobalTrade Europe</c:v>
                </c:pt>
                <c:pt idx="29">
                  <c:v>FusionWorks Europe</c:v>
                </c:pt>
                <c:pt idx="30">
                  <c:v>OmegaTech Europe</c:v>
                </c:pt>
                <c:pt idx="31">
                  <c:v>Vanguard</c:v>
                </c:pt>
                <c:pt idx="32">
                  <c:v>ClearPath Solutions</c:v>
                </c:pt>
                <c:pt idx="33">
                  <c:v>Mustang101</c:v>
                </c:pt>
                <c:pt idx="34">
                  <c:v>AlphaCore Technologies</c:v>
                </c:pt>
                <c:pt idx="35">
                  <c:v>WestBridge Suppliers</c:v>
                </c:pt>
                <c:pt idx="36">
                  <c:v>Flow Freight</c:v>
                </c:pt>
                <c:pt idx="37">
                  <c:v>Steadfast</c:v>
                </c:pt>
                <c:pt idx="38">
                  <c:v>Continental Solutions</c:v>
                </c:pt>
                <c:pt idx="39">
                  <c:v>NovaEdge Services</c:v>
                </c:pt>
                <c:pt idx="40">
                  <c:v>Pinnacle</c:v>
                </c:pt>
                <c:pt idx="41">
                  <c:v>Zenith Freight</c:v>
                </c:pt>
                <c:pt idx="42">
                  <c:v>Anchor</c:v>
                </c:pt>
                <c:pt idx="43">
                  <c:v>EuroSupply GmbH</c:v>
                </c:pt>
                <c:pt idx="44">
                  <c:v>Swiftstream Logistics</c:v>
                </c:pt>
                <c:pt idx="45">
                  <c:v>Pioneer Logistics</c:v>
                </c:pt>
                <c:pt idx="46">
                  <c:v>BlueLine Logistics</c:v>
                </c:pt>
                <c:pt idx="47">
                  <c:v>DeltaPro Industries</c:v>
                </c:pt>
              </c:strCache>
            </c:strRef>
          </c:cat>
          <c:val>
            <c:numRef>
              <c:f>Dashboard!$G$4:$G$52</c:f>
              <c:numCache>
                <c:formatCode>General</c:formatCode>
                <c:ptCount val="48"/>
                <c:pt idx="0">
                  <c:v>1</c:v>
                </c:pt>
                <c:pt idx="1">
                  <c:v>2</c:v>
                </c:pt>
                <c:pt idx="2">
                  <c:v>1</c:v>
                </c:pt>
                <c:pt idx="3">
                  <c:v>1</c:v>
                </c:pt>
                <c:pt idx="4">
                  <c:v>2</c:v>
                </c:pt>
                <c:pt idx="5">
                  <c:v>1</c:v>
                </c:pt>
                <c:pt idx="6">
                  <c:v>1</c:v>
                </c:pt>
                <c:pt idx="7">
                  <c:v>1</c:v>
                </c:pt>
                <c:pt idx="8">
                  <c:v>3</c:v>
                </c:pt>
                <c:pt idx="9">
                  <c:v>2</c:v>
                </c:pt>
                <c:pt idx="10">
                  <c:v>2</c:v>
                </c:pt>
                <c:pt idx="11">
                  <c:v>0</c:v>
                </c:pt>
                <c:pt idx="12">
                  <c:v>1</c:v>
                </c:pt>
                <c:pt idx="13">
                  <c:v>2</c:v>
                </c:pt>
                <c:pt idx="14">
                  <c:v>1</c:v>
                </c:pt>
                <c:pt idx="15">
                  <c:v>0</c:v>
                </c:pt>
                <c:pt idx="16">
                  <c:v>2</c:v>
                </c:pt>
                <c:pt idx="17">
                  <c:v>2</c:v>
                </c:pt>
                <c:pt idx="18">
                  <c:v>2</c:v>
                </c:pt>
                <c:pt idx="19">
                  <c:v>1</c:v>
                </c:pt>
                <c:pt idx="20">
                  <c:v>0</c:v>
                </c:pt>
                <c:pt idx="21">
                  <c:v>0</c:v>
                </c:pt>
                <c:pt idx="22">
                  <c:v>2</c:v>
                </c:pt>
                <c:pt idx="23">
                  <c:v>1</c:v>
                </c:pt>
                <c:pt idx="24">
                  <c:v>1</c:v>
                </c:pt>
                <c:pt idx="25">
                  <c:v>1</c:v>
                </c:pt>
                <c:pt idx="26">
                  <c:v>2</c:v>
                </c:pt>
                <c:pt idx="27">
                  <c:v>0</c:v>
                </c:pt>
                <c:pt idx="28">
                  <c:v>1</c:v>
                </c:pt>
                <c:pt idx="29">
                  <c:v>1</c:v>
                </c:pt>
                <c:pt idx="30">
                  <c:v>5</c:v>
                </c:pt>
                <c:pt idx="31">
                  <c:v>2</c:v>
                </c:pt>
                <c:pt idx="32">
                  <c:v>1</c:v>
                </c:pt>
                <c:pt idx="33">
                  <c:v>0</c:v>
                </c:pt>
                <c:pt idx="34">
                  <c:v>0</c:v>
                </c:pt>
                <c:pt idx="35">
                  <c:v>0</c:v>
                </c:pt>
                <c:pt idx="36">
                  <c:v>0</c:v>
                </c:pt>
                <c:pt idx="37">
                  <c:v>4</c:v>
                </c:pt>
                <c:pt idx="38">
                  <c:v>2</c:v>
                </c:pt>
                <c:pt idx="39">
                  <c:v>1</c:v>
                </c:pt>
                <c:pt idx="40">
                  <c:v>0</c:v>
                </c:pt>
                <c:pt idx="41">
                  <c:v>1</c:v>
                </c:pt>
                <c:pt idx="42">
                  <c:v>2</c:v>
                </c:pt>
                <c:pt idx="43">
                  <c:v>1</c:v>
                </c:pt>
                <c:pt idx="44">
                  <c:v>5</c:v>
                </c:pt>
                <c:pt idx="45">
                  <c:v>3</c:v>
                </c:pt>
                <c:pt idx="46">
                  <c:v>3</c:v>
                </c:pt>
                <c:pt idx="47">
                  <c:v>6</c:v>
                </c:pt>
              </c:numCache>
            </c:numRef>
          </c:val>
          <c:extLst>
            <c:ext xmlns:c16="http://schemas.microsoft.com/office/drawing/2014/chart" uri="{C3380CC4-5D6E-409C-BE32-E72D297353CC}">
              <c16:uniqueId val="{00000005-DFC4-477B-9D4D-C8F68847DCAE}"/>
            </c:ext>
          </c:extLst>
        </c:ser>
        <c:ser>
          <c:idx val="6"/>
          <c:order val="6"/>
          <c:tx>
            <c:strRef>
              <c:f>Dashboard!$H$3</c:f>
              <c:strCache>
                <c:ptCount val="1"/>
                <c:pt idx="0">
                  <c:v>Sum of Late Del 1/0</c:v>
                </c:pt>
              </c:strCache>
            </c:strRef>
          </c:tx>
          <c:spPr>
            <a:solidFill>
              <a:schemeClr val="accent1">
                <a:lumMod val="60000"/>
              </a:schemeClr>
            </a:solidFill>
            <a:ln>
              <a:noFill/>
            </a:ln>
            <a:effectLst/>
          </c:spPr>
          <c:invertIfNegative val="0"/>
          <c:cat>
            <c:strRef>
              <c:f>Dashboard!$A$4:$A$52</c:f>
              <c:strCache>
                <c:ptCount val="48"/>
                <c:pt idx="0">
                  <c:v>Apex More</c:v>
                </c:pt>
                <c:pt idx="1">
                  <c:v>PrimeLine Manufacturing</c:v>
                </c:pt>
                <c:pt idx="2">
                  <c:v>BrightWave Electronics</c:v>
                </c:pt>
                <c:pt idx="3">
                  <c:v>Compass Crate</c:v>
                </c:pt>
                <c:pt idx="4">
                  <c:v>Apex Distribution</c:v>
                </c:pt>
                <c:pt idx="5">
                  <c:v>GreenField Components</c:v>
                </c:pt>
                <c:pt idx="6">
                  <c:v>Orion Business Services</c:v>
                </c:pt>
                <c:pt idx="7">
                  <c:v>SameDay</c:v>
                </c:pt>
                <c:pt idx="8">
                  <c:v>Wayfinder Logistics</c:v>
                </c:pt>
                <c:pt idx="9">
                  <c:v>Vectra Movers</c:v>
                </c:pt>
                <c:pt idx="10">
                  <c:v>SilverOak Consulting</c:v>
                </c:pt>
                <c:pt idx="11">
                  <c:v>Acme Supplies</c:v>
                </c:pt>
                <c:pt idx="12">
                  <c:v>Skyline Equipment</c:v>
                </c:pt>
                <c:pt idx="13">
                  <c:v>Shift Cargo</c:v>
                </c:pt>
                <c:pt idx="14">
                  <c:v>Titan Machinery Group</c:v>
                </c:pt>
                <c:pt idx="15">
                  <c:v>Atlas Industrial Parts</c:v>
                </c:pt>
                <c:pt idx="16">
                  <c:v>UrbanSource Supplies</c:v>
                </c:pt>
                <c:pt idx="17">
                  <c:v>Nordic Freight</c:v>
                </c:pt>
                <c:pt idx="18">
                  <c:v>Vantage Partners</c:v>
                </c:pt>
                <c:pt idx="19">
                  <c:v>Helix Innovations</c:v>
                </c:pt>
                <c:pt idx="20">
                  <c:v>RedStone Materials</c:v>
                </c:pt>
                <c:pt idx="21">
                  <c:v>BlueRiver Logistics</c:v>
                </c:pt>
                <c:pt idx="22">
                  <c:v>Vertex Systems</c:v>
                </c:pt>
                <c:pt idx="23">
                  <c:v>NordicTech Solutions</c:v>
                </c:pt>
                <c:pt idx="24">
                  <c:v>QuantumWare Ltd.</c:v>
                </c:pt>
                <c:pt idx="25">
                  <c:v>IronGate Engineering</c:v>
                </c:pt>
                <c:pt idx="26">
                  <c:v>Everest Trading Co.</c:v>
                </c:pt>
                <c:pt idx="27">
                  <c:v>Quantum Express</c:v>
                </c:pt>
                <c:pt idx="28">
                  <c:v>GlobalTrade Europe</c:v>
                </c:pt>
                <c:pt idx="29">
                  <c:v>FusionWorks Europe</c:v>
                </c:pt>
                <c:pt idx="30">
                  <c:v>OmegaTech Europe</c:v>
                </c:pt>
                <c:pt idx="31">
                  <c:v>Vanguard</c:v>
                </c:pt>
                <c:pt idx="32">
                  <c:v>ClearPath Solutions</c:v>
                </c:pt>
                <c:pt idx="33">
                  <c:v>Mustang101</c:v>
                </c:pt>
                <c:pt idx="34">
                  <c:v>AlphaCore Technologies</c:v>
                </c:pt>
                <c:pt idx="35">
                  <c:v>WestBridge Suppliers</c:v>
                </c:pt>
                <c:pt idx="36">
                  <c:v>Flow Freight</c:v>
                </c:pt>
                <c:pt idx="37">
                  <c:v>Steadfast</c:v>
                </c:pt>
                <c:pt idx="38">
                  <c:v>Continental Solutions</c:v>
                </c:pt>
                <c:pt idx="39">
                  <c:v>NovaEdge Services</c:v>
                </c:pt>
                <c:pt idx="40">
                  <c:v>Pinnacle</c:v>
                </c:pt>
                <c:pt idx="41">
                  <c:v>Zenith Freight</c:v>
                </c:pt>
                <c:pt idx="42">
                  <c:v>Anchor</c:v>
                </c:pt>
                <c:pt idx="43">
                  <c:v>EuroSupply GmbH</c:v>
                </c:pt>
                <c:pt idx="44">
                  <c:v>Swiftstream Logistics</c:v>
                </c:pt>
                <c:pt idx="45">
                  <c:v>Pioneer Logistics</c:v>
                </c:pt>
                <c:pt idx="46">
                  <c:v>BlueLine Logistics</c:v>
                </c:pt>
                <c:pt idx="47">
                  <c:v>DeltaPro Industries</c:v>
                </c:pt>
              </c:strCache>
            </c:strRef>
          </c:cat>
          <c:val>
            <c:numRef>
              <c:f>Dashboard!$H$4:$H$52</c:f>
              <c:numCache>
                <c:formatCode>General</c:formatCode>
                <c:ptCount val="48"/>
                <c:pt idx="0">
                  <c:v>1</c:v>
                </c:pt>
                <c:pt idx="1">
                  <c:v>2</c:v>
                </c:pt>
                <c:pt idx="2">
                  <c:v>3</c:v>
                </c:pt>
                <c:pt idx="3">
                  <c:v>4</c:v>
                </c:pt>
                <c:pt idx="4">
                  <c:v>4</c:v>
                </c:pt>
                <c:pt idx="5">
                  <c:v>4</c:v>
                </c:pt>
                <c:pt idx="6">
                  <c:v>5</c:v>
                </c:pt>
                <c:pt idx="7">
                  <c:v>5</c:v>
                </c:pt>
                <c:pt idx="8">
                  <c:v>5</c:v>
                </c:pt>
                <c:pt idx="9">
                  <c:v>5</c:v>
                </c:pt>
                <c:pt idx="10">
                  <c:v>5</c:v>
                </c:pt>
                <c:pt idx="11">
                  <c:v>5</c:v>
                </c:pt>
                <c:pt idx="12">
                  <c:v>5</c:v>
                </c:pt>
                <c:pt idx="13">
                  <c:v>6</c:v>
                </c:pt>
                <c:pt idx="14">
                  <c:v>6</c:v>
                </c:pt>
                <c:pt idx="15">
                  <c:v>6</c:v>
                </c:pt>
                <c:pt idx="16">
                  <c:v>6</c:v>
                </c:pt>
                <c:pt idx="17">
                  <c:v>6</c:v>
                </c:pt>
                <c:pt idx="18">
                  <c:v>6</c:v>
                </c:pt>
                <c:pt idx="19">
                  <c:v>6</c:v>
                </c:pt>
                <c:pt idx="20">
                  <c:v>6</c:v>
                </c:pt>
                <c:pt idx="21">
                  <c:v>6</c:v>
                </c:pt>
                <c:pt idx="22">
                  <c:v>6</c:v>
                </c:pt>
                <c:pt idx="23">
                  <c:v>7</c:v>
                </c:pt>
                <c:pt idx="24">
                  <c:v>7</c:v>
                </c:pt>
                <c:pt idx="25">
                  <c:v>7</c:v>
                </c:pt>
                <c:pt idx="26">
                  <c:v>7</c:v>
                </c:pt>
                <c:pt idx="27">
                  <c:v>7</c:v>
                </c:pt>
                <c:pt idx="28">
                  <c:v>7</c:v>
                </c:pt>
                <c:pt idx="29">
                  <c:v>8</c:v>
                </c:pt>
                <c:pt idx="30">
                  <c:v>8</c:v>
                </c:pt>
                <c:pt idx="31">
                  <c:v>8</c:v>
                </c:pt>
                <c:pt idx="32">
                  <c:v>8</c:v>
                </c:pt>
                <c:pt idx="33">
                  <c:v>8</c:v>
                </c:pt>
                <c:pt idx="34">
                  <c:v>9</c:v>
                </c:pt>
                <c:pt idx="35">
                  <c:v>9</c:v>
                </c:pt>
                <c:pt idx="36">
                  <c:v>9</c:v>
                </c:pt>
                <c:pt idx="37">
                  <c:v>10</c:v>
                </c:pt>
                <c:pt idx="38">
                  <c:v>10</c:v>
                </c:pt>
                <c:pt idx="39">
                  <c:v>10</c:v>
                </c:pt>
                <c:pt idx="40">
                  <c:v>10</c:v>
                </c:pt>
                <c:pt idx="41">
                  <c:v>10</c:v>
                </c:pt>
                <c:pt idx="42">
                  <c:v>10</c:v>
                </c:pt>
                <c:pt idx="43">
                  <c:v>10</c:v>
                </c:pt>
                <c:pt idx="44">
                  <c:v>11</c:v>
                </c:pt>
                <c:pt idx="45">
                  <c:v>12</c:v>
                </c:pt>
                <c:pt idx="46">
                  <c:v>14</c:v>
                </c:pt>
                <c:pt idx="47">
                  <c:v>14</c:v>
                </c:pt>
              </c:numCache>
            </c:numRef>
          </c:val>
          <c:extLst>
            <c:ext xmlns:c16="http://schemas.microsoft.com/office/drawing/2014/chart" uri="{C3380CC4-5D6E-409C-BE32-E72D297353CC}">
              <c16:uniqueId val="{00000006-DFC4-477B-9D4D-C8F68847DCAE}"/>
            </c:ext>
          </c:extLst>
        </c:ser>
        <c:ser>
          <c:idx val="7"/>
          <c:order val="7"/>
          <c:tx>
            <c:strRef>
              <c:f>Dashboard!$I$3</c:f>
              <c:strCache>
                <c:ptCount val="1"/>
                <c:pt idx="0">
                  <c:v>Sum of Dup Invoice 1/0</c:v>
                </c:pt>
              </c:strCache>
            </c:strRef>
          </c:tx>
          <c:spPr>
            <a:solidFill>
              <a:schemeClr val="accent2">
                <a:lumMod val="60000"/>
              </a:schemeClr>
            </a:solidFill>
            <a:ln>
              <a:noFill/>
            </a:ln>
            <a:effectLst/>
          </c:spPr>
          <c:invertIfNegative val="0"/>
          <c:cat>
            <c:strRef>
              <c:f>Dashboard!$A$4:$A$52</c:f>
              <c:strCache>
                <c:ptCount val="48"/>
                <c:pt idx="0">
                  <c:v>Apex More</c:v>
                </c:pt>
                <c:pt idx="1">
                  <c:v>PrimeLine Manufacturing</c:v>
                </c:pt>
                <c:pt idx="2">
                  <c:v>BrightWave Electronics</c:v>
                </c:pt>
                <c:pt idx="3">
                  <c:v>Compass Crate</c:v>
                </c:pt>
                <c:pt idx="4">
                  <c:v>Apex Distribution</c:v>
                </c:pt>
                <c:pt idx="5">
                  <c:v>GreenField Components</c:v>
                </c:pt>
                <c:pt idx="6">
                  <c:v>Orion Business Services</c:v>
                </c:pt>
                <c:pt idx="7">
                  <c:v>SameDay</c:v>
                </c:pt>
                <c:pt idx="8">
                  <c:v>Wayfinder Logistics</c:v>
                </c:pt>
                <c:pt idx="9">
                  <c:v>Vectra Movers</c:v>
                </c:pt>
                <c:pt idx="10">
                  <c:v>SilverOak Consulting</c:v>
                </c:pt>
                <c:pt idx="11">
                  <c:v>Acme Supplies</c:v>
                </c:pt>
                <c:pt idx="12">
                  <c:v>Skyline Equipment</c:v>
                </c:pt>
                <c:pt idx="13">
                  <c:v>Shift Cargo</c:v>
                </c:pt>
                <c:pt idx="14">
                  <c:v>Titan Machinery Group</c:v>
                </c:pt>
                <c:pt idx="15">
                  <c:v>Atlas Industrial Parts</c:v>
                </c:pt>
                <c:pt idx="16">
                  <c:v>UrbanSource Supplies</c:v>
                </c:pt>
                <c:pt idx="17">
                  <c:v>Nordic Freight</c:v>
                </c:pt>
                <c:pt idx="18">
                  <c:v>Vantage Partners</c:v>
                </c:pt>
                <c:pt idx="19">
                  <c:v>Helix Innovations</c:v>
                </c:pt>
                <c:pt idx="20">
                  <c:v>RedStone Materials</c:v>
                </c:pt>
                <c:pt idx="21">
                  <c:v>BlueRiver Logistics</c:v>
                </c:pt>
                <c:pt idx="22">
                  <c:v>Vertex Systems</c:v>
                </c:pt>
                <c:pt idx="23">
                  <c:v>NordicTech Solutions</c:v>
                </c:pt>
                <c:pt idx="24">
                  <c:v>QuantumWare Ltd.</c:v>
                </c:pt>
                <c:pt idx="25">
                  <c:v>IronGate Engineering</c:v>
                </c:pt>
                <c:pt idx="26">
                  <c:v>Everest Trading Co.</c:v>
                </c:pt>
                <c:pt idx="27">
                  <c:v>Quantum Express</c:v>
                </c:pt>
                <c:pt idx="28">
                  <c:v>GlobalTrade Europe</c:v>
                </c:pt>
                <c:pt idx="29">
                  <c:v>FusionWorks Europe</c:v>
                </c:pt>
                <c:pt idx="30">
                  <c:v>OmegaTech Europe</c:v>
                </c:pt>
                <c:pt idx="31">
                  <c:v>Vanguard</c:v>
                </c:pt>
                <c:pt idx="32">
                  <c:v>ClearPath Solutions</c:v>
                </c:pt>
                <c:pt idx="33">
                  <c:v>Mustang101</c:v>
                </c:pt>
                <c:pt idx="34">
                  <c:v>AlphaCore Technologies</c:v>
                </c:pt>
                <c:pt idx="35">
                  <c:v>WestBridge Suppliers</c:v>
                </c:pt>
                <c:pt idx="36">
                  <c:v>Flow Freight</c:v>
                </c:pt>
                <c:pt idx="37">
                  <c:v>Steadfast</c:v>
                </c:pt>
                <c:pt idx="38">
                  <c:v>Continental Solutions</c:v>
                </c:pt>
                <c:pt idx="39">
                  <c:v>NovaEdge Services</c:v>
                </c:pt>
                <c:pt idx="40">
                  <c:v>Pinnacle</c:v>
                </c:pt>
                <c:pt idx="41">
                  <c:v>Zenith Freight</c:v>
                </c:pt>
                <c:pt idx="42">
                  <c:v>Anchor</c:v>
                </c:pt>
                <c:pt idx="43">
                  <c:v>EuroSupply GmbH</c:v>
                </c:pt>
                <c:pt idx="44">
                  <c:v>Swiftstream Logistics</c:v>
                </c:pt>
                <c:pt idx="45">
                  <c:v>Pioneer Logistics</c:v>
                </c:pt>
                <c:pt idx="46">
                  <c:v>BlueLine Logistics</c:v>
                </c:pt>
                <c:pt idx="47">
                  <c:v>DeltaPro Industries</c:v>
                </c:pt>
              </c:strCache>
            </c:strRef>
          </c:cat>
          <c:val>
            <c:numRef>
              <c:f>Dashboard!$I$4:$I$52</c:f>
              <c:numCache>
                <c:formatCode>General</c:formatCode>
                <c:ptCount val="48"/>
                <c:pt idx="0">
                  <c:v>2</c:v>
                </c:pt>
                <c:pt idx="1">
                  <c:v>0</c:v>
                </c:pt>
                <c:pt idx="2">
                  <c:v>0</c:v>
                </c:pt>
                <c:pt idx="3">
                  <c:v>0</c:v>
                </c:pt>
                <c:pt idx="4">
                  <c:v>0</c:v>
                </c:pt>
                <c:pt idx="5">
                  <c:v>2</c:v>
                </c:pt>
                <c:pt idx="6">
                  <c:v>0</c:v>
                </c:pt>
                <c:pt idx="7">
                  <c:v>0</c:v>
                </c:pt>
                <c:pt idx="8">
                  <c:v>0</c:v>
                </c:pt>
                <c:pt idx="9">
                  <c:v>0</c:v>
                </c:pt>
                <c:pt idx="10">
                  <c:v>0</c:v>
                </c:pt>
                <c:pt idx="11">
                  <c:v>2</c:v>
                </c:pt>
                <c:pt idx="12">
                  <c:v>0</c:v>
                </c:pt>
                <c:pt idx="13">
                  <c:v>2</c:v>
                </c:pt>
                <c:pt idx="14">
                  <c:v>0</c:v>
                </c:pt>
                <c:pt idx="15">
                  <c:v>2</c:v>
                </c:pt>
                <c:pt idx="16">
                  <c:v>0</c:v>
                </c:pt>
                <c:pt idx="17">
                  <c:v>0</c:v>
                </c:pt>
                <c:pt idx="18">
                  <c:v>0</c:v>
                </c:pt>
                <c:pt idx="19">
                  <c:v>0</c:v>
                </c:pt>
                <c:pt idx="20">
                  <c:v>0</c:v>
                </c:pt>
                <c:pt idx="21">
                  <c:v>0</c:v>
                </c:pt>
                <c:pt idx="22">
                  <c:v>2</c:v>
                </c:pt>
                <c:pt idx="23">
                  <c:v>0</c:v>
                </c:pt>
                <c:pt idx="24">
                  <c:v>0</c:v>
                </c:pt>
                <c:pt idx="25">
                  <c:v>4</c:v>
                </c:pt>
                <c:pt idx="26">
                  <c:v>0</c:v>
                </c:pt>
                <c:pt idx="27">
                  <c:v>0</c:v>
                </c:pt>
                <c:pt idx="28">
                  <c:v>0</c:v>
                </c:pt>
                <c:pt idx="29">
                  <c:v>2</c:v>
                </c:pt>
                <c:pt idx="30">
                  <c:v>4</c:v>
                </c:pt>
                <c:pt idx="31">
                  <c:v>0</c:v>
                </c:pt>
                <c:pt idx="32">
                  <c:v>2</c:v>
                </c:pt>
                <c:pt idx="33">
                  <c:v>2</c:v>
                </c:pt>
                <c:pt idx="34">
                  <c:v>0</c:v>
                </c:pt>
                <c:pt idx="35">
                  <c:v>2</c:v>
                </c:pt>
                <c:pt idx="36">
                  <c:v>4</c:v>
                </c:pt>
                <c:pt idx="37">
                  <c:v>4</c:v>
                </c:pt>
                <c:pt idx="38">
                  <c:v>0</c:v>
                </c:pt>
                <c:pt idx="39">
                  <c:v>0</c:v>
                </c:pt>
                <c:pt idx="40">
                  <c:v>4</c:v>
                </c:pt>
                <c:pt idx="41">
                  <c:v>0</c:v>
                </c:pt>
                <c:pt idx="42">
                  <c:v>0</c:v>
                </c:pt>
                <c:pt idx="43">
                  <c:v>2</c:v>
                </c:pt>
                <c:pt idx="44">
                  <c:v>0</c:v>
                </c:pt>
                <c:pt idx="45">
                  <c:v>0</c:v>
                </c:pt>
                <c:pt idx="46">
                  <c:v>2</c:v>
                </c:pt>
                <c:pt idx="47">
                  <c:v>8</c:v>
                </c:pt>
              </c:numCache>
            </c:numRef>
          </c:val>
          <c:extLst>
            <c:ext xmlns:c16="http://schemas.microsoft.com/office/drawing/2014/chart" uri="{C3380CC4-5D6E-409C-BE32-E72D297353CC}">
              <c16:uniqueId val="{00000007-DFC4-477B-9D4D-C8F68847DCAE}"/>
            </c:ext>
          </c:extLst>
        </c:ser>
        <c:dLbls>
          <c:showLegendKey val="0"/>
          <c:showVal val="0"/>
          <c:showCatName val="0"/>
          <c:showSerName val="0"/>
          <c:showPercent val="0"/>
          <c:showBubbleSize val="0"/>
        </c:dLbls>
        <c:gapWidth val="182"/>
        <c:axId val="1187374623"/>
        <c:axId val="742983184"/>
      </c:barChart>
      <c:catAx>
        <c:axId val="1187374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742983184"/>
        <c:crosses val="autoZero"/>
        <c:auto val="1"/>
        <c:lblAlgn val="ctr"/>
        <c:lblOffset val="100"/>
        <c:noMultiLvlLbl val="0"/>
      </c:catAx>
      <c:valAx>
        <c:axId val="7429831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18737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247650</xdr:colOff>
      <xdr:row>16</xdr:row>
      <xdr:rowOff>104775</xdr:rowOff>
    </xdr:from>
    <xdr:to>
      <xdr:col>12</xdr:col>
      <xdr:colOff>247650</xdr:colOff>
      <xdr:row>30</xdr:row>
      <xdr:rowOff>104775</xdr:rowOff>
    </xdr:to>
    <mc:AlternateContent xmlns:mc="http://schemas.openxmlformats.org/markup-compatibility/2006">
      <mc:Choice xmlns:a14="http://schemas.microsoft.com/office/drawing/2010/main" Requires="a14">
        <xdr:graphicFrame macro="">
          <xdr:nvGraphicFramePr>
            <xdr:cNvPr id="2" name="Vendor">
              <a:extLst>
                <a:ext uri="{FF2B5EF4-FFF2-40B4-BE49-F238E27FC236}">
                  <a16:creationId xmlns:a16="http://schemas.microsoft.com/office/drawing/2014/main" id="{7F77A4CE-6950-F049-2137-E237EA1A6941}"/>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dr:sp macro="" textlink="">
          <xdr:nvSpPr>
            <xdr:cNvPr id="0" name=""/>
            <xdr:cNvSpPr>
              <a:spLocks noTextEdit="1"/>
            </xdr:cNvSpPr>
          </xdr:nvSpPr>
          <xdr:spPr>
            <a:xfrm>
              <a:off x="12563475" y="3152775"/>
              <a:ext cx="1828800" cy="2667000"/>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247650</xdr:colOff>
      <xdr:row>2</xdr:row>
      <xdr:rowOff>0</xdr:rowOff>
    </xdr:from>
    <xdr:to>
      <xdr:col>12</xdr:col>
      <xdr:colOff>247650</xdr:colOff>
      <xdr:row>16</xdr:row>
      <xdr:rowOff>0</xdr:rowOff>
    </xdr:to>
    <mc:AlternateContent xmlns:mc="http://schemas.openxmlformats.org/markup-compatibility/2006">
      <mc:Choice xmlns:a14="http://schemas.microsoft.com/office/drawing/2010/main" Requires="a14">
        <xdr:graphicFrame macro="">
          <xdr:nvGraphicFramePr>
            <xdr:cNvPr id="3" name="Order Month">
              <a:extLst>
                <a:ext uri="{FF2B5EF4-FFF2-40B4-BE49-F238E27FC236}">
                  <a16:creationId xmlns:a16="http://schemas.microsoft.com/office/drawing/2014/main" id="{7EB3B715-3FAB-CB26-6B92-A41425DB51E0}"/>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dr:sp macro="" textlink="">
          <xdr:nvSpPr>
            <xdr:cNvPr id="0" name=""/>
            <xdr:cNvSpPr>
              <a:spLocks noTextEdit="1"/>
            </xdr:cNvSpPr>
          </xdr:nvSpPr>
          <xdr:spPr>
            <a:xfrm>
              <a:off x="12563475" y="381000"/>
              <a:ext cx="1828800" cy="2667000"/>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53</xdr:row>
      <xdr:rowOff>128585</xdr:rowOff>
    </xdr:from>
    <xdr:to>
      <xdr:col>9</xdr:col>
      <xdr:colOff>28575</xdr:colOff>
      <xdr:row>86</xdr:row>
      <xdr:rowOff>142874</xdr:rowOff>
    </xdr:to>
    <xdr:graphicFrame macro="">
      <xdr:nvGraphicFramePr>
        <xdr:cNvPr id="4" name="Chart 3">
          <a:extLst>
            <a:ext uri="{FF2B5EF4-FFF2-40B4-BE49-F238E27FC236}">
              <a16:creationId xmlns:a16="http://schemas.microsoft.com/office/drawing/2014/main" id="{AD18D4A9-CE70-010E-2B2B-5979B2654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rzodbek Akhmadjonov" refreshedDate="46232.071899189817" createdVersion="8" refreshedVersion="8" minRefreshableVersion="3" recordCount="726" xr:uid="{93A230E9-32E1-4C63-B9AE-22982FD7B7F2}">
  <cacheSource type="worksheet">
    <worksheetSource name="po_master"/>
  </cacheSource>
  <cacheFields count="30">
    <cacheField name="PO Number" numFmtId="0">
      <sharedItems/>
    </cacheField>
    <cacheField name="Vendor" numFmtId="0">
      <sharedItems count="48">
        <s v="Pioneer Logistics"/>
        <s v="Flow Freight"/>
        <s v="Orion Business Services"/>
        <s v="Apex Distribution"/>
        <s v="Anchor"/>
        <s v="IronGate Engineering"/>
        <s v="Apex More"/>
        <s v="BlueLine Logistics"/>
        <s v="Helix Innovations"/>
        <s v="ClearPath Solutions"/>
        <s v="Zenith Freight"/>
        <s v="Swiftstream Logistics"/>
        <s v="Vantage Partners"/>
        <s v="Wayfinder Logistics"/>
        <s v="Vectra Movers"/>
        <s v="OmegaTech Europe"/>
        <s v="Shift Cargo"/>
        <s v="Everest Trading Co."/>
        <s v="Steadfast"/>
        <s v="FusionWorks Europe"/>
        <s v="Nordic Freight"/>
        <s v="SameDay"/>
        <s v="WestBridge Suppliers"/>
        <s v="NovaEdge Services"/>
        <s v="BlueRiver Logistics"/>
        <s v="Acme Supplies"/>
        <s v="Pinnacle"/>
        <s v="Skyline Equipment"/>
        <s v="Quantum Express"/>
        <s v="GlobalTrade Europe"/>
        <s v="Titan Machinery Group"/>
        <s v="Continental Solutions"/>
        <s v="Mustang101"/>
        <s v="DeltaPro Industries"/>
        <s v="PrimeLine Manufacturing"/>
        <s v="GreenField Components"/>
        <s v="QuantumWare Ltd."/>
        <s v="UrbanSource Supplies"/>
        <s v="SilverOak Consulting"/>
        <s v="AlphaCore Technologies"/>
        <s v="Vertex Systems"/>
        <s v="Compass Crate"/>
        <s v="NordicTech Solutions"/>
        <s v="RedStone Materials"/>
        <s v="BrightWave Electronics"/>
        <s v="Atlas Industrial Parts"/>
        <s v="Vanguard"/>
        <s v="EuroSupply GmbH"/>
      </sharedItems>
    </cacheField>
    <cacheField name="Order Date" numFmtId="14">
      <sharedItems containsSemiMixedTypes="0" containsNonDate="0" containsDate="1" containsString="0" minDate="2026-01-01T00:00:00" maxDate="2026-06-01T00:00:00"/>
    </cacheField>
    <cacheField name="PO Quantity" numFmtId="0">
      <sharedItems containsSemiMixedTypes="0" containsString="0" containsNumber="1" containsInteger="1" minValue="11" maxValue="500"/>
    </cacheField>
    <cacheField name="PO Unit Price" numFmtId="0">
      <sharedItems containsSemiMixedTypes="0" containsString="0" containsNumber="1" minValue="5.1100000000000003" maxValue="200"/>
    </cacheField>
    <cacheField name="Approved By" numFmtId="0">
      <sharedItems/>
    </cacheField>
    <cacheField name="Promised Delivey Date" numFmtId="14">
      <sharedItems containsSemiMixedTypes="0" containsNonDate="0" containsDate="1" containsString="0" minDate="2026-01-09T00:00:00" maxDate="2026-06-21T00:00:00"/>
    </cacheField>
    <cacheField name="GR Quantity" numFmtId="0">
      <sharedItems containsString="0" containsBlank="1" containsNumber="1" containsInteger="1" minValue="11" maxValue="507"/>
    </cacheField>
    <cacheField name="Actual Delivery Date" numFmtId="14">
      <sharedItems containsNonDate="0" containsDate="1" containsString="0" containsBlank="1" minDate="2026-01-08T00:00:00" maxDate="2026-07-02T00:00:00"/>
    </cacheField>
    <cacheField name="Invoice Number" numFmtId="0">
      <sharedItems/>
    </cacheField>
    <cacheField name="Invoice Quantity" numFmtId="0">
      <sharedItems containsSemiMixedTypes="0" containsString="0" containsNumber="1" containsInteger="1" minValue="11" maxValue="500"/>
    </cacheField>
    <cacheField name="Invoice Unit Price" numFmtId="0">
      <sharedItems containsSemiMixedTypes="0" containsString="0" containsNumber="1" minValue="5.1100000000000003" maxValue="216.2"/>
    </cacheField>
    <cacheField name="Invoice Date" numFmtId="14">
      <sharedItems containsSemiMixedTypes="0" containsNonDate="0" containsDate="1" containsString="0" minDate="2026-01-16T00:00:00" maxDate="2026-06-27T00:00:00"/>
    </cacheField>
    <cacheField name="Missing Approval" numFmtId="0">
      <sharedItems/>
    </cacheField>
    <cacheField name="GR Receipt Status" numFmtId="0">
      <sharedItems/>
    </cacheField>
    <cacheField name="Date Check" numFmtId="0">
      <sharedItems/>
    </cacheField>
    <cacheField name="No invoice" numFmtId="0">
      <sharedItems/>
    </cacheField>
    <cacheField name="Qty Variance Flag" numFmtId="0">
      <sharedItems/>
    </cacheField>
    <cacheField name="Price Variance Flag" numFmtId="0">
      <sharedItems/>
    </cacheField>
    <cacheField name="Late Delivery Flag" numFmtId="0">
      <sharedItems/>
    </cacheField>
    <cacheField name="Duplicate Invoice Flag" numFmtId="0">
      <sharedItems/>
    </cacheField>
    <cacheField name="Approval Flag (1/0)" numFmtId="0">
      <sharedItems containsSemiMixedTypes="0" containsString="0" containsNumber="1" containsInteger="1" minValue="0" maxValue="1"/>
    </cacheField>
    <cacheField name="GR Flag 1/0" numFmtId="0">
      <sharedItems containsSemiMixedTypes="0" containsString="0" containsNumber="1" containsInteger="1" minValue="0" maxValue="1"/>
    </cacheField>
    <cacheField name="Invoice flag 1/0" numFmtId="0">
      <sharedItems containsSemiMixedTypes="0" containsString="0" containsNumber="1" containsInteger="1" minValue="0" maxValue="0"/>
    </cacheField>
    <cacheField name="Date Flag 1/0" numFmtId="0">
      <sharedItems containsSemiMixedTypes="0" containsString="0" containsNumber="1" containsInteger="1" minValue="0" maxValue="0"/>
    </cacheField>
    <cacheField name="Qty Flag 1/0" numFmtId="0">
      <sharedItems containsSemiMixedTypes="0" containsString="0" containsNumber="1" containsInteger="1" minValue="0" maxValue="1"/>
    </cacheField>
    <cacheField name="Price Var 1/0" numFmtId="0">
      <sharedItems containsSemiMixedTypes="0" containsString="0" containsNumber="1" containsInteger="1" minValue="0" maxValue="1"/>
    </cacheField>
    <cacheField name="Late Del 1/0" numFmtId="0">
      <sharedItems containsSemiMixedTypes="0" containsString="0" containsNumber="1" containsInteger="1" minValue="0" maxValue="1"/>
    </cacheField>
    <cacheField name="Dup Invoice 1/0" numFmtId="0">
      <sharedItems containsSemiMixedTypes="0" containsString="0" containsNumber="1" containsInteger="1" minValue="0" maxValue="1"/>
    </cacheField>
    <cacheField name="Order Month" numFmtId="0">
      <sharedItems count="5">
        <s v="2026-01"/>
        <s v="2026-04"/>
        <s v="2026-03"/>
        <s v="2026-05"/>
        <s v="2026-02"/>
      </sharedItems>
    </cacheField>
  </cacheFields>
  <extLst>
    <ext xmlns:x14="http://schemas.microsoft.com/office/spreadsheetml/2009/9/main" uri="{725AE2AE-9491-48be-B2B4-4EB974FC3084}">
      <x14:pivotCacheDefinition pivotCacheId="765007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6">
  <r>
    <s v="PO1000"/>
    <x v="0"/>
    <d v="2026-01-29T00:00:00"/>
    <n v="22"/>
    <n v="149.6"/>
    <s v="Mateo García"/>
    <d v="2026-02-10T00:00:00"/>
    <n v="22"/>
    <d v="2026-02-09T00:00:00"/>
    <s v="INV5001"/>
    <n v="22"/>
    <n v="149.6"/>
    <d v="2026-02-20T00:00:00"/>
    <s v="OK"/>
    <s v="OK"/>
    <s v="OK"/>
    <s v="OK"/>
    <s v="OK"/>
    <s v="OK"/>
    <s v="OK"/>
    <s v="OK"/>
    <n v="0"/>
    <n v="0"/>
    <n v="0"/>
    <n v="0"/>
    <n v="0"/>
    <n v="0"/>
    <n v="0"/>
    <n v="0"/>
    <x v="0"/>
  </r>
  <r>
    <s v="PO1001"/>
    <x v="1"/>
    <d v="2026-01-27T00:00:00"/>
    <n v="356"/>
    <n v="149.43"/>
    <s v="Pavel Horák"/>
    <d v="2026-02-03T00:00:00"/>
    <n v="356"/>
    <d v="2026-02-01T00:00:00"/>
    <s v="INV5002"/>
    <n v="356"/>
    <n v="149.43"/>
    <d v="2026-02-13T00:00:00"/>
    <s v="OK"/>
    <s v="OK"/>
    <s v="OK"/>
    <s v="OK"/>
    <s v="OK"/>
    <s v="OK"/>
    <s v="OK"/>
    <s v="OK"/>
    <n v="0"/>
    <n v="0"/>
    <n v="0"/>
    <n v="0"/>
    <n v="0"/>
    <n v="0"/>
    <n v="0"/>
    <n v="0"/>
    <x v="0"/>
  </r>
  <r>
    <s v="PO1002"/>
    <x v="2"/>
    <d v="2026-04-19T00:00:00"/>
    <n v="26"/>
    <n v="10.81"/>
    <s v="Sofia Rossi"/>
    <d v="2026-05-01T00:00:00"/>
    <n v="26"/>
    <d v="2026-04-29T00:00:00"/>
    <s v="INV5003"/>
    <n v="26"/>
    <n v="12.59"/>
    <d v="2026-05-04T00:00:00"/>
    <s v="OK"/>
    <s v="OK"/>
    <s v="OK"/>
    <s v="OK"/>
    <s v="OK"/>
    <s v="Price Variance"/>
    <s v="OK"/>
    <s v="OK"/>
    <n v="0"/>
    <n v="0"/>
    <n v="0"/>
    <n v="0"/>
    <n v="0"/>
    <n v="1"/>
    <n v="0"/>
    <n v="0"/>
    <x v="1"/>
  </r>
  <r>
    <s v="PO1003"/>
    <x v="3"/>
    <d v="2026-01-07T00:00:00"/>
    <n v="297"/>
    <n v="43.77"/>
    <s v="Katarina Jovanović"/>
    <d v="2026-01-25T00:00:00"/>
    <n v="297"/>
    <d v="2026-01-24T00:00:00"/>
    <s v="INV5004"/>
    <n v="297"/>
    <n v="51"/>
    <d v="2026-01-27T00:00:00"/>
    <s v="OK"/>
    <s v="OK"/>
    <s v="OK"/>
    <s v="OK"/>
    <s v="OK"/>
    <s v="Price Variance"/>
    <s v="OK"/>
    <s v="OK"/>
    <n v="0"/>
    <n v="0"/>
    <n v="0"/>
    <n v="0"/>
    <n v="0"/>
    <n v="1"/>
    <n v="0"/>
    <n v="0"/>
    <x v="0"/>
  </r>
  <r>
    <s v="PO1004"/>
    <x v="4"/>
    <d v="2026-04-25T00:00:00"/>
    <n v="311"/>
    <n v="59.25"/>
    <s v="J. Kovacs"/>
    <d v="2026-05-05T00:00:00"/>
    <n v="311"/>
    <d v="2026-05-04T00:00:00"/>
    <s v="INV5005"/>
    <n v="311"/>
    <n v="68.27"/>
    <d v="2026-05-07T00:00:00"/>
    <s v="OK"/>
    <s v="OK"/>
    <s v="OK"/>
    <s v="OK"/>
    <s v="OK"/>
    <s v="Price Variance"/>
    <s v="OK"/>
    <s v="OK"/>
    <n v="0"/>
    <n v="0"/>
    <n v="0"/>
    <n v="0"/>
    <n v="0"/>
    <n v="1"/>
    <n v="0"/>
    <n v="0"/>
    <x v="1"/>
  </r>
  <r>
    <s v="PO1005"/>
    <x v="5"/>
    <d v="2026-04-19T00:00:00"/>
    <n v="184"/>
    <n v="59.18"/>
    <s v="Sofia Rossi"/>
    <d v="2026-05-04T00:00:00"/>
    <n v="184"/>
    <d v="2026-05-02T00:00:00"/>
    <s v="INV5006"/>
    <n v="184"/>
    <n v="59.18"/>
    <d v="2026-05-06T00:00:00"/>
    <s v="OK"/>
    <s v="OK"/>
    <s v="OK"/>
    <s v="OK"/>
    <s v="OK"/>
    <s v="OK"/>
    <s v="OK"/>
    <s v="OK"/>
    <n v="0"/>
    <n v="0"/>
    <n v="0"/>
    <n v="0"/>
    <n v="0"/>
    <n v="0"/>
    <n v="0"/>
    <n v="0"/>
    <x v="1"/>
  </r>
  <r>
    <s v="PO1006"/>
    <x v="6"/>
    <d v="2026-01-24T00:00:00"/>
    <n v="204"/>
    <n v="23.86"/>
    <s v="Jakub Novák"/>
    <d v="2026-02-06T00:00:00"/>
    <n v="204"/>
    <d v="2026-02-05T00:00:00"/>
    <s v="INV5007"/>
    <n v="204"/>
    <n v="23.86"/>
    <d v="2026-02-08T00:00:00"/>
    <s v="OK"/>
    <s v="OK"/>
    <s v="OK"/>
    <s v="OK"/>
    <s v="OK"/>
    <s v="OK"/>
    <s v="OK"/>
    <s v="OK"/>
    <n v="0"/>
    <n v="0"/>
    <n v="0"/>
    <n v="0"/>
    <n v="0"/>
    <n v="0"/>
    <n v="0"/>
    <n v="0"/>
    <x v="0"/>
  </r>
  <r>
    <s v="PO1007"/>
    <x v="7"/>
    <d v="2026-04-28T00:00:00"/>
    <n v="284"/>
    <n v="29.34"/>
    <s v="Laura Schmidt"/>
    <d v="2026-05-05T00:00:00"/>
    <n v="284"/>
    <d v="2026-05-03T00:00:00"/>
    <s v="INV5008"/>
    <n v="284"/>
    <n v="29.34"/>
    <d v="2026-05-13T00:00:00"/>
    <s v="OK"/>
    <s v="OK"/>
    <s v="OK"/>
    <s v="OK"/>
    <s v="OK"/>
    <s v="OK"/>
    <s v="OK"/>
    <s v="OK"/>
    <n v="0"/>
    <n v="0"/>
    <n v="0"/>
    <n v="0"/>
    <n v="0"/>
    <n v="0"/>
    <n v="0"/>
    <n v="0"/>
    <x v="1"/>
  </r>
  <r>
    <s v="PO1008"/>
    <x v="8"/>
    <d v="2026-03-17T00:00:00"/>
    <n v="434"/>
    <n v="127.58"/>
    <s v="Jakub Novák"/>
    <d v="2026-03-28T00:00:00"/>
    <n v="434"/>
    <d v="2026-03-26T00:00:00"/>
    <s v="INV5009"/>
    <n v="434"/>
    <n v="127.58"/>
    <d v="2026-04-07T00:00:00"/>
    <s v="OK"/>
    <s v="OK"/>
    <s v="OK"/>
    <s v="OK"/>
    <s v="OK"/>
    <s v="OK"/>
    <s v="OK"/>
    <s v="OK"/>
    <n v="0"/>
    <n v="0"/>
    <n v="0"/>
    <n v="0"/>
    <n v="0"/>
    <n v="0"/>
    <n v="0"/>
    <n v="0"/>
    <x v="2"/>
  </r>
  <r>
    <s v="PO1009"/>
    <x v="9"/>
    <d v="2026-01-18T00:00:00"/>
    <n v="33"/>
    <n v="133.94999999999999"/>
    <s v="Eva Andersson"/>
    <d v="2026-02-01T00:00:00"/>
    <n v="33"/>
    <d v="2026-02-02T00:00:00"/>
    <s v="INV5010"/>
    <n v="33"/>
    <n v="133.94999999999999"/>
    <d v="2026-02-02T00:00:00"/>
    <s v="OK"/>
    <s v="OK"/>
    <s v="OK"/>
    <s v="OK"/>
    <s v="OK"/>
    <s v="OK"/>
    <s v="Late Delivery"/>
    <s v="OK"/>
    <n v="0"/>
    <n v="0"/>
    <n v="0"/>
    <n v="0"/>
    <n v="0"/>
    <n v="0"/>
    <n v="1"/>
    <n v="0"/>
    <x v="0"/>
  </r>
  <r>
    <s v="PO1010"/>
    <x v="10"/>
    <d v="2026-03-01T00:00:00"/>
    <n v="453"/>
    <n v="24.7"/>
    <s v="Anna Kowalska"/>
    <d v="2026-03-20T00:00:00"/>
    <n v="453"/>
    <d v="2026-03-22T00:00:00"/>
    <s v="INV5011"/>
    <n v="453"/>
    <n v="24.7"/>
    <d v="2026-03-26T00:00:00"/>
    <s v="OK"/>
    <s v="OK"/>
    <s v="OK"/>
    <s v="OK"/>
    <s v="OK"/>
    <s v="OK"/>
    <s v="Late Delivery"/>
    <s v="OK"/>
    <n v="0"/>
    <n v="0"/>
    <n v="0"/>
    <n v="0"/>
    <n v="0"/>
    <n v="0"/>
    <n v="1"/>
    <n v="0"/>
    <x v="2"/>
  </r>
  <r>
    <s v="PO1011"/>
    <x v="0"/>
    <d v="2026-04-04T00:00:00"/>
    <n v="93"/>
    <n v="77.19"/>
    <s v="Sofia Rossi"/>
    <d v="2026-04-17T00:00:00"/>
    <n v="93"/>
    <d v="2026-04-17T00:00:00"/>
    <s v="INV5012"/>
    <n v="93"/>
    <n v="77.19"/>
    <d v="2026-04-27T00:00:00"/>
    <s v="OK"/>
    <s v="OK"/>
    <s v="OK"/>
    <s v="OK"/>
    <s v="OK"/>
    <s v="OK"/>
    <s v="OK"/>
    <s v="OK"/>
    <n v="0"/>
    <n v="0"/>
    <n v="0"/>
    <n v="0"/>
    <n v="0"/>
    <n v="0"/>
    <n v="0"/>
    <n v="0"/>
    <x v="1"/>
  </r>
  <r>
    <s v="PO1012"/>
    <x v="5"/>
    <d v="2026-01-19T00:00:00"/>
    <n v="321"/>
    <n v="128.82"/>
    <s v=""/>
    <d v="2026-01-31T00:00:00"/>
    <n v="321"/>
    <d v="2026-02-02T00:00:00"/>
    <s v="INV5013"/>
    <n v="321"/>
    <n v="128.82"/>
    <d v="2026-02-05T00:00:00"/>
    <s v="Missing Approval"/>
    <s v="OK"/>
    <s v="OK"/>
    <s v="OK"/>
    <s v="OK"/>
    <s v="OK"/>
    <s v="Late Delivery"/>
    <s v="OK"/>
    <n v="1"/>
    <n v="0"/>
    <n v="0"/>
    <n v="0"/>
    <n v="0"/>
    <n v="0"/>
    <n v="1"/>
    <n v="0"/>
    <x v="0"/>
  </r>
  <r>
    <s v="PO1013"/>
    <x v="11"/>
    <d v="2026-04-29T00:00:00"/>
    <n v="204"/>
    <n v="57.64"/>
    <s v="Katarina Jovanović"/>
    <d v="2026-05-11T00:00:00"/>
    <n v="204"/>
    <d v="2026-05-29T00:00:00"/>
    <s v="INV5014"/>
    <n v="204"/>
    <n v="61.13"/>
    <d v="2026-05-21T00:00:00"/>
    <s v="OK"/>
    <s v="OK"/>
    <s v="OK"/>
    <s v="OK"/>
    <s v="OK"/>
    <s v="Price Variance"/>
    <s v="Late Delivery"/>
    <s v="OK"/>
    <n v="0"/>
    <n v="0"/>
    <n v="0"/>
    <n v="0"/>
    <n v="0"/>
    <n v="1"/>
    <n v="1"/>
    <n v="0"/>
    <x v="1"/>
  </r>
  <r>
    <s v="PO1014"/>
    <x v="12"/>
    <d v="2026-03-25T00:00:00"/>
    <n v="441"/>
    <n v="154.82"/>
    <s v="A. Nagy"/>
    <d v="2026-04-06T00:00:00"/>
    <n v="441"/>
    <d v="2026-04-05T00:00:00"/>
    <s v="INV5015"/>
    <n v="441"/>
    <n v="154.82"/>
    <d v="2026-04-09T00:00:00"/>
    <s v="OK"/>
    <s v="OK"/>
    <s v="OK"/>
    <s v="OK"/>
    <s v="OK"/>
    <s v="OK"/>
    <s v="OK"/>
    <s v="OK"/>
    <n v="0"/>
    <n v="0"/>
    <n v="0"/>
    <n v="0"/>
    <n v="0"/>
    <n v="0"/>
    <n v="0"/>
    <n v="0"/>
    <x v="2"/>
  </r>
  <r>
    <s v="PO1015"/>
    <x v="7"/>
    <d v="2026-03-22T00:00:00"/>
    <n v="215"/>
    <n v="57.21"/>
    <s v="Sofia Rossi"/>
    <d v="2026-04-06T00:00:00"/>
    <n v="212"/>
    <d v="2026-04-07T00:00:00"/>
    <s v="INV5016"/>
    <n v="215"/>
    <n v="57.21"/>
    <d v="2026-04-13T00:00:00"/>
    <s v="OK"/>
    <s v="OK"/>
    <s v="OK"/>
    <s v="OK"/>
    <s v="Qty Variance"/>
    <s v="OK"/>
    <s v="Late Delivery"/>
    <s v="OK"/>
    <n v="0"/>
    <n v="0"/>
    <n v="0"/>
    <n v="0"/>
    <n v="1"/>
    <n v="0"/>
    <n v="1"/>
    <n v="0"/>
    <x v="2"/>
  </r>
  <r>
    <s v="PO1016"/>
    <x v="13"/>
    <d v="2026-05-08T00:00:00"/>
    <n v="212"/>
    <n v="177.51"/>
    <s v="Katarina Jovanović"/>
    <d v="2026-05-27T00:00:00"/>
    <n v="212"/>
    <d v="2026-05-25T00:00:00"/>
    <s v="INV5017"/>
    <n v="212"/>
    <n v="177.51"/>
    <d v="2026-05-30T00:00:00"/>
    <s v="OK"/>
    <s v="OK"/>
    <s v="OK"/>
    <s v="OK"/>
    <s v="OK"/>
    <s v="OK"/>
    <s v="OK"/>
    <s v="OK"/>
    <n v="0"/>
    <n v="0"/>
    <n v="0"/>
    <n v="0"/>
    <n v="0"/>
    <n v="0"/>
    <n v="0"/>
    <n v="0"/>
    <x v="3"/>
  </r>
  <r>
    <s v="PO1017"/>
    <x v="14"/>
    <d v="2026-03-09T00:00:00"/>
    <n v="81"/>
    <n v="53.09"/>
    <s v="Pavel Horák"/>
    <d v="2026-03-22T00:00:00"/>
    <n v="81"/>
    <d v="2026-03-24T00:00:00"/>
    <s v="INV5018"/>
    <n v="81"/>
    <n v="53.09"/>
    <d v="2026-03-25T00:00:00"/>
    <s v="OK"/>
    <s v="OK"/>
    <s v="OK"/>
    <s v="OK"/>
    <s v="OK"/>
    <s v="OK"/>
    <s v="Late Delivery"/>
    <s v="OK"/>
    <n v="0"/>
    <n v="0"/>
    <n v="0"/>
    <n v="0"/>
    <n v="0"/>
    <n v="0"/>
    <n v="1"/>
    <n v="0"/>
    <x v="2"/>
  </r>
  <r>
    <s v="PO1018"/>
    <x v="15"/>
    <d v="2026-05-30T00:00:00"/>
    <n v="229"/>
    <n v="180.08"/>
    <s v="Laura Schmidt"/>
    <d v="2026-06-15T00:00:00"/>
    <n v="229"/>
    <d v="2026-06-16T00:00:00"/>
    <s v="INV5019"/>
    <n v="229"/>
    <n v="180.08"/>
    <d v="2026-06-22T00:00:00"/>
    <s v="OK"/>
    <s v="OK"/>
    <s v="OK"/>
    <s v="OK"/>
    <s v="OK"/>
    <s v="OK"/>
    <s v="Late Delivery"/>
    <s v="OK"/>
    <n v="0"/>
    <n v="0"/>
    <n v="0"/>
    <n v="0"/>
    <n v="0"/>
    <n v="0"/>
    <n v="1"/>
    <n v="0"/>
    <x v="3"/>
  </r>
  <r>
    <s v="PO1019"/>
    <x v="4"/>
    <d v="2026-02-05T00:00:00"/>
    <n v="270"/>
    <n v="101.24"/>
    <s v="Eva Andersson"/>
    <d v="2026-02-11T00:00:00"/>
    <n v="270"/>
    <d v="2026-02-12T00:00:00"/>
    <s v="INV5020"/>
    <n v="270"/>
    <n v="101.24"/>
    <d v="2026-02-21T00:00:00"/>
    <s v="OK"/>
    <s v="OK"/>
    <s v="OK"/>
    <s v="OK"/>
    <s v="OK"/>
    <s v="OK"/>
    <s v="Late Delivery"/>
    <s v="OK"/>
    <n v="0"/>
    <n v="0"/>
    <n v="0"/>
    <n v="0"/>
    <n v="0"/>
    <n v="0"/>
    <n v="1"/>
    <n v="0"/>
    <x v="4"/>
  </r>
  <r>
    <s v="PO1020"/>
    <x v="16"/>
    <d v="2026-02-09T00:00:00"/>
    <n v="331"/>
    <n v="36.200000000000003"/>
    <s v="Felix Bauer"/>
    <d v="2026-02-27T00:00:00"/>
    <n v="331"/>
    <d v="2026-03-08T00:00:00"/>
    <s v="INV5021"/>
    <n v="331"/>
    <n v="36.200000000000003"/>
    <d v="2026-03-05T00:00:00"/>
    <s v="OK"/>
    <s v="OK"/>
    <s v="OK"/>
    <s v="OK"/>
    <s v="OK"/>
    <s v="OK"/>
    <s v="Late Delivery"/>
    <s v="OK"/>
    <n v="0"/>
    <n v="0"/>
    <n v="0"/>
    <n v="0"/>
    <n v="0"/>
    <n v="0"/>
    <n v="1"/>
    <n v="0"/>
    <x v="4"/>
  </r>
  <r>
    <s v="PO1021"/>
    <x v="17"/>
    <d v="2026-01-17T00:00:00"/>
    <n v="207"/>
    <n v="79.42"/>
    <s v="Ingrid Hansen"/>
    <d v="2026-02-07T00:00:00"/>
    <n v="207"/>
    <d v="2026-02-05T00:00:00"/>
    <s v="INV5022"/>
    <n v="207"/>
    <n v="79.42"/>
    <d v="2026-02-14T00:00:00"/>
    <s v="OK"/>
    <s v="OK"/>
    <s v="OK"/>
    <s v="OK"/>
    <s v="OK"/>
    <s v="OK"/>
    <s v="OK"/>
    <s v="OK"/>
    <n v="0"/>
    <n v="0"/>
    <n v="0"/>
    <n v="0"/>
    <n v="0"/>
    <n v="0"/>
    <n v="0"/>
    <n v="0"/>
    <x v="0"/>
  </r>
  <r>
    <s v="PO1022"/>
    <x v="18"/>
    <d v="2026-05-22T00:00:00"/>
    <n v="450"/>
    <n v="188.77"/>
    <s v="Felix Bauer"/>
    <d v="2026-05-30T00:00:00"/>
    <n v="450"/>
    <d v="2026-06-04T00:00:00"/>
    <s v="INV5023"/>
    <n v="450"/>
    <n v="188.77"/>
    <d v="2026-06-06T00:00:00"/>
    <s v="OK"/>
    <s v="OK"/>
    <s v="OK"/>
    <s v="OK"/>
    <s v="OK"/>
    <s v="OK"/>
    <s v="Late Delivery"/>
    <s v="OK"/>
    <n v="0"/>
    <n v="0"/>
    <n v="0"/>
    <n v="0"/>
    <n v="0"/>
    <n v="0"/>
    <n v="1"/>
    <n v="0"/>
    <x v="3"/>
  </r>
  <r>
    <s v="PO1023"/>
    <x v="12"/>
    <d v="2026-05-18T00:00:00"/>
    <n v="394"/>
    <n v="57.03"/>
    <s v="Katarina Jovanović"/>
    <d v="2026-06-02T00:00:00"/>
    <n v="394"/>
    <d v="2026-05-31T00:00:00"/>
    <s v="INV5024"/>
    <n v="394"/>
    <n v="57.03"/>
    <d v="2026-06-08T00:00:00"/>
    <s v="OK"/>
    <s v="OK"/>
    <s v="OK"/>
    <s v="OK"/>
    <s v="OK"/>
    <s v="OK"/>
    <s v="OK"/>
    <s v="OK"/>
    <n v="0"/>
    <n v="0"/>
    <n v="0"/>
    <n v="0"/>
    <n v="0"/>
    <n v="0"/>
    <n v="0"/>
    <n v="0"/>
    <x v="3"/>
  </r>
  <r>
    <s v="PO1024"/>
    <x v="16"/>
    <d v="2026-03-17T00:00:00"/>
    <n v="232"/>
    <n v="35.840000000000003"/>
    <s v="J. Kovacs"/>
    <d v="2026-03-30T00:00:00"/>
    <n v="232"/>
    <d v="2026-03-31T00:00:00"/>
    <s v="INV5025"/>
    <n v="232"/>
    <n v="35.840000000000003"/>
    <d v="2026-04-06T00:00:00"/>
    <s v="OK"/>
    <s v="OK"/>
    <s v="OK"/>
    <s v="OK"/>
    <s v="OK"/>
    <s v="OK"/>
    <s v="Late Delivery"/>
    <s v="OK"/>
    <n v="0"/>
    <n v="0"/>
    <n v="0"/>
    <n v="0"/>
    <n v="0"/>
    <n v="0"/>
    <n v="1"/>
    <n v="0"/>
    <x v="2"/>
  </r>
  <r>
    <s v="PO1025"/>
    <x v="3"/>
    <d v="2026-02-15T00:00:00"/>
    <n v="269"/>
    <n v="182.96"/>
    <s v="Katarina Jovanović"/>
    <d v="2026-03-01T00:00:00"/>
    <n v="269"/>
    <d v="2026-03-01T00:00:00"/>
    <s v="INV5026"/>
    <n v="269"/>
    <n v="182.96"/>
    <d v="2026-03-09T00:00:00"/>
    <s v="OK"/>
    <s v="OK"/>
    <s v="OK"/>
    <s v="OK"/>
    <s v="OK"/>
    <s v="OK"/>
    <s v="OK"/>
    <s v="OK"/>
    <n v="0"/>
    <n v="0"/>
    <n v="0"/>
    <n v="0"/>
    <n v="0"/>
    <n v="0"/>
    <n v="0"/>
    <n v="0"/>
    <x v="4"/>
  </r>
  <r>
    <s v="PO1026"/>
    <x v="0"/>
    <d v="2026-05-10T00:00:00"/>
    <n v="321"/>
    <n v="43.79"/>
    <s v="Jakub Novák"/>
    <d v="2026-05-20T00:00:00"/>
    <n v="321"/>
    <d v="2026-05-22T00:00:00"/>
    <s v="INV5027"/>
    <n v="321"/>
    <n v="43.79"/>
    <d v="2026-05-23T00:00:00"/>
    <s v="OK"/>
    <s v="OK"/>
    <s v="OK"/>
    <s v="OK"/>
    <s v="OK"/>
    <s v="OK"/>
    <s v="Late Delivery"/>
    <s v="OK"/>
    <n v="0"/>
    <n v="0"/>
    <n v="0"/>
    <n v="0"/>
    <n v="0"/>
    <n v="0"/>
    <n v="1"/>
    <n v="0"/>
    <x v="3"/>
  </r>
  <r>
    <s v="PO1027"/>
    <x v="19"/>
    <d v="2026-05-16T00:00:00"/>
    <n v="480"/>
    <n v="5.1100000000000003"/>
    <s v="Elena Petrova"/>
    <d v="2026-06-05T00:00:00"/>
    <n v="480"/>
    <d v="2026-06-06T00:00:00"/>
    <s v="INV5028"/>
    <n v="480"/>
    <n v="5.1100000000000003"/>
    <d v="2026-06-14T00:00:00"/>
    <s v="OK"/>
    <s v="OK"/>
    <s v="OK"/>
    <s v="OK"/>
    <s v="OK"/>
    <s v="OK"/>
    <s v="Late Delivery"/>
    <s v="OK"/>
    <n v="0"/>
    <n v="0"/>
    <n v="0"/>
    <n v="0"/>
    <n v="0"/>
    <n v="0"/>
    <n v="1"/>
    <n v="0"/>
    <x v="3"/>
  </r>
  <r>
    <s v="PO1028"/>
    <x v="20"/>
    <d v="2026-01-29T00:00:00"/>
    <n v="485"/>
    <n v="75.78"/>
    <s v="Nicolas Dubois"/>
    <d v="2026-02-10T00:00:00"/>
    <n v="485"/>
    <d v="2026-02-12T00:00:00"/>
    <s v="INV5029"/>
    <n v="485"/>
    <n v="75.78"/>
    <d v="2026-02-12T00:00:00"/>
    <s v="OK"/>
    <s v="OK"/>
    <s v="OK"/>
    <s v="OK"/>
    <s v="OK"/>
    <s v="OK"/>
    <s v="Late Delivery"/>
    <s v="OK"/>
    <n v="0"/>
    <n v="0"/>
    <n v="0"/>
    <n v="0"/>
    <n v="0"/>
    <n v="0"/>
    <n v="1"/>
    <n v="0"/>
    <x v="0"/>
  </r>
  <r>
    <s v="PO1029"/>
    <x v="21"/>
    <d v="2026-03-03T00:00:00"/>
    <n v="459"/>
    <n v="115.63"/>
    <s v="Camila Cantrell"/>
    <d v="2026-03-10T00:00:00"/>
    <n v="459"/>
    <d v="2026-03-10T00:00:00"/>
    <s v="INV5030"/>
    <n v="459"/>
    <n v="115.63"/>
    <d v="2026-03-13T00:00:00"/>
    <s v="OK"/>
    <s v="OK"/>
    <s v="OK"/>
    <s v="OK"/>
    <s v="OK"/>
    <s v="OK"/>
    <s v="OK"/>
    <s v="OK"/>
    <n v="0"/>
    <n v="0"/>
    <n v="0"/>
    <n v="0"/>
    <n v="0"/>
    <n v="0"/>
    <n v="0"/>
    <n v="0"/>
    <x v="2"/>
  </r>
  <r>
    <s v="PO1030"/>
    <x v="22"/>
    <d v="2026-05-05T00:00:00"/>
    <n v="427"/>
    <n v="18.5"/>
    <s v="Eva Andersson"/>
    <d v="2026-05-14T00:00:00"/>
    <n v="427"/>
    <d v="2026-05-12T00:00:00"/>
    <s v="INV5031"/>
    <n v="427"/>
    <n v="18.5"/>
    <d v="2026-05-19T00:00:00"/>
    <s v="OK"/>
    <s v="OK"/>
    <s v="OK"/>
    <s v="OK"/>
    <s v="OK"/>
    <s v="OK"/>
    <s v="OK"/>
    <s v="OK"/>
    <n v="0"/>
    <n v="0"/>
    <n v="0"/>
    <n v="0"/>
    <n v="0"/>
    <n v="0"/>
    <n v="0"/>
    <n v="0"/>
    <x v="3"/>
  </r>
  <r>
    <s v="PO1031"/>
    <x v="1"/>
    <d v="2026-05-02T00:00:00"/>
    <n v="494"/>
    <n v="112.21"/>
    <s v="Anna Kowalska"/>
    <d v="2026-05-23T00:00:00"/>
    <n v="494"/>
    <d v="2026-06-09T00:00:00"/>
    <s v="INV5032"/>
    <n v="494"/>
    <n v="112.21"/>
    <d v="2026-05-28T00:00:00"/>
    <s v="OK"/>
    <s v="OK"/>
    <s v="OK"/>
    <s v="OK"/>
    <s v="OK"/>
    <s v="OK"/>
    <s v="Late Delivery"/>
    <s v="OK"/>
    <n v="0"/>
    <n v="0"/>
    <n v="0"/>
    <n v="0"/>
    <n v="0"/>
    <n v="0"/>
    <n v="1"/>
    <n v="0"/>
    <x v="3"/>
  </r>
  <r>
    <s v="PO1032"/>
    <x v="17"/>
    <d v="2026-04-19T00:00:00"/>
    <n v="118"/>
    <n v="186.14"/>
    <s v="Eva Andersson"/>
    <d v="2026-04-30T00:00:00"/>
    <n v="118"/>
    <d v="2026-05-02T00:00:00"/>
    <s v="INV5033"/>
    <n v="118"/>
    <n v="186.14"/>
    <d v="2026-05-01T00:00:00"/>
    <s v="OK"/>
    <s v="OK"/>
    <s v="OK"/>
    <s v="OK"/>
    <s v="OK"/>
    <s v="OK"/>
    <s v="Late Delivery"/>
    <s v="OK"/>
    <n v="0"/>
    <n v="0"/>
    <n v="0"/>
    <n v="0"/>
    <n v="0"/>
    <n v="0"/>
    <n v="1"/>
    <n v="0"/>
    <x v="1"/>
  </r>
  <r>
    <s v="PO1033"/>
    <x v="9"/>
    <d v="2026-03-21T00:00:00"/>
    <n v="214"/>
    <n v="199.05"/>
    <s v="Katarina Jovanović"/>
    <d v="2026-04-06T00:00:00"/>
    <n v="214"/>
    <d v="2026-04-04T00:00:00"/>
    <s v="INV5034"/>
    <n v="214"/>
    <n v="199.05"/>
    <d v="2026-04-13T00:00:00"/>
    <s v="OK"/>
    <s v="OK"/>
    <s v="OK"/>
    <s v="OK"/>
    <s v="OK"/>
    <s v="OK"/>
    <s v="OK"/>
    <s v="OK"/>
    <n v="0"/>
    <n v="0"/>
    <n v="0"/>
    <n v="0"/>
    <n v="0"/>
    <n v="0"/>
    <n v="0"/>
    <n v="0"/>
    <x v="2"/>
  </r>
  <r>
    <s v="PO1034"/>
    <x v="23"/>
    <d v="2026-05-13T00:00:00"/>
    <n v="241"/>
    <n v="28.6"/>
    <s v="Mateo García"/>
    <d v="2026-05-20T00:00:00"/>
    <n v="241"/>
    <d v="2026-05-22T00:00:00"/>
    <s v="INV5035"/>
    <n v="241"/>
    <n v="28.6"/>
    <d v="2026-05-30T00:00:00"/>
    <s v="OK"/>
    <s v="OK"/>
    <s v="OK"/>
    <s v="OK"/>
    <s v="OK"/>
    <s v="OK"/>
    <s v="Late Delivery"/>
    <s v="OK"/>
    <n v="0"/>
    <n v="0"/>
    <n v="0"/>
    <n v="0"/>
    <n v="0"/>
    <n v="0"/>
    <n v="1"/>
    <n v="0"/>
    <x v="3"/>
  </r>
  <r>
    <s v="PO1035"/>
    <x v="24"/>
    <d v="2026-01-06T00:00:00"/>
    <n v="311"/>
    <n v="113.01"/>
    <s v="Emma Johansson"/>
    <d v="2026-01-18T00:00:00"/>
    <m/>
    <m/>
    <s v="INV5036"/>
    <n v="311"/>
    <n v="113.01"/>
    <d v="2026-01-28T00:00:00"/>
    <s v="OK"/>
    <s v="No GR - Not received"/>
    <s v="OK"/>
    <s v="OK"/>
    <s v="OK"/>
    <s v="OK"/>
    <s v="OK"/>
    <s v="OK"/>
    <n v="0"/>
    <n v="1"/>
    <n v="0"/>
    <n v="0"/>
    <n v="0"/>
    <n v="0"/>
    <n v="0"/>
    <n v="0"/>
    <x v="0"/>
  </r>
  <r>
    <s v="PO1036"/>
    <x v="25"/>
    <d v="2026-01-19T00:00:00"/>
    <n v="372"/>
    <n v="128.07"/>
    <s v="Mateo García"/>
    <d v="2026-01-26T00:00:00"/>
    <n v="372"/>
    <d v="2026-01-24T00:00:00"/>
    <s v="INV5037"/>
    <n v="372"/>
    <n v="128.07"/>
    <d v="2026-01-28T00:00:00"/>
    <s v="OK"/>
    <s v="OK"/>
    <s v="OK"/>
    <s v="OK"/>
    <s v="OK"/>
    <s v="OK"/>
    <s v="OK"/>
    <s v="OK"/>
    <n v="0"/>
    <n v="0"/>
    <n v="0"/>
    <n v="0"/>
    <n v="0"/>
    <n v="0"/>
    <n v="0"/>
    <n v="0"/>
    <x v="0"/>
  </r>
  <r>
    <s v="PO1037"/>
    <x v="7"/>
    <d v="2026-03-26T00:00:00"/>
    <n v="46"/>
    <n v="105.26"/>
    <s v="Anna Kowalska"/>
    <d v="2026-04-15T00:00:00"/>
    <n v="46"/>
    <d v="2026-04-17T00:00:00"/>
    <s v="INV5038"/>
    <n v="46"/>
    <n v="105.26"/>
    <d v="2026-04-18T00:00:00"/>
    <s v="OK"/>
    <s v="OK"/>
    <s v="OK"/>
    <s v="OK"/>
    <s v="OK"/>
    <s v="OK"/>
    <s v="Late Delivery"/>
    <s v="OK"/>
    <n v="0"/>
    <n v="0"/>
    <n v="0"/>
    <n v="0"/>
    <n v="0"/>
    <n v="0"/>
    <n v="1"/>
    <n v="0"/>
    <x v="2"/>
  </r>
  <r>
    <s v="PO1038"/>
    <x v="13"/>
    <d v="2026-05-19T00:00:00"/>
    <n v="77"/>
    <n v="146.05000000000001"/>
    <s v="Emma Johansson"/>
    <d v="2026-06-08T00:00:00"/>
    <n v="61"/>
    <d v="2026-06-22T00:00:00"/>
    <s v="INV5039"/>
    <n v="77"/>
    <n v="162.47"/>
    <d v="2026-06-13T00:00:00"/>
    <s v="OK"/>
    <s v="OK"/>
    <s v="OK"/>
    <s v="OK"/>
    <s v="Qty Variance"/>
    <s v="Price Variance"/>
    <s v="Late Delivery"/>
    <s v="OK"/>
    <n v="0"/>
    <n v="0"/>
    <n v="0"/>
    <n v="0"/>
    <n v="1"/>
    <n v="1"/>
    <n v="1"/>
    <n v="0"/>
    <x v="3"/>
  </r>
  <r>
    <s v="PO1039"/>
    <x v="26"/>
    <d v="2026-05-02T00:00:00"/>
    <n v="423"/>
    <n v="84.38"/>
    <s v="Haley Rivas"/>
    <d v="2026-05-10T00:00:00"/>
    <n v="423"/>
    <d v="2026-05-12T00:00:00"/>
    <s v="INV5040"/>
    <n v="423"/>
    <n v="84.38"/>
    <d v="2026-05-18T00:00:00"/>
    <s v="OK"/>
    <s v="OK"/>
    <s v="OK"/>
    <s v="OK"/>
    <s v="OK"/>
    <s v="OK"/>
    <s v="Late Delivery"/>
    <s v="OK"/>
    <n v="0"/>
    <n v="0"/>
    <n v="0"/>
    <n v="0"/>
    <n v="0"/>
    <n v="0"/>
    <n v="1"/>
    <n v="0"/>
    <x v="3"/>
  </r>
  <r>
    <s v="PO1040"/>
    <x v="27"/>
    <d v="2026-04-21T00:00:00"/>
    <n v="191"/>
    <n v="87.6"/>
    <s v="Ingrid Hansen"/>
    <d v="2026-04-27T00:00:00"/>
    <n v="191"/>
    <d v="2026-04-25T00:00:00"/>
    <s v="INV5041"/>
    <n v="191"/>
    <n v="87.6"/>
    <d v="2026-04-30T00:00:00"/>
    <s v="OK"/>
    <s v="OK"/>
    <s v="OK"/>
    <s v="OK"/>
    <s v="OK"/>
    <s v="OK"/>
    <s v="OK"/>
    <s v="OK"/>
    <n v="0"/>
    <n v="0"/>
    <n v="0"/>
    <n v="0"/>
    <n v="0"/>
    <n v="0"/>
    <n v="0"/>
    <n v="0"/>
    <x v="1"/>
  </r>
  <r>
    <s v="PO1041"/>
    <x v="12"/>
    <d v="2026-01-26T00:00:00"/>
    <n v="41"/>
    <n v="83.51"/>
    <s v="Elena Petrova"/>
    <d v="2026-02-03T00:00:00"/>
    <n v="41"/>
    <d v="2026-02-01T00:00:00"/>
    <s v="INV5042"/>
    <n v="41"/>
    <n v="99.99"/>
    <d v="2026-02-08T00:00:00"/>
    <s v="OK"/>
    <s v="OK"/>
    <s v="OK"/>
    <s v="OK"/>
    <s v="OK"/>
    <s v="Price Variance"/>
    <s v="OK"/>
    <s v="OK"/>
    <n v="0"/>
    <n v="0"/>
    <n v="0"/>
    <n v="0"/>
    <n v="0"/>
    <n v="1"/>
    <n v="0"/>
    <n v="0"/>
    <x v="0"/>
  </r>
  <r>
    <s v="PO1042"/>
    <x v="26"/>
    <d v="2026-02-19T00:00:00"/>
    <n v="107"/>
    <n v="109.58"/>
    <s v="Winter Underwood"/>
    <d v="2026-03-09T00:00:00"/>
    <n v="107"/>
    <d v="2026-03-10T00:00:00"/>
    <s v="INV5043"/>
    <n v="107"/>
    <n v="109.58"/>
    <d v="2026-03-18T00:00:00"/>
    <s v="OK"/>
    <s v="OK"/>
    <s v="OK"/>
    <s v="OK"/>
    <s v="OK"/>
    <s v="OK"/>
    <s v="Late Delivery"/>
    <s v="Duplicate Invoice"/>
    <n v="0"/>
    <n v="0"/>
    <n v="0"/>
    <n v="0"/>
    <n v="0"/>
    <n v="0"/>
    <n v="1"/>
    <n v="1"/>
    <x v="4"/>
  </r>
  <r>
    <s v="PO1042"/>
    <x v="26"/>
    <d v="2026-02-19T00:00:00"/>
    <n v="107"/>
    <n v="109.58"/>
    <s v="Winter Underwood"/>
    <d v="2026-03-09T00:00:00"/>
    <n v="107"/>
    <d v="2026-03-10T00:00:00"/>
    <s v="INV5044"/>
    <n v="107"/>
    <n v="109.58"/>
    <d v="2026-03-22T00:00:00"/>
    <s v="OK"/>
    <s v="OK"/>
    <s v="OK"/>
    <s v="OK"/>
    <s v="OK"/>
    <s v="OK"/>
    <s v="Late Delivery"/>
    <s v="Duplicate Invoice"/>
    <n v="0"/>
    <n v="0"/>
    <n v="0"/>
    <n v="0"/>
    <n v="0"/>
    <n v="0"/>
    <n v="1"/>
    <n v="1"/>
    <x v="4"/>
  </r>
  <r>
    <s v="PO1043"/>
    <x v="28"/>
    <d v="2026-03-13T00:00:00"/>
    <n v="246"/>
    <n v="53.71"/>
    <s v="Camila Cantrell"/>
    <d v="2026-04-01T00:00:00"/>
    <n v="243"/>
    <d v="2026-04-03T00:00:00"/>
    <s v="INV5045"/>
    <n v="246"/>
    <n v="53.71"/>
    <d v="2026-04-04T00:00:00"/>
    <s v="OK"/>
    <s v="OK"/>
    <s v="OK"/>
    <s v="OK"/>
    <s v="Qty Variance"/>
    <s v="OK"/>
    <s v="Late Delivery"/>
    <s v="OK"/>
    <n v="0"/>
    <n v="0"/>
    <n v="0"/>
    <n v="0"/>
    <n v="1"/>
    <n v="0"/>
    <n v="1"/>
    <n v="0"/>
    <x v="2"/>
  </r>
  <r>
    <s v="PO1044"/>
    <x v="8"/>
    <d v="2026-01-26T00:00:00"/>
    <n v="35"/>
    <n v="132.16999999999999"/>
    <s v="Pavel Horák"/>
    <d v="2026-01-31T00:00:00"/>
    <n v="35"/>
    <d v="2026-01-31T00:00:00"/>
    <s v="INV5046"/>
    <n v="35"/>
    <n v="132.16999999999999"/>
    <d v="2026-02-07T00:00:00"/>
    <s v="OK"/>
    <s v="OK"/>
    <s v="OK"/>
    <s v="OK"/>
    <s v="OK"/>
    <s v="OK"/>
    <s v="OK"/>
    <s v="OK"/>
    <n v="0"/>
    <n v="0"/>
    <n v="0"/>
    <n v="0"/>
    <n v="0"/>
    <n v="0"/>
    <n v="0"/>
    <n v="0"/>
    <x v="0"/>
  </r>
  <r>
    <s v="PO1045"/>
    <x v="10"/>
    <d v="2026-03-02T00:00:00"/>
    <n v="95"/>
    <n v="84.25"/>
    <s v="Andreas Weber"/>
    <d v="2026-03-13T00:00:00"/>
    <n v="95"/>
    <d v="2026-03-12T00:00:00"/>
    <s v="INV5047"/>
    <n v="95"/>
    <n v="84.25"/>
    <d v="2026-03-23T00:00:00"/>
    <s v="OK"/>
    <s v="OK"/>
    <s v="OK"/>
    <s v="OK"/>
    <s v="OK"/>
    <s v="OK"/>
    <s v="OK"/>
    <s v="OK"/>
    <n v="0"/>
    <n v="0"/>
    <n v="0"/>
    <n v="0"/>
    <n v="0"/>
    <n v="0"/>
    <n v="0"/>
    <n v="0"/>
    <x v="2"/>
  </r>
  <r>
    <s v="PO1046"/>
    <x v="29"/>
    <d v="2026-01-16T00:00:00"/>
    <n v="94"/>
    <n v="78.900000000000006"/>
    <s v="Laura Schmidt"/>
    <d v="2026-01-29T00:00:00"/>
    <n v="80"/>
    <d v="2026-02-05T00:00:00"/>
    <s v="INV5048"/>
    <n v="94"/>
    <n v="78.900000000000006"/>
    <d v="2026-02-08T00:00:00"/>
    <s v="OK"/>
    <s v="OK"/>
    <s v="OK"/>
    <s v="OK"/>
    <s v="Qty Variance"/>
    <s v="OK"/>
    <s v="Late Delivery"/>
    <s v="OK"/>
    <n v="0"/>
    <n v="0"/>
    <n v="0"/>
    <n v="0"/>
    <n v="1"/>
    <n v="0"/>
    <n v="1"/>
    <n v="0"/>
    <x v="0"/>
  </r>
  <r>
    <s v="PO1047"/>
    <x v="30"/>
    <d v="2026-03-15T00:00:00"/>
    <n v="226"/>
    <n v="140.84"/>
    <s v="Victor Popescu"/>
    <d v="2026-04-04T00:00:00"/>
    <n v="226"/>
    <d v="2026-04-02T00:00:00"/>
    <s v="INV5049"/>
    <n v="226"/>
    <n v="140.84"/>
    <d v="2026-04-11T00:00:00"/>
    <s v="OK"/>
    <s v="OK"/>
    <s v="OK"/>
    <s v="OK"/>
    <s v="OK"/>
    <s v="OK"/>
    <s v="OK"/>
    <s v="OK"/>
    <n v="0"/>
    <n v="0"/>
    <n v="0"/>
    <n v="0"/>
    <n v="0"/>
    <n v="0"/>
    <n v="0"/>
    <n v="0"/>
    <x v="2"/>
  </r>
  <r>
    <s v="PO1048"/>
    <x v="14"/>
    <d v="2026-02-18T00:00:00"/>
    <n v="161"/>
    <n v="47.45"/>
    <s v="A. Nagy"/>
    <d v="2026-02-24T00:00:00"/>
    <n v="161"/>
    <d v="2026-02-26T00:00:00"/>
    <s v="INV5050"/>
    <n v="161"/>
    <n v="50.78"/>
    <d v="2026-02-28T00:00:00"/>
    <s v="OK"/>
    <s v="OK"/>
    <s v="OK"/>
    <s v="OK"/>
    <s v="OK"/>
    <s v="Price Variance"/>
    <s v="Late Delivery"/>
    <s v="OK"/>
    <n v="0"/>
    <n v="0"/>
    <n v="0"/>
    <n v="0"/>
    <n v="0"/>
    <n v="1"/>
    <n v="1"/>
    <n v="0"/>
    <x v="4"/>
  </r>
  <r>
    <s v="PO1049"/>
    <x v="15"/>
    <d v="2026-03-22T00:00:00"/>
    <n v="39"/>
    <n v="14.78"/>
    <s v="Andreas Weber"/>
    <d v="2026-04-12T00:00:00"/>
    <n v="39"/>
    <d v="2026-04-13T00:00:00"/>
    <s v="INV5051"/>
    <n v="39"/>
    <n v="17.670000000000002"/>
    <d v="2026-04-13T00:00:00"/>
    <s v="OK"/>
    <s v="OK"/>
    <s v="OK"/>
    <s v="OK"/>
    <s v="OK"/>
    <s v="Price Variance"/>
    <s v="Late Delivery"/>
    <s v="OK"/>
    <n v="0"/>
    <n v="0"/>
    <n v="0"/>
    <n v="0"/>
    <n v="0"/>
    <n v="1"/>
    <n v="1"/>
    <n v="0"/>
    <x v="2"/>
  </r>
  <r>
    <s v="PO1050"/>
    <x v="31"/>
    <d v="2026-02-10T00:00:00"/>
    <n v="39"/>
    <n v="192.35"/>
    <s v="Camila Cantrell"/>
    <d v="2026-02-20T00:00:00"/>
    <n v="39"/>
    <d v="2026-02-21T00:00:00"/>
    <s v="INV5052"/>
    <n v="39"/>
    <n v="192.35"/>
    <d v="2026-02-24T00:00:00"/>
    <s v="OK"/>
    <s v="OK"/>
    <s v="OK"/>
    <s v="OK"/>
    <s v="OK"/>
    <s v="OK"/>
    <s v="Late Delivery"/>
    <s v="OK"/>
    <n v="0"/>
    <n v="0"/>
    <n v="0"/>
    <n v="0"/>
    <n v="0"/>
    <n v="0"/>
    <n v="1"/>
    <n v="0"/>
    <x v="4"/>
  </r>
  <r>
    <s v="PO1051"/>
    <x v="32"/>
    <d v="2026-01-18T00:00:00"/>
    <n v="355"/>
    <n v="173.05"/>
    <s v="Laura Schmidt"/>
    <d v="2026-01-26T00:00:00"/>
    <n v="355"/>
    <d v="2026-02-02T00:00:00"/>
    <s v="INV5053"/>
    <n v="355"/>
    <n v="173.05"/>
    <d v="2026-02-04T00:00:00"/>
    <s v="OK"/>
    <s v="OK"/>
    <s v="OK"/>
    <s v="OK"/>
    <s v="OK"/>
    <s v="OK"/>
    <s v="Late Delivery"/>
    <s v="OK"/>
    <n v="0"/>
    <n v="0"/>
    <n v="0"/>
    <n v="0"/>
    <n v="0"/>
    <n v="0"/>
    <n v="1"/>
    <n v="0"/>
    <x v="0"/>
  </r>
  <r>
    <s v="PO1052"/>
    <x v="33"/>
    <d v="2026-03-05T00:00:00"/>
    <n v="306"/>
    <n v="120.93"/>
    <s v="Thomas Lefèvre"/>
    <d v="2026-03-12T00:00:00"/>
    <n v="306"/>
    <d v="2026-03-11T00:00:00"/>
    <s v="INV5054"/>
    <n v="306"/>
    <n v="120.93"/>
    <d v="2026-03-20T00:00:00"/>
    <s v="OK"/>
    <s v="OK"/>
    <s v="OK"/>
    <s v="OK"/>
    <s v="OK"/>
    <s v="OK"/>
    <s v="OK"/>
    <s v="OK"/>
    <n v="0"/>
    <n v="0"/>
    <n v="0"/>
    <n v="0"/>
    <n v="0"/>
    <n v="0"/>
    <n v="0"/>
    <n v="0"/>
    <x v="2"/>
  </r>
  <r>
    <s v="PO1053"/>
    <x v="34"/>
    <d v="2026-05-30T00:00:00"/>
    <n v="299"/>
    <n v="106.94"/>
    <s v="Anna Kowalska"/>
    <d v="2026-06-10T00:00:00"/>
    <n v="299"/>
    <d v="2026-06-10T00:00:00"/>
    <s v="INV5055"/>
    <n v="299"/>
    <n v="106.94"/>
    <d v="2026-06-12T00:00:00"/>
    <s v="OK"/>
    <s v="OK"/>
    <s v="OK"/>
    <s v="OK"/>
    <s v="OK"/>
    <s v="OK"/>
    <s v="OK"/>
    <s v="OK"/>
    <n v="0"/>
    <n v="0"/>
    <n v="0"/>
    <n v="0"/>
    <n v="0"/>
    <n v="0"/>
    <n v="0"/>
    <n v="0"/>
    <x v="3"/>
  </r>
  <r>
    <s v="PO1055"/>
    <x v="30"/>
    <d v="2026-03-22T00:00:00"/>
    <n v="485"/>
    <n v="151.61000000000001"/>
    <s v="Camila Cantrell"/>
    <d v="2026-03-27T00:00:00"/>
    <n v="485"/>
    <d v="2026-03-25T00:00:00"/>
    <s v="INV5057"/>
    <n v="485"/>
    <n v="151.61000000000001"/>
    <d v="2026-04-04T00:00:00"/>
    <s v="OK"/>
    <s v="OK"/>
    <s v="OK"/>
    <s v="OK"/>
    <s v="OK"/>
    <s v="OK"/>
    <s v="OK"/>
    <s v="OK"/>
    <n v="0"/>
    <n v="0"/>
    <n v="0"/>
    <n v="0"/>
    <n v="0"/>
    <n v="0"/>
    <n v="0"/>
    <n v="0"/>
    <x v="2"/>
  </r>
  <r>
    <s v="PO1054"/>
    <x v="27"/>
    <d v="2026-03-22T00:00:00"/>
    <n v="132"/>
    <n v="56.79"/>
    <s v="Winter Underwood"/>
    <d v="2026-04-05T00:00:00"/>
    <m/>
    <m/>
    <s v="INV5056"/>
    <n v="132"/>
    <n v="56.79"/>
    <d v="2026-04-13T00:00:00"/>
    <s v="OK"/>
    <s v="No GR - Not received"/>
    <s v="OK"/>
    <s v="OK"/>
    <s v="OK"/>
    <s v="OK"/>
    <s v="OK"/>
    <s v="OK"/>
    <n v="0"/>
    <n v="1"/>
    <n v="0"/>
    <n v="0"/>
    <n v="0"/>
    <n v="0"/>
    <n v="0"/>
    <n v="0"/>
    <x v="2"/>
  </r>
  <r>
    <s v="PO1056"/>
    <x v="30"/>
    <d v="2026-05-25T00:00:00"/>
    <n v="61"/>
    <n v="19.29"/>
    <s v="Sofia Rossi"/>
    <d v="2026-06-15T00:00:00"/>
    <n v="61"/>
    <d v="2026-06-17T00:00:00"/>
    <s v="INV5058"/>
    <n v="61"/>
    <n v="19.29"/>
    <d v="2026-06-25T00:00:00"/>
    <s v="OK"/>
    <s v="OK"/>
    <s v="OK"/>
    <s v="OK"/>
    <s v="OK"/>
    <s v="OK"/>
    <s v="Late Delivery"/>
    <s v="OK"/>
    <n v="0"/>
    <n v="0"/>
    <n v="0"/>
    <n v="0"/>
    <n v="0"/>
    <n v="0"/>
    <n v="1"/>
    <n v="0"/>
    <x v="3"/>
  </r>
  <r>
    <s v="PO1057"/>
    <x v="18"/>
    <d v="2026-02-03T00:00:00"/>
    <n v="487"/>
    <n v="73.06"/>
    <s v="Camila Cantrell"/>
    <d v="2026-02-15T00:00:00"/>
    <n v="487"/>
    <d v="2026-02-17T00:00:00"/>
    <s v="INV5059"/>
    <n v="487"/>
    <n v="73.06"/>
    <d v="2026-02-21T00:00:00"/>
    <s v="OK"/>
    <s v="OK"/>
    <s v="OK"/>
    <s v="OK"/>
    <s v="OK"/>
    <s v="OK"/>
    <s v="Late Delivery"/>
    <s v="Duplicate Invoice"/>
    <n v="0"/>
    <n v="0"/>
    <n v="0"/>
    <n v="0"/>
    <n v="0"/>
    <n v="0"/>
    <n v="1"/>
    <n v="1"/>
    <x v="4"/>
  </r>
  <r>
    <s v="PO1057"/>
    <x v="18"/>
    <d v="2026-02-03T00:00:00"/>
    <n v="487"/>
    <n v="73.06"/>
    <s v="Camila Cantrell"/>
    <d v="2026-02-15T00:00:00"/>
    <n v="487"/>
    <d v="2026-02-17T00:00:00"/>
    <s v="INV5060"/>
    <n v="487"/>
    <n v="73.06"/>
    <d v="2026-02-25T00:00:00"/>
    <s v="OK"/>
    <s v="OK"/>
    <s v="OK"/>
    <s v="OK"/>
    <s v="OK"/>
    <s v="OK"/>
    <s v="Late Delivery"/>
    <s v="Duplicate Invoice"/>
    <n v="0"/>
    <n v="0"/>
    <n v="0"/>
    <n v="0"/>
    <n v="0"/>
    <n v="0"/>
    <n v="1"/>
    <n v="1"/>
    <x v="4"/>
  </r>
  <r>
    <s v="PO1058"/>
    <x v="35"/>
    <d v="2026-03-14T00:00:00"/>
    <n v="90"/>
    <n v="90.45"/>
    <s v="Pavel Horák"/>
    <d v="2026-03-28T00:00:00"/>
    <n v="90"/>
    <d v="2026-03-27T00:00:00"/>
    <s v="INV5061"/>
    <n v="90"/>
    <n v="90.45"/>
    <d v="2026-04-05T00:00:00"/>
    <s v="OK"/>
    <s v="OK"/>
    <s v="OK"/>
    <s v="OK"/>
    <s v="OK"/>
    <s v="OK"/>
    <s v="OK"/>
    <s v="OK"/>
    <n v="0"/>
    <n v="0"/>
    <n v="0"/>
    <n v="0"/>
    <n v="0"/>
    <n v="0"/>
    <n v="0"/>
    <n v="0"/>
    <x v="2"/>
  </r>
  <r>
    <s v="PO1059"/>
    <x v="36"/>
    <d v="2026-05-16T00:00:00"/>
    <n v="14"/>
    <n v="135.22999999999999"/>
    <s v="Pavel Horák"/>
    <d v="2026-05-30T00:00:00"/>
    <n v="14"/>
    <d v="2026-05-30T00:00:00"/>
    <s v="INV5062"/>
    <n v="14"/>
    <n v="135.22999999999999"/>
    <d v="2026-06-08T00:00:00"/>
    <s v="OK"/>
    <s v="OK"/>
    <s v="OK"/>
    <s v="OK"/>
    <s v="OK"/>
    <s v="OK"/>
    <s v="OK"/>
    <s v="OK"/>
    <n v="0"/>
    <n v="0"/>
    <n v="0"/>
    <n v="0"/>
    <n v="0"/>
    <n v="0"/>
    <n v="0"/>
    <n v="0"/>
    <x v="3"/>
  </r>
  <r>
    <s v="PO1060"/>
    <x v="27"/>
    <d v="2026-01-27T00:00:00"/>
    <n v="490"/>
    <n v="176.23"/>
    <s v="Anna Kowalska"/>
    <d v="2026-02-04T00:00:00"/>
    <n v="490"/>
    <d v="2026-02-06T00:00:00"/>
    <s v="INV5063"/>
    <n v="490"/>
    <n v="195.61"/>
    <d v="2026-02-13T00:00:00"/>
    <s v="OK"/>
    <s v="OK"/>
    <s v="OK"/>
    <s v="OK"/>
    <s v="OK"/>
    <s v="Price Variance"/>
    <s v="Late Delivery"/>
    <s v="OK"/>
    <n v="0"/>
    <n v="0"/>
    <n v="0"/>
    <n v="0"/>
    <n v="0"/>
    <n v="1"/>
    <n v="1"/>
    <n v="0"/>
    <x v="0"/>
  </r>
  <r>
    <s v="PO1061"/>
    <x v="6"/>
    <d v="2026-05-22T00:00:00"/>
    <n v="89"/>
    <n v="58.11"/>
    <s v="Thomas Lefèvre"/>
    <d v="2026-06-02T00:00:00"/>
    <n v="89"/>
    <d v="2026-05-31T00:00:00"/>
    <s v="INV5064"/>
    <n v="89"/>
    <n v="58.11"/>
    <d v="2026-06-10T00:00:00"/>
    <s v="OK"/>
    <s v="OK"/>
    <s v="OK"/>
    <s v="OK"/>
    <s v="OK"/>
    <s v="OK"/>
    <s v="OK"/>
    <s v="OK"/>
    <n v="0"/>
    <n v="0"/>
    <n v="0"/>
    <n v="0"/>
    <n v="0"/>
    <n v="0"/>
    <n v="0"/>
    <n v="0"/>
    <x v="3"/>
  </r>
  <r>
    <s v="PO1062"/>
    <x v="9"/>
    <d v="2026-03-29T00:00:00"/>
    <n v="114"/>
    <n v="139.06"/>
    <s v="Anna Kowalska"/>
    <d v="2026-04-19T00:00:00"/>
    <n v="114"/>
    <d v="2026-04-21T00:00:00"/>
    <s v="INV5065"/>
    <n v="114"/>
    <n v="146.41"/>
    <d v="2026-04-29T00:00:00"/>
    <s v="OK"/>
    <s v="OK"/>
    <s v="OK"/>
    <s v="OK"/>
    <s v="OK"/>
    <s v="Price Variance"/>
    <s v="Late Delivery"/>
    <s v="OK"/>
    <n v="0"/>
    <n v="0"/>
    <n v="0"/>
    <n v="0"/>
    <n v="0"/>
    <n v="1"/>
    <n v="1"/>
    <n v="0"/>
    <x v="2"/>
  </r>
  <r>
    <s v="PO1063"/>
    <x v="37"/>
    <d v="2026-03-06T00:00:00"/>
    <n v="473"/>
    <n v="182.09"/>
    <s v="A. Nagy"/>
    <d v="2026-03-13T00:00:00"/>
    <n v="473"/>
    <d v="2026-03-13T00:00:00"/>
    <s v="INV5066"/>
    <n v="473"/>
    <n v="215.58"/>
    <d v="2026-03-20T00:00:00"/>
    <s v="OK"/>
    <s v="OK"/>
    <s v="OK"/>
    <s v="OK"/>
    <s v="OK"/>
    <s v="Price Variance"/>
    <s v="OK"/>
    <s v="OK"/>
    <n v="0"/>
    <n v="0"/>
    <n v="0"/>
    <n v="0"/>
    <n v="0"/>
    <n v="1"/>
    <n v="0"/>
    <n v="0"/>
    <x v="2"/>
  </r>
  <r>
    <s v="PO1064"/>
    <x v="0"/>
    <d v="2026-04-19T00:00:00"/>
    <n v="434"/>
    <n v="58.95"/>
    <s v="J. Kovacs"/>
    <d v="2026-05-04T00:00:00"/>
    <n v="434"/>
    <d v="2026-05-04T00:00:00"/>
    <s v="INV5067"/>
    <n v="434"/>
    <n v="58.95"/>
    <d v="2026-05-14T00:00:00"/>
    <s v="OK"/>
    <s v="OK"/>
    <s v="OK"/>
    <s v="OK"/>
    <s v="OK"/>
    <s v="OK"/>
    <s v="OK"/>
    <s v="OK"/>
    <n v="0"/>
    <n v="0"/>
    <n v="0"/>
    <n v="0"/>
    <n v="0"/>
    <n v="0"/>
    <n v="0"/>
    <n v="0"/>
    <x v="1"/>
  </r>
  <r>
    <s v="PO1065"/>
    <x v="1"/>
    <d v="2026-03-09T00:00:00"/>
    <n v="92"/>
    <n v="149.54"/>
    <s v="Pavel Horák"/>
    <d v="2026-03-27T00:00:00"/>
    <n v="92"/>
    <d v="2026-03-27T00:00:00"/>
    <s v="INV5068"/>
    <n v="92"/>
    <n v="149.54"/>
    <d v="2026-04-03T00:00:00"/>
    <s v="OK"/>
    <s v="OK"/>
    <s v="OK"/>
    <s v="OK"/>
    <s v="OK"/>
    <s v="OK"/>
    <s v="OK"/>
    <s v="Duplicate Invoice"/>
    <n v="0"/>
    <n v="0"/>
    <n v="0"/>
    <n v="0"/>
    <n v="0"/>
    <n v="0"/>
    <n v="0"/>
    <n v="1"/>
    <x v="2"/>
  </r>
  <r>
    <s v="PO1065"/>
    <x v="1"/>
    <d v="2026-03-09T00:00:00"/>
    <n v="92"/>
    <n v="149.54"/>
    <s v="Pavel Horák"/>
    <d v="2026-03-27T00:00:00"/>
    <n v="92"/>
    <d v="2026-03-27T00:00:00"/>
    <s v="INV5069"/>
    <n v="92"/>
    <n v="149.54"/>
    <d v="2026-04-06T00:00:00"/>
    <s v="OK"/>
    <s v="OK"/>
    <s v="OK"/>
    <s v="OK"/>
    <s v="OK"/>
    <s v="OK"/>
    <s v="OK"/>
    <s v="Duplicate Invoice"/>
    <n v="0"/>
    <n v="0"/>
    <n v="0"/>
    <n v="0"/>
    <n v="0"/>
    <n v="0"/>
    <n v="0"/>
    <n v="1"/>
    <x v="2"/>
  </r>
  <r>
    <s v="PO1066"/>
    <x v="8"/>
    <d v="2026-01-03T00:00:00"/>
    <n v="67"/>
    <n v="19.670000000000002"/>
    <s v="Marta Nowak"/>
    <d v="2026-01-12T00:00:00"/>
    <n v="67"/>
    <d v="2026-01-14T00:00:00"/>
    <s v="INV5070"/>
    <n v="67"/>
    <n v="19.670000000000002"/>
    <d v="2026-01-20T00:00:00"/>
    <s v="OK"/>
    <s v="OK"/>
    <s v="OK"/>
    <s v="OK"/>
    <s v="OK"/>
    <s v="OK"/>
    <s v="Late Delivery"/>
    <s v="OK"/>
    <n v="0"/>
    <n v="0"/>
    <n v="0"/>
    <n v="0"/>
    <n v="0"/>
    <n v="0"/>
    <n v="1"/>
    <n v="0"/>
    <x v="0"/>
  </r>
  <r>
    <s v="PO1067"/>
    <x v="19"/>
    <d v="2026-01-10T00:00:00"/>
    <n v="437"/>
    <n v="77"/>
    <s v="Pavel Horák"/>
    <d v="2026-01-19T00:00:00"/>
    <n v="437"/>
    <d v="2026-01-21T00:00:00"/>
    <s v="INV5071"/>
    <n v="437"/>
    <n v="77"/>
    <d v="2026-01-23T00:00:00"/>
    <s v="OK"/>
    <s v="OK"/>
    <s v="OK"/>
    <s v="OK"/>
    <s v="OK"/>
    <s v="OK"/>
    <s v="Late Delivery"/>
    <s v="OK"/>
    <n v="0"/>
    <n v="0"/>
    <n v="0"/>
    <n v="0"/>
    <n v="0"/>
    <n v="0"/>
    <n v="1"/>
    <n v="0"/>
    <x v="0"/>
  </r>
  <r>
    <s v="PO1068"/>
    <x v="38"/>
    <d v="2026-02-02T00:00:00"/>
    <n v="31"/>
    <n v="65.11"/>
    <s v="A. Nagy"/>
    <d v="2026-02-18T00:00:00"/>
    <n v="31"/>
    <d v="2026-02-19T00:00:00"/>
    <s v="INV5072"/>
    <n v="31"/>
    <n v="65.11"/>
    <d v="2026-02-28T00:00:00"/>
    <s v="OK"/>
    <s v="OK"/>
    <s v="OK"/>
    <s v="OK"/>
    <s v="OK"/>
    <s v="OK"/>
    <s v="Late Delivery"/>
    <s v="OK"/>
    <n v="0"/>
    <n v="0"/>
    <n v="0"/>
    <n v="0"/>
    <n v="0"/>
    <n v="0"/>
    <n v="1"/>
    <n v="0"/>
    <x v="4"/>
  </r>
  <r>
    <s v="PO1069"/>
    <x v="13"/>
    <d v="2026-03-05T00:00:00"/>
    <n v="351"/>
    <n v="25.04"/>
    <s v="Eva Andersson"/>
    <d v="2026-03-23T00:00:00"/>
    <n v="351"/>
    <d v="2026-04-03T00:00:00"/>
    <s v="INV5073"/>
    <n v="351"/>
    <n v="25.04"/>
    <d v="2026-03-31T00:00:00"/>
    <s v="OK"/>
    <s v="OK"/>
    <s v="OK"/>
    <s v="OK"/>
    <s v="OK"/>
    <s v="OK"/>
    <s v="Late Delivery"/>
    <s v="OK"/>
    <n v="0"/>
    <n v="0"/>
    <n v="0"/>
    <n v="0"/>
    <n v="0"/>
    <n v="0"/>
    <n v="1"/>
    <n v="0"/>
    <x v="2"/>
  </r>
  <r>
    <s v="PO1070"/>
    <x v="36"/>
    <d v="2026-02-09T00:00:00"/>
    <n v="483"/>
    <n v="186.33"/>
    <s v="Lukas Müller"/>
    <d v="2026-02-19T00:00:00"/>
    <n v="483"/>
    <d v="2026-02-19T00:00:00"/>
    <s v="INV5074"/>
    <n v="483"/>
    <n v="186.33"/>
    <d v="2026-02-26T00:00:00"/>
    <s v="OK"/>
    <s v="OK"/>
    <s v="OK"/>
    <s v="OK"/>
    <s v="OK"/>
    <s v="OK"/>
    <s v="OK"/>
    <s v="OK"/>
    <n v="0"/>
    <n v="0"/>
    <n v="0"/>
    <n v="0"/>
    <n v="0"/>
    <n v="0"/>
    <n v="0"/>
    <n v="0"/>
    <x v="4"/>
  </r>
  <r>
    <s v="PO1071"/>
    <x v="34"/>
    <d v="2026-01-07T00:00:00"/>
    <n v="101"/>
    <n v="148.63"/>
    <s v="Elena Petrova"/>
    <d v="2026-01-25T00:00:00"/>
    <n v="101"/>
    <d v="2026-01-24T00:00:00"/>
    <s v="INV5075"/>
    <n v="101"/>
    <n v="148.63"/>
    <d v="2026-01-31T00:00:00"/>
    <s v="OK"/>
    <s v="OK"/>
    <s v="OK"/>
    <s v="OK"/>
    <s v="OK"/>
    <s v="OK"/>
    <s v="OK"/>
    <s v="OK"/>
    <n v="0"/>
    <n v="0"/>
    <n v="0"/>
    <n v="0"/>
    <n v="0"/>
    <n v="0"/>
    <n v="0"/>
    <n v="0"/>
    <x v="0"/>
  </r>
  <r>
    <s v="PO1072"/>
    <x v="27"/>
    <d v="2026-03-05T00:00:00"/>
    <n v="146"/>
    <n v="36.04"/>
    <s v="Marta Nowak"/>
    <d v="2026-03-13T00:00:00"/>
    <n v="146"/>
    <d v="2026-03-12T00:00:00"/>
    <s v="INV5076"/>
    <n v="146"/>
    <n v="36.04"/>
    <d v="2026-03-16T00:00:00"/>
    <s v="OK"/>
    <s v="OK"/>
    <s v="OK"/>
    <s v="OK"/>
    <s v="OK"/>
    <s v="OK"/>
    <s v="OK"/>
    <s v="OK"/>
    <n v="0"/>
    <n v="0"/>
    <n v="0"/>
    <n v="0"/>
    <n v="0"/>
    <n v="0"/>
    <n v="0"/>
    <n v="0"/>
    <x v="2"/>
  </r>
  <r>
    <s v="PO1073"/>
    <x v="39"/>
    <d v="2026-01-10T00:00:00"/>
    <n v="449"/>
    <n v="96.78"/>
    <s v="Sofia Rossi"/>
    <d v="2026-01-29T00:00:00"/>
    <n v="449"/>
    <d v="2026-01-29T00:00:00"/>
    <s v="INV5077"/>
    <n v="449"/>
    <n v="96.78"/>
    <d v="2026-01-31T00:00:00"/>
    <s v="OK"/>
    <s v="OK"/>
    <s v="OK"/>
    <s v="OK"/>
    <s v="OK"/>
    <s v="OK"/>
    <s v="OK"/>
    <s v="OK"/>
    <n v="0"/>
    <n v="0"/>
    <n v="0"/>
    <n v="0"/>
    <n v="0"/>
    <n v="0"/>
    <n v="0"/>
    <n v="0"/>
    <x v="0"/>
  </r>
  <r>
    <s v="PO1074"/>
    <x v="40"/>
    <d v="2026-03-20T00:00:00"/>
    <n v="430"/>
    <n v="160.09"/>
    <s v="Mateo García"/>
    <d v="2026-04-01T00:00:00"/>
    <n v="430"/>
    <d v="2026-04-13T00:00:00"/>
    <s v="INV5078"/>
    <n v="430"/>
    <n v="160.09"/>
    <d v="2026-04-05T00:00:00"/>
    <s v="OK"/>
    <s v="OK"/>
    <s v="OK"/>
    <s v="OK"/>
    <s v="OK"/>
    <s v="OK"/>
    <s v="Late Delivery"/>
    <s v="OK"/>
    <n v="0"/>
    <n v="0"/>
    <n v="0"/>
    <n v="0"/>
    <n v="0"/>
    <n v="0"/>
    <n v="1"/>
    <n v="0"/>
    <x v="2"/>
  </r>
  <r>
    <s v="PO1075"/>
    <x v="20"/>
    <d v="2026-02-19T00:00:00"/>
    <n v="214"/>
    <n v="69.010000000000005"/>
    <s v="Camila Cantrell"/>
    <d v="2026-03-04T00:00:00"/>
    <n v="214"/>
    <d v="2026-03-03T00:00:00"/>
    <s v="INV5079"/>
    <n v="214"/>
    <n v="69.010000000000005"/>
    <d v="2026-03-11T00:00:00"/>
    <s v="OK"/>
    <s v="OK"/>
    <s v="OK"/>
    <s v="OK"/>
    <s v="OK"/>
    <s v="OK"/>
    <s v="OK"/>
    <s v="OK"/>
    <n v="0"/>
    <n v="0"/>
    <n v="0"/>
    <n v="0"/>
    <n v="0"/>
    <n v="0"/>
    <n v="0"/>
    <n v="0"/>
    <x v="4"/>
  </r>
  <r>
    <s v="PO1076"/>
    <x v="40"/>
    <d v="2026-05-11T00:00:00"/>
    <n v="214"/>
    <n v="137.51"/>
    <s v="Pavel Horák"/>
    <d v="2026-05-26T00:00:00"/>
    <n v="214"/>
    <d v="2026-05-25T00:00:00"/>
    <s v="INV5080"/>
    <n v="214"/>
    <n v="137.51"/>
    <d v="2026-05-30T00:00:00"/>
    <s v="OK"/>
    <s v="OK"/>
    <s v="OK"/>
    <s v="OK"/>
    <s v="OK"/>
    <s v="OK"/>
    <s v="OK"/>
    <s v="OK"/>
    <n v="0"/>
    <n v="0"/>
    <n v="0"/>
    <n v="0"/>
    <n v="0"/>
    <n v="0"/>
    <n v="0"/>
    <n v="0"/>
    <x v="3"/>
  </r>
  <r>
    <s v="PO1078"/>
    <x v="7"/>
    <d v="2026-01-28T00:00:00"/>
    <n v="315"/>
    <n v="89.74"/>
    <s v="Victor Popescu"/>
    <d v="2026-02-12T00:00:00"/>
    <n v="315"/>
    <d v="2026-02-14T00:00:00"/>
    <s v="INV5082"/>
    <n v="315"/>
    <n v="89.74"/>
    <d v="2026-02-21T00:00:00"/>
    <s v="OK"/>
    <s v="OK"/>
    <s v="OK"/>
    <s v="OK"/>
    <s v="OK"/>
    <s v="OK"/>
    <s v="Late Delivery"/>
    <s v="Duplicate Invoice"/>
    <n v="0"/>
    <n v="0"/>
    <n v="0"/>
    <n v="0"/>
    <n v="0"/>
    <n v="0"/>
    <n v="1"/>
    <n v="1"/>
    <x v="0"/>
  </r>
  <r>
    <s v="PO1078"/>
    <x v="7"/>
    <d v="2026-01-28T00:00:00"/>
    <n v="315"/>
    <n v="89.74"/>
    <s v="Victor Popescu"/>
    <d v="2026-02-12T00:00:00"/>
    <n v="315"/>
    <d v="2026-02-14T00:00:00"/>
    <s v="INV5083"/>
    <n v="315"/>
    <n v="89.74"/>
    <d v="2026-02-22T00:00:00"/>
    <s v="OK"/>
    <s v="OK"/>
    <s v="OK"/>
    <s v="OK"/>
    <s v="OK"/>
    <s v="OK"/>
    <s v="Late Delivery"/>
    <s v="Duplicate Invoice"/>
    <n v="0"/>
    <n v="0"/>
    <n v="0"/>
    <n v="0"/>
    <n v="0"/>
    <n v="0"/>
    <n v="1"/>
    <n v="1"/>
    <x v="0"/>
  </r>
  <r>
    <s v="PO1079"/>
    <x v="38"/>
    <d v="2026-05-11T00:00:00"/>
    <n v="69"/>
    <n v="80.11"/>
    <s v="Emma Johansson"/>
    <d v="2026-05-22T00:00:00"/>
    <n v="69"/>
    <d v="2026-05-22T00:00:00"/>
    <s v="INV5084"/>
    <n v="69"/>
    <n v="80.11"/>
    <d v="2026-05-24T00:00:00"/>
    <s v="OK"/>
    <s v="OK"/>
    <s v="OK"/>
    <s v="OK"/>
    <s v="OK"/>
    <s v="OK"/>
    <s v="OK"/>
    <s v="OK"/>
    <n v="0"/>
    <n v="0"/>
    <n v="0"/>
    <n v="0"/>
    <n v="0"/>
    <n v="0"/>
    <n v="0"/>
    <n v="0"/>
    <x v="3"/>
  </r>
  <r>
    <s v="PO1077"/>
    <x v="20"/>
    <d v="2026-01-30T00:00:00"/>
    <n v="459"/>
    <n v="194.23"/>
    <s v="Lukas Müller"/>
    <d v="2026-02-12T00:00:00"/>
    <m/>
    <m/>
    <s v="INV5081"/>
    <n v="459"/>
    <n v="204.47"/>
    <d v="2026-02-17T00:00:00"/>
    <s v="OK"/>
    <s v="No GR - Not received"/>
    <s v="OK"/>
    <s v="OK"/>
    <s v="OK"/>
    <s v="Price Variance"/>
    <s v="OK"/>
    <s v="OK"/>
    <n v="0"/>
    <n v="1"/>
    <n v="0"/>
    <n v="0"/>
    <n v="0"/>
    <n v="1"/>
    <n v="0"/>
    <n v="0"/>
    <x v="0"/>
  </r>
  <r>
    <s v="PO1080"/>
    <x v="18"/>
    <d v="2026-01-12T00:00:00"/>
    <n v="372"/>
    <n v="90.03"/>
    <s v="Clara Silva"/>
    <d v="2026-01-23T00:00:00"/>
    <n v="372"/>
    <d v="2026-02-05T00:00:00"/>
    <s v="INV5085"/>
    <n v="372"/>
    <n v="90.03"/>
    <d v="2026-01-27T00:00:00"/>
    <s v="OK"/>
    <s v="OK"/>
    <s v="OK"/>
    <s v="OK"/>
    <s v="OK"/>
    <s v="OK"/>
    <s v="Late Delivery"/>
    <s v="OK"/>
    <n v="0"/>
    <n v="0"/>
    <n v="0"/>
    <n v="0"/>
    <n v="0"/>
    <n v="0"/>
    <n v="1"/>
    <n v="0"/>
    <x v="0"/>
  </r>
  <r>
    <s v="PO1081"/>
    <x v="35"/>
    <d v="2026-04-21T00:00:00"/>
    <n v="45"/>
    <n v="190.03"/>
    <s v="Elena Petrova"/>
    <d v="2026-05-06T00:00:00"/>
    <n v="45"/>
    <d v="2026-05-07T00:00:00"/>
    <s v="INV5086"/>
    <n v="45"/>
    <n v="190.03"/>
    <d v="2026-05-12T00:00:00"/>
    <s v="OK"/>
    <s v="OK"/>
    <s v="OK"/>
    <s v="OK"/>
    <s v="OK"/>
    <s v="OK"/>
    <s v="Late Delivery"/>
    <s v="OK"/>
    <n v="0"/>
    <n v="0"/>
    <n v="0"/>
    <n v="0"/>
    <n v="0"/>
    <n v="0"/>
    <n v="1"/>
    <n v="0"/>
    <x v="1"/>
  </r>
  <r>
    <s v="PO1082"/>
    <x v="27"/>
    <d v="2026-02-01T00:00:00"/>
    <n v="378"/>
    <n v="180.51"/>
    <s v="Clara Silva"/>
    <d v="2026-02-15T00:00:00"/>
    <n v="378"/>
    <d v="2026-02-17T00:00:00"/>
    <s v="INV5087"/>
    <n v="378"/>
    <n v="180.51"/>
    <d v="2026-02-24T00:00:00"/>
    <s v="OK"/>
    <s v="OK"/>
    <s v="OK"/>
    <s v="OK"/>
    <s v="OK"/>
    <s v="OK"/>
    <s v="Late Delivery"/>
    <s v="OK"/>
    <n v="0"/>
    <n v="0"/>
    <n v="0"/>
    <n v="0"/>
    <n v="0"/>
    <n v="0"/>
    <n v="1"/>
    <n v="0"/>
    <x v="4"/>
  </r>
  <r>
    <s v="PO1083"/>
    <x v="27"/>
    <d v="2026-04-15T00:00:00"/>
    <n v="177"/>
    <n v="83.47"/>
    <s v="Nicolas Dubois"/>
    <d v="2026-04-24T00:00:00"/>
    <n v="165"/>
    <d v="2026-04-26T00:00:00"/>
    <s v="INV5088"/>
    <n v="177"/>
    <n v="83.47"/>
    <d v="2026-05-03T00:00:00"/>
    <s v="OK"/>
    <s v="OK"/>
    <s v="OK"/>
    <s v="OK"/>
    <s v="Qty Variance"/>
    <s v="OK"/>
    <s v="Late Delivery"/>
    <s v="OK"/>
    <n v="0"/>
    <n v="0"/>
    <n v="0"/>
    <n v="0"/>
    <n v="1"/>
    <n v="0"/>
    <n v="1"/>
    <n v="0"/>
    <x v="1"/>
  </r>
  <r>
    <s v="PO1084"/>
    <x v="41"/>
    <d v="2026-04-18T00:00:00"/>
    <n v="350"/>
    <n v="188.37"/>
    <s v="Felix Bauer"/>
    <d v="2026-04-28T00:00:00"/>
    <n v="350"/>
    <d v="2026-04-27T00:00:00"/>
    <s v="INV5089"/>
    <n v="350"/>
    <n v="188.37"/>
    <d v="2026-04-29T00:00:00"/>
    <s v="OK"/>
    <s v="OK"/>
    <s v="OK"/>
    <s v="OK"/>
    <s v="OK"/>
    <s v="OK"/>
    <s v="OK"/>
    <s v="OK"/>
    <n v="0"/>
    <n v="0"/>
    <n v="0"/>
    <n v="0"/>
    <n v="0"/>
    <n v="0"/>
    <n v="0"/>
    <n v="0"/>
    <x v="1"/>
  </r>
  <r>
    <s v="PO1085"/>
    <x v="36"/>
    <d v="2026-05-26T00:00:00"/>
    <n v="164"/>
    <n v="84.18"/>
    <s v="J. Kovacs"/>
    <d v="2026-06-09T00:00:00"/>
    <n v="164"/>
    <d v="2026-06-11T00:00:00"/>
    <s v="INV5090"/>
    <n v="164"/>
    <n v="84.18"/>
    <d v="2026-06-17T00:00:00"/>
    <s v="OK"/>
    <s v="OK"/>
    <s v="OK"/>
    <s v="OK"/>
    <s v="OK"/>
    <s v="OK"/>
    <s v="Late Delivery"/>
    <s v="OK"/>
    <n v="0"/>
    <n v="0"/>
    <n v="0"/>
    <n v="0"/>
    <n v="0"/>
    <n v="0"/>
    <n v="1"/>
    <n v="0"/>
    <x v="3"/>
  </r>
  <r>
    <s v="PO1086"/>
    <x v="42"/>
    <d v="2026-02-23T00:00:00"/>
    <n v="230"/>
    <n v="158.22"/>
    <s v="Thomas Lefèvre"/>
    <d v="2026-03-10T00:00:00"/>
    <n v="230"/>
    <d v="2026-03-11T00:00:00"/>
    <s v="INV5091"/>
    <n v="230"/>
    <n v="158.22"/>
    <d v="2026-03-12T00:00:00"/>
    <s v="OK"/>
    <s v="OK"/>
    <s v="OK"/>
    <s v="OK"/>
    <s v="OK"/>
    <s v="OK"/>
    <s v="Late Delivery"/>
    <s v="OK"/>
    <n v="0"/>
    <n v="0"/>
    <n v="0"/>
    <n v="0"/>
    <n v="0"/>
    <n v="0"/>
    <n v="1"/>
    <n v="0"/>
    <x v="4"/>
  </r>
  <r>
    <s v="PO1087"/>
    <x v="30"/>
    <d v="2026-04-24T00:00:00"/>
    <n v="236"/>
    <n v="136.75"/>
    <s v=""/>
    <d v="2026-05-14T00:00:00"/>
    <n v="236"/>
    <d v="2026-05-13T00:00:00"/>
    <s v="INV5092"/>
    <n v="236"/>
    <n v="136.75"/>
    <d v="2026-05-16T00:00:00"/>
    <s v="Missing Approval"/>
    <s v="OK"/>
    <s v="OK"/>
    <s v="OK"/>
    <s v="OK"/>
    <s v="OK"/>
    <s v="OK"/>
    <s v="OK"/>
    <n v="1"/>
    <n v="0"/>
    <n v="0"/>
    <n v="0"/>
    <n v="0"/>
    <n v="0"/>
    <n v="0"/>
    <n v="0"/>
    <x v="1"/>
  </r>
  <r>
    <s v="PO1088"/>
    <x v="15"/>
    <d v="2026-02-13T00:00:00"/>
    <n v="347"/>
    <n v="21.54"/>
    <s v="Clara Silva"/>
    <d v="2026-02-28T00:00:00"/>
    <n v="347"/>
    <d v="2026-03-02T00:00:00"/>
    <s v="INV5093"/>
    <n v="347"/>
    <n v="22.96"/>
    <d v="2026-03-02T00:00:00"/>
    <s v="OK"/>
    <s v="OK"/>
    <s v="OK"/>
    <s v="OK"/>
    <s v="OK"/>
    <s v="Price Variance"/>
    <s v="Late Delivery"/>
    <s v="OK"/>
    <n v="0"/>
    <n v="0"/>
    <n v="0"/>
    <n v="0"/>
    <n v="0"/>
    <n v="1"/>
    <n v="1"/>
    <n v="0"/>
    <x v="4"/>
  </r>
  <r>
    <s v="PO1089"/>
    <x v="10"/>
    <d v="2026-03-02T00:00:00"/>
    <n v="354"/>
    <n v="65.53"/>
    <s v="Sofia Rossi"/>
    <d v="2026-03-11T00:00:00"/>
    <n v="343"/>
    <d v="2026-03-10T00:00:00"/>
    <s v="INV5094"/>
    <n v="354"/>
    <n v="65.53"/>
    <d v="2026-03-14T00:00:00"/>
    <s v="OK"/>
    <s v="OK"/>
    <s v="OK"/>
    <s v="OK"/>
    <s v="Qty Variance"/>
    <s v="OK"/>
    <s v="OK"/>
    <s v="OK"/>
    <n v="0"/>
    <n v="0"/>
    <n v="0"/>
    <n v="0"/>
    <n v="1"/>
    <n v="0"/>
    <n v="0"/>
    <n v="0"/>
    <x v="2"/>
  </r>
  <r>
    <s v="PO1090"/>
    <x v="20"/>
    <d v="2026-01-12T00:00:00"/>
    <n v="135"/>
    <n v="196.87"/>
    <s v="Thomas Lefèvre"/>
    <d v="2026-01-19T00:00:00"/>
    <n v="135"/>
    <d v="2026-01-21T00:00:00"/>
    <s v="INV5095"/>
    <n v="135"/>
    <n v="196.87"/>
    <d v="2026-01-28T00:00:00"/>
    <s v="OK"/>
    <s v="OK"/>
    <s v="OK"/>
    <s v="OK"/>
    <s v="OK"/>
    <s v="OK"/>
    <s v="Late Delivery"/>
    <s v="OK"/>
    <n v="0"/>
    <n v="0"/>
    <n v="0"/>
    <n v="0"/>
    <n v="0"/>
    <n v="0"/>
    <n v="1"/>
    <n v="0"/>
    <x v="0"/>
  </r>
  <r>
    <s v="PO1091"/>
    <x v="30"/>
    <d v="2026-04-17T00:00:00"/>
    <n v="463"/>
    <n v="127.8"/>
    <s v="Sofia Rossi"/>
    <d v="2026-05-04T00:00:00"/>
    <n v="463"/>
    <d v="2026-05-04T00:00:00"/>
    <s v="INV5096"/>
    <n v="463"/>
    <n v="127.8"/>
    <d v="2026-05-07T00:00:00"/>
    <s v="OK"/>
    <s v="OK"/>
    <s v="OK"/>
    <s v="OK"/>
    <s v="OK"/>
    <s v="OK"/>
    <s v="OK"/>
    <s v="OK"/>
    <n v="0"/>
    <n v="0"/>
    <n v="0"/>
    <n v="0"/>
    <n v="0"/>
    <n v="0"/>
    <n v="0"/>
    <n v="0"/>
    <x v="1"/>
  </r>
  <r>
    <s v="PO1092"/>
    <x v="37"/>
    <d v="2026-04-13T00:00:00"/>
    <n v="134"/>
    <n v="33.78"/>
    <s v="Marta Nowak"/>
    <d v="2026-04-18T00:00:00"/>
    <n v="134"/>
    <d v="2026-04-17T00:00:00"/>
    <s v="INV5097"/>
    <n v="134"/>
    <n v="33.78"/>
    <d v="2026-04-21T00:00:00"/>
    <s v="OK"/>
    <s v="OK"/>
    <s v="OK"/>
    <s v="OK"/>
    <s v="OK"/>
    <s v="OK"/>
    <s v="OK"/>
    <s v="OK"/>
    <n v="0"/>
    <n v="0"/>
    <n v="0"/>
    <n v="0"/>
    <n v="0"/>
    <n v="0"/>
    <n v="0"/>
    <n v="0"/>
    <x v="1"/>
  </r>
  <r>
    <s v="PO1094"/>
    <x v="30"/>
    <d v="2026-01-13T00:00:00"/>
    <n v="295"/>
    <n v="53.59"/>
    <s v=""/>
    <d v="2026-02-01T00:00:00"/>
    <n v="295"/>
    <d v="2026-01-30T00:00:00"/>
    <s v="INV5099"/>
    <n v="295"/>
    <n v="62.98"/>
    <d v="2026-02-09T00:00:00"/>
    <s v="Missing Approval"/>
    <s v="OK"/>
    <s v="OK"/>
    <s v="OK"/>
    <s v="OK"/>
    <s v="Price Variance"/>
    <s v="OK"/>
    <s v="OK"/>
    <n v="1"/>
    <n v="0"/>
    <n v="0"/>
    <n v="0"/>
    <n v="0"/>
    <n v="1"/>
    <n v="0"/>
    <n v="0"/>
    <x v="0"/>
  </r>
  <r>
    <s v="PO1095"/>
    <x v="1"/>
    <d v="2026-04-29T00:00:00"/>
    <n v="351"/>
    <n v="108.57"/>
    <s v=""/>
    <d v="2026-05-14T00:00:00"/>
    <n v="351"/>
    <d v="2026-05-15T00:00:00"/>
    <s v="INV5100"/>
    <n v="351"/>
    <n v="108.57"/>
    <d v="2026-05-16T00:00:00"/>
    <s v="Missing Approval"/>
    <s v="OK"/>
    <s v="OK"/>
    <s v="OK"/>
    <s v="OK"/>
    <s v="OK"/>
    <s v="Late Delivery"/>
    <s v="OK"/>
    <n v="1"/>
    <n v="0"/>
    <n v="0"/>
    <n v="0"/>
    <n v="0"/>
    <n v="0"/>
    <n v="1"/>
    <n v="0"/>
    <x v="1"/>
  </r>
  <r>
    <s v="PO1097"/>
    <x v="11"/>
    <d v="2026-05-02T00:00:00"/>
    <n v="240"/>
    <n v="55.54"/>
    <s v="Mateo García"/>
    <d v="2026-05-15T00:00:00"/>
    <n v="240"/>
    <d v="2026-05-24T00:00:00"/>
    <s v="INV5102"/>
    <n v="240"/>
    <n v="55.54"/>
    <d v="2026-05-18T00:00:00"/>
    <s v="OK"/>
    <s v="OK"/>
    <s v="OK"/>
    <s v="OK"/>
    <s v="OK"/>
    <s v="OK"/>
    <s v="Late Delivery"/>
    <s v="OK"/>
    <n v="0"/>
    <n v="0"/>
    <n v="0"/>
    <n v="0"/>
    <n v="0"/>
    <n v="0"/>
    <n v="1"/>
    <n v="0"/>
    <x v="3"/>
  </r>
  <r>
    <s v="PO1093"/>
    <x v="6"/>
    <d v="2026-04-19T00:00:00"/>
    <n v="122"/>
    <n v="39.299999999999997"/>
    <s v="Marta Nowak"/>
    <d v="2026-05-10T00:00:00"/>
    <m/>
    <m/>
    <s v="INV5098"/>
    <n v="122"/>
    <n v="39.299999999999997"/>
    <d v="2026-05-17T00:00:00"/>
    <s v="OK"/>
    <s v="No GR - Not received"/>
    <s v="OK"/>
    <s v="OK"/>
    <s v="OK"/>
    <s v="OK"/>
    <s v="OK"/>
    <s v="OK"/>
    <n v="0"/>
    <n v="1"/>
    <n v="0"/>
    <n v="0"/>
    <n v="0"/>
    <n v="0"/>
    <n v="0"/>
    <n v="0"/>
    <x v="1"/>
  </r>
  <r>
    <s v="PO1098"/>
    <x v="31"/>
    <d v="2026-05-05T00:00:00"/>
    <n v="330"/>
    <n v="51.65"/>
    <s v="Ingrid Hansen"/>
    <d v="2026-05-12T00:00:00"/>
    <n v="330"/>
    <d v="2026-05-13T00:00:00"/>
    <s v="INV5103"/>
    <n v="330"/>
    <n v="51.65"/>
    <d v="2026-05-16T00:00:00"/>
    <s v="OK"/>
    <s v="OK"/>
    <s v="OK"/>
    <s v="OK"/>
    <s v="OK"/>
    <s v="OK"/>
    <s v="Late Delivery"/>
    <s v="OK"/>
    <n v="0"/>
    <n v="0"/>
    <n v="0"/>
    <n v="0"/>
    <n v="0"/>
    <n v="0"/>
    <n v="1"/>
    <n v="0"/>
    <x v="3"/>
  </r>
  <r>
    <s v="PO1099"/>
    <x v="9"/>
    <d v="2026-03-15T00:00:00"/>
    <n v="130"/>
    <n v="57.98"/>
    <s v="Elena Petrova"/>
    <d v="2026-03-22T00:00:00"/>
    <n v="130"/>
    <d v="2026-04-01T00:00:00"/>
    <s v="INV5104"/>
    <n v="130"/>
    <n v="57.98"/>
    <d v="2026-03-29T00:00:00"/>
    <s v="OK"/>
    <s v="OK"/>
    <s v="OK"/>
    <s v="OK"/>
    <s v="OK"/>
    <s v="OK"/>
    <s v="Late Delivery"/>
    <s v="OK"/>
    <n v="0"/>
    <n v="0"/>
    <n v="0"/>
    <n v="0"/>
    <n v="0"/>
    <n v="0"/>
    <n v="1"/>
    <n v="0"/>
    <x v="2"/>
  </r>
  <r>
    <s v="PO1101"/>
    <x v="32"/>
    <d v="2026-04-17T00:00:00"/>
    <n v="218"/>
    <n v="69.52"/>
    <s v="Ingrid Hansen"/>
    <d v="2026-05-05T00:00:00"/>
    <n v="218"/>
    <d v="2026-05-05T00:00:00"/>
    <s v="INV5106"/>
    <n v="218"/>
    <n v="69.52"/>
    <d v="2026-05-06T00:00:00"/>
    <s v="OK"/>
    <s v="OK"/>
    <s v="OK"/>
    <s v="OK"/>
    <s v="OK"/>
    <s v="OK"/>
    <s v="OK"/>
    <s v="OK"/>
    <n v="0"/>
    <n v="0"/>
    <n v="0"/>
    <n v="0"/>
    <n v="0"/>
    <n v="0"/>
    <n v="0"/>
    <n v="0"/>
    <x v="1"/>
  </r>
  <r>
    <s v="PO1096"/>
    <x v="23"/>
    <d v="2026-05-10T00:00:00"/>
    <n v="228"/>
    <n v="166.96"/>
    <s v="Pavel Horák"/>
    <d v="2026-05-29T00:00:00"/>
    <m/>
    <m/>
    <s v="INV5101"/>
    <n v="228"/>
    <n v="166.96"/>
    <d v="2026-06-05T00:00:00"/>
    <s v="OK"/>
    <s v="No GR - Not received"/>
    <s v="OK"/>
    <s v="OK"/>
    <s v="OK"/>
    <s v="OK"/>
    <s v="OK"/>
    <s v="OK"/>
    <n v="0"/>
    <n v="1"/>
    <n v="0"/>
    <n v="0"/>
    <n v="0"/>
    <n v="0"/>
    <n v="0"/>
    <n v="0"/>
    <x v="3"/>
  </r>
  <r>
    <s v="PO1102"/>
    <x v="21"/>
    <d v="2026-02-22T00:00:00"/>
    <n v="436"/>
    <n v="86.93"/>
    <s v="Eva Andersson"/>
    <d v="2026-02-27T00:00:00"/>
    <n v="436"/>
    <d v="2026-02-27T00:00:00"/>
    <s v="INV5107"/>
    <n v="436"/>
    <n v="86.93"/>
    <d v="2026-03-08T00:00:00"/>
    <s v="OK"/>
    <s v="OK"/>
    <s v="OK"/>
    <s v="OK"/>
    <s v="OK"/>
    <s v="OK"/>
    <s v="OK"/>
    <s v="OK"/>
    <n v="0"/>
    <n v="0"/>
    <n v="0"/>
    <n v="0"/>
    <n v="0"/>
    <n v="0"/>
    <n v="0"/>
    <n v="0"/>
    <x v="4"/>
  </r>
  <r>
    <s v="PO1103"/>
    <x v="33"/>
    <d v="2026-04-08T00:00:00"/>
    <n v="254"/>
    <n v="6.15"/>
    <s v="Jakub Novák"/>
    <d v="2026-04-22T00:00:00"/>
    <n v="254"/>
    <d v="2026-04-24T00:00:00"/>
    <s v="INV5108"/>
    <n v="254"/>
    <n v="6.75"/>
    <d v="2026-04-25T00:00:00"/>
    <s v="OK"/>
    <s v="OK"/>
    <s v="OK"/>
    <s v="OK"/>
    <s v="OK"/>
    <s v="Price Variance"/>
    <s v="Late Delivery"/>
    <s v="OK"/>
    <n v="0"/>
    <n v="0"/>
    <n v="0"/>
    <n v="0"/>
    <n v="0"/>
    <n v="1"/>
    <n v="1"/>
    <n v="0"/>
    <x v="1"/>
  </r>
  <r>
    <s v="PO1104"/>
    <x v="39"/>
    <d v="2026-04-18T00:00:00"/>
    <n v="285"/>
    <n v="150.77000000000001"/>
    <s v=""/>
    <d v="2026-04-30T00:00:00"/>
    <n v="285"/>
    <d v="2026-05-02T00:00:00"/>
    <s v="INV5109"/>
    <n v="285"/>
    <n v="150.77000000000001"/>
    <d v="2026-05-01T00:00:00"/>
    <s v="Missing Approval"/>
    <s v="OK"/>
    <s v="OK"/>
    <s v="OK"/>
    <s v="OK"/>
    <s v="OK"/>
    <s v="Late Delivery"/>
    <s v="OK"/>
    <n v="1"/>
    <n v="0"/>
    <n v="0"/>
    <n v="0"/>
    <n v="0"/>
    <n v="0"/>
    <n v="1"/>
    <n v="0"/>
    <x v="1"/>
  </r>
  <r>
    <s v="PO1105"/>
    <x v="37"/>
    <d v="2026-02-26T00:00:00"/>
    <n v="149"/>
    <n v="89.99"/>
    <s v="J. Kovacs"/>
    <d v="2026-03-15T00:00:00"/>
    <n v="149"/>
    <d v="2026-03-15T00:00:00"/>
    <s v="INV5110"/>
    <n v="149"/>
    <n v="89.99"/>
    <d v="2026-03-25T00:00:00"/>
    <s v="OK"/>
    <s v="OK"/>
    <s v="OK"/>
    <s v="OK"/>
    <s v="OK"/>
    <s v="OK"/>
    <s v="OK"/>
    <s v="OK"/>
    <n v="0"/>
    <n v="0"/>
    <n v="0"/>
    <n v="0"/>
    <n v="0"/>
    <n v="0"/>
    <n v="0"/>
    <n v="0"/>
    <x v="4"/>
  </r>
  <r>
    <s v="PO1100"/>
    <x v="1"/>
    <d v="2026-02-08T00:00:00"/>
    <n v="128"/>
    <n v="79.69"/>
    <s v="Winter Underwood"/>
    <d v="2026-02-19T00:00:00"/>
    <m/>
    <m/>
    <s v="INV5105"/>
    <n v="128"/>
    <n v="79.69"/>
    <d v="2026-02-28T00:00:00"/>
    <s v="OK"/>
    <s v="No GR - Not received"/>
    <s v="OK"/>
    <s v="OK"/>
    <s v="OK"/>
    <s v="OK"/>
    <s v="OK"/>
    <s v="OK"/>
    <n v="0"/>
    <n v="1"/>
    <n v="0"/>
    <n v="0"/>
    <n v="0"/>
    <n v="0"/>
    <n v="0"/>
    <n v="0"/>
    <x v="4"/>
  </r>
  <r>
    <s v="PO1106"/>
    <x v="24"/>
    <d v="2026-04-14T00:00:00"/>
    <n v="380"/>
    <n v="37.18"/>
    <s v="Ingrid Hansen"/>
    <d v="2026-04-23T00:00:00"/>
    <n v="380"/>
    <d v="2026-04-23T00:00:00"/>
    <s v="INV5111"/>
    <n v="380"/>
    <n v="37.18"/>
    <d v="2026-05-02T00:00:00"/>
    <s v="OK"/>
    <s v="OK"/>
    <s v="OK"/>
    <s v="OK"/>
    <s v="OK"/>
    <s v="OK"/>
    <s v="OK"/>
    <s v="OK"/>
    <n v="0"/>
    <n v="0"/>
    <n v="0"/>
    <n v="0"/>
    <n v="0"/>
    <n v="0"/>
    <n v="0"/>
    <n v="0"/>
    <x v="1"/>
  </r>
  <r>
    <s v="PO1107"/>
    <x v="36"/>
    <d v="2026-05-17T00:00:00"/>
    <n v="23"/>
    <n v="181.85"/>
    <s v="Emma Johansson"/>
    <d v="2026-05-22T00:00:00"/>
    <n v="23"/>
    <d v="2026-05-20T00:00:00"/>
    <s v="INV5112"/>
    <n v="23"/>
    <n v="181.85"/>
    <d v="2026-05-31T00:00:00"/>
    <s v="OK"/>
    <s v="OK"/>
    <s v="OK"/>
    <s v="OK"/>
    <s v="OK"/>
    <s v="OK"/>
    <s v="OK"/>
    <s v="OK"/>
    <n v="0"/>
    <n v="0"/>
    <n v="0"/>
    <n v="0"/>
    <n v="0"/>
    <n v="0"/>
    <n v="0"/>
    <n v="0"/>
    <x v="3"/>
  </r>
  <r>
    <s v="PO1108"/>
    <x v="10"/>
    <d v="2026-04-20T00:00:00"/>
    <n v="79"/>
    <n v="174.04"/>
    <s v="Lukas Müller"/>
    <d v="2026-04-26T00:00:00"/>
    <n v="79"/>
    <d v="2026-04-26T00:00:00"/>
    <s v="INV5113"/>
    <n v="79"/>
    <n v="174.04"/>
    <d v="2026-05-02T00:00:00"/>
    <s v="OK"/>
    <s v="OK"/>
    <s v="OK"/>
    <s v="OK"/>
    <s v="OK"/>
    <s v="OK"/>
    <s v="OK"/>
    <s v="OK"/>
    <n v="0"/>
    <n v="0"/>
    <n v="0"/>
    <n v="0"/>
    <n v="0"/>
    <n v="0"/>
    <n v="0"/>
    <n v="0"/>
    <x v="1"/>
  </r>
  <r>
    <s v="PO1110"/>
    <x v="39"/>
    <d v="2026-03-13T00:00:00"/>
    <n v="395"/>
    <n v="190.48"/>
    <s v="Marco Bianchi"/>
    <d v="2026-03-26T00:00:00"/>
    <n v="395"/>
    <d v="2026-03-27T00:00:00"/>
    <s v="INV5115"/>
    <n v="395"/>
    <n v="190.48"/>
    <d v="2026-04-02T00:00:00"/>
    <s v="OK"/>
    <s v="OK"/>
    <s v="OK"/>
    <s v="OK"/>
    <s v="OK"/>
    <s v="OK"/>
    <s v="Late Delivery"/>
    <s v="OK"/>
    <n v="0"/>
    <n v="0"/>
    <n v="0"/>
    <n v="0"/>
    <n v="0"/>
    <n v="0"/>
    <n v="1"/>
    <n v="0"/>
    <x v="2"/>
  </r>
  <r>
    <s v="PO1111"/>
    <x v="10"/>
    <d v="2026-05-01T00:00:00"/>
    <n v="19"/>
    <n v="151.06"/>
    <s v="A. Nagy"/>
    <d v="2026-05-17T00:00:00"/>
    <n v="19"/>
    <d v="2026-05-19T00:00:00"/>
    <s v="INV5116"/>
    <n v="19"/>
    <n v="151.06"/>
    <d v="2026-05-26T00:00:00"/>
    <s v="OK"/>
    <s v="OK"/>
    <s v="OK"/>
    <s v="OK"/>
    <s v="OK"/>
    <s v="OK"/>
    <s v="Late Delivery"/>
    <s v="OK"/>
    <n v="0"/>
    <n v="0"/>
    <n v="0"/>
    <n v="0"/>
    <n v="0"/>
    <n v="0"/>
    <n v="1"/>
    <n v="0"/>
    <x v="3"/>
  </r>
  <r>
    <s v="PO1113"/>
    <x v="26"/>
    <d v="2026-02-21T00:00:00"/>
    <n v="439"/>
    <n v="8.9700000000000006"/>
    <s v="Winter Underwood"/>
    <d v="2026-03-05T00:00:00"/>
    <n v="439"/>
    <d v="2026-03-07T00:00:00"/>
    <s v="INV5118"/>
    <n v="439"/>
    <n v="8.9700000000000006"/>
    <d v="2026-03-12T00:00:00"/>
    <s v="OK"/>
    <s v="OK"/>
    <s v="OK"/>
    <s v="OK"/>
    <s v="OK"/>
    <s v="OK"/>
    <s v="Late Delivery"/>
    <s v="OK"/>
    <n v="0"/>
    <n v="0"/>
    <n v="0"/>
    <n v="0"/>
    <n v="0"/>
    <n v="0"/>
    <n v="1"/>
    <n v="0"/>
    <x v="4"/>
  </r>
  <r>
    <s v="PO1114"/>
    <x v="1"/>
    <d v="2026-05-02T00:00:00"/>
    <n v="352"/>
    <n v="27.31"/>
    <s v="Sofia Rossi"/>
    <d v="2026-05-21T00:00:00"/>
    <n v="352"/>
    <d v="2026-05-22T00:00:00"/>
    <s v="INV5119"/>
    <n v="352"/>
    <n v="27.31"/>
    <d v="2026-05-23T00:00:00"/>
    <s v="OK"/>
    <s v="OK"/>
    <s v="OK"/>
    <s v="OK"/>
    <s v="OK"/>
    <s v="OK"/>
    <s v="Late Delivery"/>
    <s v="Duplicate Invoice"/>
    <n v="0"/>
    <n v="0"/>
    <n v="0"/>
    <n v="0"/>
    <n v="0"/>
    <n v="0"/>
    <n v="1"/>
    <n v="1"/>
    <x v="3"/>
  </r>
  <r>
    <s v="PO1114"/>
    <x v="1"/>
    <d v="2026-05-02T00:00:00"/>
    <n v="352"/>
    <n v="27.31"/>
    <s v="Sofia Rossi"/>
    <d v="2026-05-21T00:00:00"/>
    <n v="352"/>
    <d v="2026-05-22T00:00:00"/>
    <s v="INV5120"/>
    <n v="352"/>
    <n v="27.31"/>
    <d v="2026-05-26T00:00:00"/>
    <s v="OK"/>
    <s v="OK"/>
    <s v="OK"/>
    <s v="OK"/>
    <s v="OK"/>
    <s v="OK"/>
    <s v="Late Delivery"/>
    <s v="Duplicate Invoice"/>
    <n v="0"/>
    <n v="0"/>
    <n v="0"/>
    <n v="0"/>
    <n v="0"/>
    <n v="0"/>
    <n v="1"/>
    <n v="1"/>
    <x v="3"/>
  </r>
  <r>
    <s v="PO1115"/>
    <x v="5"/>
    <d v="2026-03-07T00:00:00"/>
    <n v="402"/>
    <n v="76.930000000000007"/>
    <s v="Thomas Lefèvre"/>
    <d v="2026-03-15T00:00:00"/>
    <n v="385"/>
    <d v="2026-03-17T00:00:00"/>
    <s v="INV5121"/>
    <n v="402"/>
    <n v="76.930000000000007"/>
    <d v="2026-03-18T00:00:00"/>
    <s v="OK"/>
    <s v="OK"/>
    <s v="OK"/>
    <s v="OK"/>
    <s v="Qty Variance"/>
    <s v="OK"/>
    <s v="Late Delivery"/>
    <s v="OK"/>
    <n v="0"/>
    <n v="0"/>
    <n v="0"/>
    <n v="0"/>
    <n v="1"/>
    <n v="0"/>
    <n v="1"/>
    <n v="0"/>
    <x v="2"/>
  </r>
  <r>
    <s v="PO1109"/>
    <x v="18"/>
    <d v="2026-04-08T00:00:00"/>
    <n v="177"/>
    <n v="46.27"/>
    <s v="Elena Petrova"/>
    <d v="2026-04-23T00:00:00"/>
    <m/>
    <m/>
    <s v="INV5114"/>
    <n v="177"/>
    <n v="50.53"/>
    <d v="2026-05-02T00:00:00"/>
    <s v="OK"/>
    <s v="No GR - Not received"/>
    <s v="OK"/>
    <s v="OK"/>
    <s v="OK"/>
    <s v="Price Variance"/>
    <s v="OK"/>
    <s v="OK"/>
    <n v="0"/>
    <n v="1"/>
    <n v="0"/>
    <n v="0"/>
    <n v="0"/>
    <n v="1"/>
    <n v="0"/>
    <n v="0"/>
    <x v="1"/>
  </r>
  <r>
    <s v="PO1116"/>
    <x v="11"/>
    <d v="2026-03-21T00:00:00"/>
    <n v="65"/>
    <n v="117.84"/>
    <s v="Nicolas Dubois"/>
    <d v="2026-04-07T00:00:00"/>
    <n v="65"/>
    <d v="2026-04-09T00:00:00"/>
    <s v="INV5122"/>
    <n v="65"/>
    <n v="117.84"/>
    <d v="2026-04-11T00:00:00"/>
    <s v="OK"/>
    <s v="OK"/>
    <s v="OK"/>
    <s v="OK"/>
    <s v="OK"/>
    <s v="OK"/>
    <s v="Late Delivery"/>
    <s v="OK"/>
    <n v="0"/>
    <n v="0"/>
    <n v="0"/>
    <n v="0"/>
    <n v="0"/>
    <n v="0"/>
    <n v="1"/>
    <n v="0"/>
    <x v="2"/>
  </r>
  <r>
    <s v="PO1117"/>
    <x v="29"/>
    <d v="2026-02-20T00:00:00"/>
    <n v="48"/>
    <n v="120.46"/>
    <s v="Katarina Jovanović"/>
    <d v="2026-03-04T00:00:00"/>
    <n v="48"/>
    <d v="2026-03-12T00:00:00"/>
    <s v="INV5123"/>
    <n v="48"/>
    <n v="120.46"/>
    <d v="2026-03-13T00:00:00"/>
    <s v="OK"/>
    <s v="OK"/>
    <s v="OK"/>
    <s v="OK"/>
    <s v="OK"/>
    <s v="OK"/>
    <s v="Late Delivery"/>
    <s v="OK"/>
    <n v="0"/>
    <n v="0"/>
    <n v="0"/>
    <n v="0"/>
    <n v="0"/>
    <n v="0"/>
    <n v="1"/>
    <n v="0"/>
    <x v="4"/>
  </r>
  <r>
    <s v="PO1112"/>
    <x v="4"/>
    <d v="2026-01-18T00:00:00"/>
    <n v="409"/>
    <n v="191.67"/>
    <s v="A. Nagy"/>
    <d v="2026-01-23T00:00:00"/>
    <m/>
    <m/>
    <s v="INV5117"/>
    <n v="409"/>
    <n v="191.67"/>
    <d v="2026-01-31T00:00:00"/>
    <s v="OK"/>
    <s v="No GR - Not received"/>
    <s v="OK"/>
    <s v="OK"/>
    <s v="OK"/>
    <s v="OK"/>
    <s v="OK"/>
    <s v="OK"/>
    <n v="0"/>
    <n v="1"/>
    <n v="0"/>
    <n v="0"/>
    <n v="0"/>
    <n v="0"/>
    <n v="0"/>
    <n v="0"/>
    <x v="0"/>
  </r>
  <r>
    <s v="PO1118"/>
    <x v="6"/>
    <d v="2026-03-19T00:00:00"/>
    <n v="445"/>
    <n v="138.43"/>
    <s v=""/>
    <d v="2026-03-25T00:00:00"/>
    <n v="445"/>
    <d v="2026-03-25T00:00:00"/>
    <s v="INV5124"/>
    <n v="445"/>
    <n v="138.43"/>
    <d v="2026-03-26T00:00:00"/>
    <s v="Missing Approval"/>
    <s v="OK"/>
    <s v="OK"/>
    <s v="OK"/>
    <s v="OK"/>
    <s v="OK"/>
    <s v="OK"/>
    <s v="Duplicate Invoice"/>
    <n v="1"/>
    <n v="0"/>
    <n v="0"/>
    <n v="0"/>
    <n v="0"/>
    <n v="0"/>
    <n v="0"/>
    <n v="1"/>
    <x v="2"/>
  </r>
  <r>
    <s v="PO1118"/>
    <x v="6"/>
    <d v="2026-03-19T00:00:00"/>
    <n v="445"/>
    <n v="138.43"/>
    <s v=""/>
    <d v="2026-03-25T00:00:00"/>
    <n v="445"/>
    <d v="2026-03-25T00:00:00"/>
    <s v="INV5125"/>
    <n v="445"/>
    <n v="138.43"/>
    <d v="2026-03-31T00:00:00"/>
    <s v="Missing Approval"/>
    <s v="OK"/>
    <s v="OK"/>
    <s v="OK"/>
    <s v="OK"/>
    <s v="OK"/>
    <s v="OK"/>
    <s v="Duplicate Invoice"/>
    <n v="1"/>
    <n v="0"/>
    <n v="0"/>
    <n v="0"/>
    <n v="0"/>
    <n v="0"/>
    <n v="0"/>
    <n v="1"/>
    <x v="2"/>
  </r>
  <r>
    <s v="PO1119"/>
    <x v="40"/>
    <d v="2026-05-17T00:00:00"/>
    <n v="229"/>
    <n v="134"/>
    <s v="Camila Cantrell"/>
    <d v="2026-06-07T00:00:00"/>
    <n v="229"/>
    <d v="2026-06-12T00:00:00"/>
    <s v="INV5126"/>
    <n v="229"/>
    <n v="134"/>
    <d v="2026-06-11T00:00:00"/>
    <s v="OK"/>
    <s v="OK"/>
    <s v="OK"/>
    <s v="OK"/>
    <s v="OK"/>
    <s v="OK"/>
    <s v="Late Delivery"/>
    <s v="OK"/>
    <n v="0"/>
    <n v="0"/>
    <n v="0"/>
    <n v="0"/>
    <n v="0"/>
    <n v="0"/>
    <n v="1"/>
    <n v="0"/>
    <x v="3"/>
  </r>
  <r>
    <s v="PO1120"/>
    <x v="43"/>
    <d v="2026-03-29T00:00:00"/>
    <n v="16"/>
    <n v="170.67"/>
    <s v="Andreas Weber"/>
    <d v="2026-04-06T00:00:00"/>
    <n v="16"/>
    <d v="2026-04-25T00:00:00"/>
    <s v="INV5127"/>
    <n v="16"/>
    <n v="170.67"/>
    <d v="2026-04-13T00:00:00"/>
    <s v="OK"/>
    <s v="OK"/>
    <s v="OK"/>
    <s v="OK"/>
    <s v="OK"/>
    <s v="OK"/>
    <s v="Late Delivery"/>
    <s v="OK"/>
    <n v="0"/>
    <n v="0"/>
    <n v="0"/>
    <n v="0"/>
    <n v="0"/>
    <n v="0"/>
    <n v="1"/>
    <n v="0"/>
    <x v="2"/>
  </r>
  <r>
    <s v="PO1121"/>
    <x v="38"/>
    <d v="2026-04-03T00:00:00"/>
    <n v="335"/>
    <n v="178.86"/>
    <s v="Ingrid Hansen"/>
    <d v="2026-04-12T00:00:00"/>
    <n v="335"/>
    <d v="2026-04-23T00:00:00"/>
    <s v="INV5128"/>
    <n v="335"/>
    <n v="178.86"/>
    <d v="2026-04-13T00:00:00"/>
    <s v="OK"/>
    <s v="OK"/>
    <s v="OK"/>
    <s v="OK"/>
    <s v="OK"/>
    <s v="OK"/>
    <s v="Late Delivery"/>
    <s v="OK"/>
    <n v="0"/>
    <n v="0"/>
    <n v="0"/>
    <n v="0"/>
    <n v="0"/>
    <n v="0"/>
    <n v="1"/>
    <n v="0"/>
    <x v="1"/>
  </r>
  <r>
    <s v="PO1122"/>
    <x v="38"/>
    <d v="2026-02-15T00:00:00"/>
    <n v="385"/>
    <n v="106.74"/>
    <s v=""/>
    <d v="2026-02-28T00:00:00"/>
    <n v="385"/>
    <d v="2026-03-01T00:00:00"/>
    <s v="INV5129"/>
    <n v="385"/>
    <n v="106.74"/>
    <d v="2026-03-09T00:00:00"/>
    <s v="Missing Approval"/>
    <s v="OK"/>
    <s v="OK"/>
    <s v="OK"/>
    <s v="OK"/>
    <s v="OK"/>
    <s v="Late Delivery"/>
    <s v="OK"/>
    <n v="1"/>
    <n v="0"/>
    <n v="0"/>
    <n v="0"/>
    <n v="0"/>
    <n v="0"/>
    <n v="1"/>
    <n v="0"/>
    <x v="4"/>
  </r>
  <r>
    <s v="PO1123"/>
    <x v="36"/>
    <d v="2026-05-18T00:00:00"/>
    <n v="406"/>
    <n v="99.28"/>
    <s v="Marco Bianchi"/>
    <d v="2026-05-31T00:00:00"/>
    <n v="406"/>
    <d v="2026-06-09T00:00:00"/>
    <s v="INV5130"/>
    <n v="406"/>
    <n v="113.94"/>
    <d v="2026-06-02T00:00:00"/>
    <s v="OK"/>
    <s v="OK"/>
    <s v="OK"/>
    <s v="OK"/>
    <s v="OK"/>
    <s v="Price Variance"/>
    <s v="Late Delivery"/>
    <s v="OK"/>
    <n v="0"/>
    <n v="0"/>
    <n v="0"/>
    <n v="0"/>
    <n v="0"/>
    <n v="1"/>
    <n v="1"/>
    <n v="0"/>
    <x v="3"/>
  </r>
  <r>
    <s v="PO1125"/>
    <x v="26"/>
    <d v="2026-04-29T00:00:00"/>
    <n v="301"/>
    <n v="124.01"/>
    <s v="Laura Schmidt"/>
    <d v="2026-05-14T00:00:00"/>
    <n v="307"/>
    <d v="2026-05-13T00:00:00"/>
    <s v="INV5132"/>
    <n v="301"/>
    <n v="124.01"/>
    <d v="2026-05-24T00:00:00"/>
    <s v="OK"/>
    <s v="OK"/>
    <s v="OK"/>
    <s v="OK"/>
    <s v="Qty Variance"/>
    <s v="OK"/>
    <s v="OK"/>
    <s v="OK"/>
    <n v="0"/>
    <n v="0"/>
    <n v="0"/>
    <n v="0"/>
    <n v="1"/>
    <n v="0"/>
    <n v="0"/>
    <n v="0"/>
    <x v="1"/>
  </r>
  <r>
    <s v="PO1126"/>
    <x v="20"/>
    <d v="2026-05-07T00:00:00"/>
    <n v="445"/>
    <n v="68.38"/>
    <s v="Andreas Weber"/>
    <d v="2026-05-18T00:00:00"/>
    <n v="445"/>
    <d v="2026-05-30T00:00:00"/>
    <s v="INV5133"/>
    <n v="445"/>
    <n v="68.38"/>
    <d v="2026-05-27T00:00:00"/>
    <s v="OK"/>
    <s v="OK"/>
    <s v="OK"/>
    <s v="OK"/>
    <s v="OK"/>
    <s v="OK"/>
    <s v="Late Delivery"/>
    <s v="OK"/>
    <n v="0"/>
    <n v="0"/>
    <n v="0"/>
    <n v="0"/>
    <n v="0"/>
    <n v="0"/>
    <n v="1"/>
    <n v="0"/>
    <x v="3"/>
  </r>
  <r>
    <s v="PO1127"/>
    <x v="40"/>
    <d v="2026-03-08T00:00:00"/>
    <n v="184"/>
    <n v="59.53"/>
    <s v="Thomas Lefèvre"/>
    <d v="2026-03-21T00:00:00"/>
    <n v="184"/>
    <d v="2026-03-20T00:00:00"/>
    <s v="INV5134"/>
    <n v="184"/>
    <n v="59.53"/>
    <d v="2026-03-26T00:00:00"/>
    <s v="OK"/>
    <s v="OK"/>
    <s v="OK"/>
    <s v="OK"/>
    <s v="OK"/>
    <s v="OK"/>
    <s v="OK"/>
    <s v="OK"/>
    <n v="0"/>
    <n v="0"/>
    <n v="0"/>
    <n v="0"/>
    <n v="0"/>
    <n v="0"/>
    <n v="0"/>
    <n v="0"/>
    <x v="2"/>
  </r>
  <r>
    <s v="PO1129"/>
    <x v="22"/>
    <d v="2026-04-15T00:00:00"/>
    <n v="260"/>
    <n v="113.26"/>
    <s v="Mateo García"/>
    <d v="2026-05-05T00:00:00"/>
    <n v="260"/>
    <d v="2026-05-07T00:00:00"/>
    <s v="INV5136"/>
    <n v="260"/>
    <n v="113.26"/>
    <d v="2026-05-14T00:00:00"/>
    <s v="OK"/>
    <s v="OK"/>
    <s v="OK"/>
    <s v="OK"/>
    <s v="OK"/>
    <s v="OK"/>
    <s v="Late Delivery"/>
    <s v="OK"/>
    <n v="0"/>
    <n v="0"/>
    <n v="0"/>
    <n v="0"/>
    <n v="0"/>
    <n v="0"/>
    <n v="1"/>
    <n v="0"/>
    <x v="1"/>
  </r>
  <r>
    <s v="PO1130"/>
    <x v="43"/>
    <d v="2026-05-06T00:00:00"/>
    <n v="239"/>
    <n v="159.62"/>
    <s v="Camila Cantrell"/>
    <d v="2026-05-20T00:00:00"/>
    <n v="239"/>
    <d v="2026-05-20T00:00:00"/>
    <s v="INV5137"/>
    <n v="239"/>
    <n v="159.62"/>
    <d v="2026-05-29T00:00:00"/>
    <s v="OK"/>
    <s v="OK"/>
    <s v="OK"/>
    <s v="OK"/>
    <s v="OK"/>
    <s v="OK"/>
    <s v="OK"/>
    <s v="OK"/>
    <n v="0"/>
    <n v="0"/>
    <n v="0"/>
    <n v="0"/>
    <n v="0"/>
    <n v="0"/>
    <n v="0"/>
    <n v="0"/>
    <x v="3"/>
  </r>
  <r>
    <s v="PO1131"/>
    <x v="4"/>
    <d v="2026-04-14T00:00:00"/>
    <n v="364"/>
    <n v="52.44"/>
    <s v="Felix Bauer"/>
    <d v="2026-04-30T00:00:00"/>
    <n v="364"/>
    <d v="2026-05-02T00:00:00"/>
    <s v="INV5138"/>
    <n v="364"/>
    <n v="52.44"/>
    <d v="2026-05-06T00:00:00"/>
    <s v="OK"/>
    <s v="OK"/>
    <s v="OK"/>
    <s v="OK"/>
    <s v="OK"/>
    <s v="OK"/>
    <s v="Late Delivery"/>
    <s v="OK"/>
    <n v="0"/>
    <n v="0"/>
    <n v="0"/>
    <n v="0"/>
    <n v="0"/>
    <n v="0"/>
    <n v="1"/>
    <n v="0"/>
    <x v="1"/>
  </r>
  <r>
    <s v="PO1132"/>
    <x v="44"/>
    <d v="2026-05-22T00:00:00"/>
    <n v="281"/>
    <n v="72.03"/>
    <s v=""/>
    <d v="2026-06-06T00:00:00"/>
    <n v="281"/>
    <d v="2026-06-05T00:00:00"/>
    <s v="INV5139"/>
    <n v="281"/>
    <n v="72.03"/>
    <d v="2026-06-13T00:00:00"/>
    <s v="Missing Approval"/>
    <s v="OK"/>
    <s v="OK"/>
    <s v="OK"/>
    <s v="OK"/>
    <s v="OK"/>
    <s v="OK"/>
    <s v="OK"/>
    <n v="1"/>
    <n v="0"/>
    <n v="0"/>
    <n v="0"/>
    <n v="0"/>
    <n v="0"/>
    <n v="0"/>
    <n v="0"/>
    <x v="3"/>
  </r>
  <r>
    <s v="PO1124"/>
    <x v="45"/>
    <d v="2026-03-04T00:00:00"/>
    <n v="435"/>
    <n v="187.25"/>
    <s v="Anna Kowalska"/>
    <d v="2026-03-23T00:00:00"/>
    <m/>
    <m/>
    <s v="INV5131"/>
    <n v="435"/>
    <n v="187.25"/>
    <d v="2026-03-24T00:00:00"/>
    <s v="OK"/>
    <s v="No GR - Not received"/>
    <s v="OK"/>
    <s v="OK"/>
    <s v="OK"/>
    <s v="OK"/>
    <s v="OK"/>
    <s v="OK"/>
    <n v="0"/>
    <n v="1"/>
    <n v="0"/>
    <n v="0"/>
    <n v="0"/>
    <n v="0"/>
    <n v="0"/>
    <n v="0"/>
    <x v="2"/>
  </r>
  <r>
    <s v="PO1134"/>
    <x v="22"/>
    <d v="2026-02-19T00:00:00"/>
    <n v="171"/>
    <n v="28.31"/>
    <s v="Pavel Horák"/>
    <d v="2026-03-01T00:00:00"/>
    <n v="171"/>
    <d v="2026-02-28T00:00:00"/>
    <s v="INV5141"/>
    <n v="171"/>
    <n v="28.31"/>
    <d v="2026-03-07T00:00:00"/>
    <s v="OK"/>
    <s v="OK"/>
    <s v="OK"/>
    <s v="OK"/>
    <s v="OK"/>
    <s v="OK"/>
    <s v="OK"/>
    <s v="OK"/>
    <n v="0"/>
    <n v="0"/>
    <n v="0"/>
    <n v="0"/>
    <n v="0"/>
    <n v="0"/>
    <n v="0"/>
    <n v="0"/>
    <x v="4"/>
  </r>
  <r>
    <s v="PO1135"/>
    <x v="41"/>
    <d v="2026-02-25T00:00:00"/>
    <n v="388"/>
    <n v="99.42"/>
    <s v=""/>
    <d v="2026-03-18T00:00:00"/>
    <n v="388"/>
    <d v="2026-03-18T00:00:00"/>
    <s v="INV5142"/>
    <n v="388"/>
    <n v="99.42"/>
    <d v="2026-03-27T00:00:00"/>
    <s v="Missing Approval"/>
    <s v="OK"/>
    <s v="OK"/>
    <s v="OK"/>
    <s v="OK"/>
    <s v="OK"/>
    <s v="OK"/>
    <s v="OK"/>
    <n v="1"/>
    <n v="0"/>
    <n v="0"/>
    <n v="0"/>
    <n v="0"/>
    <n v="0"/>
    <n v="0"/>
    <n v="0"/>
    <x v="4"/>
  </r>
  <r>
    <s v="PO1136"/>
    <x v="17"/>
    <d v="2026-03-14T00:00:00"/>
    <n v="61"/>
    <n v="167.36"/>
    <s v="Nicolas Dubois"/>
    <d v="2026-03-26T00:00:00"/>
    <n v="61"/>
    <d v="2026-03-24T00:00:00"/>
    <s v="INV5143"/>
    <n v="61"/>
    <n v="167.36"/>
    <d v="2026-03-31T00:00:00"/>
    <s v="OK"/>
    <s v="OK"/>
    <s v="OK"/>
    <s v="OK"/>
    <s v="OK"/>
    <s v="OK"/>
    <s v="OK"/>
    <s v="OK"/>
    <n v="0"/>
    <n v="0"/>
    <n v="0"/>
    <n v="0"/>
    <n v="0"/>
    <n v="0"/>
    <n v="0"/>
    <n v="0"/>
    <x v="2"/>
  </r>
  <r>
    <s v="PO1128"/>
    <x v="8"/>
    <d v="2026-01-03T00:00:00"/>
    <n v="274"/>
    <n v="189.87"/>
    <s v="Camila Cantrell"/>
    <d v="2026-01-15T00:00:00"/>
    <m/>
    <m/>
    <s v="INV5135"/>
    <n v="274"/>
    <n v="189.87"/>
    <d v="2026-01-25T00:00:00"/>
    <s v="OK"/>
    <s v="No GR - Not received"/>
    <s v="OK"/>
    <s v="OK"/>
    <s v="OK"/>
    <s v="OK"/>
    <s v="OK"/>
    <s v="OK"/>
    <n v="0"/>
    <n v="1"/>
    <n v="0"/>
    <n v="0"/>
    <n v="0"/>
    <n v="0"/>
    <n v="0"/>
    <n v="0"/>
    <x v="0"/>
  </r>
  <r>
    <s v="PO1137"/>
    <x v="35"/>
    <d v="2026-02-15T00:00:00"/>
    <n v="164"/>
    <n v="7.76"/>
    <s v="Pavel Horák"/>
    <d v="2026-02-24T00:00:00"/>
    <n v="164"/>
    <d v="2026-02-23T00:00:00"/>
    <s v="INV5144"/>
    <n v="164"/>
    <n v="7.76"/>
    <d v="2026-03-04T00:00:00"/>
    <s v="OK"/>
    <s v="OK"/>
    <s v="OK"/>
    <s v="OK"/>
    <s v="OK"/>
    <s v="OK"/>
    <s v="OK"/>
    <s v="OK"/>
    <n v="0"/>
    <n v="0"/>
    <n v="0"/>
    <n v="0"/>
    <n v="0"/>
    <n v="0"/>
    <n v="0"/>
    <n v="0"/>
    <x v="4"/>
  </r>
  <r>
    <s v="PO1138"/>
    <x v="46"/>
    <d v="2026-01-12T00:00:00"/>
    <n v="37"/>
    <n v="112.9"/>
    <s v="Marta Nowak"/>
    <d v="2026-01-21T00:00:00"/>
    <n v="37"/>
    <d v="2026-01-19T00:00:00"/>
    <s v="INV5145"/>
    <n v="37"/>
    <n v="112.9"/>
    <d v="2026-01-28T00:00:00"/>
    <s v="OK"/>
    <s v="OK"/>
    <s v="OK"/>
    <s v="OK"/>
    <s v="OK"/>
    <s v="OK"/>
    <s v="OK"/>
    <s v="OK"/>
    <n v="0"/>
    <n v="0"/>
    <n v="0"/>
    <n v="0"/>
    <n v="0"/>
    <n v="0"/>
    <n v="0"/>
    <n v="0"/>
    <x v="0"/>
  </r>
  <r>
    <s v="PO1139"/>
    <x v="0"/>
    <d v="2026-05-06T00:00:00"/>
    <n v="62"/>
    <n v="175.18"/>
    <s v="Emma Johansson"/>
    <d v="2026-05-20T00:00:00"/>
    <n v="62"/>
    <d v="2026-05-29T00:00:00"/>
    <s v="INV5146"/>
    <n v="62"/>
    <n v="175.18"/>
    <d v="2026-05-23T00:00:00"/>
    <s v="OK"/>
    <s v="OK"/>
    <s v="OK"/>
    <s v="OK"/>
    <s v="OK"/>
    <s v="OK"/>
    <s v="Late Delivery"/>
    <s v="OK"/>
    <n v="0"/>
    <n v="0"/>
    <n v="0"/>
    <n v="0"/>
    <n v="0"/>
    <n v="0"/>
    <n v="1"/>
    <n v="0"/>
    <x v="3"/>
  </r>
  <r>
    <s v="PO1140"/>
    <x v="44"/>
    <d v="2026-05-03T00:00:00"/>
    <n v="235"/>
    <n v="71.44"/>
    <s v="A. Nagy"/>
    <d v="2026-05-16T00:00:00"/>
    <n v="235"/>
    <d v="2026-05-15T00:00:00"/>
    <s v="INV5147"/>
    <n v="235"/>
    <n v="71.44"/>
    <d v="2026-05-25T00:00:00"/>
    <s v="OK"/>
    <s v="OK"/>
    <s v="OK"/>
    <s v="OK"/>
    <s v="OK"/>
    <s v="OK"/>
    <s v="OK"/>
    <s v="OK"/>
    <n v="0"/>
    <n v="0"/>
    <n v="0"/>
    <n v="0"/>
    <n v="0"/>
    <n v="0"/>
    <n v="0"/>
    <n v="0"/>
    <x v="3"/>
  </r>
  <r>
    <s v="PO1133"/>
    <x v="40"/>
    <d v="2026-04-27T00:00:00"/>
    <n v="148"/>
    <n v="64.790000000000006"/>
    <s v="Mateo García"/>
    <d v="2026-05-05T00:00:00"/>
    <m/>
    <m/>
    <s v="INV5140"/>
    <n v="148"/>
    <n v="68.63"/>
    <d v="2026-05-08T00:00:00"/>
    <s v="OK"/>
    <s v="No GR - Not received"/>
    <s v="OK"/>
    <s v="OK"/>
    <s v="OK"/>
    <s v="Price Variance"/>
    <s v="OK"/>
    <s v="OK"/>
    <n v="0"/>
    <n v="1"/>
    <n v="0"/>
    <n v="0"/>
    <n v="0"/>
    <n v="1"/>
    <n v="0"/>
    <n v="0"/>
    <x v="1"/>
  </r>
  <r>
    <s v="PO1141"/>
    <x v="44"/>
    <d v="2026-01-30T00:00:00"/>
    <n v="430"/>
    <n v="17.739999999999998"/>
    <s v="Andreas Weber"/>
    <d v="2026-02-06T00:00:00"/>
    <n v="430"/>
    <d v="2026-02-06T00:00:00"/>
    <s v="INV5148"/>
    <n v="430"/>
    <n v="17.739999999999998"/>
    <d v="2026-02-10T00:00:00"/>
    <s v="OK"/>
    <s v="OK"/>
    <s v="OK"/>
    <s v="OK"/>
    <s v="OK"/>
    <s v="OK"/>
    <s v="OK"/>
    <s v="OK"/>
    <n v="0"/>
    <n v="0"/>
    <n v="0"/>
    <n v="0"/>
    <n v="0"/>
    <n v="0"/>
    <n v="0"/>
    <n v="0"/>
    <x v="0"/>
  </r>
  <r>
    <s v="PO1142"/>
    <x v="33"/>
    <d v="2026-01-14T00:00:00"/>
    <n v="87"/>
    <n v="34.090000000000003"/>
    <s v="Emma Johansson"/>
    <d v="2026-01-28T00:00:00"/>
    <n v="87"/>
    <d v="2026-01-29T00:00:00"/>
    <s v="INV5149"/>
    <n v="87"/>
    <n v="36.6"/>
    <d v="2026-02-06T00:00:00"/>
    <s v="OK"/>
    <s v="OK"/>
    <s v="OK"/>
    <s v="OK"/>
    <s v="OK"/>
    <s v="Price Variance"/>
    <s v="Late Delivery"/>
    <s v="OK"/>
    <n v="0"/>
    <n v="0"/>
    <n v="0"/>
    <n v="0"/>
    <n v="0"/>
    <n v="1"/>
    <n v="1"/>
    <n v="0"/>
    <x v="0"/>
  </r>
  <r>
    <s v="PO1143"/>
    <x v="10"/>
    <d v="2026-03-05T00:00:00"/>
    <n v="70"/>
    <n v="113.82"/>
    <s v=""/>
    <d v="2026-03-17T00:00:00"/>
    <n v="70"/>
    <d v="2026-03-18T00:00:00"/>
    <s v="INV5150"/>
    <n v="70"/>
    <n v="113.82"/>
    <d v="2026-03-27T00:00:00"/>
    <s v="Missing Approval"/>
    <s v="OK"/>
    <s v="OK"/>
    <s v="OK"/>
    <s v="OK"/>
    <s v="OK"/>
    <s v="Late Delivery"/>
    <s v="OK"/>
    <n v="1"/>
    <n v="0"/>
    <n v="0"/>
    <n v="0"/>
    <n v="0"/>
    <n v="0"/>
    <n v="1"/>
    <n v="0"/>
    <x v="2"/>
  </r>
  <r>
    <s v="PO1144"/>
    <x v="31"/>
    <d v="2026-04-08T00:00:00"/>
    <n v="240"/>
    <n v="182.16"/>
    <s v="Nicolas Dubois"/>
    <d v="2026-04-26T00:00:00"/>
    <n v="240"/>
    <d v="2026-04-27T00:00:00"/>
    <s v="INV5151"/>
    <n v="240"/>
    <n v="182.16"/>
    <d v="2026-05-02T00:00:00"/>
    <s v="OK"/>
    <s v="OK"/>
    <s v="OK"/>
    <s v="OK"/>
    <s v="OK"/>
    <s v="OK"/>
    <s v="Late Delivery"/>
    <s v="OK"/>
    <n v="0"/>
    <n v="0"/>
    <n v="0"/>
    <n v="0"/>
    <n v="0"/>
    <n v="0"/>
    <n v="1"/>
    <n v="0"/>
    <x v="1"/>
  </r>
  <r>
    <s v="PO1145"/>
    <x v="47"/>
    <d v="2026-05-26T00:00:00"/>
    <n v="327"/>
    <n v="16.739999999999998"/>
    <s v="Victor Popescu"/>
    <d v="2026-06-03T00:00:00"/>
    <n v="327"/>
    <d v="2026-06-04T00:00:00"/>
    <s v="INV5152"/>
    <n v="327"/>
    <n v="17.96"/>
    <d v="2026-06-09T00:00:00"/>
    <s v="OK"/>
    <s v="OK"/>
    <s v="OK"/>
    <s v="OK"/>
    <s v="OK"/>
    <s v="Price Variance"/>
    <s v="Late Delivery"/>
    <s v="OK"/>
    <n v="0"/>
    <n v="0"/>
    <n v="0"/>
    <n v="0"/>
    <n v="0"/>
    <n v="1"/>
    <n v="1"/>
    <n v="0"/>
    <x v="3"/>
  </r>
  <r>
    <s v="PO1146"/>
    <x v="13"/>
    <d v="2026-02-24T00:00:00"/>
    <n v="145"/>
    <n v="133.78"/>
    <s v="Lukas Müller"/>
    <d v="2026-03-08T00:00:00"/>
    <n v="145"/>
    <d v="2026-03-10T00:00:00"/>
    <s v="INV5153"/>
    <n v="145"/>
    <n v="133.78"/>
    <d v="2026-03-13T00:00:00"/>
    <s v="OK"/>
    <s v="OK"/>
    <s v="OK"/>
    <s v="OK"/>
    <s v="OK"/>
    <s v="OK"/>
    <s v="Late Delivery"/>
    <s v="OK"/>
    <n v="0"/>
    <n v="0"/>
    <n v="0"/>
    <n v="0"/>
    <n v="0"/>
    <n v="0"/>
    <n v="1"/>
    <n v="0"/>
    <x v="4"/>
  </r>
  <r>
    <s v="PO1147"/>
    <x v="28"/>
    <d v="2026-05-22T00:00:00"/>
    <n v="48"/>
    <n v="35.520000000000003"/>
    <s v="Marco Bianchi"/>
    <d v="2026-06-10T00:00:00"/>
    <n v="48"/>
    <d v="2026-06-10T00:00:00"/>
    <s v="INV5154"/>
    <n v="48"/>
    <n v="35.520000000000003"/>
    <d v="2026-06-13T00:00:00"/>
    <s v="OK"/>
    <s v="OK"/>
    <s v="OK"/>
    <s v="OK"/>
    <s v="OK"/>
    <s v="OK"/>
    <s v="OK"/>
    <s v="OK"/>
    <n v="0"/>
    <n v="0"/>
    <n v="0"/>
    <n v="0"/>
    <n v="0"/>
    <n v="0"/>
    <n v="0"/>
    <n v="0"/>
    <x v="3"/>
  </r>
  <r>
    <s v="PO1148"/>
    <x v="5"/>
    <d v="2026-05-01T00:00:00"/>
    <n v="159"/>
    <n v="11.36"/>
    <s v="Nicolas Dubois"/>
    <d v="2026-05-15T00:00:00"/>
    <n v="159"/>
    <d v="2026-05-17T00:00:00"/>
    <s v="INV5155"/>
    <n v="159"/>
    <n v="11.36"/>
    <d v="2026-05-20T00:00:00"/>
    <s v="OK"/>
    <s v="OK"/>
    <s v="OK"/>
    <s v="OK"/>
    <s v="OK"/>
    <s v="OK"/>
    <s v="Late Delivery"/>
    <s v="OK"/>
    <n v="0"/>
    <n v="0"/>
    <n v="0"/>
    <n v="0"/>
    <n v="0"/>
    <n v="0"/>
    <n v="1"/>
    <n v="0"/>
    <x v="3"/>
  </r>
  <r>
    <s v="PO1149"/>
    <x v="5"/>
    <d v="2026-04-27T00:00:00"/>
    <n v="46"/>
    <n v="139.04"/>
    <s v="Anna Kowalska"/>
    <d v="2026-05-08T00:00:00"/>
    <n v="66"/>
    <d v="2026-05-07T00:00:00"/>
    <s v="INV5156"/>
    <n v="46"/>
    <n v="139.04"/>
    <d v="2026-05-16T00:00:00"/>
    <s v="OK"/>
    <s v="OK"/>
    <s v="OK"/>
    <s v="OK"/>
    <s v="Qty Variance"/>
    <s v="OK"/>
    <s v="OK"/>
    <s v="Duplicate Invoice"/>
    <n v="0"/>
    <n v="0"/>
    <n v="0"/>
    <n v="0"/>
    <n v="1"/>
    <n v="0"/>
    <n v="0"/>
    <n v="1"/>
    <x v="1"/>
  </r>
  <r>
    <s v="PO1149"/>
    <x v="5"/>
    <d v="2026-04-27T00:00:00"/>
    <n v="46"/>
    <n v="139.04"/>
    <s v="Anna Kowalska"/>
    <d v="2026-05-08T00:00:00"/>
    <n v="66"/>
    <d v="2026-05-07T00:00:00"/>
    <s v="INV5157"/>
    <n v="46"/>
    <n v="139.04"/>
    <d v="2026-05-21T00:00:00"/>
    <s v="OK"/>
    <s v="OK"/>
    <s v="OK"/>
    <s v="OK"/>
    <s v="Qty Variance"/>
    <s v="OK"/>
    <s v="OK"/>
    <s v="Duplicate Invoice"/>
    <n v="0"/>
    <n v="0"/>
    <n v="0"/>
    <n v="0"/>
    <n v="1"/>
    <n v="0"/>
    <n v="0"/>
    <n v="1"/>
    <x v="1"/>
  </r>
  <r>
    <s v="PO1151"/>
    <x v="14"/>
    <d v="2026-01-19T00:00:00"/>
    <n v="40"/>
    <n v="37.35"/>
    <s v="Nicolas Dubois"/>
    <d v="2026-02-02T00:00:00"/>
    <n v="40"/>
    <d v="2026-02-01T00:00:00"/>
    <s v="INV5159"/>
    <n v="40"/>
    <n v="37.35"/>
    <d v="2026-02-12T00:00:00"/>
    <s v="OK"/>
    <s v="OK"/>
    <s v="OK"/>
    <s v="OK"/>
    <s v="OK"/>
    <s v="OK"/>
    <s v="OK"/>
    <s v="OK"/>
    <n v="0"/>
    <n v="0"/>
    <n v="0"/>
    <n v="0"/>
    <n v="0"/>
    <n v="0"/>
    <n v="0"/>
    <n v="0"/>
    <x v="0"/>
  </r>
  <r>
    <s v="PO1152"/>
    <x v="23"/>
    <d v="2026-02-01T00:00:00"/>
    <n v="249"/>
    <n v="139.29"/>
    <s v="Marta Nowak"/>
    <d v="2026-02-18T00:00:00"/>
    <n v="249"/>
    <d v="2026-02-20T00:00:00"/>
    <s v="INV5160"/>
    <n v="249"/>
    <n v="139.29"/>
    <d v="2026-02-25T00:00:00"/>
    <s v="OK"/>
    <s v="OK"/>
    <s v="OK"/>
    <s v="OK"/>
    <s v="OK"/>
    <s v="OK"/>
    <s v="Late Delivery"/>
    <s v="OK"/>
    <n v="0"/>
    <n v="0"/>
    <n v="0"/>
    <n v="0"/>
    <n v="0"/>
    <n v="0"/>
    <n v="1"/>
    <n v="0"/>
    <x v="4"/>
  </r>
  <r>
    <s v="PO1153"/>
    <x v="46"/>
    <d v="2026-05-09T00:00:00"/>
    <n v="286"/>
    <n v="101.29"/>
    <s v="Camila Cantrell"/>
    <d v="2026-05-15T00:00:00"/>
    <n v="286"/>
    <d v="2026-05-13T00:00:00"/>
    <s v="INV5161"/>
    <n v="286"/>
    <n v="101.29"/>
    <d v="2026-05-25T00:00:00"/>
    <s v="OK"/>
    <s v="OK"/>
    <s v="OK"/>
    <s v="OK"/>
    <s v="OK"/>
    <s v="OK"/>
    <s v="OK"/>
    <s v="OK"/>
    <n v="0"/>
    <n v="0"/>
    <n v="0"/>
    <n v="0"/>
    <n v="0"/>
    <n v="0"/>
    <n v="0"/>
    <n v="0"/>
    <x v="3"/>
  </r>
  <r>
    <s v="PO1155"/>
    <x v="12"/>
    <d v="2026-05-28T00:00:00"/>
    <n v="310"/>
    <n v="190.4"/>
    <s v="Eva Andersson"/>
    <d v="2026-06-10T00:00:00"/>
    <n v="310"/>
    <d v="2026-06-08T00:00:00"/>
    <s v="INV5163"/>
    <n v="310"/>
    <n v="190.4"/>
    <d v="2026-06-13T00:00:00"/>
    <s v="OK"/>
    <s v="OK"/>
    <s v="OK"/>
    <s v="OK"/>
    <s v="OK"/>
    <s v="OK"/>
    <s v="OK"/>
    <s v="OK"/>
    <n v="0"/>
    <n v="0"/>
    <n v="0"/>
    <n v="0"/>
    <n v="0"/>
    <n v="0"/>
    <n v="0"/>
    <n v="0"/>
    <x v="3"/>
  </r>
  <r>
    <s v="PO1156"/>
    <x v="33"/>
    <d v="2026-01-11T00:00:00"/>
    <n v="400"/>
    <n v="152.47"/>
    <s v="Andreas Weber"/>
    <d v="2026-02-01T00:00:00"/>
    <n v="400"/>
    <d v="2026-02-03T00:00:00"/>
    <s v="INV5164"/>
    <n v="400"/>
    <n v="152.47"/>
    <d v="2026-02-11T00:00:00"/>
    <s v="OK"/>
    <s v="OK"/>
    <s v="OK"/>
    <s v="OK"/>
    <s v="OK"/>
    <s v="OK"/>
    <s v="Late Delivery"/>
    <s v="OK"/>
    <n v="0"/>
    <n v="0"/>
    <n v="0"/>
    <n v="0"/>
    <n v="0"/>
    <n v="0"/>
    <n v="1"/>
    <n v="0"/>
    <x v="0"/>
  </r>
  <r>
    <s v="PO1157"/>
    <x v="43"/>
    <d v="2026-04-24T00:00:00"/>
    <n v="479"/>
    <n v="59.24"/>
    <s v="Emma Johansson"/>
    <d v="2026-05-12T00:00:00"/>
    <n v="479"/>
    <d v="2026-05-14T00:00:00"/>
    <s v="INV5165"/>
    <n v="479"/>
    <n v="59.24"/>
    <d v="2026-05-16T00:00:00"/>
    <s v="OK"/>
    <s v="OK"/>
    <s v="OK"/>
    <s v="OK"/>
    <s v="OK"/>
    <s v="OK"/>
    <s v="Late Delivery"/>
    <s v="OK"/>
    <n v="0"/>
    <n v="0"/>
    <n v="0"/>
    <n v="0"/>
    <n v="0"/>
    <n v="0"/>
    <n v="1"/>
    <n v="0"/>
    <x v="1"/>
  </r>
  <r>
    <s v="PO1158"/>
    <x v="0"/>
    <d v="2026-05-06T00:00:00"/>
    <n v="56"/>
    <n v="96.65"/>
    <s v="Marco Bianchi"/>
    <d v="2026-05-21T00:00:00"/>
    <n v="56"/>
    <d v="2026-05-23T00:00:00"/>
    <s v="INV5166"/>
    <n v="56"/>
    <n v="96.65"/>
    <d v="2026-05-22T00:00:00"/>
    <s v="OK"/>
    <s v="OK"/>
    <s v="OK"/>
    <s v="OK"/>
    <s v="OK"/>
    <s v="OK"/>
    <s v="Late Delivery"/>
    <s v="OK"/>
    <n v="0"/>
    <n v="0"/>
    <n v="0"/>
    <n v="0"/>
    <n v="0"/>
    <n v="0"/>
    <n v="1"/>
    <n v="0"/>
    <x v="3"/>
  </r>
  <r>
    <s v="PO1160"/>
    <x v="42"/>
    <d v="2026-04-13T00:00:00"/>
    <n v="426"/>
    <n v="153.30000000000001"/>
    <s v="A. Nagy"/>
    <d v="2026-05-02T00:00:00"/>
    <n v="426"/>
    <d v="2026-04-30T00:00:00"/>
    <s v="INV5168"/>
    <n v="426"/>
    <n v="153.30000000000001"/>
    <d v="2026-05-03T00:00:00"/>
    <s v="OK"/>
    <s v="OK"/>
    <s v="OK"/>
    <s v="OK"/>
    <s v="OK"/>
    <s v="OK"/>
    <s v="OK"/>
    <s v="OK"/>
    <n v="0"/>
    <n v="0"/>
    <n v="0"/>
    <n v="0"/>
    <n v="0"/>
    <n v="0"/>
    <n v="0"/>
    <n v="0"/>
    <x v="1"/>
  </r>
  <r>
    <s v="PO1150"/>
    <x v="38"/>
    <d v="2026-01-30T00:00:00"/>
    <n v="288"/>
    <n v="48.84"/>
    <s v="Winter Underwood"/>
    <d v="2026-02-12T00:00:00"/>
    <m/>
    <m/>
    <s v="INV5158"/>
    <n v="288"/>
    <n v="48.84"/>
    <d v="2026-02-13T00:00:00"/>
    <s v="OK"/>
    <s v="No GR - Not received"/>
    <s v="OK"/>
    <s v="OK"/>
    <s v="OK"/>
    <s v="OK"/>
    <s v="OK"/>
    <s v="OK"/>
    <n v="0"/>
    <n v="1"/>
    <n v="0"/>
    <n v="0"/>
    <n v="0"/>
    <n v="0"/>
    <n v="0"/>
    <n v="0"/>
    <x v="0"/>
  </r>
  <r>
    <s v="PO1161"/>
    <x v="10"/>
    <d v="2026-03-22T00:00:00"/>
    <n v="139"/>
    <n v="68.040000000000006"/>
    <s v="Eva Andersson"/>
    <d v="2026-04-08T00:00:00"/>
    <n v="139"/>
    <d v="2026-04-09T00:00:00"/>
    <s v="INV5169"/>
    <n v="139"/>
    <n v="68.040000000000006"/>
    <d v="2026-04-13T00:00:00"/>
    <s v="OK"/>
    <s v="OK"/>
    <s v="OK"/>
    <s v="OK"/>
    <s v="OK"/>
    <s v="OK"/>
    <s v="Late Delivery"/>
    <s v="OK"/>
    <n v="0"/>
    <n v="0"/>
    <n v="0"/>
    <n v="0"/>
    <n v="0"/>
    <n v="0"/>
    <n v="1"/>
    <n v="0"/>
    <x v="2"/>
  </r>
  <r>
    <s v="PO1162"/>
    <x v="3"/>
    <d v="2026-01-01T00:00:00"/>
    <n v="346"/>
    <n v="174.53"/>
    <s v="Ingrid Hansen"/>
    <d v="2026-01-19T00:00:00"/>
    <n v="363"/>
    <d v="2026-01-17T00:00:00"/>
    <s v="INV5170"/>
    <n v="346"/>
    <n v="174.53"/>
    <d v="2026-01-28T00:00:00"/>
    <s v="OK"/>
    <s v="OK"/>
    <s v="OK"/>
    <s v="OK"/>
    <s v="Qty Variance"/>
    <s v="OK"/>
    <s v="OK"/>
    <s v="OK"/>
    <n v="0"/>
    <n v="0"/>
    <n v="0"/>
    <n v="0"/>
    <n v="1"/>
    <n v="0"/>
    <n v="0"/>
    <n v="0"/>
    <x v="0"/>
  </r>
  <r>
    <s v="PO1163"/>
    <x v="21"/>
    <d v="2026-02-18T00:00:00"/>
    <n v="275"/>
    <n v="75.55"/>
    <s v="Eva Andersson"/>
    <d v="2026-03-10T00:00:00"/>
    <n v="258"/>
    <d v="2026-03-22T00:00:00"/>
    <s v="INV5171"/>
    <n v="275"/>
    <n v="75.55"/>
    <d v="2026-03-19T00:00:00"/>
    <s v="OK"/>
    <s v="OK"/>
    <s v="OK"/>
    <s v="OK"/>
    <s v="Qty Variance"/>
    <s v="OK"/>
    <s v="Late Delivery"/>
    <s v="OK"/>
    <n v="0"/>
    <n v="0"/>
    <n v="0"/>
    <n v="0"/>
    <n v="1"/>
    <n v="0"/>
    <n v="1"/>
    <n v="0"/>
    <x v="4"/>
  </r>
  <r>
    <s v="PO1154"/>
    <x v="38"/>
    <d v="2026-03-24T00:00:00"/>
    <n v="319"/>
    <n v="53.82"/>
    <s v="Camila Cantrell"/>
    <d v="2026-04-05T00:00:00"/>
    <m/>
    <m/>
    <s v="INV5162"/>
    <n v="319"/>
    <n v="53.82"/>
    <d v="2026-04-13T00:00:00"/>
    <s v="OK"/>
    <s v="No GR - Not received"/>
    <s v="OK"/>
    <s v="OK"/>
    <s v="OK"/>
    <s v="OK"/>
    <s v="OK"/>
    <s v="OK"/>
    <n v="0"/>
    <n v="1"/>
    <n v="0"/>
    <n v="0"/>
    <n v="0"/>
    <n v="0"/>
    <n v="0"/>
    <n v="0"/>
    <x v="2"/>
  </r>
  <r>
    <s v="PO1164"/>
    <x v="0"/>
    <d v="2026-04-24T00:00:00"/>
    <n v="399"/>
    <n v="15.06"/>
    <s v="Anna Kowalska"/>
    <d v="2026-05-03T00:00:00"/>
    <n v="399"/>
    <d v="2026-05-05T00:00:00"/>
    <s v="INV5172"/>
    <n v="399"/>
    <n v="17.100000000000001"/>
    <d v="2026-05-07T00:00:00"/>
    <s v="OK"/>
    <s v="OK"/>
    <s v="OK"/>
    <s v="OK"/>
    <s v="OK"/>
    <s v="Price Variance"/>
    <s v="Late Delivery"/>
    <s v="OK"/>
    <n v="0"/>
    <n v="0"/>
    <n v="0"/>
    <n v="0"/>
    <n v="0"/>
    <n v="1"/>
    <n v="1"/>
    <n v="0"/>
    <x v="1"/>
  </r>
  <r>
    <s v="PO1165"/>
    <x v="42"/>
    <d v="2026-04-23T00:00:00"/>
    <n v="460"/>
    <n v="141.16"/>
    <s v="Haley Rivas"/>
    <d v="2026-04-28T00:00:00"/>
    <n v="460"/>
    <d v="2026-04-30T00:00:00"/>
    <s v="INV5173"/>
    <n v="460"/>
    <n v="141.16"/>
    <d v="2026-04-29T00:00:00"/>
    <s v="OK"/>
    <s v="OK"/>
    <s v="OK"/>
    <s v="OK"/>
    <s v="OK"/>
    <s v="OK"/>
    <s v="Late Delivery"/>
    <s v="OK"/>
    <n v="0"/>
    <n v="0"/>
    <n v="0"/>
    <n v="0"/>
    <n v="0"/>
    <n v="0"/>
    <n v="1"/>
    <n v="0"/>
    <x v="1"/>
  </r>
  <r>
    <s v="PO1166"/>
    <x v="0"/>
    <d v="2026-03-03T00:00:00"/>
    <n v="373"/>
    <n v="35.880000000000003"/>
    <s v="Pavel Horák"/>
    <d v="2026-03-08T00:00:00"/>
    <n v="373"/>
    <d v="2026-03-10T00:00:00"/>
    <s v="INV5174"/>
    <n v="373"/>
    <n v="35.880000000000003"/>
    <d v="2026-03-11T00:00:00"/>
    <s v="OK"/>
    <s v="OK"/>
    <s v="OK"/>
    <s v="OK"/>
    <s v="OK"/>
    <s v="OK"/>
    <s v="Late Delivery"/>
    <s v="OK"/>
    <n v="0"/>
    <n v="0"/>
    <n v="0"/>
    <n v="0"/>
    <n v="0"/>
    <n v="0"/>
    <n v="1"/>
    <n v="0"/>
    <x v="2"/>
  </r>
  <r>
    <s v="PO1167"/>
    <x v="8"/>
    <d v="2026-04-15T00:00:00"/>
    <n v="57"/>
    <n v="48.82"/>
    <s v="Haley Rivas"/>
    <d v="2026-05-04T00:00:00"/>
    <n v="57"/>
    <d v="2026-05-02T00:00:00"/>
    <s v="INV5175"/>
    <n v="57"/>
    <n v="48.82"/>
    <d v="2026-05-08T00:00:00"/>
    <s v="OK"/>
    <s v="OK"/>
    <s v="OK"/>
    <s v="OK"/>
    <s v="OK"/>
    <s v="OK"/>
    <s v="OK"/>
    <s v="OK"/>
    <n v="0"/>
    <n v="0"/>
    <n v="0"/>
    <n v="0"/>
    <n v="0"/>
    <n v="0"/>
    <n v="0"/>
    <n v="0"/>
    <x v="1"/>
  </r>
  <r>
    <s v="PO1159"/>
    <x v="45"/>
    <d v="2026-01-27T00:00:00"/>
    <n v="449"/>
    <n v="36.36"/>
    <s v="Marco Bianchi"/>
    <d v="2026-02-16T00:00:00"/>
    <m/>
    <m/>
    <s v="INV5167"/>
    <n v="449"/>
    <n v="36.36"/>
    <d v="2026-02-21T00:00:00"/>
    <s v="OK"/>
    <s v="No GR - Not received"/>
    <s v="OK"/>
    <s v="OK"/>
    <s v="OK"/>
    <s v="OK"/>
    <s v="OK"/>
    <s v="OK"/>
    <n v="0"/>
    <n v="1"/>
    <n v="0"/>
    <n v="0"/>
    <n v="0"/>
    <n v="0"/>
    <n v="0"/>
    <n v="0"/>
    <x v="0"/>
  </r>
  <r>
    <s v="PO1168"/>
    <x v="16"/>
    <d v="2026-02-09T00:00:00"/>
    <n v="265"/>
    <n v="186.87"/>
    <s v=""/>
    <d v="2026-03-02T00:00:00"/>
    <n v="265"/>
    <d v="2026-03-02T00:00:00"/>
    <s v="INV5176"/>
    <n v="265"/>
    <n v="186.87"/>
    <d v="2026-03-12T00:00:00"/>
    <s v="Missing Approval"/>
    <s v="OK"/>
    <s v="OK"/>
    <s v="OK"/>
    <s v="OK"/>
    <s v="OK"/>
    <s v="OK"/>
    <s v="OK"/>
    <n v="1"/>
    <n v="0"/>
    <n v="0"/>
    <n v="0"/>
    <n v="0"/>
    <n v="0"/>
    <n v="0"/>
    <n v="0"/>
    <x v="4"/>
  </r>
  <r>
    <s v="PO1169"/>
    <x v="9"/>
    <d v="2026-03-11T00:00:00"/>
    <n v="222"/>
    <n v="167.77"/>
    <s v="Andreas Weber"/>
    <d v="2026-03-23T00:00:00"/>
    <n v="222"/>
    <d v="2026-03-23T00:00:00"/>
    <s v="INV5177"/>
    <n v="222"/>
    <n v="167.77"/>
    <d v="2026-04-02T00:00:00"/>
    <s v="OK"/>
    <s v="OK"/>
    <s v="OK"/>
    <s v="OK"/>
    <s v="OK"/>
    <s v="OK"/>
    <s v="OK"/>
    <s v="OK"/>
    <n v="0"/>
    <n v="0"/>
    <n v="0"/>
    <n v="0"/>
    <n v="0"/>
    <n v="0"/>
    <n v="0"/>
    <n v="0"/>
    <x v="2"/>
  </r>
  <r>
    <s v="PO1170"/>
    <x v="30"/>
    <d v="2026-05-22T00:00:00"/>
    <n v="84"/>
    <n v="79.8"/>
    <s v="Thomas Lefèvre"/>
    <d v="2026-06-12T00:00:00"/>
    <n v="84"/>
    <d v="2026-06-12T00:00:00"/>
    <s v="INV5178"/>
    <n v="84"/>
    <n v="79.8"/>
    <d v="2026-06-20T00:00:00"/>
    <s v="OK"/>
    <s v="OK"/>
    <s v="OK"/>
    <s v="OK"/>
    <s v="OK"/>
    <s v="OK"/>
    <s v="OK"/>
    <s v="OK"/>
    <n v="0"/>
    <n v="0"/>
    <n v="0"/>
    <n v="0"/>
    <n v="0"/>
    <n v="0"/>
    <n v="0"/>
    <n v="0"/>
    <x v="3"/>
  </r>
  <r>
    <s v="PO1171"/>
    <x v="15"/>
    <d v="2026-02-04T00:00:00"/>
    <n v="452"/>
    <n v="18.61"/>
    <s v="Eva Andersson"/>
    <d v="2026-02-22T00:00:00"/>
    <n v="452"/>
    <d v="2026-02-22T00:00:00"/>
    <s v="INV5179"/>
    <n v="452"/>
    <n v="20.76"/>
    <d v="2026-03-01T00:00:00"/>
    <s v="OK"/>
    <s v="OK"/>
    <s v="OK"/>
    <s v="OK"/>
    <s v="OK"/>
    <s v="Price Variance"/>
    <s v="OK"/>
    <s v="Duplicate Invoice"/>
    <n v="0"/>
    <n v="0"/>
    <n v="0"/>
    <n v="0"/>
    <n v="0"/>
    <n v="1"/>
    <n v="0"/>
    <n v="1"/>
    <x v="4"/>
  </r>
  <r>
    <s v="PO1171"/>
    <x v="15"/>
    <d v="2026-02-04T00:00:00"/>
    <n v="452"/>
    <n v="18.61"/>
    <s v="Eva Andersson"/>
    <d v="2026-02-22T00:00:00"/>
    <n v="452"/>
    <d v="2026-02-22T00:00:00"/>
    <s v="INV5180"/>
    <n v="452"/>
    <n v="20.76"/>
    <d v="2026-03-06T00:00:00"/>
    <s v="OK"/>
    <s v="OK"/>
    <s v="OK"/>
    <s v="OK"/>
    <s v="OK"/>
    <s v="Price Variance"/>
    <s v="OK"/>
    <s v="Duplicate Invoice"/>
    <n v="0"/>
    <n v="0"/>
    <n v="0"/>
    <n v="0"/>
    <n v="0"/>
    <n v="1"/>
    <n v="0"/>
    <n v="1"/>
    <x v="4"/>
  </r>
  <r>
    <s v="PO1172"/>
    <x v="24"/>
    <d v="2026-05-10T00:00:00"/>
    <n v="146"/>
    <n v="165.01"/>
    <s v="Nicolas Dubois"/>
    <d v="2026-05-24T00:00:00"/>
    <n v="146"/>
    <d v="2026-05-26T00:00:00"/>
    <s v="INV5181"/>
    <n v="146"/>
    <n v="165.01"/>
    <d v="2026-05-29T00:00:00"/>
    <s v="OK"/>
    <s v="OK"/>
    <s v="OK"/>
    <s v="OK"/>
    <s v="OK"/>
    <s v="OK"/>
    <s v="Late Delivery"/>
    <s v="OK"/>
    <n v="0"/>
    <n v="0"/>
    <n v="0"/>
    <n v="0"/>
    <n v="0"/>
    <n v="0"/>
    <n v="1"/>
    <n v="0"/>
    <x v="3"/>
  </r>
  <r>
    <s v="PO1173"/>
    <x v="2"/>
    <d v="2026-05-29T00:00:00"/>
    <n v="347"/>
    <n v="100.48"/>
    <s v="Winter Underwood"/>
    <d v="2026-06-17T00:00:00"/>
    <n v="347"/>
    <d v="2026-06-18T00:00:00"/>
    <s v="INV5182"/>
    <n v="347"/>
    <n v="100.48"/>
    <d v="2026-06-26T00:00:00"/>
    <s v="OK"/>
    <s v="OK"/>
    <s v="OK"/>
    <s v="OK"/>
    <s v="OK"/>
    <s v="OK"/>
    <s v="Late Delivery"/>
    <s v="OK"/>
    <n v="0"/>
    <n v="0"/>
    <n v="0"/>
    <n v="0"/>
    <n v="0"/>
    <n v="0"/>
    <n v="1"/>
    <n v="0"/>
    <x v="3"/>
  </r>
  <r>
    <s v="PO1176"/>
    <x v="33"/>
    <d v="2026-04-09T00:00:00"/>
    <n v="129"/>
    <n v="171.92"/>
    <s v="Marco Bianchi"/>
    <d v="2026-04-15T00:00:00"/>
    <n v="119"/>
    <d v="2026-04-13T00:00:00"/>
    <s v="INV5185"/>
    <n v="129"/>
    <n v="205.3"/>
    <d v="2026-04-18T00:00:00"/>
    <s v="OK"/>
    <s v="OK"/>
    <s v="OK"/>
    <s v="OK"/>
    <s v="Qty Variance"/>
    <s v="Price Variance"/>
    <s v="OK"/>
    <s v="Duplicate Invoice"/>
    <n v="0"/>
    <n v="0"/>
    <n v="0"/>
    <n v="0"/>
    <n v="1"/>
    <n v="1"/>
    <n v="0"/>
    <n v="1"/>
    <x v="1"/>
  </r>
  <r>
    <s v="PO1176"/>
    <x v="33"/>
    <d v="2026-04-09T00:00:00"/>
    <n v="129"/>
    <n v="171.92"/>
    <s v="Marco Bianchi"/>
    <d v="2026-04-15T00:00:00"/>
    <n v="119"/>
    <d v="2026-04-13T00:00:00"/>
    <s v="INV5186"/>
    <n v="129"/>
    <n v="205.3"/>
    <d v="2026-04-19T00:00:00"/>
    <s v="OK"/>
    <s v="OK"/>
    <s v="OK"/>
    <s v="OK"/>
    <s v="Qty Variance"/>
    <s v="Price Variance"/>
    <s v="OK"/>
    <s v="Duplicate Invoice"/>
    <n v="0"/>
    <n v="0"/>
    <n v="0"/>
    <n v="0"/>
    <n v="1"/>
    <n v="1"/>
    <n v="0"/>
    <n v="1"/>
    <x v="1"/>
  </r>
  <r>
    <s v="PO1177"/>
    <x v="45"/>
    <d v="2026-05-02T00:00:00"/>
    <n v="371"/>
    <n v="183.12"/>
    <s v="Laura Schmidt"/>
    <d v="2026-05-19T00:00:00"/>
    <n v="371"/>
    <d v="2026-05-17T00:00:00"/>
    <s v="INV5187"/>
    <n v="371"/>
    <n v="183.12"/>
    <d v="2026-05-21T00:00:00"/>
    <s v="OK"/>
    <s v="OK"/>
    <s v="OK"/>
    <s v="OK"/>
    <s v="OK"/>
    <s v="OK"/>
    <s v="OK"/>
    <s v="OK"/>
    <n v="0"/>
    <n v="0"/>
    <n v="0"/>
    <n v="0"/>
    <n v="0"/>
    <n v="0"/>
    <n v="0"/>
    <n v="0"/>
    <x v="3"/>
  </r>
  <r>
    <s v="PO1178"/>
    <x v="27"/>
    <d v="2026-02-08T00:00:00"/>
    <n v="263"/>
    <n v="193.14"/>
    <s v="Winter Underwood"/>
    <d v="2026-03-01T00:00:00"/>
    <n v="263"/>
    <d v="2026-03-03T00:00:00"/>
    <s v="INV5188"/>
    <n v="263"/>
    <n v="193.14"/>
    <d v="2026-03-07T00:00:00"/>
    <s v="OK"/>
    <s v="OK"/>
    <s v="OK"/>
    <s v="OK"/>
    <s v="OK"/>
    <s v="OK"/>
    <s v="Late Delivery"/>
    <s v="OK"/>
    <n v="0"/>
    <n v="0"/>
    <n v="0"/>
    <n v="0"/>
    <n v="0"/>
    <n v="0"/>
    <n v="1"/>
    <n v="0"/>
    <x v="4"/>
  </r>
  <r>
    <s v="PO1179"/>
    <x v="2"/>
    <d v="2026-03-26T00:00:00"/>
    <n v="455"/>
    <n v="24.57"/>
    <s v="Ingrid Hansen"/>
    <d v="2026-04-03T00:00:00"/>
    <n v="455"/>
    <d v="2026-04-19T00:00:00"/>
    <s v="INV5189"/>
    <n v="455"/>
    <n v="24.57"/>
    <d v="2026-04-05T00:00:00"/>
    <s v="OK"/>
    <s v="OK"/>
    <s v="OK"/>
    <s v="OK"/>
    <s v="OK"/>
    <s v="OK"/>
    <s v="Late Delivery"/>
    <s v="OK"/>
    <n v="0"/>
    <n v="0"/>
    <n v="0"/>
    <n v="0"/>
    <n v="0"/>
    <n v="0"/>
    <n v="1"/>
    <n v="0"/>
    <x v="2"/>
  </r>
  <r>
    <s v="PO1180"/>
    <x v="31"/>
    <d v="2026-04-27T00:00:00"/>
    <n v="17"/>
    <n v="145.88"/>
    <s v="Marco Bianchi"/>
    <d v="2026-05-06T00:00:00"/>
    <n v="17"/>
    <d v="2026-05-08T00:00:00"/>
    <s v="INV5190"/>
    <n v="17"/>
    <n v="145.88"/>
    <d v="2026-05-16T00:00:00"/>
    <s v="OK"/>
    <s v="OK"/>
    <s v="OK"/>
    <s v="OK"/>
    <s v="OK"/>
    <s v="OK"/>
    <s v="Late Delivery"/>
    <s v="OK"/>
    <n v="0"/>
    <n v="0"/>
    <n v="0"/>
    <n v="0"/>
    <n v="0"/>
    <n v="0"/>
    <n v="1"/>
    <n v="0"/>
    <x v="1"/>
  </r>
  <r>
    <s v="PO1181"/>
    <x v="32"/>
    <d v="2026-05-01T00:00:00"/>
    <n v="410"/>
    <n v="193.99"/>
    <s v="Elena Petrova"/>
    <d v="2026-05-18T00:00:00"/>
    <n v="410"/>
    <d v="2026-05-20T00:00:00"/>
    <s v="INV5191"/>
    <n v="410"/>
    <n v="193.99"/>
    <d v="2026-05-27T00:00:00"/>
    <s v="OK"/>
    <s v="OK"/>
    <s v="OK"/>
    <s v="OK"/>
    <s v="OK"/>
    <s v="OK"/>
    <s v="Late Delivery"/>
    <s v="OK"/>
    <n v="0"/>
    <n v="0"/>
    <n v="0"/>
    <n v="0"/>
    <n v="0"/>
    <n v="0"/>
    <n v="1"/>
    <n v="0"/>
    <x v="3"/>
  </r>
  <r>
    <s v="PO1182"/>
    <x v="43"/>
    <d v="2026-01-21T00:00:00"/>
    <n v="446"/>
    <n v="69.069999999999993"/>
    <s v="Felix Bauer"/>
    <d v="2026-02-07T00:00:00"/>
    <n v="446"/>
    <d v="2026-02-07T00:00:00"/>
    <s v="INV5192"/>
    <n v="446"/>
    <n v="69.069999999999993"/>
    <d v="2026-02-08T00:00:00"/>
    <s v="OK"/>
    <s v="OK"/>
    <s v="OK"/>
    <s v="OK"/>
    <s v="OK"/>
    <s v="OK"/>
    <s v="OK"/>
    <s v="OK"/>
    <n v="0"/>
    <n v="0"/>
    <n v="0"/>
    <n v="0"/>
    <n v="0"/>
    <n v="0"/>
    <n v="0"/>
    <n v="0"/>
    <x v="0"/>
  </r>
  <r>
    <s v="PO1183"/>
    <x v="45"/>
    <d v="2026-05-05T00:00:00"/>
    <n v="456"/>
    <n v="110.5"/>
    <s v="Thomas Lefèvre"/>
    <d v="2026-05-12T00:00:00"/>
    <n v="456"/>
    <d v="2026-05-14T00:00:00"/>
    <s v="INV5193"/>
    <n v="456"/>
    <n v="110.5"/>
    <d v="2026-05-14T00:00:00"/>
    <s v="OK"/>
    <s v="OK"/>
    <s v="OK"/>
    <s v="OK"/>
    <s v="OK"/>
    <s v="OK"/>
    <s v="Late Delivery"/>
    <s v="OK"/>
    <n v="0"/>
    <n v="0"/>
    <n v="0"/>
    <n v="0"/>
    <n v="0"/>
    <n v="0"/>
    <n v="1"/>
    <n v="0"/>
    <x v="3"/>
  </r>
  <r>
    <s v="PO1184"/>
    <x v="26"/>
    <d v="2026-03-15T00:00:00"/>
    <n v="126"/>
    <n v="150.62"/>
    <s v="Marco Bianchi"/>
    <d v="2026-03-23T00:00:00"/>
    <n v="126"/>
    <d v="2026-03-21T00:00:00"/>
    <s v="INV5194"/>
    <n v="126"/>
    <n v="150.62"/>
    <d v="2026-03-27T00:00:00"/>
    <s v="OK"/>
    <s v="OK"/>
    <s v="OK"/>
    <s v="OK"/>
    <s v="OK"/>
    <s v="OK"/>
    <s v="OK"/>
    <s v="OK"/>
    <n v="0"/>
    <n v="0"/>
    <n v="0"/>
    <n v="0"/>
    <n v="0"/>
    <n v="0"/>
    <n v="0"/>
    <n v="0"/>
    <x v="2"/>
  </r>
  <r>
    <s v="PO1174"/>
    <x v="19"/>
    <d v="2026-05-04T00:00:00"/>
    <n v="186"/>
    <n v="69.83"/>
    <s v="Eva Andersson"/>
    <d v="2026-05-21T00:00:00"/>
    <m/>
    <m/>
    <s v="INV5183"/>
    <n v="186"/>
    <n v="69.83"/>
    <d v="2026-05-26T00:00:00"/>
    <s v="OK"/>
    <s v="No GR - Not received"/>
    <s v="OK"/>
    <s v="OK"/>
    <s v="OK"/>
    <s v="OK"/>
    <s v="OK"/>
    <s v="OK"/>
    <n v="0"/>
    <n v="1"/>
    <n v="0"/>
    <n v="0"/>
    <n v="0"/>
    <n v="0"/>
    <n v="0"/>
    <n v="0"/>
    <x v="3"/>
  </r>
  <r>
    <s v="PO1185"/>
    <x v="0"/>
    <d v="2026-01-26T00:00:00"/>
    <n v="237"/>
    <n v="37.44"/>
    <s v="Nicolas Dubois"/>
    <d v="2026-01-31T00:00:00"/>
    <n v="226"/>
    <d v="2026-01-31T00:00:00"/>
    <s v="INV5195"/>
    <n v="237"/>
    <n v="42.42"/>
    <d v="2026-02-10T00:00:00"/>
    <s v="OK"/>
    <s v="OK"/>
    <s v="OK"/>
    <s v="OK"/>
    <s v="Qty Variance"/>
    <s v="Price Variance"/>
    <s v="OK"/>
    <s v="OK"/>
    <n v="0"/>
    <n v="0"/>
    <n v="0"/>
    <n v="0"/>
    <n v="1"/>
    <n v="1"/>
    <n v="0"/>
    <n v="0"/>
    <x v="0"/>
  </r>
  <r>
    <s v="PO1175"/>
    <x v="30"/>
    <d v="2026-03-24T00:00:00"/>
    <n v="455"/>
    <n v="41.79"/>
    <s v="Marta Nowak"/>
    <d v="2026-04-05T00:00:00"/>
    <m/>
    <m/>
    <s v="INV5184"/>
    <n v="455"/>
    <n v="41.79"/>
    <d v="2026-04-12T00:00:00"/>
    <s v="OK"/>
    <s v="No GR - Not received"/>
    <s v="OK"/>
    <s v="OK"/>
    <s v="OK"/>
    <s v="OK"/>
    <s v="OK"/>
    <s v="OK"/>
    <n v="0"/>
    <n v="1"/>
    <n v="0"/>
    <n v="0"/>
    <n v="0"/>
    <n v="0"/>
    <n v="0"/>
    <n v="0"/>
    <x v="2"/>
  </r>
  <r>
    <s v="PO1186"/>
    <x v="7"/>
    <d v="2026-03-25T00:00:00"/>
    <n v="417"/>
    <n v="15.94"/>
    <s v="Jakub Novák"/>
    <d v="2026-04-10T00:00:00"/>
    <n v="417"/>
    <d v="2026-04-08T00:00:00"/>
    <s v="INV5196"/>
    <n v="417"/>
    <n v="15.94"/>
    <d v="2026-04-19T00:00:00"/>
    <s v="OK"/>
    <s v="OK"/>
    <s v="OK"/>
    <s v="OK"/>
    <s v="OK"/>
    <s v="OK"/>
    <s v="OK"/>
    <s v="OK"/>
    <n v="0"/>
    <n v="0"/>
    <n v="0"/>
    <n v="0"/>
    <n v="0"/>
    <n v="0"/>
    <n v="0"/>
    <n v="0"/>
    <x v="2"/>
  </r>
  <r>
    <s v="PO1187"/>
    <x v="38"/>
    <d v="2026-02-07T00:00:00"/>
    <n v="135"/>
    <n v="108.58"/>
    <s v="Emma Johansson"/>
    <d v="2026-02-17T00:00:00"/>
    <n v="135"/>
    <d v="2026-02-19T00:00:00"/>
    <s v="INV5197"/>
    <n v="135"/>
    <n v="108.58"/>
    <d v="2026-02-27T00:00:00"/>
    <s v="OK"/>
    <s v="OK"/>
    <s v="OK"/>
    <s v="OK"/>
    <s v="OK"/>
    <s v="OK"/>
    <s v="Late Delivery"/>
    <s v="OK"/>
    <n v="0"/>
    <n v="0"/>
    <n v="0"/>
    <n v="0"/>
    <n v="0"/>
    <n v="0"/>
    <n v="1"/>
    <n v="0"/>
    <x v="4"/>
  </r>
  <r>
    <s v="PO1188"/>
    <x v="11"/>
    <d v="2026-02-14T00:00:00"/>
    <n v="50"/>
    <n v="123.85"/>
    <s v="Laura Schmidt"/>
    <d v="2026-02-26T00:00:00"/>
    <n v="50"/>
    <d v="2026-02-24T00:00:00"/>
    <s v="INV5198"/>
    <n v="50"/>
    <n v="141.85"/>
    <d v="2026-03-02T00:00:00"/>
    <s v="OK"/>
    <s v="OK"/>
    <s v="OK"/>
    <s v="OK"/>
    <s v="OK"/>
    <s v="Price Variance"/>
    <s v="OK"/>
    <s v="OK"/>
    <n v="0"/>
    <n v="0"/>
    <n v="0"/>
    <n v="0"/>
    <n v="0"/>
    <n v="1"/>
    <n v="0"/>
    <n v="0"/>
    <x v="4"/>
  </r>
  <r>
    <s v="PO1190"/>
    <x v="30"/>
    <d v="2026-03-07T00:00:00"/>
    <n v="351"/>
    <n v="6.83"/>
    <s v="Ingrid Hansen"/>
    <d v="2026-03-21T00:00:00"/>
    <n v="351"/>
    <d v="2026-03-23T00:00:00"/>
    <s v="INV5200"/>
    <n v="351"/>
    <n v="6.83"/>
    <d v="2026-03-30T00:00:00"/>
    <s v="OK"/>
    <s v="OK"/>
    <s v="OK"/>
    <s v="OK"/>
    <s v="OK"/>
    <s v="OK"/>
    <s v="Late Delivery"/>
    <s v="OK"/>
    <n v="0"/>
    <n v="0"/>
    <n v="0"/>
    <n v="0"/>
    <n v="0"/>
    <n v="0"/>
    <n v="1"/>
    <n v="0"/>
    <x v="2"/>
  </r>
  <r>
    <s v="PO1191"/>
    <x v="12"/>
    <d v="2026-05-20T00:00:00"/>
    <n v="90"/>
    <n v="19.399999999999999"/>
    <s v="Jakub Novák"/>
    <d v="2026-06-03T00:00:00"/>
    <n v="90"/>
    <d v="2026-06-04T00:00:00"/>
    <s v="INV5201"/>
    <n v="90"/>
    <n v="19.399999999999999"/>
    <d v="2026-06-12T00:00:00"/>
    <s v="OK"/>
    <s v="OK"/>
    <s v="OK"/>
    <s v="OK"/>
    <s v="OK"/>
    <s v="OK"/>
    <s v="Late Delivery"/>
    <s v="OK"/>
    <n v="0"/>
    <n v="0"/>
    <n v="0"/>
    <n v="0"/>
    <n v="0"/>
    <n v="0"/>
    <n v="1"/>
    <n v="0"/>
    <x v="3"/>
  </r>
  <r>
    <s v="PO1192"/>
    <x v="0"/>
    <d v="2026-04-19T00:00:00"/>
    <n v="363"/>
    <n v="53.77"/>
    <s v=""/>
    <d v="2026-04-30T00:00:00"/>
    <n v="363"/>
    <d v="2026-04-28T00:00:00"/>
    <s v="INV5202"/>
    <n v="363"/>
    <n v="60.21"/>
    <d v="2026-05-10T00:00:00"/>
    <s v="Missing Approval"/>
    <s v="OK"/>
    <s v="OK"/>
    <s v="OK"/>
    <s v="OK"/>
    <s v="Price Variance"/>
    <s v="OK"/>
    <s v="OK"/>
    <n v="1"/>
    <n v="0"/>
    <n v="0"/>
    <n v="0"/>
    <n v="0"/>
    <n v="1"/>
    <n v="0"/>
    <n v="0"/>
    <x v="1"/>
  </r>
  <r>
    <s v="PO1193"/>
    <x v="39"/>
    <d v="2026-05-04T00:00:00"/>
    <n v="64"/>
    <n v="51.26"/>
    <s v="Emma Johansson"/>
    <d v="2026-05-20T00:00:00"/>
    <n v="64"/>
    <d v="2026-05-19T00:00:00"/>
    <s v="INV5203"/>
    <n v="64"/>
    <n v="51.26"/>
    <d v="2026-05-21T00:00:00"/>
    <s v="OK"/>
    <s v="OK"/>
    <s v="OK"/>
    <s v="OK"/>
    <s v="OK"/>
    <s v="OK"/>
    <s v="OK"/>
    <s v="OK"/>
    <n v="0"/>
    <n v="0"/>
    <n v="0"/>
    <n v="0"/>
    <n v="0"/>
    <n v="0"/>
    <n v="0"/>
    <n v="0"/>
    <x v="3"/>
  </r>
  <r>
    <s v="PO1194"/>
    <x v="33"/>
    <d v="2026-03-17T00:00:00"/>
    <n v="368"/>
    <n v="62.57"/>
    <s v="Felix Bauer"/>
    <d v="2026-04-03T00:00:00"/>
    <n v="368"/>
    <d v="2026-04-05T00:00:00"/>
    <s v="INV5204"/>
    <n v="368"/>
    <n v="62.57"/>
    <d v="2026-04-08T00:00:00"/>
    <s v="OK"/>
    <s v="OK"/>
    <s v="OK"/>
    <s v="OK"/>
    <s v="OK"/>
    <s v="OK"/>
    <s v="Late Delivery"/>
    <s v="OK"/>
    <n v="0"/>
    <n v="0"/>
    <n v="0"/>
    <n v="0"/>
    <n v="0"/>
    <n v="0"/>
    <n v="1"/>
    <n v="0"/>
    <x v="2"/>
  </r>
  <r>
    <s v="PO1195"/>
    <x v="46"/>
    <d v="2026-01-03T00:00:00"/>
    <n v="299"/>
    <n v="173.69"/>
    <s v="Eva Andersson"/>
    <d v="2026-01-09T00:00:00"/>
    <n v="299"/>
    <d v="2026-01-08T00:00:00"/>
    <s v="INV5205"/>
    <n v="299"/>
    <n v="173.69"/>
    <d v="2026-01-16T00:00:00"/>
    <s v="OK"/>
    <s v="OK"/>
    <s v="OK"/>
    <s v="OK"/>
    <s v="OK"/>
    <s v="OK"/>
    <s v="OK"/>
    <s v="OK"/>
    <n v="0"/>
    <n v="0"/>
    <n v="0"/>
    <n v="0"/>
    <n v="0"/>
    <n v="0"/>
    <n v="0"/>
    <n v="0"/>
    <x v="0"/>
  </r>
  <r>
    <s v="PO1196"/>
    <x v="17"/>
    <d v="2026-05-08T00:00:00"/>
    <n v="436"/>
    <n v="181.31"/>
    <s v="Nicolas Dubois"/>
    <d v="2026-05-20T00:00:00"/>
    <n v="436"/>
    <d v="2026-05-21T00:00:00"/>
    <s v="INV5206"/>
    <n v="436"/>
    <n v="181.31"/>
    <d v="2026-05-24T00:00:00"/>
    <s v="OK"/>
    <s v="OK"/>
    <s v="OK"/>
    <s v="OK"/>
    <s v="OK"/>
    <s v="OK"/>
    <s v="Late Delivery"/>
    <s v="OK"/>
    <n v="0"/>
    <n v="0"/>
    <n v="0"/>
    <n v="0"/>
    <n v="0"/>
    <n v="0"/>
    <n v="1"/>
    <n v="0"/>
    <x v="3"/>
  </r>
  <r>
    <s v="PO1197"/>
    <x v="17"/>
    <d v="2026-04-01T00:00:00"/>
    <n v="122"/>
    <n v="129.13999999999999"/>
    <s v="Thomas Lefèvre"/>
    <d v="2026-04-14T00:00:00"/>
    <n v="122"/>
    <d v="2026-04-16T00:00:00"/>
    <s v="INV5207"/>
    <n v="122"/>
    <n v="129.13999999999999"/>
    <d v="2026-04-15T00:00:00"/>
    <s v="OK"/>
    <s v="OK"/>
    <s v="OK"/>
    <s v="OK"/>
    <s v="OK"/>
    <s v="OK"/>
    <s v="Late Delivery"/>
    <s v="OK"/>
    <n v="0"/>
    <n v="0"/>
    <n v="0"/>
    <n v="0"/>
    <n v="0"/>
    <n v="0"/>
    <n v="1"/>
    <n v="0"/>
    <x v="1"/>
  </r>
  <r>
    <s v="PO1199"/>
    <x v="47"/>
    <d v="2026-04-23T00:00:00"/>
    <n v="27"/>
    <n v="118.02"/>
    <s v="Victor Popescu"/>
    <d v="2026-05-02T00:00:00"/>
    <n v="27"/>
    <d v="2026-05-20T00:00:00"/>
    <s v="INV5209"/>
    <n v="27"/>
    <n v="118.02"/>
    <d v="2026-05-04T00:00:00"/>
    <s v="OK"/>
    <s v="OK"/>
    <s v="OK"/>
    <s v="OK"/>
    <s v="OK"/>
    <s v="OK"/>
    <s v="Late Delivery"/>
    <s v="OK"/>
    <n v="0"/>
    <n v="0"/>
    <n v="0"/>
    <n v="0"/>
    <n v="0"/>
    <n v="0"/>
    <n v="1"/>
    <n v="0"/>
    <x v="1"/>
  </r>
  <r>
    <s v="PO1200"/>
    <x v="10"/>
    <d v="2026-03-17T00:00:00"/>
    <n v="177"/>
    <n v="150.76"/>
    <s v="Lukas Müller"/>
    <d v="2026-03-28T00:00:00"/>
    <n v="177"/>
    <d v="2026-03-28T00:00:00"/>
    <s v="INV5210"/>
    <n v="177"/>
    <n v="150.76"/>
    <d v="2026-04-02T00:00:00"/>
    <s v="OK"/>
    <s v="OK"/>
    <s v="OK"/>
    <s v="OK"/>
    <s v="OK"/>
    <s v="OK"/>
    <s v="OK"/>
    <s v="OK"/>
    <n v="0"/>
    <n v="0"/>
    <n v="0"/>
    <n v="0"/>
    <n v="0"/>
    <n v="0"/>
    <n v="0"/>
    <n v="0"/>
    <x v="2"/>
  </r>
  <r>
    <s v="PO1189"/>
    <x v="37"/>
    <d v="2026-05-30T00:00:00"/>
    <n v="83"/>
    <n v="50.28"/>
    <s v="Katarina Jovanović"/>
    <d v="2026-06-12T00:00:00"/>
    <m/>
    <m/>
    <s v="INV5199"/>
    <n v="83"/>
    <n v="50.28"/>
    <d v="2026-06-21T00:00:00"/>
    <s v="OK"/>
    <s v="No GR - Not received"/>
    <s v="OK"/>
    <s v="OK"/>
    <s v="OK"/>
    <s v="OK"/>
    <s v="OK"/>
    <s v="OK"/>
    <n v="0"/>
    <n v="1"/>
    <n v="0"/>
    <n v="0"/>
    <n v="0"/>
    <n v="0"/>
    <n v="0"/>
    <n v="0"/>
    <x v="3"/>
  </r>
  <r>
    <s v="PO1201"/>
    <x v="1"/>
    <d v="2026-05-19T00:00:00"/>
    <n v="458"/>
    <n v="194.44"/>
    <s v="Clara Silva"/>
    <d v="2026-06-09T00:00:00"/>
    <n v="458"/>
    <d v="2026-06-08T00:00:00"/>
    <s v="INV5211"/>
    <n v="458"/>
    <n v="194.44"/>
    <d v="2026-06-18T00:00:00"/>
    <s v="OK"/>
    <s v="OK"/>
    <s v="OK"/>
    <s v="OK"/>
    <s v="OK"/>
    <s v="OK"/>
    <s v="OK"/>
    <s v="OK"/>
    <n v="0"/>
    <n v="0"/>
    <n v="0"/>
    <n v="0"/>
    <n v="0"/>
    <n v="0"/>
    <n v="0"/>
    <n v="0"/>
    <x v="3"/>
  </r>
  <r>
    <s v="PO1202"/>
    <x v="46"/>
    <d v="2026-02-12T00:00:00"/>
    <n v="141"/>
    <n v="183.24"/>
    <s v="Andreas Weber"/>
    <d v="2026-02-26T00:00:00"/>
    <n v="141"/>
    <d v="2026-02-27T00:00:00"/>
    <s v="INV5212"/>
    <n v="141"/>
    <n v="183.24"/>
    <d v="2026-03-04T00:00:00"/>
    <s v="OK"/>
    <s v="OK"/>
    <s v="OK"/>
    <s v="OK"/>
    <s v="OK"/>
    <s v="OK"/>
    <s v="Late Delivery"/>
    <s v="OK"/>
    <n v="0"/>
    <n v="0"/>
    <n v="0"/>
    <n v="0"/>
    <n v="0"/>
    <n v="0"/>
    <n v="1"/>
    <n v="0"/>
    <x v="4"/>
  </r>
  <r>
    <s v="PO1203"/>
    <x v="15"/>
    <d v="2026-03-28T00:00:00"/>
    <n v="421"/>
    <n v="27.46"/>
    <s v="Camila Cantrell"/>
    <d v="2026-04-06T00:00:00"/>
    <n v="421"/>
    <d v="2026-04-05T00:00:00"/>
    <s v="INV5213"/>
    <n v="421"/>
    <n v="27.46"/>
    <d v="2026-04-14T00:00:00"/>
    <s v="OK"/>
    <s v="OK"/>
    <s v="OK"/>
    <s v="OK"/>
    <s v="OK"/>
    <s v="OK"/>
    <s v="OK"/>
    <s v="OK"/>
    <n v="0"/>
    <n v="0"/>
    <n v="0"/>
    <n v="0"/>
    <n v="0"/>
    <n v="0"/>
    <n v="0"/>
    <n v="0"/>
    <x v="2"/>
  </r>
  <r>
    <s v="PO1204"/>
    <x v="4"/>
    <d v="2026-04-12T00:00:00"/>
    <n v="443"/>
    <n v="161.88999999999999"/>
    <s v="Jakub Novák"/>
    <d v="2026-04-19T00:00:00"/>
    <n v="443"/>
    <d v="2026-04-25T00:00:00"/>
    <s v="INV5214"/>
    <n v="443"/>
    <n v="161.88999999999999"/>
    <d v="2026-04-25T00:00:00"/>
    <s v="OK"/>
    <s v="OK"/>
    <s v="OK"/>
    <s v="OK"/>
    <s v="OK"/>
    <s v="OK"/>
    <s v="Late Delivery"/>
    <s v="OK"/>
    <n v="0"/>
    <n v="0"/>
    <n v="0"/>
    <n v="0"/>
    <n v="0"/>
    <n v="0"/>
    <n v="1"/>
    <n v="0"/>
    <x v="1"/>
  </r>
  <r>
    <s v="PO1205"/>
    <x v="29"/>
    <d v="2026-01-04T00:00:00"/>
    <n v="145"/>
    <n v="109.63"/>
    <s v="Ingrid Hansen"/>
    <d v="2026-01-20T00:00:00"/>
    <n v="145"/>
    <d v="2026-01-19T00:00:00"/>
    <s v="INV5215"/>
    <n v="145"/>
    <n v="109.63"/>
    <d v="2026-01-30T00:00:00"/>
    <s v="OK"/>
    <s v="OK"/>
    <s v="OK"/>
    <s v="OK"/>
    <s v="OK"/>
    <s v="OK"/>
    <s v="OK"/>
    <s v="OK"/>
    <n v="0"/>
    <n v="0"/>
    <n v="0"/>
    <n v="0"/>
    <n v="0"/>
    <n v="0"/>
    <n v="0"/>
    <n v="0"/>
    <x v="0"/>
  </r>
  <r>
    <s v="PO1206"/>
    <x v="12"/>
    <d v="2026-03-09T00:00:00"/>
    <n v="309"/>
    <n v="79.3"/>
    <s v="Katarina Jovanović"/>
    <d v="2026-03-25T00:00:00"/>
    <n v="299"/>
    <d v="2026-03-26T00:00:00"/>
    <s v="INV5216"/>
    <n v="309"/>
    <n v="79.3"/>
    <d v="2026-03-28T00:00:00"/>
    <s v="OK"/>
    <s v="OK"/>
    <s v="OK"/>
    <s v="OK"/>
    <s v="Qty Variance"/>
    <s v="OK"/>
    <s v="Late Delivery"/>
    <s v="OK"/>
    <n v="0"/>
    <n v="0"/>
    <n v="0"/>
    <n v="0"/>
    <n v="1"/>
    <n v="0"/>
    <n v="1"/>
    <n v="0"/>
    <x v="2"/>
  </r>
  <r>
    <s v="PO1207"/>
    <x v="6"/>
    <d v="2026-03-01T00:00:00"/>
    <n v="251"/>
    <n v="9.8800000000000008"/>
    <s v="Pavel Horák"/>
    <d v="2026-03-16T00:00:00"/>
    <n v="251"/>
    <d v="2026-03-15T00:00:00"/>
    <s v="INV5217"/>
    <n v="251"/>
    <n v="11.08"/>
    <d v="2026-03-17T00:00:00"/>
    <s v="OK"/>
    <s v="OK"/>
    <s v="OK"/>
    <s v="OK"/>
    <s v="OK"/>
    <s v="Price Variance"/>
    <s v="OK"/>
    <s v="OK"/>
    <n v="0"/>
    <n v="0"/>
    <n v="0"/>
    <n v="0"/>
    <n v="0"/>
    <n v="1"/>
    <n v="0"/>
    <n v="0"/>
    <x v="2"/>
  </r>
  <r>
    <s v="PO1208"/>
    <x v="36"/>
    <d v="2026-02-26T00:00:00"/>
    <n v="341"/>
    <n v="17.329999999999998"/>
    <s v="Ingrid Hansen"/>
    <d v="2026-03-12T00:00:00"/>
    <n v="341"/>
    <d v="2026-03-13T00:00:00"/>
    <s v="INV5218"/>
    <n v="341"/>
    <n v="17.329999999999998"/>
    <d v="2026-03-20T00:00:00"/>
    <s v="OK"/>
    <s v="OK"/>
    <s v="OK"/>
    <s v="OK"/>
    <s v="OK"/>
    <s v="OK"/>
    <s v="Late Delivery"/>
    <s v="OK"/>
    <n v="0"/>
    <n v="0"/>
    <n v="0"/>
    <n v="0"/>
    <n v="0"/>
    <n v="0"/>
    <n v="1"/>
    <n v="0"/>
    <x v="4"/>
  </r>
  <r>
    <s v="PO1198"/>
    <x v="12"/>
    <d v="2026-02-05T00:00:00"/>
    <n v="331"/>
    <n v="23.95"/>
    <s v="Katarina Jovanović"/>
    <d v="2026-02-11T00:00:00"/>
    <m/>
    <m/>
    <s v="INV5208"/>
    <n v="331"/>
    <n v="23.95"/>
    <d v="2026-02-13T00:00:00"/>
    <s v="OK"/>
    <s v="No GR - Not received"/>
    <s v="OK"/>
    <s v="OK"/>
    <s v="OK"/>
    <s v="OK"/>
    <s v="OK"/>
    <s v="OK"/>
    <n v="0"/>
    <n v="1"/>
    <n v="0"/>
    <n v="0"/>
    <n v="0"/>
    <n v="0"/>
    <n v="0"/>
    <n v="0"/>
    <x v="4"/>
  </r>
  <r>
    <s v="PO1209"/>
    <x v="43"/>
    <d v="2026-04-15T00:00:00"/>
    <n v="69"/>
    <n v="32.26"/>
    <s v="A. Nagy"/>
    <d v="2026-04-29T00:00:00"/>
    <n v="69"/>
    <d v="2026-04-27T00:00:00"/>
    <s v="INV5219"/>
    <n v="69"/>
    <n v="32.26"/>
    <d v="2026-05-01T00:00:00"/>
    <s v="OK"/>
    <s v="OK"/>
    <s v="OK"/>
    <s v="OK"/>
    <s v="OK"/>
    <s v="OK"/>
    <s v="OK"/>
    <s v="OK"/>
    <n v="0"/>
    <n v="0"/>
    <n v="0"/>
    <n v="0"/>
    <n v="0"/>
    <n v="0"/>
    <n v="0"/>
    <n v="0"/>
    <x v="1"/>
  </r>
  <r>
    <s v="PO1210"/>
    <x v="37"/>
    <d v="2026-01-30T00:00:00"/>
    <n v="59"/>
    <n v="50.79"/>
    <s v="Pavel Horák"/>
    <d v="2026-02-08T00:00:00"/>
    <n v="59"/>
    <d v="2026-02-08T00:00:00"/>
    <s v="INV5220"/>
    <n v="59"/>
    <n v="50.79"/>
    <d v="2026-02-16T00:00:00"/>
    <s v="OK"/>
    <s v="OK"/>
    <s v="OK"/>
    <s v="OK"/>
    <s v="OK"/>
    <s v="OK"/>
    <s v="OK"/>
    <s v="OK"/>
    <n v="0"/>
    <n v="0"/>
    <n v="0"/>
    <n v="0"/>
    <n v="0"/>
    <n v="0"/>
    <n v="0"/>
    <n v="0"/>
    <x v="0"/>
  </r>
  <r>
    <s v="PO1211"/>
    <x v="39"/>
    <d v="2026-04-27T00:00:00"/>
    <n v="199"/>
    <n v="135.74"/>
    <s v="Victor Popescu"/>
    <d v="2026-05-15T00:00:00"/>
    <n v="199"/>
    <d v="2026-05-17T00:00:00"/>
    <s v="INV5221"/>
    <n v="199"/>
    <n v="135.74"/>
    <d v="2026-05-22T00:00:00"/>
    <s v="OK"/>
    <s v="OK"/>
    <s v="OK"/>
    <s v="OK"/>
    <s v="OK"/>
    <s v="OK"/>
    <s v="Late Delivery"/>
    <s v="OK"/>
    <n v="0"/>
    <n v="0"/>
    <n v="0"/>
    <n v="0"/>
    <n v="0"/>
    <n v="0"/>
    <n v="1"/>
    <n v="0"/>
    <x v="1"/>
  </r>
  <r>
    <s v="PO1212"/>
    <x v="2"/>
    <d v="2026-02-09T00:00:00"/>
    <n v="463"/>
    <n v="85.9"/>
    <s v="Haley Rivas"/>
    <d v="2026-03-01T00:00:00"/>
    <n v="463"/>
    <d v="2026-02-27T00:00:00"/>
    <s v="INV5222"/>
    <n v="463"/>
    <n v="85.9"/>
    <d v="2026-03-04T00:00:00"/>
    <s v="OK"/>
    <s v="OK"/>
    <s v="OK"/>
    <s v="OK"/>
    <s v="OK"/>
    <s v="OK"/>
    <s v="OK"/>
    <s v="OK"/>
    <n v="0"/>
    <n v="0"/>
    <n v="0"/>
    <n v="0"/>
    <n v="0"/>
    <n v="0"/>
    <n v="0"/>
    <n v="0"/>
    <x v="4"/>
  </r>
  <r>
    <s v="PO1213"/>
    <x v="36"/>
    <d v="2026-04-15T00:00:00"/>
    <n v="490"/>
    <n v="190.55"/>
    <s v="A. Nagy"/>
    <d v="2026-05-01T00:00:00"/>
    <n v="490"/>
    <d v="2026-05-01T00:00:00"/>
    <s v="INV5223"/>
    <n v="490"/>
    <n v="190.55"/>
    <d v="2026-05-02T00:00:00"/>
    <s v="OK"/>
    <s v="OK"/>
    <s v="OK"/>
    <s v="OK"/>
    <s v="OK"/>
    <s v="OK"/>
    <s v="OK"/>
    <s v="OK"/>
    <n v="0"/>
    <n v="0"/>
    <n v="0"/>
    <n v="0"/>
    <n v="0"/>
    <n v="0"/>
    <n v="0"/>
    <n v="0"/>
    <x v="1"/>
  </r>
  <r>
    <s v="PO1215"/>
    <x v="12"/>
    <d v="2026-04-05T00:00:00"/>
    <n v="288"/>
    <n v="180.83"/>
    <s v="Katarina Jovanović"/>
    <d v="2026-04-21T00:00:00"/>
    <n v="288"/>
    <d v="2026-04-20T00:00:00"/>
    <s v="INV5225"/>
    <n v="288"/>
    <n v="180.83"/>
    <d v="2026-04-22T00:00:00"/>
    <s v="OK"/>
    <s v="OK"/>
    <s v="OK"/>
    <s v="OK"/>
    <s v="OK"/>
    <s v="OK"/>
    <s v="OK"/>
    <s v="OK"/>
    <n v="0"/>
    <n v="0"/>
    <n v="0"/>
    <n v="0"/>
    <n v="0"/>
    <n v="0"/>
    <n v="0"/>
    <n v="0"/>
    <x v="1"/>
  </r>
  <r>
    <s v="PO1216"/>
    <x v="21"/>
    <d v="2026-04-12T00:00:00"/>
    <n v="151"/>
    <n v="42.01"/>
    <s v="Haley Rivas"/>
    <d v="2026-05-01T00:00:00"/>
    <n v="151"/>
    <d v="2026-05-01T00:00:00"/>
    <s v="INV5226"/>
    <n v="151"/>
    <n v="42.01"/>
    <d v="2026-05-07T00:00:00"/>
    <s v="OK"/>
    <s v="OK"/>
    <s v="OK"/>
    <s v="OK"/>
    <s v="OK"/>
    <s v="OK"/>
    <s v="OK"/>
    <s v="OK"/>
    <n v="0"/>
    <n v="0"/>
    <n v="0"/>
    <n v="0"/>
    <n v="0"/>
    <n v="0"/>
    <n v="0"/>
    <n v="0"/>
    <x v="1"/>
  </r>
  <r>
    <s v="PO1217"/>
    <x v="10"/>
    <d v="2026-02-24T00:00:00"/>
    <n v="338"/>
    <n v="129.69999999999999"/>
    <s v="J. Kovacs"/>
    <d v="2026-03-02T00:00:00"/>
    <n v="338"/>
    <d v="2026-03-01T00:00:00"/>
    <s v="INV5227"/>
    <n v="338"/>
    <n v="129.69999999999999"/>
    <d v="2026-03-07T00:00:00"/>
    <s v="OK"/>
    <s v="OK"/>
    <s v="OK"/>
    <s v="OK"/>
    <s v="OK"/>
    <s v="OK"/>
    <s v="OK"/>
    <s v="OK"/>
    <n v="0"/>
    <n v="0"/>
    <n v="0"/>
    <n v="0"/>
    <n v="0"/>
    <n v="0"/>
    <n v="0"/>
    <n v="0"/>
    <x v="4"/>
  </r>
  <r>
    <s v="PO1218"/>
    <x v="24"/>
    <d v="2026-03-04T00:00:00"/>
    <n v="74"/>
    <n v="158.46"/>
    <s v="Sofia Rossi"/>
    <d v="2026-03-11T00:00:00"/>
    <n v="74"/>
    <d v="2026-03-25T00:00:00"/>
    <s v="INV5228"/>
    <n v="74"/>
    <n v="158.46"/>
    <d v="2026-03-19T00:00:00"/>
    <s v="OK"/>
    <s v="OK"/>
    <s v="OK"/>
    <s v="OK"/>
    <s v="OK"/>
    <s v="OK"/>
    <s v="Late Delivery"/>
    <s v="OK"/>
    <n v="0"/>
    <n v="0"/>
    <n v="0"/>
    <n v="0"/>
    <n v="0"/>
    <n v="0"/>
    <n v="1"/>
    <n v="0"/>
    <x v="2"/>
  </r>
  <r>
    <s v="PO1219"/>
    <x v="8"/>
    <d v="2026-02-23T00:00:00"/>
    <n v="310"/>
    <n v="47.11"/>
    <s v="Mateo García"/>
    <d v="2026-03-10T00:00:00"/>
    <n v="310"/>
    <d v="2026-03-26T00:00:00"/>
    <s v="INV5229"/>
    <n v="310"/>
    <n v="52.95"/>
    <d v="2026-03-20T00:00:00"/>
    <s v="OK"/>
    <s v="OK"/>
    <s v="OK"/>
    <s v="OK"/>
    <s v="OK"/>
    <s v="Price Variance"/>
    <s v="Late Delivery"/>
    <s v="OK"/>
    <n v="0"/>
    <n v="0"/>
    <n v="0"/>
    <n v="0"/>
    <n v="0"/>
    <n v="1"/>
    <n v="1"/>
    <n v="0"/>
    <x v="4"/>
  </r>
  <r>
    <s v="PO1220"/>
    <x v="14"/>
    <d v="2026-01-01T00:00:00"/>
    <n v="151"/>
    <n v="172.39"/>
    <s v="Winter Underwood"/>
    <d v="2026-01-10T00:00:00"/>
    <n v="151"/>
    <d v="2026-01-12T00:00:00"/>
    <s v="INV5230"/>
    <n v="151"/>
    <n v="172.39"/>
    <d v="2026-01-17T00:00:00"/>
    <s v="OK"/>
    <s v="OK"/>
    <s v="OK"/>
    <s v="OK"/>
    <s v="OK"/>
    <s v="OK"/>
    <s v="Late Delivery"/>
    <s v="OK"/>
    <n v="0"/>
    <n v="0"/>
    <n v="0"/>
    <n v="0"/>
    <n v="0"/>
    <n v="0"/>
    <n v="1"/>
    <n v="0"/>
    <x v="0"/>
  </r>
  <r>
    <s v="PO1222"/>
    <x v="1"/>
    <d v="2026-01-04T00:00:00"/>
    <n v="193"/>
    <n v="159.05000000000001"/>
    <s v="Mateo García"/>
    <d v="2026-01-19T00:00:00"/>
    <n v="193"/>
    <d v="2026-01-17T00:00:00"/>
    <s v="INV5232"/>
    <n v="193"/>
    <n v="159.05000000000001"/>
    <d v="2026-01-29T00:00:00"/>
    <s v="OK"/>
    <s v="OK"/>
    <s v="OK"/>
    <s v="OK"/>
    <s v="OK"/>
    <s v="OK"/>
    <s v="OK"/>
    <s v="OK"/>
    <n v="0"/>
    <n v="0"/>
    <n v="0"/>
    <n v="0"/>
    <n v="0"/>
    <n v="0"/>
    <n v="0"/>
    <n v="0"/>
    <x v="0"/>
  </r>
  <r>
    <s v="PO1223"/>
    <x v="20"/>
    <d v="2026-02-14T00:00:00"/>
    <n v="145"/>
    <n v="15.22"/>
    <s v="Victor Popescu"/>
    <d v="2026-03-04T00:00:00"/>
    <n v="145"/>
    <d v="2026-03-04T00:00:00"/>
    <s v="INV5233"/>
    <n v="145"/>
    <n v="15.22"/>
    <d v="2026-03-07T00:00:00"/>
    <s v="OK"/>
    <s v="OK"/>
    <s v="OK"/>
    <s v="OK"/>
    <s v="OK"/>
    <s v="OK"/>
    <s v="OK"/>
    <s v="OK"/>
    <n v="0"/>
    <n v="0"/>
    <n v="0"/>
    <n v="0"/>
    <n v="0"/>
    <n v="0"/>
    <n v="0"/>
    <n v="0"/>
    <x v="4"/>
  </r>
  <r>
    <s v="PO1224"/>
    <x v="31"/>
    <d v="2026-01-30T00:00:00"/>
    <n v="391"/>
    <n v="17.39"/>
    <s v="Ingrid Hansen"/>
    <d v="2026-02-15T00:00:00"/>
    <n v="391"/>
    <d v="2026-02-16T00:00:00"/>
    <s v="INV5234"/>
    <n v="391"/>
    <n v="17.39"/>
    <d v="2026-02-17T00:00:00"/>
    <s v="OK"/>
    <s v="OK"/>
    <s v="OK"/>
    <s v="OK"/>
    <s v="OK"/>
    <s v="OK"/>
    <s v="Late Delivery"/>
    <s v="OK"/>
    <n v="0"/>
    <n v="0"/>
    <n v="0"/>
    <n v="0"/>
    <n v="0"/>
    <n v="0"/>
    <n v="1"/>
    <n v="0"/>
    <x v="0"/>
  </r>
  <r>
    <s v="PO1225"/>
    <x v="3"/>
    <d v="2026-01-28T00:00:00"/>
    <n v="241"/>
    <n v="103.25"/>
    <s v="Thomas Lefèvre"/>
    <d v="2026-02-03T00:00:00"/>
    <n v="241"/>
    <d v="2026-02-02T00:00:00"/>
    <s v="INV5235"/>
    <n v="241"/>
    <n v="103.25"/>
    <d v="2026-02-07T00:00:00"/>
    <s v="OK"/>
    <s v="OK"/>
    <s v="OK"/>
    <s v="OK"/>
    <s v="OK"/>
    <s v="OK"/>
    <s v="OK"/>
    <s v="OK"/>
    <n v="0"/>
    <n v="0"/>
    <n v="0"/>
    <n v="0"/>
    <n v="0"/>
    <n v="0"/>
    <n v="0"/>
    <n v="0"/>
    <x v="0"/>
  </r>
  <r>
    <s v="PO1214"/>
    <x v="13"/>
    <d v="2026-04-24T00:00:00"/>
    <n v="237"/>
    <n v="190.36"/>
    <s v="Jakub Novák"/>
    <d v="2026-05-02T00:00:00"/>
    <m/>
    <m/>
    <s v="INV5224"/>
    <n v="237"/>
    <n v="190.36"/>
    <d v="2026-05-06T00:00:00"/>
    <s v="OK"/>
    <s v="No GR - Not received"/>
    <s v="OK"/>
    <s v="OK"/>
    <s v="OK"/>
    <s v="OK"/>
    <s v="OK"/>
    <s v="OK"/>
    <n v="0"/>
    <n v="1"/>
    <n v="0"/>
    <n v="0"/>
    <n v="0"/>
    <n v="0"/>
    <n v="0"/>
    <n v="0"/>
    <x v="1"/>
  </r>
  <r>
    <s v="PO1226"/>
    <x v="22"/>
    <d v="2026-05-14T00:00:00"/>
    <n v="164"/>
    <n v="94.32"/>
    <s v="J. Kovacs"/>
    <d v="2026-05-20T00:00:00"/>
    <n v="164"/>
    <d v="2026-05-20T00:00:00"/>
    <s v="INV5236"/>
    <n v="164"/>
    <n v="94.32"/>
    <d v="2026-05-25T00:00:00"/>
    <s v="OK"/>
    <s v="OK"/>
    <s v="OK"/>
    <s v="OK"/>
    <s v="OK"/>
    <s v="OK"/>
    <s v="OK"/>
    <s v="OK"/>
    <n v="0"/>
    <n v="0"/>
    <n v="0"/>
    <n v="0"/>
    <n v="0"/>
    <n v="0"/>
    <n v="0"/>
    <n v="0"/>
    <x v="3"/>
  </r>
  <r>
    <s v="PO1227"/>
    <x v="44"/>
    <d v="2026-04-13T00:00:00"/>
    <n v="228"/>
    <n v="138.79"/>
    <s v="Andreas Weber"/>
    <d v="2026-05-02T00:00:00"/>
    <n v="228"/>
    <d v="2026-05-01T00:00:00"/>
    <s v="INV5237"/>
    <n v="228"/>
    <n v="138.79"/>
    <d v="2026-05-11T00:00:00"/>
    <s v="OK"/>
    <s v="OK"/>
    <s v="OK"/>
    <s v="OK"/>
    <s v="OK"/>
    <s v="OK"/>
    <s v="OK"/>
    <s v="OK"/>
    <n v="0"/>
    <n v="0"/>
    <n v="0"/>
    <n v="0"/>
    <n v="0"/>
    <n v="0"/>
    <n v="0"/>
    <n v="0"/>
    <x v="1"/>
  </r>
  <r>
    <s v="PO1228"/>
    <x v="32"/>
    <d v="2026-01-21T00:00:00"/>
    <n v="174"/>
    <n v="123.62"/>
    <s v="Camila Cantrell"/>
    <d v="2026-01-30T00:00:00"/>
    <n v="174"/>
    <d v="2026-01-29T00:00:00"/>
    <s v="INV5238"/>
    <n v="174"/>
    <n v="123.62"/>
    <d v="2026-02-07T00:00:00"/>
    <s v="OK"/>
    <s v="OK"/>
    <s v="OK"/>
    <s v="OK"/>
    <s v="OK"/>
    <s v="OK"/>
    <s v="OK"/>
    <s v="Duplicate Invoice"/>
    <n v="0"/>
    <n v="0"/>
    <n v="0"/>
    <n v="0"/>
    <n v="0"/>
    <n v="0"/>
    <n v="0"/>
    <n v="1"/>
    <x v="0"/>
  </r>
  <r>
    <s v="PO1228"/>
    <x v="32"/>
    <d v="2026-01-21T00:00:00"/>
    <n v="174"/>
    <n v="123.62"/>
    <s v="Camila Cantrell"/>
    <d v="2026-01-30T00:00:00"/>
    <n v="174"/>
    <d v="2026-01-29T00:00:00"/>
    <s v="INV5239"/>
    <n v="174"/>
    <n v="123.62"/>
    <d v="2026-02-11T00:00:00"/>
    <s v="OK"/>
    <s v="OK"/>
    <s v="OK"/>
    <s v="OK"/>
    <s v="OK"/>
    <s v="OK"/>
    <s v="OK"/>
    <s v="Duplicate Invoice"/>
    <n v="0"/>
    <n v="0"/>
    <n v="0"/>
    <n v="0"/>
    <n v="0"/>
    <n v="0"/>
    <n v="0"/>
    <n v="1"/>
    <x v="0"/>
  </r>
  <r>
    <s v="PO1229"/>
    <x v="46"/>
    <d v="2026-05-30T00:00:00"/>
    <n v="290"/>
    <n v="143.87"/>
    <s v="Laura Schmidt"/>
    <d v="2026-06-20T00:00:00"/>
    <n v="290"/>
    <d v="2026-06-22T00:00:00"/>
    <s v="INV5240"/>
    <n v="290"/>
    <n v="143.87"/>
    <d v="2026-06-21T00:00:00"/>
    <s v="OK"/>
    <s v="OK"/>
    <s v="OK"/>
    <s v="OK"/>
    <s v="OK"/>
    <s v="OK"/>
    <s v="Late Delivery"/>
    <s v="OK"/>
    <n v="0"/>
    <n v="0"/>
    <n v="0"/>
    <n v="0"/>
    <n v="0"/>
    <n v="0"/>
    <n v="1"/>
    <n v="0"/>
    <x v="3"/>
  </r>
  <r>
    <s v="PO1230"/>
    <x v="42"/>
    <d v="2026-04-27T00:00:00"/>
    <n v="268"/>
    <n v="123.06"/>
    <s v="Haley Rivas"/>
    <d v="2026-05-05T00:00:00"/>
    <n v="268"/>
    <d v="2026-05-04T00:00:00"/>
    <s v="INV5241"/>
    <n v="268"/>
    <n v="123.06"/>
    <d v="2026-05-12T00:00:00"/>
    <s v="OK"/>
    <s v="OK"/>
    <s v="OK"/>
    <s v="OK"/>
    <s v="OK"/>
    <s v="OK"/>
    <s v="OK"/>
    <s v="OK"/>
    <n v="0"/>
    <n v="0"/>
    <n v="0"/>
    <n v="0"/>
    <n v="0"/>
    <n v="0"/>
    <n v="0"/>
    <n v="0"/>
    <x v="1"/>
  </r>
  <r>
    <s v="PO1231"/>
    <x v="43"/>
    <d v="2026-05-22T00:00:00"/>
    <n v="379"/>
    <n v="173.77"/>
    <s v="Marco Bianchi"/>
    <d v="2026-06-10T00:00:00"/>
    <n v="379"/>
    <d v="2026-06-08T00:00:00"/>
    <s v="INV5242"/>
    <n v="379"/>
    <n v="173.77"/>
    <d v="2026-06-18T00:00:00"/>
    <s v="OK"/>
    <s v="OK"/>
    <s v="OK"/>
    <s v="OK"/>
    <s v="OK"/>
    <s v="OK"/>
    <s v="OK"/>
    <s v="OK"/>
    <n v="0"/>
    <n v="0"/>
    <n v="0"/>
    <n v="0"/>
    <n v="0"/>
    <n v="0"/>
    <n v="0"/>
    <n v="0"/>
    <x v="3"/>
  </r>
  <r>
    <s v="PO1232"/>
    <x v="4"/>
    <d v="2026-04-16T00:00:00"/>
    <n v="183"/>
    <n v="166.35"/>
    <s v="Laura Schmidt"/>
    <d v="2026-05-04T00:00:00"/>
    <n v="183"/>
    <d v="2026-05-04T00:00:00"/>
    <s v="INV5243"/>
    <n v="183"/>
    <n v="166.35"/>
    <d v="2026-05-05T00:00:00"/>
    <s v="OK"/>
    <s v="OK"/>
    <s v="OK"/>
    <s v="OK"/>
    <s v="OK"/>
    <s v="OK"/>
    <s v="OK"/>
    <s v="OK"/>
    <n v="0"/>
    <n v="0"/>
    <n v="0"/>
    <n v="0"/>
    <n v="0"/>
    <n v="0"/>
    <n v="0"/>
    <n v="0"/>
    <x v="1"/>
  </r>
  <r>
    <s v="PO1221"/>
    <x v="19"/>
    <d v="2026-03-06T00:00:00"/>
    <n v="418"/>
    <n v="39.03"/>
    <s v="Felix Bauer"/>
    <d v="2026-03-11T00:00:00"/>
    <m/>
    <m/>
    <s v="INV5231"/>
    <n v="418"/>
    <n v="39.03"/>
    <d v="2026-03-20T00:00:00"/>
    <s v="OK"/>
    <s v="No GR - Not received"/>
    <s v="OK"/>
    <s v="OK"/>
    <s v="OK"/>
    <s v="OK"/>
    <s v="OK"/>
    <s v="OK"/>
    <n v="0"/>
    <n v="1"/>
    <n v="0"/>
    <n v="0"/>
    <n v="0"/>
    <n v="0"/>
    <n v="0"/>
    <n v="0"/>
    <x v="2"/>
  </r>
  <r>
    <s v="PO1233"/>
    <x v="22"/>
    <d v="2026-01-25T00:00:00"/>
    <n v="170"/>
    <n v="88.22"/>
    <s v=""/>
    <d v="2026-02-07T00:00:00"/>
    <n v="184"/>
    <d v="2026-02-08T00:00:00"/>
    <s v="INV5244"/>
    <n v="170"/>
    <n v="88.22"/>
    <d v="2026-02-12T00:00:00"/>
    <s v="Missing Approval"/>
    <s v="OK"/>
    <s v="OK"/>
    <s v="OK"/>
    <s v="Qty Variance"/>
    <s v="OK"/>
    <s v="Late Delivery"/>
    <s v="OK"/>
    <n v="1"/>
    <n v="0"/>
    <n v="0"/>
    <n v="0"/>
    <n v="1"/>
    <n v="0"/>
    <n v="1"/>
    <n v="0"/>
    <x v="0"/>
  </r>
  <r>
    <s v="PO1234"/>
    <x v="35"/>
    <d v="2026-02-09T00:00:00"/>
    <n v="361"/>
    <n v="184.98"/>
    <s v="Camila Cantrell"/>
    <d v="2026-02-16T00:00:00"/>
    <n v="361"/>
    <d v="2026-02-16T00:00:00"/>
    <s v="INV5245"/>
    <n v="361"/>
    <n v="184.98"/>
    <d v="2026-02-22T00:00:00"/>
    <s v="OK"/>
    <s v="OK"/>
    <s v="OK"/>
    <s v="OK"/>
    <s v="OK"/>
    <s v="OK"/>
    <s v="OK"/>
    <s v="Duplicate Invoice"/>
    <n v="0"/>
    <n v="0"/>
    <n v="0"/>
    <n v="0"/>
    <n v="0"/>
    <n v="0"/>
    <n v="0"/>
    <n v="1"/>
    <x v="4"/>
  </r>
  <r>
    <s v="PO1234"/>
    <x v="35"/>
    <d v="2026-02-09T00:00:00"/>
    <n v="361"/>
    <n v="184.98"/>
    <s v="Camila Cantrell"/>
    <d v="2026-02-16T00:00:00"/>
    <n v="361"/>
    <d v="2026-02-16T00:00:00"/>
    <s v="INV5246"/>
    <n v="361"/>
    <n v="184.98"/>
    <d v="2026-02-24T00:00:00"/>
    <s v="OK"/>
    <s v="OK"/>
    <s v="OK"/>
    <s v="OK"/>
    <s v="OK"/>
    <s v="OK"/>
    <s v="OK"/>
    <s v="Duplicate Invoice"/>
    <n v="0"/>
    <n v="0"/>
    <n v="0"/>
    <n v="0"/>
    <n v="0"/>
    <n v="0"/>
    <n v="0"/>
    <n v="1"/>
    <x v="4"/>
  </r>
  <r>
    <s v="PO1235"/>
    <x v="10"/>
    <d v="2026-01-24T00:00:00"/>
    <n v="231"/>
    <n v="23.83"/>
    <s v="Victor Popescu"/>
    <d v="2026-02-09T00:00:00"/>
    <n v="231"/>
    <d v="2026-02-07T00:00:00"/>
    <s v="INV5247"/>
    <n v="231"/>
    <n v="23.83"/>
    <d v="2026-02-19T00:00:00"/>
    <s v="OK"/>
    <s v="OK"/>
    <s v="OK"/>
    <s v="OK"/>
    <s v="OK"/>
    <s v="OK"/>
    <s v="OK"/>
    <s v="OK"/>
    <n v="0"/>
    <n v="0"/>
    <n v="0"/>
    <n v="0"/>
    <n v="0"/>
    <n v="0"/>
    <n v="0"/>
    <n v="0"/>
    <x v="0"/>
  </r>
  <r>
    <s v="PO1236"/>
    <x v="1"/>
    <d v="2026-05-23T00:00:00"/>
    <n v="40"/>
    <n v="119.36"/>
    <s v="Pavel Horák"/>
    <d v="2026-06-07T00:00:00"/>
    <n v="40"/>
    <d v="2026-06-09T00:00:00"/>
    <s v="INV5248"/>
    <n v="40"/>
    <n v="119.36"/>
    <d v="2026-06-11T00:00:00"/>
    <s v="OK"/>
    <s v="OK"/>
    <s v="OK"/>
    <s v="OK"/>
    <s v="OK"/>
    <s v="OK"/>
    <s v="Late Delivery"/>
    <s v="OK"/>
    <n v="0"/>
    <n v="0"/>
    <n v="0"/>
    <n v="0"/>
    <n v="0"/>
    <n v="0"/>
    <n v="1"/>
    <n v="0"/>
    <x v="3"/>
  </r>
  <r>
    <s v="PO1237"/>
    <x v="27"/>
    <d v="2026-02-01T00:00:00"/>
    <n v="220"/>
    <n v="73.95"/>
    <s v="Felix Bauer"/>
    <d v="2026-02-19T00:00:00"/>
    <n v="220"/>
    <d v="2026-02-17T00:00:00"/>
    <s v="INV5249"/>
    <n v="220"/>
    <n v="73.95"/>
    <d v="2026-02-21T00:00:00"/>
    <s v="OK"/>
    <s v="OK"/>
    <s v="OK"/>
    <s v="OK"/>
    <s v="OK"/>
    <s v="OK"/>
    <s v="OK"/>
    <s v="OK"/>
    <n v="0"/>
    <n v="0"/>
    <n v="0"/>
    <n v="0"/>
    <n v="0"/>
    <n v="0"/>
    <n v="0"/>
    <n v="0"/>
    <x v="4"/>
  </r>
  <r>
    <s v="PO1238"/>
    <x v="22"/>
    <d v="2026-01-14T00:00:00"/>
    <n v="157"/>
    <n v="122.08"/>
    <s v="Jakub Novák"/>
    <d v="2026-01-22T00:00:00"/>
    <n v="157"/>
    <d v="2026-01-24T00:00:00"/>
    <s v="INV5250"/>
    <n v="157"/>
    <n v="122.08"/>
    <d v="2026-01-28T00:00:00"/>
    <s v="OK"/>
    <s v="OK"/>
    <s v="OK"/>
    <s v="OK"/>
    <s v="OK"/>
    <s v="OK"/>
    <s v="Late Delivery"/>
    <s v="OK"/>
    <n v="0"/>
    <n v="0"/>
    <n v="0"/>
    <n v="0"/>
    <n v="0"/>
    <n v="0"/>
    <n v="1"/>
    <n v="0"/>
    <x v="0"/>
  </r>
  <r>
    <s v="PO1239"/>
    <x v="33"/>
    <d v="2026-05-10T00:00:00"/>
    <n v="118"/>
    <n v="35.17"/>
    <s v="Andreas Weber"/>
    <d v="2026-05-22T00:00:00"/>
    <n v="118"/>
    <d v="2026-05-21T00:00:00"/>
    <s v="INV5251"/>
    <n v="118"/>
    <n v="35.17"/>
    <d v="2026-05-24T00:00:00"/>
    <s v="OK"/>
    <s v="OK"/>
    <s v="OK"/>
    <s v="OK"/>
    <s v="OK"/>
    <s v="OK"/>
    <s v="OK"/>
    <s v="Duplicate Invoice"/>
    <n v="0"/>
    <n v="0"/>
    <n v="0"/>
    <n v="0"/>
    <n v="0"/>
    <n v="0"/>
    <n v="0"/>
    <n v="1"/>
    <x v="3"/>
  </r>
  <r>
    <s v="PO1239"/>
    <x v="33"/>
    <d v="2026-05-10T00:00:00"/>
    <n v="118"/>
    <n v="35.17"/>
    <s v="Andreas Weber"/>
    <d v="2026-05-22T00:00:00"/>
    <n v="118"/>
    <d v="2026-05-21T00:00:00"/>
    <s v="INV5252"/>
    <n v="118"/>
    <n v="35.17"/>
    <d v="2026-05-28T00:00:00"/>
    <s v="OK"/>
    <s v="OK"/>
    <s v="OK"/>
    <s v="OK"/>
    <s v="OK"/>
    <s v="OK"/>
    <s v="OK"/>
    <s v="Duplicate Invoice"/>
    <n v="0"/>
    <n v="0"/>
    <n v="0"/>
    <n v="0"/>
    <n v="0"/>
    <n v="0"/>
    <n v="0"/>
    <n v="1"/>
    <x v="3"/>
  </r>
  <r>
    <s v="PO1240"/>
    <x v="6"/>
    <d v="2026-03-31T00:00:00"/>
    <n v="442"/>
    <n v="113.47"/>
    <s v="Haley Rivas"/>
    <d v="2026-04-13T00:00:00"/>
    <n v="442"/>
    <d v="2026-04-12T00:00:00"/>
    <s v="INV5253"/>
    <n v="442"/>
    <n v="113.47"/>
    <d v="2026-04-23T00:00:00"/>
    <s v="OK"/>
    <s v="OK"/>
    <s v="OK"/>
    <s v="OK"/>
    <s v="OK"/>
    <s v="OK"/>
    <s v="OK"/>
    <s v="OK"/>
    <n v="0"/>
    <n v="0"/>
    <n v="0"/>
    <n v="0"/>
    <n v="0"/>
    <n v="0"/>
    <n v="0"/>
    <n v="0"/>
    <x v="2"/>
  </r>
  <r>
    <s v="PO1241"/>
    <x v="33"/>
    <d v="2026-02-27T00:00:00"/>
    <n v="423"/>
    <n v="88.68"/>
    <s v="Pavel Horák"/>
    <d v="2026-03-04T00:00:00"/>
    <n v="423"/>
    <d v="2026-03-04T00:00:00"/>
    <s v="INV5254"/>
    <n v="423"/>
    <n v="88.68"/>
    <d v="2026-03-09T00:00:00"/>
    <s v="OK"/>
    <s v="OK"/>
    <s v="OK"/>
    <s v="OK"/>
    <s v="OK"/>
    <s v="OK"/>
    <s v="OK"/>
    <s v="OK"/>
    <n v="0"/>
    <n v="0"/>
    <n v="0"/>
    <n v="0"/>
    <n v="0"/>
    <n v="0"/>
    <n v="0"/>
    <n v="0"/>
    <x v="4"/>
  </r>
  <r>
    <s v="PO1242"/>
    <x v="17"/>
    <d v="2026-03-10T00:00:00"/>
    <n v="24"/>
    <n v="40.18"/>
    <s v="Marta Nowak"/>
    <d v="2026-03-24T00:00:00"/>
    <n v="24"/>
    <d v="2026-03-23T00:00:00"/>
    <s v="INV5255"/>
    <n v="24"/>
    <n v="40.18"/>
    <d v="2026-03-30T00:00:00"/>
    <s v="OK"/>
    <s v="OK"/>
    <s v="OK"/>
    <s v="OK"/>
    <s v="OK"/>
    <s v="OK"/>
    <s v="OK"/>
    <s v="OK"/>
    <n v="0"/>
    <n v="0"/>
    <n v="0"/>
    <n v="0"/>
    <n v="0"/>
    <n v="0"/>
    <n v="0"/>
    <n v="0"/>
    <x v="2"/>
  </r>
  <r>
    <s v="PO1244"/>
    <x v="32"/>
    <d v="2026-02-06T00:00:00"/>
    <n v="389"/>
    <n v="128.47"/>
    <s v="J. Kovacs"/>
    <d v="2026-02-13T00:00:00"/>
    <n v="389"/>
    <d v="2026-02-15T00:00:00"/>
    <s v="INV5257"/>
    <n v="389"/>
    <n v="128.47"/>
    <d v="2026-02-23T00:00:00"/>
    <s v="OK"/>
    <s v="OK"/>
    <s v="OK"/>
    <s v="OK"/>
    <s v="OK"/>
    <s v="OK"/>
    <s v="Late Delivery"/>
    <s v="OK"/>
    <n v="0"/>
    <n v="0"/>
    <n v="0"/>
    <n v="0"/>
    <n v="0"/>
    <n v="0"/>
    <n v="1"/>
    <n v="0"/>
    <x v="4"/>
  </r>
  <r>
    <s v="PO1245"/>
    <x v="15"/>
    <d v="2026-05-16T00:00:00"/>
    <n v="120"/>
    <n v="78.36"/>
    <s v="Ingrid Hansen"/>
    <d v="2026-05-31T00:00:00"/>
    <n v="120"/>
    <d v="2026-05-30T00:00:00"/>
    <s v="INV5258"/>
    <n v="120"/>
    <n v="78.36"/>
    <d v="2026-06-08T00:00:00"/>
    <s v="OK"/>
    <s v="OK"/>
    <s v="OK"/>
    <s v="OK"/>
    <s v="OK"/>
    <s v="OK"/>
    <s v="OK"/>
    <s v="OK"/>
    <n v="0"/>
    <n v="0"/>
    <n v="0"/>
    <n v="0"/>
    <n v="0"/>
    <n v="0"/>
    <n v="0"/>
    <n v="0"/>
    <x v="3"/>
  </r>
  <r>
    <s v="PO1246"/>
    <x v="11"/>
    <d v="2026-04-05T00:00:00"/>
    <n v="169"/>
    <n v="145.71"/>
    <s v="Eva Andersson"/>
    <d v="2026-04-12T00:00:00"/>
    <n v="169"/>
    <d v="2026-04-13T00:00:00"/>
    <s v="INV5259"/>
    <n v="169"/>
    <n v="154.32"/>
    <d v="2026-04-13T00:00:00"/>
    <s v="OK"/>
    <s v="OK"/>
    <s v="OK"/>
    <s v="OK"/>
    <s v="OK"/>
    <s v="Price Variance"/>
    <s v="Late Delivery"/>
    <s v="OK"/>
    <n v="0"/>
    <n v="0"/>
    <n v="0"/>
    <n v="0"/>
    <n v="0"/>
    <n v="1"/>
    <n v="1"/>
    <n v="0"/>
    <x v="1"/>
  </r>
  <r>
    <s v="PO1247"/>
    <x v="21"/>
    <d v="2026-02-09T00:00:00"/>
    <n v="90"/>
    <n v="152.11000000000001"/>
    <s v="A. Nagy"/>
    <d v="2026-02-16T00:00:00"/>
    <n v="90"/>
    <d v="2026-02-18T00:00:00"/>
    <s v="INV5260"/>
    <n v="90"/>
    <n v="152.11000000000001"/>
    <d v="2026-02-18T00:00:00"/>
    <s v="OK"/>
    <s v="OK"/>
    <s v="OK"/>
    <s v="OK"/>
    <s v="OK"/>
    <s v="OK"/>
    <s v="Late Delivery"/>
    <s v="OK"/>
    <n v="0"/>
    <n v="0"/>
    <n v="0"/>
    <n v="0"/>
    <n v="0"/>
    <n v="0"/>
    <n v="1"/>
    <n v="0"/>
    <x v="4"/>
  </r>
  <r>
    <s v="PO1248"/>
    <x v="46"/>
    <d v="2026-04-24T00:00:00"/>
    <n v="348"/>
    <n v="87.68"/>
    <s v="Thomas Lefèvre"/>
    <d v="2026-05-13T00:00:00"/>
    <n v="348"/>
    <d v="2026-05-11T00:00:00"/>
    <s v="INV5261"/>
    <n v="348"/>
    <n v="102.62"/>
    <d v="2026-05-14T00:00:00"/>
    <s v="OK"/>
    <s v="OK"/>
    <s v="OK"/>
    <s v="OK"/>
    <s v="OK"/>
    <s v="Price Variance"/>
    <s v="OK"/>
    <s v="OK"/>
    <n v="0"/>
    <n v="0"/>
    <n v="0"/>
    <n v="0"/>
    <n v="0"/>
    <n v="1"/>
    <n v="0"/>
    <n v="0"/>
    <x v="1"/>
  </r>
  <r>
    <s v="PO1249"/>
    <x v="34"/>
    <d v="2026-03-11T00:00:00"/>
    <n v="120"/>
    <n v="152.21"/>
    <s v="Haley Rivas"/>
    <d v="2026-03-27T00:00:00"/>
    <n v="120"/>
    <d v="2026-03-25T00:00:00"/>
    <s v="INV5262"/>
    <n v="120"/>
    <n v="152.21"/>
    <d v="2026-03-29T00:00:00"/>
    <s v="OK"/>
    <s v="OK"/>
    <s v="OK"/>
    <s v="OK"/>
    <s v="OK"/>
    <s v="OK"/>
    <s v="OK"/>
    <s v="OK"/>
    <n v="0"/>
    <n v="0"/>
    <n v="0"/>
    <n v="0"/>
    <n v="0"/>
    <n v="0"/>
    <n v="0"/>
    <n v="0"/>
    <x v="2"/>
  </r>
  <r>
    <s v="PO1250"/>
    <x v="38"/>
    <d v="2026-01-29T00:00:00"/>
    <n v="155"/>
    <n v="137.25"/>
    <s v="Emma Johansson"/>
    <d v="2026-02-18T00:00:00"/>
    <n v="155"/>
    <d v="2026-02-16T00:00:00"/>
    <s v="INV5263"/>
    <n v="155"/>
    <n v="145.19"/>
    <d v="2026-02-25T00:00:00"/>
    <s v="OK"/>
    <s v="OK"/>
    <s v="OK"/>
    <s v="OK"/>
    <s v="OK"/>
    <s v="Price Variance"/>
    <s v="OK"/>
    <s v="OK"/>
    <n v="0"/>
    <n v="0"/>
    <n v="0"/>
    <n v="0"/>
    <n v="0"/>
    <n v="1"/>
    <n v="0"/>
    <n v="0"/>
    <x v="0"/>
  </r>
  <r>
    <s v="PO1251"/>
    <x v="31"/>
    <d v="2026-03-20T00:00:00"/>
    <n v="33"/>
    <n v="48"/>
    <s v="Thomas Lefèvre"/>
    <d v="2026-03-26T00:00:00"/>
    <n v="33"/>
    <d v="2026-03-24T00:00:00"/>
    <s v="INV5264"/>
    <n v="33"/>
    <n v="48"/>
    <d v="2026-04-02T00:00:00"/>
    <s v="OK"/>
    <s v="OK"/>
    <s v="OK"/>
    <s v="OK"/>
    <s v="OK"/>
    <s v="OK"/>
    <s v="OK"/>
    <s v="OK"/>
    <n v="0"/>
    <n v="0"/>
    <n v="0"/>
    <n v="0"/>
    <n v="0"/>
    <n v="0"/>
    <n v="0"/>
    <n v="0"/>
    <x v="2"/>
  </r>
  <r>
    <s v="PO1252"/>
    <x v="25"/>
    <d v="2026-02-22T00:00:00"/>
    <n v="164"/>
    <n v="189.34"/>
    <s v="Eva Andersson"/>
    <d v="2026-03-03T00:00:00"/>
    <n v="164"/>
    <d v="2026-03-03T00:00:00"/>
    <s v="INV5265"/>
    <n v="164"/>
    <n v="189.34"/>
    <d v="2026-03-13T00:00:00"/>
    <s v="OK"/>
    <s v="OK"/>
    <s v="OK"/>
    <s v="OK"/>
    <s v="OK"/>
    <s v="OK"/>
    <s v="OK"/>
    <s v="Duplicate Invoice"/>
    <n v="0"/>
    <n v="0"/>
    <n v="0"/>
    <n v="0"/>
    <n v="0"/>
    <n v="0"/>
    <n v="0"/>
    <n v="1"/>
    <x v="4"/>
  </r>
  <r>
    <s v="PO1252"/>
    <x v="25"/>
    <d v="2026-02-22T00:00:00"/>
    <n v="164"/>
    <n v="189.34"/>
    <s v="Eva Andersson"/>
    <d v="2026-03-03T00:00:00"/>
    <n v="164"/>
    <d v="2026-03-03T00:00:00"/>
    <s v="INV5266"/>
    <n v="164"/>
    <n v="189.34"/>
    <d v="2026-03-17T00:00:00"/>
    <s v="OK"/>
    <s v="OK"/>
    <s v="OK"/>
    <s v="OK"/>
    <s v="OK"/>
    <s v="OK"/>
    <s v="OK"/>
    <s v="Duplicate Invoice"/>
    <n v="0"/>
    <n v="0"/>
    <n v="0"/>
    <n v="0"/>
    <n v="0"/>
    <n v="0"/>
    <n v="0"/>
    <n v="1"/>
    <x v="4"/>
  </r>
  <r>
    <s v="PO1253"/>
    <x v="18"/>
    <d v="2026-03-16T00:00:00"/>
    <n v="177"/>
    <n v="28.4"/>
    <s v=""/>
    <d v="2026-04-03T00:00:00"/>
    <n v="177"/>
    <d v="2026-04-01T00:00:00"/>
    <s v="INV5267"/>
    <n v="177"/>
    <n v="28.4"/>
    <d v="2026-04-10T00:00:00"/>
    <s v="Missing Approval"/>
    <s v="OK"/>
    <s v="OK"/>
    <s v="OK"/>
    <s v="OK"/>
    <s v="OK"/>
    <s v="OK"/>
    <s v="OK"/>
    <n v="1"/>
    <n v="0"/>
    <n v="0"/>
    <n v="0"/>
    <n v="0"/>
    <n v="0"/>
    <n v="0"/>
    <n v="0"/>
    <x v="2"/>
  </r>
  <r>
    <s v="PO1254"/>
    <x v="28"/>
    <d v="2026-02-03T00:00:00"/>
    <n v="204"/>
    <n v="108.85"/>
    <s v="Mateo García"/>
    <d v="2026-02-24T00:00:00"/>
    <n v="204"/>
    <d v="2026-03-04T00:00:00"/>
    <s v="INV5268"/>
    <n v="204"/>
    <n v="108.85"/>
    <d v="2026-03-02T00:00:00"/>
    <s v="OK"/>
    <s v="OK"/>
    <s v="OK"/>
    <s v="OK"/>
    <s v="OK"/>
    <s v="OK"/>
    <s v="Late Delivery"/>
    <s v="OK"/>
    <n v="0"/>
    <n v="0"/>
    <n v="0"/>
    <n v="0"/>
    <n v="0"/>
    <n v="0"/>
    <n v="1"/>
    <n v="0"/>
    <x v="4"/>
  </r>
  <r>
    <s v="PO1255"/>
    <x v="8"/>
    <d v="2026-04-01T00:00:00"/>
    <n v="46"/>
    <n v="82.43"/>
    <s v="Victor Popescu"/>
    <d v="2026-04-07T00:00:00"/>
    <n v="46"/>
    <d v="2026-04-25T00:00:00"/>
    <s v="INV5269"/>
    <n v="46"/>
    <n v="82.43"/>
    <d v="2026-04-08T00:00:00"/>
    <s v="OK"/>
    <s v="OK"/>
    <s v="OK"/>
    <s v="OK"/>
    <s v="OK"/>
    <s v="OK"/>
    <s v="Late Delivery"/>
    <s v="OK"/>
    <n v="0"/>
    <n v="0"/>
    <n v="0"/>
    <n v="0"/>
    <n v="0"/>
    <n v="0"/>
    <n v="1"/>
    <n v="0"/>
    <x v="1"/>
  </r>
  <r>
    <s v="PO1256"/>
    <x v="38"/>
    <d v="2026-01-05T00:00:00"/>
    <n v="245"/>
    <n v="184.63"/>
    <s v="Elena Petrova"/>
    <d v="2026-01-23T00:00:00"/>
    <n v="264"/>
    <d v="2026-01-22T00:00:00"/>
    <s v="INV5270"/>
    <n v="245"/>
    <n v="184.63"/>
    <d v="2026-01-27T00:00:00"/>
    <s v="OK"/>
    <s v="OK"/>
    <s v="OK"/>
    <s v="OK"/>
    <s v="Qty Variance"/>
    <s v="OK"/>
    <s v="OK"/>
    <s v="OK"/>
    <n v="0"/>
    <n v="0"/>
    <n v="0"/>
    <n v="0"/>
    <n v="1"/>
    <n v="0"/>
    <n v="0"/>
    <n v="0"/>
    <x v="0"/>
  </r>
  <r>
    <s v="PO1243"/>
    <x v="24"/>
    <d v="2026-03-31T00:00:00"/>
    <n v="13"/>
    <n v="40.369999999999997"/>
    <s v="Winter Underwood"/>
    <d v="2026-04-17T00:00:00"/>
    <m/>
    <m/>
    <s v="INV5256"/>
    <n v="13"/>
    <n v="40.369999999999997"/>
    <d v="2026-04-26T00:00:00"/>
    <s v="OK"/>
    <s v="No GR - Not received"/>
    <s v="OK"/>
    <s v="OK"/>
    <s v="OK"/>
    <s v="OK"/>
    <s v="OK"/>
    <s v="OK"/>
    <n v="0"/>
    <n v="1"/>
    <n v="0"/>
    <n v="0"/>
    <n v="0"/>
    <n v="0"/>
    <n v="0"/>
    <n v="0"/>
    <x v="2"/>
  </r>
  <r>
    <s v="PO1257"/>
    <x v="33"/>
    <d v="2026-04-14T00:00:00"/>
    <n v="373"/>
    <n v="129.83000000000001"/>
    <s v="Nicolas Dubois"/>
    <d v="2026-04-22T00:00:00"/>
    <n v="373"/>
    <d v="2026-04-21T00:00:00"/>
    <s v="INV5271"/>
    <n v="373"/>
    <n v="150.21"/>
    <d v="2026-05-02T00:00:00"/>
    <s v="OK"/>
    <s v="OK"/>
    <s v="OK"/>
    <s v="OK"/>
    <s v="OK"/>
    <s v="Price Variance"/>
    <s v="OK"/>
    <s v="OK"/>
    <n v="0"/>
    <n v="0"/>
    <n v="0"/>
    <n v="0"/>
    <n v="0"/>
    <n v="1"/>
    <n v="0"/>
    <n v="0"/>
    <x v="1"/>
  </r>
  <r>
    <s v="PO1258"/>
    <x v="29"/>
    <d v="2026-01-06T00:00:00"/>
    <n v="176"/>
    <n v="38.520000000000003"/>
    <s v="Thomas Lefèvre"/>
    <d v="2026-01-25T00:00:00"/>
    <n v="176"/>
    <d v="2026-01-26T00:00:00"/>
    <s v="INV5272"/>
    <n v="176"/>
    <n v="38.520000000000003"/>
    <d v="2026-02-04T00:00:00"/>
    <s v="OK"/>
    <s v="OK"/>
    <s v="OK"/>
    <s v="OK"/>
    <s v="OK"/>
    <s v="OK"/>
    <s v="Late Delivery"/>
    <s v="OK"/>
    <n v="0"/>
    <n v="0"/>
    <n v="0"/>
    <n v="0"/>
    <n v="0"/>
    <n v="0"/>
    <n v="1"/>
    <n v="0"/>
    <x v="0"/>
  </r>
  <r>
    <s v="PO1259"/>
    <x v="5"/>
    <d v="2026-04-03T00:00:00"/>
    <n v="55"/>
    <n v="90.16"/>
    <s v="Haley Rivas"/>
    <d v="2026-04-15T00:00:00"/>
    <n v="55"/>
    <d v="2026-04-17T00:00:00"/>
    <s v="INV5273"/>
    <n v="55"/>
    <n v="90.16"/>
    <d v="2026-04-21T00:00:00"/>
    <s v="OK"/>
    <s v="OK"/>
    <s v="OK"/>
    <s v="OK"/>
    <s v="OK"/>
    <s v="OK"/>
    <s v="Late Delivery"/>
    <s v="OK"/>
    <n v="0"/>
    <n v="0"/>
    <n v="0"/>
    <n v="0"/>
    <n v="0"/>
    <n v="0"/>
    <n v="1"/>
    <n v="0"/>
    <x v="1"/>
  </r>
  <r>
    <s v="PO1260"/>
    <x v="38"/>
    <d v="2026-05-31T00:00:00"/>
    <n v="215"/>
    <n v="107.17"/>
    <s v="Laura Schmidt"/>
    <d v="2026-06-14T00:00:00"/>
    <n v="215"/>
    <d v="2026-06-12T00:00:00"/>
    <s v="INV5274"/>
    <n v="215"/>
    <n v="107.17"/>
    <d v="2026-06-22T00:00:00"/>
    <s v="OK"/>
    <s v="OK"/>
    <s v="OK"/>
    <s v="OK"/>
    <s v="OK"/>
    <s v="OK"/>
    <s v="OK"/>
    <s v="OK"/>
    <n v="0"/>
    <n v="0"/>
    <n v="0"/>
    <n v="0"/>
    <n v="0"/>
    <n v="0"/>
    <n v="0"/>
    <n v="0"/>
    <x v="3"/>
  </r>
  <r>
    <s v="PO1261"/>
    <x v="15"/>
    <d v="2026-03-28T00:00:00"/>
    <n v="123"/>
    <n v="69.95"/>
    <s v="Lukas Müller"/>
    <d v="2026-04-04T00:00:00"/>
    <n v="123"/>
    <d v="2026-04-03T00:00:00"/>
    <s v="INV5275"/>
    <n v="123"/>
    <n v="69.95"/>
    <d v="2026-04-05T00:00:00"/>
    <s v="OK"/>
    <s v="OK"/>
    <s v="OK"/>
    <s v="OK"/>
    <s v="OK"/>
    <s v="OK"/>
    <s v="OK"/>
    <s v="OK"/>
    <n v="0"/>
    <n v="0"/>
    <n v="0"/>
    <n v="0"/>
    <n v="0"/>
    <n v="0"/>
    <n v="0"/>
    <n v="0"/>
    <x v="2"/>
  </r>
  <r>
    <s v="PO1262"/>
    <x v="3"/>
    <d v="2026-01-30T00:00:00"/>
    <n v="281"/>
    <n v="104.44"/>
    <s v="Eva Andersson"/>
    <d v="2026-02-15T00:00:00"/>
    <n v="281"/>
    <d v="2026-02-13T00:00:00"/>
    <s v="INV5276"/>
    <n v="281"/>
    <n v="104.44"/>
    <d v="2026-02-22T00:00:00"/>
    <s v="OK"/>
    <s v="OK"/>
    <s v="OK"/>
    <s v="OK"/>
    <s v="OK"/>
    <s v="OK"/>
    <s v="OK"/>
    <s v="OK"/>
    <n v="0"/>
    <n v="0"/>
    <n v="0"/>
    <n v="0"/>
    <n v="0"/>
    <n v="0"/>
    <n v="0"/>
    <n v="0"/>
    <x v="0"/>
  </r>
  <r>
    <s v="PO1263"/>
    <x v="40"/>
    <d v="2026-02-07T00:00:00"/>
    <n v="130"/>
    <n v="25.05"/>
    <s v="Anna Kowalska"/>
    <d v="2026-02-18T00:00:00"/>
    <n v="130"/>
    <d v="2026-02-19T00:00:00"/>
    <s v="INV5277"/>
    <n v="130"/>
    <n v="25.05"/>
    <d v="2026-02-24T00:00:00"/>
    <s v="OK"/>
    <s v="OK"/>
    <s v="OK"/>
    <s v="OK"/>
    <s v="OK"/>
    <s v="OK"/>
    <s v="Late Delivery"/>
    <s v="OK"/>
    <n v="0"/>
    <n v="0"/>
    <n v="0"/>
    <n v="0"/>
    <n v="0"/>
    <n v="0"/>
    <n v="1"/>
    <n v="0"/>
    <x v="4"/>
  </r>
  <r>
    <s v="PO1264"/>
    <x v="28"/>
    <d v="2026-02-09T00:00:00"/>
    <n v="399"/>
    <n v="153.03"/>
    <s v="Camila Cantrell"/>
    <d v="2026-02-19T00:00:00"/>
    <n v="399"/>
    <d v="2026-03-04T00:00:00"/>
    <s v="INV5278"/>
    <n v="399"/>
    <n v="153.03"/>
    <d v="2026-02-22T00:00:00"/>
    <s v="OK"/>
    <s v="OK"/>
    <s v="OK"/>
    <s v="OK"/>
    <s v="OK"/>
    <s v="OK"/>
    <s v="Late Delivery"/>
    <s v="OK"/>
    <n v="0"/>
    <n v="0"/>
    <n v="0"/>
    <n v="0"/>
    <n v="0"/>
    <n v="0"/>
    <n v="1"/>
    <n v="0"/>
    <x v="4"/>
  </r>
  <r>
    <s v="PO1266"/>
    <x v="12"/>
    <d v="2026-05-25T00:00:00"/>
    <n v="339"/>
    <n v="128.88"/>
    <s v="Thomas Lefèvre"/>
    <d v="2026-06-09T00:00:00"/>
    <n v="339"/>
    <d v="2026-06-07T00:00:00"/>
    <s v="INV5280"/>
    <n v="339"/>
    <n v="128.88"/>
    <d v="2026-06-18T00:00:00"/>
    <s v="OK"/>
    <s v="OK"/>
    <s v="OK"/>
    <s v="OK"/>
    <s v="OK"/>
    <s v="OK"/>
    <s v="OK"/>
    <s v="OK"/>
    <n v="0"/>
    <n v="0"/>
    <n v="0"/>
    <n v="0"/>
    <n v="0"/>
    <n v="0"/>
    <n v="0"/>
    <n v="0"/>
    <x v="3"/>
  </r>
  <r>
    <s v="PO1267"/>
    <x v="0"/>
    <d v="2026-03-22T00:00:00"/>
    <n v="87"/>
    <n v="90.75"/>
    <s v="Andreas Weber"/>
    <d v="2026-04-10T00:00:00"/>
    <n v="87"/>
    <d v="2026-04-11T00:00:00"/>
    <s v="INV5281"/>
    <n v="87"/>
    <n v="90.75"/>
    <d v="2026-04-11T00:00:00"/>
    <s v="OK"/>
    <s v="OK"/>
    <s v="OK"/>
    <s v="OK"/>
    <s v="OK"/>
    <s v="OK"/>
    <s v="Late Delivery"/>
    <s v="OK"/>
    <n v="0"/>
    <n v="0"/>
    <n v="0"/>
    <n v="0"/>
    <n v="0"/>
    <n v="0"/>
    <n v="1"/>
    <n v="0"/>
    <x v="2"/>
  </r>
  <r>
    <s v="PO1268"/>
    <x v="0"/>
    <d v="2026-03-19T00:00:00"/>
    <n v="417"/>
    <n v="58.56"/>
    <s v="A. Nagy"/>
    <d v="2026-04-04T00:00:00"/>
    <n v="417"/>
    <d v="2026-04-02T00:00:00"/>
    <s v="INV5282"/>
    <n v="417"/>
    <n v="58.56"/>
    <d v="2026-04-13T00:00:00"/>
    <s v="OK"/>
    <s v="OK"/>
    <s v="OK"/>
    <s v="OK"/>
    <s v="OK"/>
    <s v="OK"/>
    <s v="OK"/>
    <s v="OK"/>
    <n v="0"/>
    <n v="0"/>
    <n v="0"/>
    <n v="0"/>
    <n v="0"/>
    <n v="0"/>
    <n v="0"/>
    <n v="0"/>
    <x v="2"/>
  </r>
  <r>
    <s v="PO1269"/>
    <x v="3"/>
    <d v="2026-01-19T00:00:00"/>
    <n v="168"/>
    <n v="95.04"/>
    <s v="A. Nagy"/>
    <d v="2026-01-25T00:00:00"/>
    <n v="168"/>
    <d v="2026-01-27T00:00:00"/>
    <s v="INV5283"/>
    <n v="168"/>
    <n v="95.04"/>
    <d v="2026-01-29T00:00:00"/>
    <s v="OK"/>
    <s v="OK"/>
    <s v="OK"/>
    <s v="OK"/>
    <s v="OK"/>
    <s v="OK"/>
    <s v="Late Delivery"/>
    <s v="OK"/>
    <n v="0"/>
    <n v="0"/>
    <n v="0"/>
    <n v="0"/>
    <n v="0"/>
    <n v="0"/>
    <n v="1"/>
    <n v="0"/>
    <x v="0"/>
  </r>
  <r>
    <s v="PO1270"/>
    <x v="35"/>
    <d v="2026-03-15T00:00:00"/>
    <n v="49"/>
    <n v="130.71"/>
    <s v="Camila Cantrell"/>
    <d v="2026-04-05T00:00:00"/>
    <n v="49"/>
    <d v="2026-04-03T00:00:00"/>
    <s v="INV5284"/>
    <n v="49"/>
    <n v="130.71"/>
    <d v="2026-04-09T00:00:00"/>
    <s v="OK"/>
    <s v="OK"/>
    <s v="OK"/>
    <s v="OK"/>
    <s v="OK"/>
    <s v="OK"/>
    <s v="OK"/>
    <s v="OK"/>
    <n v="0"/>
    <n v="0"/>
    <n v="0"/>
    <n v="0"/>
    <n v="0"/>
    <n v="0"/>
    <n v="0"/>
    <n v="0"/>
    <x v="2"/>
  </r>
  <r>
    <s v="PO1272"/>
    <x v="23"/>
    <d v="2026-05-27T00:00:00"/>
    <n v="343"/>
    <n v="41.71"/>
    <s v="Thomas Lefèvre"/>
    <d v="2026-06-16T00:00:00"/>
    <n v="343"/>
    <d v="2026-06-18T00:00:00"/>
    <s v="INV5286"/>
    <n v="343"/>
    <n v="41.71"/>
    <d v="2026-06-26T00:00:00"/>
    <s v="OK"/>
    <s v="OK"/>
    <s v="OK"/>
    <s v="OK"/>
    <s v="OK"/>
    <s v="OK"/>
    <s v="Late Delivery"/>
    <s v="OK"/>
    <n v="0"/>
    <n v="0"/>
    <n v="0"/>
    <n v="0"/>
    <n v="0"/>
    <n v="0"/>
    <n v="1"/>
    <n v="0"/>
    <x v="3"/>
  </r>
  <r>
    <s v="PO1273"/>
    <x v="3"/>
    <d v="2026-02-08T00:00:00"/>
    <n v="500"/>
    <n v="17.07"/>
    <s v="Haley Rivas"/>
    <d v="2026-02-23T00:00:00"/>
    <n v="506"/>
    <d v="2026-02-22T00:00:00"/>
    <s v="INV5287"/>
    <n v="500"/>
    <n v="17.07"/>
    <d v="2026-03-05T00:00:00"/>
    <s v="OK"/>
    <s v="OK"/>
    <s v="OK"/>
    <s v="OK"/>
    <s v="Qty Variance"/>
    <s v="OK"/>
    <s v="OK"/>
    <s v="OK"/>
    <n v="0"/>
    <n v="0"/>
    <n v="0"/>
    <n v="0"/>
    <n v="1"/>
    <n v="0"/>
    <n v="0"/>
    <n v="0"/>
    <x v="4"/>
  </r>
  <r>
    <s v="PO1274"/>
    <x v="9"/>
    <d v="2026-01-22T00:00:00"/>
    <n v="268"/>
    <n v="130.99"/>
    <s v="A. Nagy"/>
    <d v="2026-02-03T00:00:00"/>
    <n v="268"/>
    <d v="2026-02-05T00:00:00"/>
    <s v="INV5288"/>
    <n v="268"/>
    <n v="130.99"/>
    <d v="2026-02-10T00:00:00"/>
    <s v="OK"/>
    <s v="OK"/>
    <s v="OK"/>
    <s v="OK"/>
    <s v="OK"/>
    <s v="OK"/>
    <s v="Late Delivery"/>
    <s v="OK"/>
    <n v="0"/>
    <n v="0"/>
    <n v="0"/>
    <n v="0"/>
    <n v="0"/>
    <n v="0"/>
    <n v="1"/>
    <n v="0"/>
    <x v="0"/>
  </r>
  <r>
    <s v="PO1275"/>
    <x v="9"/>
    <d v="2026-04-23T00:00:00"/>
    <n v="234"/>
    <n v="107.19"/>
    <s v=""/>
    <d v="2026-05-03T00:00:00"/>
    <n v="234"/>
    <d v="2026-05-05T00:00:00"/>
    <s v="INV5289"/>
    <n v="234"/>
    <n v="107.19"/>
    <d v="2026-05-04T00:00:00"/>
    <s v="Missing Approval"/>
    <s v="OK"/>
    <s v="OK"/>
    <s v="OK"/>
    <s v="OK"/>
    <s v="OK"/>
    <s v="Late Delivery"/>
    <s v="OK"/>
    <n v="1"/>
    <n v="0"/>
    <n v="0"/>
    <n v="0"/>
    <n v="0"/>
    <n v="0"/>
    <n v="1"/>
    <n v="0"/>
    <x v="1"/>
  </r>
  <r>
    <s v="PO1277"/>
    <x v="12"/>
    <d v="2026-01-14T00:00:00"/>
    <n v="414"/>
    <n v="128.02000000000001"/>
    <s v=""/>
    <d v="2026-01-21T00:00:00"/>
    <n v="414"/>
    <d v="2026-01-22T00:00:00"/>
    <s v="INV5291"/>
    <n v="414"/>
    <n v="128.02000000000001"/>
    <d v="2026-01-25T00:00:00"/>
    <s v="Missing Approval"/>
    <s v="OK"/>
    <s v="OK"/>
    <s v="OK"/>
    <s v="OK"/>
    <s v="OK"/>
    <s v="Late Delivery"/>
    <s v="OK"/>
    <n v="1"/>
    <n v="0"/>
    <n v="0"/>
    <n v="0"/>
    <n v="0"/>
    <n v="0"/>
    <n v="1"/>
    <n v="0"/>
    <x v="0"/>
  </r>
  <r>
    <s v="PO1278"/>
    <x v="24"/>
    <d v="2026-01-25T00:00:00"/>
    <n v="295"/>
    <n v="137.28"/>
    <s v="Nicolas Dubois"/>
    <d v="2026-02-07T00:00:00"/>
    <n v="295"/>
    <d v="2026-02-05T00:00:00"/>
    <s v="INV5292"/>
    <n v="295"/>
    <n v="137.28"/>
    <d v="2026-02-13T00:00:00"/>
    <s v="OK"/>
    <s v="OK"/>
    <s v="OK"/>
    <s v="OK"/>
    <s v="OK"/>
    <s v="OK"/>
    <s v="OK"/>
    <s v="OK"/>
    <n v="0"/>
    <n v="0"/>
    <n v="0"/>
    <n v="0"/>
    <n v="0"/>
    <n v="0"/>
    <n v="0"/>
    <n v="0"/>
    <x v="0"/>
  </r>
  <r>
    <s v="PO1279"/>
    <x v="22"/>
    <d v="2026-02-08T00:00:00"/>
    <n v="180"/>
    <n v="20.89"/>
    <s v="Felix Bauer"/>
    <d v="2026-02-17T00:00:00"/>
    <n v="180"/>
    <d v="2026-02-17T00:00:00"/>
    <s v="INV5293"/>
    <n v="180"/>
    <n v="20.89"/>
    <d v="2026-02-24T00:00:00"/>
    <s v="OK"/>
    <s v="OK"/>
    <s v="OK"/>
    <s v="OK"/>
    <s v="OK"/>
    <s v="OK"/>
    <s v="OK"/>
    <s v="OK"/>
    <n v="0"/>
    <n v="0"/>
    <n v="0"/>
    <n v="0"/>
    <n v="0"/>
    <n v="0"/>
    <n v="0"/>
    <n v="0"/>
    <x v="4"/>
  </r>
  <r>
    <s v="PO1280"/>
    <x v="40"/>
    <d v="2026-03-21T00:00:00"/>
    <n v="345"/>
    <n v="141.19999999999999"/>
    <s v="Laura Schmidt"/>
    <d v="2026-03-30T00:00:00"/>
    <n v="345"/>
    <d v="2026-03-29T00:00:00"/>
    <s v="INV5294"/>
    <n v="345"/>
    <n v="141.19999999999999"/>
    <d v="2026-04-05T00:00:00"/>
    <s v="OK"/>
    <s v="OK"/>
    <s v="OK"/>
    <s v="OK"/>
    <s v="OK"/>
    <s v="OK"/>
    <s v="OK"/>
    <s v="Duplicate Invoice"/>
    <n v="0"/>
    <n v="0"/>
    <n v="0"/>
    <n v="0"/>
    <n v="0"/>
    <n v="0"/>
    <n v="0"/>
    <n v="1"/>
    <x v="2"/>
  </r>
  <r>
    <s v="PO1280"/>
    <x v="40"/>
    <d v="2026-03-21T00:00:00"/>
    <n v="345"/>
    <n v="141.19999999999999"/>
    <s v="Laura Schmidt"/>
    <d v="2026-03-30T00:00:00"/>
    <n v="345"/>
    <d v="2026-03-29T00:00:00"/>
    <s v="INV5295"/>
    <n v="345"/>
    <n v="141.19999999999999"/>
    <d v="2026-04-08T00:00:00"/>
    <s v="OK"/>
    <s v="OK"/>
    <s v="OK"/>
    <s v="OK"/>
    <s v="OK"/>
    <s v="OK"/>
    <s v="OK"/>
    <s v="Duplicate Invoice"/>
    <n v="0"/>
    <n v="0"/>
    <n v="0"/>
    <n v="0"/>
    <n v="0"/>
    <n v="0"/>
    <n v="0"/>
    <n v="1"/>
    <x v="2"/>
  </r>
  <r>
    <s v="PO1281"/>
    <x v="17"/>
    <d v="2026-01-22T00:00:00"/>
    <n v="168"/>
    <n v="113.99"/>
    <s v="Katarina Jovanović"/>
    <d v="2026-02-06T00:00:00"/>
    <n v="168"/>
    <d v="2026-02-08T00:00:00"/>
    <s v="INV5296"/>
    <n v="168"/>
    <n v="121.66"/>
    <d v="2026-02-11T00:00:00"/>
    <s v="OK"/>
    <s v="OK"/>
    <s v="OK"/>
    <s v="OK"/>
    <s v="OK"/>
    <s v="Price Variance"/>
    <s v="Late Delivery"/>
    <s v="OK"/>
    <n v="0"/>
    <n v="0"/>
    <n v="0"/>
    <n v="0"/>
    <n v="0"/>
    <n v="1"/>
    <n v="1"/>
    <n v="0"/>
    <x v="0"/>
  </r>
  <r>
    <s v="PO1265"/>
    <x v="0"/>
    <d v="2026-05-07T00:00:00"/>
    <n v="247"/>
    <n v="152.12"/>
    <s v="Eva Andersson"/>
    <d v="2026-05-26T00:00:00"/>
    <m/>
    <m/>
    <s v="INV5279"/>
    <n v="247"/>
    <n v="152.12"/>
    <d v="2026-06-01T00:00:00"/>
    <s v="OK"/>
    <s v="No GR - Not received"/>
    <s v="OK"/>
    <s v="OK"/>
    <s v="OK"/>
    <s v="OK"/>
    <s v="OK"/>
    <s v="OK"/>
    <n v="0"/>
    <n v="1"/>
    <n v="0"/>
    <n v="0"/>
    <n v="0"/>
    <n v="0"/>
    <n v="0"/>
    <n v="0"/>
    <x v="3"/>
  </r>
  <r>
    <s v="PO1282"/>
    <x v="1"/>
    <d v="2026-05-15T00:00:00"/>
    <n v="57"/>
    <n v="130.97"/>
    <s v="Marco Bianchi"/>
    <d v="2026-06-05T00:00:00"/>
    <n v="57"/>
    <d v="2026-06-05T00:00:00"/>
    <s v="INV5297"/>
    <n v="57"/>
    <n v="130.97"/>
    <d v="2026-06-11T00:00:00"/>
    <s v="OK"/>
    <s v="OK"/>
    <s v="OK"/>
    <s v="OK"/>
    <s v="OK"/>
    <s v="OK"/>
    <s v="OK"/>
    <s v="OK"/>
    <n v="0"/>
    <n v="0"/>
    <n v="0"/>
    <n v="0"/>
    <n v="0"/>
    <n v="0"/>
    <n v="0"/>
    <n v="0"/>
    <x v="3"/>
  </r>
  <r>
    <s v="PO1283"/>
    <x v="35"/>
    <d v="2026-01-05T00:00:00"/>
    <n v="195"/>
    <n v="65.23"/>
    <s v="Sofia Rossi"/>
    <d v="2026-01-20T00:00:00"/>
    <n v="195"/>
    <d v="2026-01-22T00:00:00"/>
    <s v="INV5298"/>
    <n v="195"/>
    <n v="70.430000000000007"/>
    <d v="2026-01-23T00:00:00"/>
    <s v="OK"/>
    <s v="OK"/>
    <s v="OK"/>
    <s v="OK"/>
    <s v="OK"/>
    <s v="Price Variance"/>
    <s v="Late Delivery"/>
    <s v="OK"/>
    <n v="0"/>
    <n v="0"/>
    <n v="0"/>
    <n v="0"/>
    <n v="0"/>
    <n v="1"/>
    <n v="1"/>
    <n v="0"/>
    <x v="0"/>
  </r>
  <r>
    <s v="PO1284"/>
    <x v="37"/>
    <d v="2026-02-19T00:00:00"/>
    <n v="125"/>
    <n v="200"/>
    <s v="Winter Underwood"/>
    <d v="2026-02-26T00:00:00"/>
    <n v="125"/>
    <d v="2026-02-28T00:00:00"/>
    <s v="INV5299"/>
    <n v="125"/>
    <n v="200"/>
    <d v="2026-03-01T00:00:00"/>
    <s v="OK"/>
    <s v="OK"/>
    <s v="OK"/>
    <s v="OK"/>
    <s v="OK"/>
    <s v="OK"/>
    <s v="Late Delivery"/>
    <s v="OK"/>
    <n v="0"/>
    <n v="0"/>
    <n v="0"/>
    <n v="0"/>
    <n v="0"/>
    <n v="0"/>
    <n v="1"/>
    <n v="0"/>
    <x v="4"/>
  </r>
  <r>
    <s v="PO1285"/>
    <x v="42"/>
    <d v="2026-01-26T00:00:00"/>
    <n v="269"/>
    <n v="155.32"/>
    <s v="Victor Popescu"/>
    <d v="2026-02-16T00:00:00"/>
    <n v="269"/>
    <d v="2026-02-15T00:00:00"/>
    <s v="INV5300"/>
    <n v="269"/>
    <n v="155.32"/>
    <d v="2026-02-19T00:00:00"/>
    <s v="OK"/>
    <s v="OK"/>
    <s v="OK"/>
    <s v="OK"/>
    <s v="OK"/>
    <s v="OK"/>
    <s v="OK"/>
    <s v="OK"/>
    <n v="0"/>
    <n v="0"/>
    <n v="0"/>
    <n v="0"/>
    <n v="0"/>
    <n v="0"/>
    <n v="0"/>
    <n v="0"/>
    <x v="0"/>
  </r>
  <r>
    <s v="PO1286"/>
    <x v="7"/>
    <d v="2026-03-28T00:00:00"/>
    <n v="458"/>
    <n v="154.43"/>
    <s v="Winter Underwood"/>
    <d v="2026-04-14T00:00:00"/>
    <n v="458"/>
    <d v="2026-04-19T00:00:00"/>
    <s v="INV5301"/>
    <n v="458"/>
    <n v="154.43"/>
    <d v="2026-04-19T00:00:00"/>
    <s v="OK"/>
    <s v="OK"/>
    <s v="OK"/>
    <s v="OK"/>
    <s v="OK"/>
    <s v="OK"/>
    <s v="Late Delivery"/>
    <s v="OK"/>
    <n v="0"/>
    <n v="0"/>
    <n v="0"/>
    <n v="0"/>
    <n v="0"/>
    <n v="0"/>
    <n v="1"/>
    <n v="0"/>
    <x v="2"/>
  </r>
  <r>
    <s v="PO1287"/>
    <x v="14"/>
    <d v="2026-02-11T00:00:00"/>
    <n v="102"/>
    <n v="167.11"/>
    <s v="Eva Andersson"/>
    <d v="2026-02-21T00:00:00"/>
    <n v="102"/>
    <d v="2026-02-20T00:00:00"/>
    <s v="INV5302"/>
    <n v="102"/>
    <n v="192.45"/>
    <d v="2026-02-28T00:00:00"/>
    <s v="OK"/>
    <s v="OK"/>
    <s v="OK"/>
    <s v="OK"/>
    <s v="OK"/>
    <s v="Price Variance"/>
    <s v="OK"/>
    <s v="OK"/>
    <n v="0"/>
    <n v="0"/>
    <n v="0"/>
    <n v="0"/>
    <n v="0"/>
    <n v="1"/>
    <n v="0"/>
    <n v="0"/>
    <x v="4"/>
  </r>
  <r>
    <s v="PO1271"/>
    <x v="39"/>
    <d v="2026-04-29T00:00:00"/>
    <n v="307"/>
    <n v="113.09"/>
    <s v="Victor Popescu"/>
    <d v="2026-05-05T00:00:00"/>
    <m/>
    <m/>
    <s v="INV5285"/>
    <n v="307"/>
    <n v="113.09"/>
    <d v="2026-05-13T00:00:00"/>
    <s v="OK"/>
    <s v="No GR - Not received"/>
    <s v="OK"/>
    <s v="OK"/>
    <s v="OK"/>
    <s v="OK"/>
    <s v="OK"/>
    <s v="OK"/>
    <n v="0"/>
    <n v="1"/>
    <n v="0"/>
    <n v="0"/>
    <n v="0"/>
    <n v="0"/>
    <n v="0"/>
    <n v="0"/>
    <x v="1"/>
  </r>
  <r>
    <s v="PO1288"/>
    <x v="22"/>
    <d v="2026-04-23T00:00:00"/>
    <n v="32"/>
    <n v="85.12"/>
    <s v="Felix Bauer"/>
    <d v="2026-05-05T00:00:00"/>
    <n v="32"/>
    <d v="2026-05-05T00:00:00"/>
    <s v="INV5303"/>
    <n v="32"/>
    <n v="85.12"/>
    <d v="2026-05-11T00:00:00"/>
    <s v="OK"/>
    <s v="OK"/>
    <s v="OK"/>
    <s v="OK"/>
    <s v="OK"/>
    <s v="OK"/>
    <s v="OK"/>
    <s v="OK"/>
    <n v="0"/>
    <n v="0"/>
    <n v="0"/>
    <n v="0"/>
    <n v="0"/>
    <n v="0"/>
    <n v="0"/>
    <n v="0"/>
    <x v="1"/>
  </r>
  <r>
    <s v="PO1289"/>
    <x v="23"/>
    <d v="2026-03-14T00:00:00"/>
    <n v="395"/>
    <n v="150.96"/>
    <s v="Ingrid Hansen"/>
    <d v="2026-03-26T00:00:00"/>
    <n v="395"/>
    <d v="2026-03-25T00:00:00"/>
    <s v="INV5304"/>
    <n v="395"/>
    <n v="150.96"/>
    <d v="2026-03-30T00:00:00"/>
    <s v="OK"/>
    <s v="OK"/>
    <s v="OK"/>
    <s v="OK"/>
    <s v="OK"/>
    <s v="OK"/>
    <s v="OK"/>
    <s v="OK"/>
    <n v="0"/>
    <n v="0"/>
    <n v="0"/>
    <n v="0"/>
    <n v="0"/>
    <n v="0"/>
    <n v="0"/>
    <n v="0"/>
    <x v="2"/>
  </r>
  <r>
    <s v="PO1290"/>
    <x v="19"/>
    <d v="2026-03-03T00:00:00"/>
    <n v="168"/>
    <n v="193.29"/>
    <s v="Andreas Weber"/>
    <d v="2026-03-14T00:00:00"/>
    <n v="185"/>
    <d v="2026-03-16T00:00:00"/>
    <s v="INV5305"/>
    <n v="168"/>
    <n v="193.29"/>
    <d v="2026-03-17T00:00:00"/>
    <s v="OK"/>
    <s v="OK"/>
    <s v="OK"/>
    <s v="OK"/>
    <s v="Qty Variance"/>
    <s v="OK"/>
    <s v="Late Delivery"/>
    <s v="OK"/>
    <n v="0"/>
    <n v="0"/>
    <n v="0"/>
    <n v="0"/>
    <n v="1"/>
    <n v="0"/>
    <n v="1"/>
    <n v="0"/>
    <x v="2"/>
  </r>
  <r>
    <s v="PO1292"/>
    <x v="3"/>
    <d v="2026-05-16T00:00:00"/>
    <n v="224"/>
    <n v="193.42"/>
    <s v="Sofia Rossi"/>
    <d v="2026-05-25T00:00:00"/>
    <n v="224"/>
    <d v="2026-05-27T00:00:00"/>
    <s v="INV5307"/>
    <n v="224"/>
    <n v="193.42"/>
    <d v="2026-05-27T00:00:00"/>
    <s v="OK"/>
    <s v="OK"/>
    <s v="OK"/>
    <s v="OK"/>
    <s v="OK"/>
    <s v="OK"/>
    <s v="Late Delivery"/>
    <s v="OK"/>
    <n v="0"/>
    <n v="0"/>
    <n v="0"/>
    <n v="0"/>
    <n v="0"/>
    <n v="0"/>
    <n v="1"/>
    <n v="0"/>
    <x v="3"/>
  </r>
  <r>
    <s v="PO1276"/>
    <x v="35"/>
    <d v="2026-04-06T00:00:00"/>
    <n v="479"/>
    <n v="60.16"/>
    <s v="Marco Bianchi"/>
    <d v="2026-04-21T00:00:00"/>
    <m/>
    <m/>
    <s v="INV5290"/>
    <n v="479"/>
    <n v="60.16"/>
    <d v="2026-04-25T00:00:00"/>
    <s v="OK"/>
    <s v="No GR - Not received"/>
    <s v="OK"/>
    <s v="OK"/>
    <s v="OK"/>
    <s v="OK"/>
    <s v="OK"/>
    <s v="OK"/>
    <n v="0"/>
    <n v="1"/>
    <n v="0"/>
    <n v="0"/>
    <n v="0"/>
    <n v="0"/>
    <n v="0"/>
    <n v="0"/>
    <x v="1"/>
  </r>
  <r>
    <s v="PO1294"/>
    <x v="9"/>
    <d v="2026-05-13T00:00:00"/>
    <n v="445"/>
    <n v="29.31"/>
    <s v="Camila Cantrell"/>
    <d v="2026-05-23T00:00:00"/>
    <n v="445"/>
    <d v="2026-05-23T00:00:00"/>
    <s v="INV5309"/>
    <n v="445"/>
    <n v="29.31"/>
    <d v="2026-05-30T00:00:00"/>
    <s v="OK"/>
    <s v="OK"/>
    <s v="OK"/>
    <s v="OK"/>
    <s v="OK"/>
    <s v="OK"/>
    <s v="OK"/>
    <s v="OK"/>
    <n v="0"/>
    <n v="0"/>
    <n v="0"/>
    <n v="0"/>
    <n v="0"/>
    <n v="0"/>
    <n v="0"/>
    <n v="0"/>
    <x v="3"/>
  </r>
  <r>
    <s v="PO1295"/>
    <x v="46"/>
    <d v="2026-04-26T00:00:00"/>
    <n v="473"/>
    <n v="105.1"/>
    <s v="Marco Bianchi"/>
    <d v="2026-05-03T00:00:00"/>
    <n v="473"/>
    <d v="2026-05-01T00:00:00"/>
    <s v="INV5310"/>
    <n v="473"/>
    <n v="105.1"/>
    <d v="2026-05-10T00:00:00"/>
    <s v="OK"/>
    <s v="OK"/>
    <s v="OK"/>
    <s v="OK"/>
    <s v="OK"/>
    <s v="OK"/>
    <s v="OK"/>
    <s v="OK"/>
    <n v="0"/>
    <n v="0"/>
    <n v="0"/>
    <n v="0"/>
    <n v="0"/>
    <n v="0"/>
    <n v="0"/>
    <n v="0"/>
    <x v="1"/>
  </r>
  <r>
    <s v="PO1296"/>
    <x v="4"/>
    <d v="2026-04-26T00:00:00"/>
    <n v="462"/>
    <n v="73.17"/>
    <s v="J. Kovacs"/>
    <d v="2026-05-14T00:00:00"/>
    <n v="462"/>
    <d v="2026-05-16T00:00:00"/>
    <s v="INV5311"/>
    <n v="462"/>
    <n v="73.17"/>
    <d v="2026-05-15T00:00:00"/>
    <s v="OK"/>
    <s v="OK"/>
    <s v="OK"/>
    <s v="OK"/>
    <s v="OK"/>
    <s v="OK"/>
    <s v="Late Delivery"/>
    <s v="OK"/>
    <n v="0"/>
    <n v="0"/>
    <n v="0"/>
    <n v="0"/>
    <n v="0"/>
    <n v="0"/>
    <n v="1"/>
    <n v="0"/>
    <x v="1"/>
  </r>
  <r>
    <s v="PO1297"/>
    <x v="21"/>
    <d v="2026-04-12T00:00:00"/>
    <n v="267"/>
    <n v="77.92"/>
    <s v="Laura Schmidt"/>
    <d v="2026-04-19T00:00:00"/>
    <n v="267"/>
    <d v="2026-04-17T00:00:00"/>
    <s v="INV5312"/>
    <n v="267"/>
    <n v="77.92"/>
    <d v="2026-04-28T00:00:00"/>
    <s v="OK"/>
    <s v="OK"/>
    <s v="OK"/>
    <s v="OK"/>
    <s v="OK"/>
    <s v="OK"/>
    <s v="OK"/>
    <s v="OK"/>
    <n v="0"/>
    <n v="0"/>
    <n v="0"/>
    <n v="0"/>
    <n v="0"/>
    <n v="0"/>
    <n v="0"/>
    <n v="0"/>
    <x v="1"/>
  </r>
  <r>
    <s v="PO1298"/>
    <x v="35"/>
    <d v="2026-02-27T00:00:00"/>
    <n v="24"/>
    <n v="67.14"/>
    <s v="Haley Rivas"/>
    <d v="2026-03-14T00:00:00"/>
    <n v="24"/>
    <d v="2026-03-14T00:00:00"/>
    <s v="INV5313"/>
    <n v="24"/>
    <n v="67.14"/>
    <d v="2026-03-18T00:00:00"/>
    <s v="OK"/>
    <s v="OK"/>
    <s v="OK"/>
    <s v="OK"/>
    <s v="OK"/>
    <s v="OK"/>
    <s v="OK"/>
    <s v="OK"/>
    <n v="0"/>
    <n v="0"/>
    <n v="0"/>
    <n v="0"/>
    <n v="0"/>
    <n v="0"/>
    <n v="0"/>
    <n v="0"/>
    <x v="4"/>
  </r>
  <r>
    <s v="PO1300"/>
    <x v="9"/>
    <d v="2026-05-01T00:00:00"/>
    <n v="239"/>
    <n v="124.99"/>
    <s v="Camila Cantrell"/>
    <d v="2026-05-06T00:00:00"/>
    <n v="239"/>
    <d v="2026-05-15T00:00:00"/>
    <s v="INV5315"/>
    <n v="239"/>
    <n v="124.99"/>
    <d v="2026-05-14T00:00:00"/>
    <s v="OK"/>
    <s v="OK"/>
    <s v="OK"/>
    <s v="OK"/>
    <s v="OK"/>
    <s v="OK"/>
    <s v="Late Delivery"/>
    <s v="OK"/>
    <n v="0"/>
    <n v="0"/>
    <n v="0"/>
    <n v="0"/>
    <n v="0"/>
    <n v="0"/>
    <n v="1"/>
    <n v="0"/>
    <x v="3"/>
  </r>
  <r>
    <s v="PO1301"/>
    <x v="18"/>
    <d v="2026-02-25T00:00:00"/>
    <n v="437"/>
    <n v="34.159999999999997"/>
    <s v="Victor Popescu"/>
    <d v="2026-03-18T00:00:00"/>
    <n v="455"/>
    <d v="2026-03-17T00:00:00"/>
    <s v="INV5316"/>
    <n v="437"/>
    <n v="38.28"/>
    <d v="2026-03-28T00:00:00"/>
    <s v="OK"/>
    <s v="OK"/>
    <s v="OK"/>
    <s v="OK"/>
    <s v="Qty Variance"/>
    <s v="Price Variance"/>
    <s v="OK"/>
    <s v="OK"/>
    <n v="0"/>
    <n v="0"/>
    <n v="0"/>
    <n v="0"/>
    <n v="1"/>
    <n v="1"/>
    <n v="0"/>
    <n v="0"/>
    <x v="4"/>
  </r>
  <r>
    <s v="PO1302"/>
    <x v="38"/>
    <d v="2026-01-29T00:00:00"/>
    <n v="407"/>
    <n v="61.18"/>
    <s v="Nicolas Dubois"/>
    <d v="2026-02-06T00:00:00"/>
    <n v="407"/>
    <d v="2026-02-06T00:00:00"/>
    <s v="INV5317"/>
    <n v="407"/>
    <n v="61.18"/>
    <d v="2026-02-15T00:00:00"/>
    <s v="OK"/>
    <s v="OK"/>
    <s v="OK"/>
    <s v="OK"/>
    <s v="OK"/>
    <s v="OK"/>
    <s v="OK"/>
    <s v="OK"/>
    <n v="0"/>
    <n v="0"/>
    <n v="0"/>
    <n v="0"/>
    <n v="0"/>
    <n v="0"/>
    <n v="0"/>
    <n v="0"/>
    <x v="0"/>
  </r>
  <r>
    <s v="PO1303"/>
    <x v="21"/>
    <d v="2026-03-03T00:00:00"/>
    <n v="224"/>
    <n v="129.6"/>
    <s v="Thomas Lefèvre"/>
    <d v="2026-03-22T00:00:00"/>
    <n v="227"/>
    <d v="2026-03-23T00:00:00"/>
    <s v="INV5318"/>
    <n v="224"/>
    <n v="129.6"/>
    <d v="2026-03-25T00:00:00"/>
    <s v="OK"/>
    <s v="OK"/>
    <s v="OK"/>
    <s v="OK"/>
    <s v="Qty Variance"/>
    <s v="OK"/>
    <s v="Late Delivery"/>
    <s v="OK"/>
    <n v="0"/>
    <n v="0"/>
    <n v="0"/>
    <n v="0"/>
    <n v="1"/>
    <n v="0"/>
    <n v="1"/>
    <n v="0"/>
    <x v="2"/>
  </r>
  <r>
    <s v="PO1304"/>
    <x v="32"/>
    <d v="2026-01-29T00:00:00"/>
    <n v="438"/>
    <n v="181.5"/>
    <s v="Thomas Lefèvre"/>
    <d v="2026-02-03T00:00:00"/>
    <n v="438"/>
    <d v="2026-02-03T00:00:00"/>
    <s v="INV5319"/>
    <n v="438"/>
    <n v="181.5"/>
    <d v="2026-02-11T00:00:00"/>
    <s v="OK"/>
    <s v="OK"/>
    <s v="OK"/>
    <s v="OK"/>
    <s v="OK"/>
    <s v="OK"/>
    <s v="OK"/>
    <s v="OK"/>
    <n v="0"/>
    <n v="0"/>
    <n v="0"/>
    <n v="0"/>
    <n v="0"/>
    <n v="0"/>
    <n v="0"/>
    <n v="0"/>
    <x v="0"/>
  </r>
  <r>
    <s v="PO1305"/>
    <x v="0"/>
    <d v="2026-05-12T00:00:00"/>
    <n v="304"/>
    <n v="52.18"/>
    <s v="Winter Underwood"/>
    <d v="2026-05-26T00:00:00"/>
    <n v="304"/>
    <d v="2026-05-24T00:00:00"/>
    <s v="INV5320"/>
    <n v="304"/>
    <n v="52.18"/>
    <d v="2026-05-31T00:00:00"/>
    <s v="OK"/>
    <s v="OK"/>
    <s v="OK"/>
    <s v="OK"/>
    <s v="OK"/>
    <s v="OK"/>
    <s v="OK"/>
    <s v="OK"/>
    <n v="0"/>
    <n v="0"/>
    <n v="0"/>
    <n v="0"/>
    <n v="0"/>
    <n v="0"/>
    <n v="0"/>
    <n v="0"/>
    <x v="3"/>
  </r>
  <r>
    <s v="PO1306"/>
    <x v="38"/>
    <d v="2026-01-01T00:00:00"/>
    <n v="324"/>
    <n v="73.8"/>
    <s v="Emma Johansson"/>
    <d v="2026-01-19T00:00:00"/>
    <n v="324"/>
    <d v="2026-01-17T00:00:00"/>
    <s v="INV5321"/>
    <n v="324"/>
    <n v="73.8"/>
    <d v="2026-01-29T00:00:00"/>
    <s v="OK"/>
    <s v="OK"/>
    <s v="OK"/>
    <s v="OK"/>
    <s v="OK"/>
    <s v="OK"/>
    <s v="OK"/>
    <s v="OK"/>
    <n v="0"/>
    <n v="0"/>
    <n v="0"/>
    <n v="0"/>
    <n v="0"/>
    <n v="0"/>
    <n v="0"/>
    <n v="0"/>
    <x v="0"/>
  </r>
  <r>
    <s v="PO1307"/>
    <x v="28"/>
    <d v="2026-01-22T00:00:00"/>
    <n v="278"/>
    <n v="195.06"/>
    <s v="Camila Cantrell"/>
    <d v="2026-02-12T00:00:00"/>
    <n v="278"/>
    <d v="2026-02-12T00:00:00"/>
    <s v="INV5322"/>
    <n v="278"/>
    <n v="195.06"/>
    <d v="2026-02-16T00:00:00"/>
    <s v="OK"/>
    <s v="OK"/>
    <s v="OK"/>
    <s v="OK"/>
    <s v="OK"/>
    <s v="OK"/>
    <s v="OK"/>
    <s v="OK"/>
    <n v="0"/>
    <n v="0"/>
    <n v="0"/>
    <n v="0"/>
    <n v="0"/>
    <n v="0"/>
    <n v="0"/>
    <n v="0"/>
    <x v="0"/>
  </r>
  <r>
    <s v="PO1308"/>
    <x v="19"/>
    <d v="2026-05-10T00:00:00"/>
    <n v="412"/>
    <n v="197.72"/>
    <s v="Pavel Horák"/>
    <d v="2026-05-15T00:00:00"/>
    <n v="412"/>
    <d v="2026-05-23T00:00:00"/>
    <s v="INV5323"/>
    <n v="412"/>
    <n v="197.72"/>
    <d v="2026-05-19T00:00:00"/>
    <s v="OK"/>
    <s v="OK"/>
    <s v="OK"/>
    <s v="OK"/>
    <s v="OK"/>
    <s v="OK"/>
    <s v="Late Delivery"/>
    <s v="OK"/>
    <n v="0"/>
    <n v="0"/>
    <n v="0"/>
    <n v="0"/>
    <n v="0"/>
    <n v="0"/>
    <n v="1"/>
    <n v="0"/>
    <x v="3"/>
  </r>
  <r>
    <s v="PO1291"/>
    <x v="35"/>
    <d v="2026-05-27T00:00:00"/>
    <n v="235"/>
    <n v="95.03"/>
    <s v="Nicolas Dubois"/>
    <d v="2026-06-13T00:00:00"/>
    <m/>
    <m/>
    <s v="INV5306"/>
    <n v="235"/>
    <n v="95.03"/>
    <d v="2026-06-23T00:00:00"/>
    <s v="OK"/>
    <s v="No GR - Not received"/>
    <s v="OK"/>
    <s v="OK"/>
    <s v="OK"/>
    <s v="OK"/>
    <s v="OK"/>
    <s v="OK"/>
    <n v="0"/>
    <n v="1"/>
    <n v="0"/>
    <n v="0"/>
    <n v="0"/>
    <n v="0"/>
    <n v="0"/>
    <n v="0"/>
    <x v="3"/>
  </r>
  <r>
    <s v="PO1309"/>
    <x v="39"/>
    <d v="2026-05-01T00:00:00"/>
    <n v="32"/>
    <n v="128.96"/>
    <s v="Jakub Novák"/>
    <d v="2026-05-14T00:00:00"/>
    <n v="32"/>
    <d v="2026-05-13T00:00:00"/>
    <s v="INV5324"/>
    <n v="32"/>
    <n v="128.96"/>
    <d v="2026-05-24T00:00:00"/>
    <s v="OK"/>
    <s v="OK"/>
    <s v="OK"/>
    <s v="OK"/>
    <s v="OK"/>
    <s v="OK"/>
    <s v="OK"/>
    <s v="OK"/>
    <n v="0"/>
    <n v="0"/>
    <n v="0"/>
    <n v="0"/>
    <n v="0"/>
    <n v="0"/>
    <n v="0"/>
    <n v="0"/>
    <x v="3"/>
  </r>
  <r>
    <s v="PO1311"/>
    <x v="22"/>
    <d v="2026-01-27T00:00:00"/>
    <n v="405"/>
    <n v="118.47"/>
    <s v="Eva Andersson"/>
    <d v="2026-02-11T00:00:00"/>
    <n v="405"/>
    <d v="2026-02-17T00:00:00"/>
    <s v="INV5326"/>
    <n v="405"/>
    <n v="118.47"/>
    <d v="2026-02-13T00:00:00"/>
    <s v="OK"/>
    <s v="OK"/>
    <s v="OK"/>
    <s v="OK"/>
    <s v="OK"/>
    <s v="OK"/>
    <s v="Late Delivery"/>
    <s v="OK"/>
    <n v="0"/>
    <n v="0"/>
    <n v="0"/>
    <n v="0"/>
    <n v="0"/>
    <n v="0"/>
    <n v="1"/>
    <n v="0"/>
    <x v="0"/>
  </r>
  <r>
    <s v="PO1293"/>
    <x v="18"/>
    <d v="2026-01-14T00:00:00"/>
    <n v="338"/>
    <n v="98.72"/>
    <s v="Jakub Novák"/>
    <d v="2026-01-22T00:00:00"/>
    <m/>
    <m/>
    <s v="INV5308"/>
    <n v="338"/>
    <n v="98.72"/>
    <d v="2026-01-25T00:00:00"/>
    <s v="OK"/>
    <s v="No GR - Not received"/>
    <s v="OK"/>
    <s v="OK"/>
    <s v="OK"/>
    <s v="OK"/>
    <s v="OK"/>
    <s v="OK"/>
    <n v="0"/>
    <n v="1"/>
    <n v="0"/>
    <n v="0"/>
    <n v="0"/>
    <n v="0"/>
    <n v="0"/>
    <n v="0"/>
    <x v="0"/>
  </r>
  <r>
    <s v="PO1312"/>
    <x v="1"/>
    <d v="2026-01-12T00:00:00"/>
    <n v="190"/>
    <n v="111.47"/>
    <s v="Katarina Jovanović"/>
    <d v="2026-01-22T00:00:00"/>
    <n v="190"/>
    <d v="2026-01-20T00:00:00"/>
    <s v="INV5327"/>
    <n v="190"/>
    <n v="111.47"/>
    <d v="2026-01-26T00:00:00"/>
    <s v="OK"/>
    <s v="OK"/>
    <s v="OK"/>
    <s v="OK"/>
    <s v="OK"/>
    <s v="OK"/>
    <s v="OK"/>
    <s v="OK"/>
    <n v="0"/>
    <n v="0"/>
    <n v="0"/>
    <n v="0"/>
    <n v="0"/>
    <n v="0"/>
    <n v="0"/>
    <n v="0"/>
    <x v="0"/>
  </r>
  <r>
    <s v="PO1313"/>
    <x v="12"/>
    <d v="2026-04-29T00:00:00"/>
    <n v="366"/>
    <n v="98.31"/>
    <s v="Lukas Müller"/>
    <d v="2026-05-08T00:00:00"/>
    <n v="366"/>
    <d v="2026-05-22T00:00:00"/>
    <s v="INV5328"/>
    <n v="366"/>
    <n v="98.31"/>
    <d v="2026-05-18T00:00:00"/>
    <s v="OK"/>
    <s v="OK"/>
    <s v="OK"/>
    <s v="OK"/>
    <s v="OK"/>
    <s v="OK"/>
    <s v="Late Delivery"/>
    <s v="OK"/>
    <n v="0"/>
    <n v="0"/>
    <n v="0"/>
    <n v="0"/>
    <n v="0"/>
    <n v="0"/>
    <n v="1"/>
    <n v="0"/>
    <x v="1"/>
  </r>
  <r>
    <s v="PO1314"/>
    <x v="32"/>
    <d v="2026-04-28T00:00:00"/>
    <n v="28"/>
    <n v="62.22"/>
    <s v="A. Nagy"/>
    <d v="2026-05-09T00:00:00"/>
    <n v="28"/>
    <d v="2026-05-08T00:00:00"/>
    <s v="INV5329"/>
    <n v="28"/>
    <n v="62.22"/>
    <d v="2026-05-16T00:00:00"/>
    <s v="OK"/>
    <s v="OK"/>
    <s v="OK"/>
    <s v="OK"/>
    <s v="OK"/>
    <s v="OK"/>
    <s v="OK"/>
    <s v="OK"/>
    <n v="0"/>
    <n v="0"/>
    <n v="0"/>
    <n v="0"/>
    <n v="0"/>
    <n v="0"/>
    <n v="0"/>
    <n v="0"/>
    <x v="1"/>
  </r>
  <r>
    <s v="PO1315"/>
    <x v="7"/>
    <d v="2026-03-22T00:00:00"/>
    <n v="487"/>
    <n v="65.459999999999994"/>
    <s v="Laura Schmidt"/>
    <d v="2026-04-11T00:00:00"/>
    <n v="487"/>
    <d v="2026-04-12T00:00:00"/>
    <s v="INV5330"/>
    <n v="487"/>
    <n v="65.459999999999994"/>
    <d v="2026-04-17T00:00:00"/>
    <s v="OK"/>
    <s v="OK"/>
    <s v="OK"/>
    <s v="OK"/>
    <s v="OK"/>
    <s v="OK"/>
    <s v="Late Delivery"/>
    <s v="OK"/>
    <n v="0"/>
    <n v="0"/>
    <n v="0"/>
    <n v="0"/>
    <n v="0"/>
    <n v="0"/>
    <n v="1"/>
    <n v="0"/>
    <x v="2"/>
  </r>
  <r>
    <s v="PO1316"/>
    <x v="18"/>
    <d v="2026-01-10T00:00:00"/>
    <n v="395"/>
    <n v="131.15"/>
    <s v="Nicolas Dubois"/>
    <d v="2026-01-26T00:00:00"/>
    <n v="395"/>
    <d v="2026-02-03T00:00:00"/>
    <s v="INV5331"/>
    <n v="395"/>
    <n v="146.4"/>
    <d v="2026-01-31T00:00:00"/>
    <s v="OK"/>
    <s v="OK"/>
    <s v="OK"/>
    <s v="OK"/>
    <s v="OK"/>
    <s v="Price Variance"/>
    <s v="Late Delivery"/>
    <s v="OK"/>
    <n v="0"/>
    <n v="0"/>
    <n v="0"/>
    <n v="0"/>
    <n v="0"/>
    <n v="1"/>
    <n v="1"/>
    <n v="0"/>
    <x v="0"/>
  </r>
  <r>
    <s v="PO1317"/>
    <x v="21"/>
    <d v="2026-03-26T00:00:00"/>
    <n v="149"/>
    <n v="29.27"/>
    <s v="Jakub Novák"/>
    <d v="2026-04-13T00:00:00"/>
    <n v="149"/>
    <d v="2026-04-13T00:00:00"/>
    <s v="INV5332"/>
    <n v="149"/>
    <n v="29.27"/>
    <d v="2026-04-15T00:00:00"/>
    <s v="OK"/>
    <s v="OK"/>
    <s v="OK"/>
    <s v="OK"/>
    <s v="OK"/>
    <s v="OK"/>
    <s v="OK"/>
    <s v="OK"/>
    <n v="0"/>
    <n v="0"/>
    <n v="0"/>
    <n v="0"/>
    <n v="0"/>
    <n v="0"/>
    <n v="0"/>
    <n v="0"/>
    <x v="2"/>
  </r>
  <r>
    <s v="PO1299"/>
    <x v="14"/>
    <d v="2026-02-05T00:00:00"/>
    <n v="29"/>
    <n v="60.94"/>
    <s v=""/>
    <d v="2026-02-14T00:00:00"/>
    <m/>
    <m/>
    <s v="INV5314"/>
    <n v="29"/>
    <n v="60.94"/>
    <d v="2026-02-17T00:00:00"/>
    <s v="Missing Approval"/>
    <s v="No GR - Not received"/>
    <s v="OK"/>
    <s v="OK"/>
    <s v="OK"/>
    <s v="OK"/>
    <s v="OK"/>
    <s v="OK"/>
    <n v="1"/>
    <n v="1"/>
    <n v="0"/>
    <n v="0"/>
    <n v="0"/>
    <n v="0"/>
    <n v="0"/>
    <n v="0"/>
    <x v="4"/>
  </r>
  <r>
    <s v="PO1318"/>
    <x v="29"/>
    <d v="2026-04-23T00:00:00"/>
    <n v="468"/>
    <n v="191.51"/>
    <s v="Elena Petrova"/>
    <d v="2026-05-03T00:00:00"/>
    <n v="468"/>
    <d v="2026-05-05T00:00:00"/>
    <s v="INV5333"/>
    <n v="468"/>
    <n v="191.51"/>
    <d v="2026-05-12T00:00:00"/>
    <s v="OK"/>
    <s v="OK"/>
    <s v="OK"/>
    <s v="OK"/>
    <s v="OK"/>
    <s v="OK"/>
    <s v="Late Delivery"/>
    <s v="OK"/>
    <n v="0"/>
    <n v="0"/>
    <n v="0"/>
    <n v="0"/>
    <n v="0"/>
    <n v="0"/>
    <n v="1"/>
    <n v="0"/>
    <x v="1"/>
  </r>
  <r>
    <s v="PO1320"/>
    <x v="10"/>
    <d v="2026-04-19T00:00:00"/>
    <n v="50"/>
    <n v="88.97"/>
    <s v=""/>
    <d v="2026-05-03T00:00:00"/>
    <n v="50"/>
    <d v="2026-05-08T00:00:00"/>
    <s v="INV5335"/>
    <n v="50"/>
    <n v="93.93"/>
    <d v="2026-05-07T00:00:00"/>
    <s v="Missing Approval"/>
    <s v="OK"/>
    <s v="OK"/>
    <s v="OK"/>
    <s v="OK"/>
    <s v="Price Variance"/>
    <s v="Late Delivery"/>
    <s v="OK"/>
    <n v="1"/>
    <n v="0"/>
    <n v="0"/>
    <n v="0"/>
    <n v="0"/>
    <n v="1"/>
    <n v="1"/>
    <n v="0"/>
    <x v="1"/>
  </r>
  <r>
    <s v="PO1321"/>
    <x v="45"/>
    <d v="2026-01-27T00:00:00"/>
    <n v="50"/>
    <n v="68.94"/>
    <s v="Nicolas Dubois"/>
    <d v="2026-02-10T00:00:00"/>
    <n v="50"/>
    <d v="2026-02-08T00:00:00"/>
    <s v="INV5336"/>
    <n v="50"/>
    <n v="68.94"/>
    <d v="2026-02-15T00:00:00"/>
    <s v="OK"/>
    <s v="OK"/>
    <s v="OK"/>
    <s v="OK"/>
    <s v="OK"/>
    <s v="OK"/>
    <s v="OK"/>
    <s v="OK"/>
    <n v="0"/>
    <n v="0"/>
    <n v="0"/>
    <n v="0"/>
    <n v="0"/>
    <n v="0"/>
    <n v="0"/>
    <n v="0"/>
    <x v="0"/>
  </r>
  <r>
    <s v="PO1322"/>
    <x v="23"/>
    <d v="2026-04-20T00:00:00"/>
    <n v="95"/>
    <n v="139.5"/>
    <s v="Jakub Novák"/>
    <d v="2026-05-09T00:00:00"/>
    <n v="95"/>
    <d v="2026-05-11T00:00:00"/>
    <s v="INV5337"/>
    <n v="95"/>
    <n v="139.5"/>
    <d v="2026-05-14T00:00:00"/>
    <s v="OK"/>
    <s v="OK"/>
    <s v="OK"/>
    <s v="OK"/>
    <s v="OK"/>
    <s v="OK"/>
    <s v="Late Delivery"/>
    <s v="OK"/>
    <n v="0"/>
    <n v="0"/>
    <n v="0"/>
    <n v="0"/>
    <n v="0"/>
    <n v="0"/>
    <n v="1"/>
    <n v="0"/>
    <x v="1"/>
  </r>
  <r>
    <s v="PO1323"/>
    <x v="7"/>
    <d v="2026-04-01T00:00:00"/>
    <n v="324"/>
    <n v="199.64"/>
    <s v="Anna Kowalska"/>
    <d v="2026-04-07T00:00:00"/>
    <n v="324"/>
    <d v="2026-04-08T00:00:00"/>
    <s v="INV5338"/>
    <n v="324"/>
    <n v="199.64"/>
    <d v="2026-04-10T00:00:00"/>
    <s v="OK"/>
    <s v="OK"/>
    <s v="OK"/>
    <s v="OK"/>
    <s v="OK"/>
    <s v="OK"/>
    <s v="Late Delivery"/>
    <s v="OK"/>
    <n v="0"/>
    <n v="0"/>
    <n v="0"/>
    <n v="0"/>
    <n v="0"/>
    <n v="0"/>
    <n v="1"/>
    <n v="0"/>
    <x v="1"/>
  </r>
  <r>
    <s v="PO1324"/>
    <x v="32"/>
    <d v="2026-04-14T00:00:00"/>
    <n v="196"/>
    <n v="105.05"/>
    <s v="Victor Popescu"/>
    <d v="2026-04-24T00:00:00"/>
    <n v="196"/>
    <d v="2026-05-13T00:00:00"/>
    <s v="INV5339"/>
    <n v="196"/>
    <n v="105.05"/>
    <d v="2026-05-03T00:00:00"/>
    <s v="OK"/>
    <s v="OK"/>
    <s v="OK"/>
    <s v="OK"/>
    <s v="OK"/>
    <s v="OK"/>
    <s v="Late Delivery"/>
    <s v="OK"/>
    <n v="0"/>
    <n v="0"/>
    <n v="0"/>
    <n v="0"/>
    <n v="0"/>
    <n v="0"/>
    <n v="1"/>
    <n v="0"/>
    <x v="1"/>
  </r>
  <r>
    <s v="PO1325"/>
    <x v="20"/>
    <d v="2026-02-06T00:00:00"/>
    <n v="444"/>
    <n v="123.48"/>
    <s v="Ingrid Hansen"/>
    <d v="2026-02-12T00:00:00"/>
    <n v="444"/>
    <d v="2026-02-26T00:00:00"/>
    <s v="INV5340"/>
    <n v="444"/>
    <n v="135.19999999999999"/>
    <d v="2026-02-18T00:00:00"/>
    <s v="OK"/>
    <s v="OK"/>
    <s v="OK"/>
    <s v="OK"/>
    <s v="OK"/>
    <s v="Price Variance"/>
    <s v="Late Delivery"/>
    <s v="OK"/>
    <n v="0"/>
    <n v="0"/>
    <n v="0"/>
    <n v="0"/>
    <n v="0"/>
    <n v="1"/>
    <n v="1"/>
    <n v="0"/>
    <x v="4"/>
  </r>
  <r>
    <s v="PO1326"/>
    <x v="1"/>
    <d v="2026-01-18T00:00:00"/>
    <n v="130"/>
    <n v="156.81"/>
    <s v="Jakub Novák"/>
    <d v="2026-02-03T00:00:00"/>
    <n v="130"/>
    <d v="2026-02-04T00:00:00"/>
    <s v="INV5341"/>
    <n v="130"/>
    <n v="156.81"/>
    <d v="2026-02-10T00:00:00"/>
    <s v="OK"/>
    <s v="OK"/>
    <s v="OK"/>
    <s v="OK"/>
    <s v="OK"/>
    <s v="OK"/>
    <s v="Late Delivery"/>
    <s v="OK"/>
    <n v="0"/>
    <n v="0"/>
    <n v="0"/>
    <n v="0"/>
    <n v="0"/>
    <n v="0"/>
    <n v="1"/>
    <n v="0"/>
    <x v="0"/>
  </r>
  <r>
    <s v="PO1327"/>
    <x v="39"/>
    <d v="2026-05-26T00:00:00"/>
    <n v="26"/>
    <n v="122.99"/>
    <s v="Felix Bauer"/>
    <d v="2026-06-14T00:00:00"/>
    <n v="26"/>
    <d v="2026-06-16T00:00:00"/>
    <s v="INV5342"/>
    <n v="26"/>
    <n v="122.99"/>
    <d v="2026-06-15T00:00:00"/>
    <s v="OK"/>
    <s v="OK"/>
    <s v="OK"/>
    <s v="OK"/>
    <s v="OK"/>
    <s v="OK"/>
    <s v="Late Delivery"/>
    <s v="OK"/>
    <n v="0"/>
    <n v="0"/>
    <n v="0"/>
    <n v="0"/>
    <n v="0"/>
    <n v="0"/>
    <n v="1"/>
    <n v="0"/>
    <x v="3"/>
  </r>
  <r>
    <s v="PO1310"/>
    <x v="15"/>
    <d v="2026-01-05T00:00:00"/>
    <n v="192"/>
    <n v="158.76"/>
    <s v="Jakub Novák"/>
    <d v="2026-01-17T00:00:00"/>
    <m/>
    <m/>
    <s v="INV5325"/>
    <n v="192"/>
    <n v="158.76"/>
    <d v="2026-01-22T00:00:00"/>
    <s v="OK"/>
    <s v="No GR - Not received"/>
    <s v="OK"/>
    <s v="OK"/>
    <s v="OK"/>
    <s v="OK"/>
    <s v="OK"/>
    <s v="OK"/>
    <n v="0"/>
    <n v="1"/>
    <n v="0"/>
    <n v="0"/>
    <n v="0"/>
    <n v="0"/>
    <n v="0"/>
    <n v="0"/>
    <x v="0"/>
  </r>
  <r>
    <s v="PO1328"/>
    <x v="35"/>
    <d v="2026-04-06T00:00:00"/>
    <n v="237"/>
    <n v="153.80000000000001"/>
    <s v="Emma Johansson"/>
    <d v="2026-04-15T00:00:00"/>
    <n v="237"/>
    <d v="2026-04-15T00:00:00"/>
    <s v="INV5343"/>
    <n v="237"/>
    <n v="153.80000000000001"/>
    <d v="2026-04-18T00:00:00"/>
    <s v="OK"/>
    <s v="OK"/>
    <s v="OK"/>
    <s v="OK"/>
    <s v="OK"/>
    <s v="OK"/>
    <s v="OK"/>
    <s v="OK"/>
    <n v="0"/>
    <n v="0"/>
    <n v="0"/>
    <n v="0"/>
    <n v="0"/>
    <n v="0"/>
    <n v="0"/>
    <n v="0"/>
    <x v="1"/>
  </r>
  <r>
    <s v="PO1329"/>
    <x v="31"/>
    <d v="2026-04-04T00:00:00"/>
    <n v="213"/>
    <n v="66.31"/>
    <s v=""/>
    <d v="2026-04-16T00:00:00"/>
    <n v="213"/>
    <d v="2026-04-24T00:00:00"/>
    <s v="INV5344"/>
    <n v="213"/>
    <n v="66.31"/>
    <d v="2026-04-20T00:00:00"/>
    <s v="Missing Approval"/>
    <s v="OK"/>
    <s v="OK"/>
    <s v="OK"/>
    <s v="OK"/>
    <s v="OK"/>
    <s v="Late Delivery"/>
    <s v="OK"/>
    <n v="1"/>
    <n v="0"/>
    <n v="0"/>
    <n v="0"/>
    <n v="0"/>
    <n v="0"/>
    <n v="1"/>
    <n v="0"/>
    <x v="1"/>
  </r>
  <r>
    <s v="PO1330"/>
    <x v="16"/>
    <d v="2026-01-07T00:00:00"/>
    <n v="386"/>
    <n v="41.28"/>
    <s v="Clara Silva"/>
    <d v="2026-01-24T00:00:00"/>
    <n v="386"/>
    <d v="2026-01-23T00:00:00"/>
    <s v="INV5345"/>
    <n v="386"/>
    <n v="41.28"/>
    <d v="2026-02-02T00:00:00"/>
    <s v="OK"/>
    <s v="OK"/>
    <s v="OK"/>
    <s v="OK"/>
    <s v="OK"/>
    <s v="OK"/>
    <s v="OK"/>
    <s v="OK"/>
    <n v="0"/>
    <n v="0"/>
    <n v="0"/>
    <n v="0"/>
    <n v="0"/>
    <n v="0"/>
    <n v="0"/>
    <n v="0"/>
    <x v="0"/>
  </r>
  <r>
    <s v="PO1331"/>
    <x v="8"/>
    <d v="2026-01-31T00:00:00"/>
    <n v="144"/>
    <n v="156.12"/>
    <s v="Marta Nowak"/>
    <d v="2026-02-19T00:00:00"/>
    <n v="144"/>
    <d v="2026-02-27T00:00:00"/>
    <s v="INV5346"/>
    <n v="144"/>
    <n v="156.12"/>
    <d v="2026-02-27T00:00:00"/>
    <s v="OK"/>
    <s v="OK"/>
    <s v="OK"/>
    <s v="OK"/>
    <s v="OK"/>
    <s v="OK"/>
    <s v="Late Delivery"/>
    <s v="OK"/>
    <n v="0"/>
    <n v="0"/>
    <n v="0"/>
    <n v="0"/>
    <n v="0"/>
    <n v="0"/>
    <n v="1"/>
    <n v="0"/>
    <x v="0"/>
  </r>
  <r>
    <s v="PO1332"/>
    <x v="13"/>
    <d v="2026-03-15T00:00:00"/>
    <n v="365"/>
    <n v="183.71"/>
    <s v="Andreas Weber"/>
    <d v="2026-03-26T00:00:00"/>
    <n v="365"/>
    <d v="2026-03-26T00:00:00"/>
    <s v="INV5347"/>
    <n v="365"/>
    <n v="216.2"/>
    <d v="2026-04-02T00:00:00"/>
    <s v="OK"/>
    <s v="OK"/>
    <s v="OK"/>
    <s v="OK"/>
    <s v="OK"/>
    <s v="Price Variance"/>
    <s v="OK"/>
    <s v="OK"/>
    <n v="0"/>
    <n v="0"/>
    <n v="0"/>
    <n v="0"/>
    <n v="0"/>
    <n v="1"/>
    <n v="0"/>
    <n v="0"/>
    <x v="2"/>
  </r>
  <r>
    <s v="PO1333"/>
    <x v="16"/>
    <d v="2026-02-04T00:00:00"/>
    <n v="446"/>
    <n v="19.440000000000001"/>
    <s v="Lukas Müller"/>
    <d v="2026-02-23T00:00:00"/>
    <n v="446"/>
    <d v="2026-02-25T00:00:00"/>
    <s v="INV5348"/>
    <n v="446"/>
    <n v="19.440000000000001"/>
    <d v="2026-02-27T00:00:00"/>
    <s v="OK"/>
    <s v="OK"/>
    <s v="OK"/>
    <s v="OK"/>
    <s v="OK"/>
    <s v="OK"/>
    <s v="Late Delivery"/>
    <s v="OK"/>
    <n v="0"/>
    <n v="0"/>
    <n v="0"/>
    <n v="0"/>
    <n v="0"/>
    <n v="0"/>
    <n v="1"/>
    <n v="0"/>
    <x v="4"/>
  </r>
  <r>
    <s v="PO1334"/>
    <x v="10"/>
    <d v="2026-03-23T00:00:00"/>
    <n v="351"/>
    <n v="72.75"/>
    <s v="Camila Cantrell"/>
    <d v="2026-04-06T00:00:00"/>
    <n v="351"/>
    <d v="2026-04-04T00:00:00"/>
    <s v="INV5349"/>
    <n v="351"/>
    <n v="72.75"/>
    <d v="2026-04-07T00:00:00"/>
    <s v="OK"/>
    <s v="OK"/>
    <s v="OK"/>
    <s v="OK"/>
    <s v="OK"/>
    <s v="OK"/>
    <s v="OK"/>
    <s v="OK"/>
    <n v="0"/>
    <n v="0"/>
    <n v="0"/>
    <n v="0"/>
    <n v="0"/>
    <n v="0"/>
    <n v="0"/>
    <n v="0"/>
    <x v="2"/>
  </r>
  <r>
    <s v="PO1335"/>
    <x v="47"/>
    <d v="2026-02-10T00:00:00"/>
    <n v="374"/>
    <n v="143.36000000000001"/>
    <s v="Marta Nowak"/>
    <d v="2026-02-20T00:00:00"/>
    <n v="374"/>
    <d v="2026-02-21T00:00:00"/>
    <s v="INV5350"/>
    <n v="374"/>
    <n v="143.36000000000001"/>
    <d v="2026-02-23T00:00:00"/>
    <s v="OK"/>
    <s v="OK"/>
    <s v="OK"/>
    <s v="OK"/>
    <s v="OK"/>
    <s v="OK"/>
    <s v="Late Delivery"/>
    <s v="OK"/>
    <n v="0"/>
    <n v="0"/>
    <n v="0"/>
    <n v="0"/>
    <n v="0"/>
    <n v="0"/>
    <n v="1"/>
    <n v="0"/>
    <x v="4"/>
  </r>
  <r>
    <s v="PO1319"/>
    <x v="37"/>
    <d v="2026-05-08T00:00:00"/>
    <n v="198"/>
    <n v="185.24"/>
    <s v="Clara Silva"/>
    <d v="2026-05-21T00:00:00"/>
    <m/>
    <m/>
    <s v="INV5334"/>
    <n v="198"/>
    <n v="185.24"/>
    <d v="2026-05-25T00:00:00"/>
    <s v="OK"/>
    <s v="No GR - Not received"/>
    <s v="OK"/>
    <s v="OK"/>
    <s v="OK"/>
    <s v="OK"/>
    <s v="OK"/>
    <s v="OK"/>
    <n v="0"/>
    <n v="1"/>
    <n v="0"/>
    <n v="0"/>
    <n v="0"/>
    <n v="0"/>
    <n v="0"/>
    <n v="0"/>
    <x v="3"/>
  </r>
  <r>
    <s v="PO1336"/>
    <x v="35"/>
    <d v="2026-05-11T00:00:00"/>
    <n v="124"/>
    <n v="28.67"/>
    <s v="Sofia Rossi"/>
    <d v="2026-05-20T00:00:00"/>
    <n v="124"/>
    <d v="2026-05-19T00:00:00"/>
    <s v="INV5351"/>
    <n v="124"/>
    <n v="28.67"/>
    <d v="2026-05-28T00:00:00"/>
    <s v="OK"/>
    <s v="OK"/>
    <s v="OK"/>
    <s v="OK"/>
    <s v="OK"/>
    <s v="OK"/>
    <s v="OK"/>
    <s v="OK"/>
    <n v="0"/>
    <n v="0"/>
    <n v="0"/>
    <n v="0"/>
    <n v="0"/>
    <n v="0"/>
    <n v="0"/>
    <n v="0"/>
    <x v="3"/>
  </r>
  <r>
    <s v="PO1338"/>
    <x v="30"/>
    <d v="2026-05-22T00:00:00"/>
    <n v="76"/>
    <n v="124.33"/>
    <s v="Camila Cantrell"/>
    <d v="2026-05-29T00:00:00"/>
    <n v="76"/>
    <d v="2026-06-17T00:00:00"/>
    <s v="INV5353"/>
    <n v="76"/>
    <n v="124.33"/>
    <d v="2026-06-05T00:00:00"/>
    <s v="OK"/>
    <s v="OK"/>
    <s v="OK"/>
    <s v="OK"/>
    <s v="OK"/>
    <s v="OK"/>
    <s v="Late Delivery"/>
    <s v="OK"/>
    <n v="0"/>
    <n v="0"/>
    <n v="0"/>
    <n v="0"/>
    <n v="0"/>
    <n v="0"/>
    <n v="1"/>
    <n v="0"/>
    <x v="3"/>
  </r>
  <r>
    <s v="PO1339"/>
    <x v="47"/>
    <d v="2026-04-12T00:00:00"/>
    <n v="377"/>
    <n v="145.18"/>
    <s v="Clara Silva"/>
    <d v="2026-04-30T00:00:00"/>
    <n v="377"/>
    <d v="2026-05-01T00:00:00"/>
    <s v="INV5354"/>
    <n v="377"/>
    <n v="145.18"/>
    <d v="2026-05-05T00:00:00"/>
    <s v="OK"/>
    <s v="OK"/>
    <s v="OK"/>
    <s v="OK"/>
    <s v="OK"/>
    <s v="OK"/>
    <s v="Late Delivery"/>
    <s v="OK"/>
    <n v="0"/>
    <n v="0"/>
    <n v="0"/>
    <n v="0"/>
    <n v="0"/>
    <n v="0"/>
    <n v="1"/>
    <n v="0"/>
    <x v="1"/>
  </r>
  <r>
    <s v="PO1340"/>
    <x v="34"/>
    <d v="2026-05-28T00:00:00"/>
    <n v="47"/>
    <n v="29.44"/>
    <s v="Elena Petrova"/>
    <d v="2026-06-04T00:00:00"/>
    <n v="27"/>
    <d v="2026-06-05T00:00:00"/>
    <s v="INV5355"/>
    <n v="47"/>
    <n v="34.380000000000003"/>
    <d v="2026-06-07T00:00:00"/>
    <s v="OK"/>
    <s v="OK"/>
    <s v="OK"/>
    <s v="OK"/>
    <s v="Qty Variance"/>
    <s v="Price Variance"/>
    <s v="Late Delivery"/>
    <s v="OK"/>
    <n v="0"/>
    <n v="0"/>
    <n v="0"/>
    <n v="0"/>
    <n v="1"/>
    <n v="1"/>
    <n v="1"/>
    <n v="0"/>
    <x v="3"/>
  </r>
  <r>
    <s v="PO1341"/>
    <x v="23"/>
    <d v="2026-04-30T00:00:00"/>
    <n v="358"/>
    <n v="105.89"/>
    <s v="Winter Underwood"/>
    <d v="2026-05-10T00:00:00"/>
    <n v="353"/>
    <d v="2026-05-12T00:00:00"/>
    <s v="INV5356"/>
    <n v="358"/>
    <n v="105.89"/>
    <d v="2026-05-16T00:00:00"/>
    <s v="OK"/>
    <s v="OK"/>
    <s v="OK"/>
    <s v="OK"/>
    <s v="Qty Variance"/>
    <s v="OK"/>
    <s v="Late Delivery"/>
    <s v="OK"/>
    <n v="0"/>
    <n v="0"/>
    <n v="0"/>
    <n v="0"/>
    <n v="1"/>
    <n v="0"/>
    <n v="1"/>
    <n v="0"/>
    <x v="1"/>
  </r>
  <r>
    <s v="PO1342"/>
    <x v="1"/>
    <d v="2026-04-21T00:00:00"/>
    <n v="267"/>
    <n v="182.59"/>
    <s v="A. Nagy"/>
    <d v="2026-04-29T00:00:00"/>
    <n v="262"/>
    <d v="2026-04-30T00:00:00"/>
    <s v="INV5357"/>
    <n v="267"/>
    <n v="182.59"/>
    <d v="2026-05-09T00:00:00"/>
    <s v="OK"/>
    <s v="OK"/>
    <s v="OK"/>
    <s v="OK"/>
    <s v="Qty Variance"/>
    <s v="OK"/>
    <s v="Late Delivery"/>
    <s v="OK"/>
    <n v="0"/>
    <n v="0"/>
    <n v="0"/>
    <n v="0"/>
    <n v="1"/>
    <n v="0"/>
    <n v="1"/>
    <n v="0"/>
    <x v="1"/>
  </r>
  <r>
    <s v="PO1343"/>
    <x v="31"/>
    <d v="2026-02-09T00:00:00"/>
    <n v="165"/>
    <n v="37.11"/>
    <s v="Elena Petrova"/>
    <d v="2026-02-21T00:00:00"/>
    <n v="165"/>
    <d v="2026-02-20T00:00:00"/>
    <s v="INV5358"/>
    <n v="165"/>
    <n v="37.11"/>
    <d v="2026-02-28T00:00:00"/>
    <s v="OK"/>
    <s v="OK"/>
    <s v="OK"/>
    <s v="OK"/>
    <s v="OK"/>
    <s v="OK"/>
    <s v="OK"/>
    <s v="OK"/>
    <n v="0"/>
    <n v="0"/>
    <n v="0"/>
    <n v="0"/>
    <n v="0"/>
    <n v="0"/>
    <n v="0"/>
    <n v="0"/>
    <x v="4"/>
  </r>
  <r>
    <s v="PO1344"/>
    <x v="40"/>
    <d v="2026-05-13T00:00:00"/>
    <n v="468"/>
    <n v="60.39"/>
    <s v="Camila Cantrell"/>
    <d v="2026-05-26T00:00:00"/>
    <n v="468"/>
    <d v="2026-05-26T00:00:00"/>
    <s v="INV5359"/>
    <n v="468"/>
    <n v="60.39"/>
    <d v="2026-06-04T00:00:00"/>
    <s v="OK"/>
    <s v="OK"/>
    <s v="OK"/>
    <s v="OK"/>
    <s v="OK"/>
    <s v="OK"/>
    <s v="OK"/>
    <s v="OK"/>
    <n v="0"/>
    <n v="0"/>
    <n v="0"/>
    <n v="0"/>
    <n v="0"/>
    <n v="0"/>
    <n v="0"/>
    <n v="0"/>
    <x v="3"/>
  </r>
  <r>
    <s v="PO1345"/>
    <x v="41"/>
    <d v="2026-05-22T00:00:00"/>
    <n v="150"/>
    <n v="29.41"/>
    <s v="Nicolas Dubois"/>
    <d v="2026-05-29T00:00:00"/>
    <n v="150"/>
    <d v="2026-05-29T00:00:00"/>
    <s v="INV5360"/>
    <n v="150"/>
    <n v="29.41"/>
    <d v="2026-06-04T00:00:00"/>
    <s v="OK"/>
    <s v="OK"/>
    <s v="OK"/>
    <s v="OK"/>
    <s v="OK"/>
    <s v="OK"/>
    <s v="OK"/>
    <s v="OK"/>
    <n v="0"/>
    <n v="0"/>
    <n v="0"/>
    <n v="0"/>
    <n v="0"/>
    <n v="0"/>
    <n v="0"/>
    <n v="0"/>
    <x v="3"/>
  </r>
  <r>
    <s v="PO1346"/>
    <x v="3"/>
    <d v="2026-02-13T00:00:00"/>
    <n v="313"/>
    <n v="188.61"/>
    <s v="Winter Underwood"/>
    <d v="2026-02-23T00:00:00"/>
    <n v="313"/>
    <d v="2026-02-25T00:00:00"/>
    <s v="INV5361"/>
    <n v="313"/>
    <n v="188.61"/>
    <d v="2026-02-28T00:00:00"/>
    <s v="OK"/>
    <s v="OK"/>
    <s v="OK"/>
    <s v="OK"/>
    <s v="OK"/>
    <s v="OK"/>
    <s v="Late Delivery"/>
    <s v="OK"/>
    <n v="0"/>
    <n v="0"/>
    <n v="0"/>
    <n v="0"/>
    <n v="0"/>
    <n v="0"/>
    <n v="1"/>
    <n v="0"/>
    <x v="4"/>
  </r>
  <r>
    <s v="PO1347"/>
    <x v="27"/>
    <d v="2026-03-28T00:00:00"/>
    <n v="441"/>
    <n v="185.17"/>
    <s v="A. Nagy"/>
    <d v="2026-04-02T00:00:00"/>
    <n v="441"/>
    <d v="2026-04-02T00:00:00"/>
    <s v="INV5362"/>
    <n v="441"/>
    <n v="185.17"/>
    <d v="2026-04-11T00:00:00"/>
    <s v="OK"/>
    <s v="OK"/>
    <s v="OK"/>
    <s v="OK"/>
    <s v="OK"/>
    <s v="OK"/>
    <s v="OK"/>
    <s v="OK"/>
    <n v="0"/>
    <n v="0"/>
    <n v="0"/>
    <n v="0"/>
    <n v="0"/>
    <n v="0"/>
    <n v="0"/>
    <n v="0"/>
    <x v="2"/>
  </r>
  <r>
    <s v="PO1348"/>
    <x v="10"/>
    <d v="2026-01-12T00:00:00"/>
    <n v="495"/>
    <n v="130.08000000000001"/>
    <s v="Emma Johansson"/>
    <d v="2026-01-25T00:00:00"/>
    <n v="499"/>
    <d v="2026-01-25T00:00:00"/>
    <s v="INV5363"/>
    <n v="495"/>
    <n v="130.08000000000001"/>
    <d v="2026-02-04T00:00:00"/>
    <s v="OK"/>
    <s v="OK"/>
    <s v="OK"/>
    <s v="OK"/>
    <s v="Qty Variance"/>
    <s v="OK"/>
    <s v="OK"/>
    <s v="OK"/>
    <n v="0"/>
    <n v="0"/>
    <n v="0"/>
    <n v="0"/>
    <n v="1"/>
    <n v="0"/>
    <n v="0"/>
    <n v="0"/>
    <x v="0"/>
  </r>
  <r>
    <s v="PO1349"/>
    <x v="43"/>
    <d v="2026-02-23T00:00:00"/>
    <n v="402"/>
    <n v="116.57"/>
    <s v="Thomas Lefèvre"/>
    <d v="2026-02-28T00:00:00"/>
    <n v="402"/>
    <d v="2026-03-01T00:00:00"/>
    <s v="INV5364"/>
    <n v="402"/>
    <n v="116.57"/>
    <d v="2026-03-02T00:00:00"/>
    <s v="OK"/>
    <s v="OK"/>
    <s v="OK"/>
    <s v="OK"/>
    <s v="OK"/>
    <s v="OK"/>
    <s v="Late Delivery"/>
    <s v="OK"/>
    <n v="0"/>
    <n v="0"/>
    <n v="0"/>
    <n v="0"/>
    <n v="0"/>
    <n v="0"/>
    <n v="1"/>
    <n v="0"/>
    <x v="4"/>
  </r>
  <r>
    <s v="PO1350"/>
    <x v="37"/>
    <d v="2026-05-20T00:00:00"/>
    <n v="158"/>
    <n v="130.16999999999999"/>
    <s v="Nicolas Dubois"/>
    <d v="2026-06-09T00:00:00"/>
    <n v="158"/>
    <d v="2026-06-10T00:00:00"/>
    <s v="INV5365"/>
    <n v="158"/>
    <n v="130.16999999999999"/>
    <d v="2026-06-13T00:00:00"/>
    <s v="OK"/>
    <s v="OK"/>
    <s v="OK"/>
    <s v="OK"/>
    <s v="OK"/>
    <s v="OK"/>
    <s v="Late Delivery"/>
    <s v="OK"/>
    <n v="0"/>
    <n v="0"/>
    <n v="0"/>
    <n v="0"/>
    <n v="0"/>
    <n v="0"/>
    <n v="1"/>
    <n v="0"/>
    <x v="3"/>
  </r>
  <r>
    <s v="PO1351"/>
    <x v="26"/>
    <d v="2026-04-14T00:00:00"/>
    <n v="162"/>
    <n v="93.44"/>
    <s v="Marta Nowak"/>
    <d v="2026-04-20T00:00:00"/>
    <n v="162"/>
    <d v="2026-04-19T00:00:00"/>
    <s v="INV5366"/>
    <n v="162"/>
    <n v="93.44"/>
    <d v="2026-04-22T00:00:00"/>
    <s v="OK"/>
    <s v="OK"/>
    <s v="OK"/>
    <s v="OK"/>
    <s v="OK"/>
    <s v="OK"/>
    <s v="OK"/>
    <s v="OK"/>
    <n v="0"/>
    <n v="0"/>
    <n v="0"/>
    <n v="0"/>
    <n v="0"/>
    <n v="0"/>
    <n v="0"/>
    <n v="0"/>
    <x v="1"/>
  </r>
  <r>
    <s v="PO1352"/>
    <x v="11"/>
    <d v="2026-04-23T00:00:00"/>
    <n v="222"/>
    <n v="99.43"/>
    <s v="Sofia Rossi"/>
    <d v="2026-05-08T00:00:00"/>
    <n v="222"/>
    <d v="2026-05-09T00:00:00"/>
    <s v="INV5367"/>
    <n v="222"/>
    <n v="99.43"/>
    <d v="2026-05-09T00:00:00"/>
    <s v="OK"/>
    <s v="OK"/>
    <s v="OK"/>
    <s v="OK"/>
    <s v="OK"/>
    <s v="OK"/>
    <s v="Late Delivery"/>
    <s v="OK"/>
    <n v="0"/>
    <n v="0"/>
    <n v="0"/>
    <n v="0"/>
    <n v="0"/>
    <n v="0"/>
    <n v="1"/>
    <n v="0"/>
    <x v="1"/>
  </r>
  <r>
    <s v="PO1337"/>
    <x v="26"/>
    <d v="2026-05-07T00:00:00"/>
    <n v="23"/>
    <n v="75.37"/>
    <s v="Emma Johansson"/>
    <d v="2026-05-23T00:00:00"/>
    <m/>
    <m/>
    <s v="INV5352"/>
    <n v="23"/>
    <n v="75.37"/>
    <d v="2026-05-29T00:00:00"/>
    <s v="OK"/>
    <s v="No GR - Not received"/>
    <s v="OK"/>
    <s v="OK"/>
    <s v="OK"/>
    <s v="OK"/>
    <s v="OK"/>
    <s v="OK"/>
    <n v="0"/>
    <n v="1"/>
    <n v="0"/>
    <n v="0"/>
    <n v="0"/>
    <n v="0"/>
    <n v="0"/>
    <n v="0"/>
    <x v="3"/>
  </r>
  <r>
    <s v="PO1353"/>
    <x v="17"/>
    <d v="2026-02-06T00:00:00"/>
    <n v="170"/>
    <n v="172.99"/>
    <s v="Elena Petrova"/>
    <d v="2026-02-22T00:00:00"/>
    <n v="170"/>
    <d v="2026-02-27T00:00:00"/>
    <s v="INV5368"/>
    <n v="170"/>
    <n v="172.99"/>
    <d v="2026-03-01T00:00:00"/>
    <s v="OK"/>
    <s v="OK"/>
    <s v="OK"/>
    <s v="OK"/>
    <s v="OK"/>
    <s v="OK"/>
    <s v="Late Delivery"/>
    <s v="OK"/>
    <n v="0"/>
    <n v="0"/>
    <n v="0"/>
    <n v="0"/>
    <n v="0"/>
    <n v="0"/>
    <n v="1"/>
    <n v="0"/>
    <x v="4"/>
  </r>
  <r>
    <s v="PO1354"/>
    <x v="29"/>
    <d v="2026-02-03T00:00:00"/>
    <n v="399"/>
    <n v="77.260000000000005"/>
    <s v="Pavel Horák"/>
    <d v="2026-02-11T00:00:00"/>
    <n v="399"/>
    <d v="2026-02-12T00:00:00"/>
    <s v="INV5369"/>
    <n v="399"/>
    <n v="77.260000000000005"/>
    <d v="2026-02-14T00:00:00"/>
    <s v="OK"/>
    <s v="OK"/>
    <s v="OK"/>
    <s v="OK"/>
    <s v="OK"/>
    <s v="OK"/>
    <s v="Late Delivery"/>
    <s v="OK"/>
    <n v="0"/>
    <n v="0"/>
    <n v="0"/>
    <n v="0"/>
    <n v="0"/>
    <n v="0"/>
    <n v="1"/>
    <n v="0"/>
    <x v="4"/>
  </r>
  <r>
    <s v="PO1355"/>
    <x v="45"/>
    <d v="2026-03-03T00:00:00"/>
    <n v="248"/>
    <n v="28.89"/>
    <s v="Ingrid Hansen"/>
    <d v="2026-03-15T00:00:00"/>
    <n v="248"/>
    <d v="2026-03-16T00:00:00"/>
    <s v="INV5370"/>
    <n v="248"/>
    <n v="28.89"/>
    <d v="2026-03-17T00:00:00"/>
    <s v="OK"/>
    <s v="OK"/>
    <s v="OK"/>
    <s v="OK"/>
    <s v="OK"/>
    <s v="OK"/>
    <s v="Late Delivery"/>
    <s v="OK"/>
    <n v="0"/>
    <n v="0"/>
    <n v="0"/>
    <n v="0"/>
    <n v="0"/>
    <n v="0"/>
    <n v="1"/>
    <n v="0"/>
    <x v="2"/>
  </r>
  <r>
    <s v="PO1356"/>
    <x v="14"/>
    <d v="2026-01-25T00:00:00"/>
    <n v="35"/>
    <n v="61.59"/>
    <s v="Laura Schmidt"/>
    <d v="2026-02-12T00:00:00"/>
    <n v="35"/>
    <d v="2026-02-13T00:00:00"/>
    <s v="INV5371"/>
    <n v="35"/>
    <n v="61.59"/>
    <d v="2026-02-16T00:00:00"/>
    <s v="OK"/>
    <s v="OK"/>
    <s v="OK"/>
    <s v="OK"/>
    <s v="OK"/>
    <s v="OK"/>
    <s v="Late Delivery"/>
    <s v="OK"/>
    <n v="0"/>
    <n v="0"/>
    <n v="0"/>
    <n v="0"/>
    <n v="0"/>
    <n v="0"/>
    <n v="1"/>
    <n v="0"/>
    <x v="0"/>
  </r>
  <r>
    <s v="PO1357"/>
    <x v="26"/>
    <d v="2026-02-10T00:00:00"/>
    <n v="426"/>
    <n v="68.849999999999994"/>
    <s v="Emma Johansson"/>
    <d v="2026-02-25T00:00:00"/>
    <n v="426"/>
    <d v="2026-02-26T00:00:00"/>
    <s v="INV5372"/>
    <n v="426"/>
    <n v="68.849999999999994"/>
    <d v="2026-03-04T00:00:00"/>
    <s v="OK"/>
    <s v="OK"/>
    <s v="OK"/>
    <s v="OK"/>
    <s v="OK"/>
    <s v="OK"/>
    <s v="Late Delivery"/>
    <s v="OK"/>
    <n v="0"/>
    <n v="0"/>
    <n v="0"/>
    <n v="0"/>
    <n v="0"/>
    <n v="0"/>
    <n v="1"/>
    <n v="0"/>
    <x v="4"/>
  </r>
  <r>
    <s v="PO1358"/>
    <x v="41"/>
    <d v="2026-02-10T00:00:00"/>
    <n v="265"/>
    <n v="199.21"/>
    <s v="Ingrid Hansen"/>
    <d v="2026-03-02T00:00:00"/>
    <n v="265"/>
    <d v="2026-02-28T00:00:00"/>
    <s v="INV5373"/>
    <n v="265"/>
    <n v="199.21"/>
    <d v="2026-03-05T00:00:00"/>
    <s v="OK"/>
    <s v="OK"/>
    <s v="OK"/>
    <s v="OK"/>
    <s v="OK"/>
    <s v="OK"/>
    <s v="OK"/>
    <s v="OK"/>
    <n v="0"/>
    <n v="0"/>
    <n v="0"/>
    <n v="0"/>
    <n v="0"/>
    <n v="0"/>
    <n v="0"/>
    <n v="0"/>
    <x v="4"/>
  </r>
  <r>
    <s v="PO1359"/>
    <x v="47"/>
    <d v="2026-05-08T00:00:00"/>
    <n v="21"/>
    <n v="22.56"/>
    <s v="Laura Schmidt"/>
    <d v="2026-05-29T00:00:00"/>
    <n v="21"/>
    <d v="2026-05-31T00:00:00"/>
    <s v="INV5374"/>
    <n v="21"/>
    <n v="22.56"/>
    <d v="2026-06-08T00:00:00"/>
    <s v="OK"/>
    <s v="OK"/>
    <s v="OK"/>
    <s v="OK"/>
    <s v="OK"/>
    <s v="OK"/>
    <s v="Late Delivery"/>
    <s v="OK"/>
    <n v="0"/>
    <n v="0"/>
    <n v="0"/>
    <n v="0"/>
    <n v="0"/>
    <n v="0"/>
    <n v="1"/>
    <n v="0"/>
    <x v="3"/>
  </r>
  <r>
    <s v="PO1360"/>
    <x v="30"/>
    <d v="2026-03-03T00:00:00"/>
    <n v="120"/>
    <n v="118.75"/>
    <s v="A. Nagy"/>
    <d v="2026-03-09T00:00:00"/>
    <n v="120"/>
    <d v="2026-03-07T00:00:00"/>
    <s v="INV5375"/>
    <n v="120"/>
    <n v="118.75"/>
    <d v="2026-03-17T00:00:00"/>
    <s v="OK"/>
    <s v="OK"/>
    <s v="OK"/>
    <s v="OK"/>
    <s v="OK"/>
    <s v="OK"/>
    <s v="OK"/>
    <s v="OK"/>
    <n v="0"/>
    <n v="0"/>
    <n v="0"/>
    <n v="0"/>
    <n v="0"/>
    <n v="0"/>
    <n v="0"/>
    <n v="0"/>
    <x v="2"/>
  </r>
  <r>
    <s v="PO1361"/>
    <x v="42"/>
    <d v="2026-05-07T00:00:00"/>
    <n v="315"/>
    <n v="177.06"/>
    <s v="Katarina Jovanović"/>
    <d v="2026-05-27T00:00:00"/>
    <n v="315"/>
    <d v="2026-05-25T00:00:00"/>
    <s v="INV5376"/>
    <n v="315"/>
    <n v="189.7"/>
    <d v="2026-05-29T00:00:00"/>
    <s v="OK"/>
    <s v="OK"/>
    <s v="OK"/>
    <s v="OK"/>
    <s v="OK"/>
    <s v="Price Variance"/>
    <s v="OK"/>
    <s v="OK"/>
    <n v="0"/>
    <n v="0"/>
    <n v="0"/>
    <n v="0"/>
    <n v="0"/>
    <n v="1"/>
    <n v="0"/>
    <n v="0"/>
    <x v="3"/>
  </r>
  <r>
    <s v="PO1362"/>
    <x v="42"/>
    <d v="2026-05-18T00:00:00"/>
    <n v="14"/>
    <n v="170.2"/>
    <s v="Marco Bianchi"/>
    <d v="2026-05-27T00:00:00"/>
    <n v="14"/>
    <d v="2026-05-29T00:00:00"/>
    <s v="INV5377"/>
    <n v="14"/>
    <n v="170.2"/>
    <d v="2026-05-31T00:00:00"/>
    <s v="OK"/>
    <s v="OK"/>
    <s v="OK"/>
    <s v="OK"/>
    <s v="OK"/>
    <s v="OK"/>
    <s v="Late Delivery"/>
    <s v="OK"/>
    <n v="0"/>
    <n v="0"/>
    <n v="0"/>
    <n v="0"/>
    <n v="0"/>
    <n v="0"/>
    <n v="1"/>
    <n v="0"/>
    <x v="3"/>
  </r>
  <r>
    <s v="PO1363"/>
    <x v="18"/>
    <d v="2026-04-04T00:00:00"/>
    <n v="401"/>
    <n v="83.63"/>
    <s v="A. Nagy"/>
    <d v="2026-04-21T00:00:00"/>
    <n v="401"/>
    <d v="2026-04-22T00:00:00"/>
    <s v="INV5378"/>
    <n v="401"/>
    <n v="83.63"/>
    <d v="2026-04-29T00:00:00"/>
    <s v="OK"/>
    <s v="OK"/>
    <s v="OK"/>
    <s v="OK"/>
    <s v="OK"/>
    <s v="OK"/>
    <s v="Late Delivery"/>
    <s v="OK"/>
    <n v="0"/>
    <n v="0"/>
    <n v="0"/>
    <n v="0"/>
    <n v="0"/>
    <n v="0"/>
    <n v="1"/>
    <n v="0"/>
    <x v="1"/>
  </r>
  <r>
    <s v="PO1364"/>
    <x v="21"/>
    <d v="2026-05-26T00:00:00"/>
    <n v="297"/>
    <n v="42.96"/>
    <s v="Pavel Horák"/>
    <d v="2026-06-09T00:00:00"/>
    <n v="297"/>
    <d v="2026-06-08T00:00:00"/>
    <s v="INV5379"/>
    <n v="297"/>
    <n v="42.96"/>
    <d v="2026-06-11T00:00:00"/>
    <s v="OK"/>
    <s v="OK"/>
    <s v="OK"/>
    <s v="OK"/>
    <s v="OK"/>
    <s v="OK"/>
    <s v="OK"/>
    <s v="OK"/>
    <n v="0"/>
    <n v="0"/>
    <n v="0"/>
    <n v="0"/>
    <n v="0"/>
    <n v="0"/>
    <n v="0"/>
    <n v="0"/>
    <x v="3"/>
  </r>
  <r>
    <s v="PO1365"/>
    <x v="32"/>
    <d v="2026-04-09T00:00:00"/>
    <n v="268"/>
    <n v="92.82"/>
    <s v="Pavel Horák"/>
    <d v="2026-04-22T00:00:00"/>
    <n v="268"/>
    <d v="2026-04-20T00:00:00"/>
    <s v="INV5380"/>
    <n v="268"/>
    <n v="92.82"/>
    <d v="2026-04-30T00:00:00"/>
    <s v="OK"/>
    <s v="OK"/>
    <s v="OK"/>
    <s v="OK"/>
    <s v="OK"/>
    <s v="OK"/>
    <s v="OK"/>
    <s v="OK"/>
    <n v="0"/>
    <n v="0"/>
    <n v="0"/>
    <n v="0"/>
    <n v="0"/>
    <n v="0"/>
    <n v="0"/>
    <n v="0"/>
    <x v="1"/>
  </r>
  <r>
    <s v="PO1366"/>
    <x v="36"/>
    <d v="2026-01-31T00:00:00"/>
    <n v="75"/>
    <n v="195.14"/>
    <s v="Laura Schmidt"/>
    <d v="2026-02-16T00:00:00"/>
    <n v="75"/>
    <d v="2026-03-03T00:00:00"/>
    <s v="INV5381"/>
    <n v="75"/>
    <n v="195.14"/>
    <d v="2026-02-21T00:00:00"/>
    <s v="OK"/>
    <s v="OK"/>
    <s v="OK"/>
    <s v="OK"/>
    <s v="OK"/>
    <s v="OK"/>
    <s v="Late Delivery"/>
    <s v="OK"/>
    <n v="0"/>
    <n v="0"/>
    <n v="0"/>
    <n v="0"/>
    <n v="0"/>
    <n v="0"/>
    <n v="1"/>
    <n v="0"/>
    <x v="0"/>
  </r>
  <r>
    <s v="PO1367"/>
    <x v="24"/>
    <d v="2026-05-23T00:00:00"/>
    <n v="490"/>
    <n v="76.290000000000006"/>
    <s v="Winter Underwood"/>
    <d v="2026-06-03T00:00:00"/>
    <n v="507"/>
    <d v="2026-06-04T00:00:00"/>
    <s v="INV5382"/>
    <n v="490"/>
    <n v="76.290000000000006"/>
    <d v="2026-06-06T00:00:00"/>
    <s v="OK"/>
    <s v="OK"/>
    <s v="OK"/>
    <s v="OK"/>
    <s v="Qty Variance"/>
    <s v="OK"/>
    <s v="Late Delivery"/>
    <s v="OK"/>
    <n v="0"/>
    <n v="0"/>
    <n v="0"/>
    <n v="0"/>
    <n v="1"/>
    <n v="0"/>
    <n v="1"/>
    <n v="0"/>
    <x v="3"/>
  </r>
  <r>
    <s v="PO1368"/>
    <x v="17"/>
    <d v="2026-05-11T00:00:00"/>
    <n v="215"/>
    <n v="102.52"/>
    <s v="A. Nagy"/>
    <d v="2026-05-17T00:00:00"/>
    <n v="215"/>
    <d v="2026-05-17T00:00:00"/>
    <s v="INV5383"/>
    <n v="215"/>
    <n v="102.52"/>
    <d v="2026-05-27T00:00:00"/>
    <s v="OK"/>
    <s v="OK"/>
    <s v="OK"/>
    <s v="OK"/>
    <s v="OK"/>
    <s v="OK"/>
    <s v="OK"/>
    <s v="OK"/>
    <n v="0"/>
    <n v="0"/>
    <n v="0"/>
    <n v="0"/>
    <n v="0"/>
    <n v="0"/>
    <n v="0"/>
    <n v="0"/>
    <x v="3"/>
  </r>
  <r>
    <s v="PO1370"/>
    <x v="17"/>
    <d v="2026-05-12T00:00:00"/>
    <n v="81"/>
    <n v="68.95"/>
    <s v="Thomas Lefèvre"/>
    <d v="2026-05-27T00:00:00"/>
    <n v="81"/>
    <d v="2026-05-29T00:00:00"/>
    <s v="INV5385"/>
    <n v="81"/>
    <n v="79.62"/>
    <d v="2026-05-28T00:00:00"/>
    <s v="OK"/>
    <s v="OK"/>
    <s v="OK"/>
    <s v="OK"/>
    <s v="OK"/>
    <s v="Price Variance"/>
    <s v="Late Delivery"/>
    <s v="OK"/>
    <n v="0"/>
    <n v="0"/>
    <n v="0"/>
    <n v="0"/>
    <n v="0"/>
    <n v="1"/>
    <n v="1"/>
    <n v="0"/>
    <x v="3"/>
  </r>
  <r>
    <s v="PO1371"/>
    <x v="11"/>
    <d v="2026-04-11T00:00:00"/>
    <n v="325"/>
    <n v="149.16999999999999"/>
    <s v="Nicolas Dubois"/>
    <d v="2026-04-26T00:00:00"/>
    <n v="325"/>
    <d v="2026-05-10T00:00:00"/>
    <s v="INV5386"/>
    <n v="325"/>
    <n v="149.16999999999999"/>
    <d v="2026-05-01T00:00:00"/>
    <s v="OK"/>
    <s v="OK"/>
    <s v="OK"/>
    <s v="OK"/>
    <s v="OK"/>
    <s v="OK"/>
    <s v="Late Delivery"/>
    <s v="OK"/>
    <n v="0"/>
    <n v="0"/>
    <n v="0"/>
    <n v="0"/>
    <n v="0"/>
    <n v="0"/>
    <n v="1"/>
    <n v="0"/>
    <x v="1"/>
  </r>
  <r>
    <s v="PO1372"/>
    <x v="3"/>
    <d v="2026-05-11T00:00:00"/>
    <n v="282"/>
    <n v="100.52"/>
    <s v="Emma Johansson"/>
    <d v="2026-05-25T00:00:00"/>
    <n v="282"/>
    <d v="2026-05-25T00:00:00"/>
    <s v="INV5387"/>
    <n v="282"/>
    <n v="100.52"/>
    <d v="2026-05-27T00:00:00"/>
    <s v="OK"/>
    <s v="OK"/>
    <s v="OK"/>
    <s v="OK"/>
    <s v="OK"/>
    <s v="OK"/>
    <s v="OK"/>
    <s v="OK"/>
    <n v="0"/>
    <n v="0"/>
    <n v="0"/>
    <n v="0"/>
    <n v="0"/>
    <n v="0"/>
    <n v="0"/>
    <n v="0"/>
    <x v="3"/>
  </r>
  <r>
    <s v="PO1373"/>
    <x v="44"/>
    <d v="2026-01-05T00:00:00"/>
    <n v="198"/>
    <n v="69.59"/>
    <s v="Haley Rivas"/>
    <d v="2026-01-23T00:00:00"/>
    <n v="207"/>
    <d v="2026-01-22T00:00:00"/>
    <s v="INV5388"/>
    <n v="198"/>
    <n v="69.59"/>
    <d v="2026-01-27T00:00:00"/>
    <s v="OK"/>
    <s v="OK"/>
    <s v="OK"/>
    <s v="OK"/>
    <s v="Qty Variance"/>
    <s v="OK"/>
    <s v="OK"/>
    <s v="OK"/>
    <n v="0"/>
    <n v="0"/>
    <n v="0"/>
    <n v="0"/>
    <n v="1"/>
    <n v="0"/>
    <n v="0"/>
    <n v="0"/>
    <x v="0"/>
  </r>
  <r>
    <s v="PO1374"/>
    <x v="2"/>
    <d v="2026-03-20T00:00:00"/>
    <n v="417"/>
    <n v="180.26"/>
    <s v="Marta Nowak"/>
    <d v="2026-03-25T00:00:00"/>
    <n v="417"/>
    <d v="2026-03-23T00:00:00"/>
    <s v="INV5389"/>
    <n v="417"/>
    <n v="180.26"/>
    <d v="2026-04-03T00:00:00"/>
    <s v="OK"/>
    <s v="OK"/>
    <s v="OK"/>
    <s v="OK"/>
    <s v="OK"/>
    <s v="OK"/>
    <s v="OK"/>
    <s v="OK"/>
    <n v="0"/>
    <n v="0"/>
    <n v="0"/>
    <n v="0"/>
    <n v="0"/>
    <n v="0"/>
    <n v="0"/>
    <n v="0"/>
    <x v="2"/>
  </r>
  <r>
    <s v="PO1375"/>
    <x v="17"/>
    <d v="2026-05-02T00:00:00"/>
    <n v="145"/>
    <n v="193.58"/>
    <s v="Eva Andersson"/>
    <d v="2026-05-14T00:00:00"/>
    <n v="145"/>
    <d v="2026-05-15T00:00:00"/>
    <s v="INV5390"/>
    <n v="145"/>
    <n v="193.58"/>
    <d v="2026-05-16T00:00:00"/>
    <s v="OK"/>
    <s v="OK"/>
    <s v="OK"/>
    <s v="OK"/>
    <s v="OK"/>
    <s v="OK"/>
    <s v="Late Delivery"/>
    <s v="OK"/>
    <n v="0"/>
    <n v="0"/>
    <n v="0"/>
    <n v="0"/>
    <n v="0"/>
    <n v="0"/>
    <n v="1"/>
    <n v="0"/>
    <x v="3"/>
  </r>
  <r>
    <s v="PO1376"/>
    <x v="22"/>
    <d v="2026-01-14T00:00:00"/>
    <n v="308"/>
    <n v="98.69"/>
    <s v="Clara Silva"/>
    <d v="2026-01-31T00:00:00"/>
    <n v="308"/>
    <d v="2026-01-30T00:00:00"/>
    <s v="INV5391"/>
    <n v="308"/>
    <n v="98.69"/>
    <d v="2026-02-07T00:00:00"/>
    <s v="OK"/>
    <s v="OK"/>
    <s v="OK"/>
    <s v="OK"/>
    <s v="OK"/>
    <s v="OK"/>
    <s v="OK"/>
    <s v="OK"/>
    <n v="0"/>
    <n v="0"/>
    <n v="0"/>
    <n v="0"/>
    <n v="0"/>
    <n v="0"/>
    <n v="0"/>
    <n v="0"/>
    <x v="0"/>
  </r>
  <r>
    <s v="PO1377"/>
    <x v="14"/>
    <d v="2026-03-04T00:00:00"/>
    <n v="26"/>
    <n v="116.65"/>
    <s v="Marta Nowak"/>
    <d v="2026-03-12T00:00:00"/>
    <n v="26"/>
    <d v="2026-03-12T00:00:00"/>
    <s v="INV5392"/>
    <n v="26"/>
    <n v="116.65"/>
    <d v="2026-03-21T00:00:00"/>
    <s v="OK"/>
    <s v="OK"/>
    <s v="OK"/>
    <s v="OK"/>
    <s v="OK"/>
    <s v="OK"/>
    <s v="OK"/>
    <s v="OK"/>
    <n v="0"/>
    <n v="0"/>
    <n v="0"/>
    <n v="0"/>
    <n v="0"/>
    <n v="0"/>
    <n v="0"/>
    <n v="0"/>
    <x v="2"/>
  </r>
  <r>
    <s v="PO1378"/>
    <x v="41"/>
    <d v="2026-01-05T00:00:00"/>
    <n v="235"/>
    <n v="66.17"/>
    <s v="Winter Underwood"/>
    <d v="2026-01-23T00:00:00"/>
    <n v="235"/>
    <d v="2026-01-22T00:00:00"/>
    <s v="INV5393"/>
    <n v="235"/>
    <n v="75.819999999999993"/>
    <d v="2026-01-31T00:00:00"/>
    <s v="OK"/>
    <s v="OK"/>
    <s v="OK"/>
    <s v="OK"/>
    <s v="OK"/>
    <s v="Price Variance"/>
    <s v="OK"/>
    <s v="OK"/>
    <n v="0"/>
    <n v="0"/>
    <n v="0"/>
    <n v="0"/>
    <n v="0"/>
    <n v="1"/>
    <n v="0"/>
    <n v="0"/>
    <x v="0"/>
  </r>
  <r>
    <s v="PO1379"/>
    <x v="5"/>
    <d v="2026-02-22T00:00:00"/>
    <n v="220"/>
    <n v="102.85"/>
    <s v="Thomas Lefèvre"/>
    <d v="2026-03-14T00:00:00"/>
    <n v="220"/>
    <d v="2026-03-15T00:00:00"/>
    <s v="INV5394"/>
    <n v="220"/>
    <n v="102.85"/>
    <d v="2026-03-18T00:00:00"/>
    <s v="OK"/>
    <s v="OK"/>
    <s v="OK"/>
    <s v="OK"/>
    <s v="OK"/>
    <s v="OK"/>
    <s v="Late Delivery"/>
    <s v="OK"/>
    <n v="0"/>
    <n v="0"/>
    <n v="0"/>
    <n v="0"/>
    <n v="0"/>
    <n v="0"/>
    <n v="1"/>
    <n v="0"/>
    <x v="4"/>
  </r>
  <r>
    <s v="PO1380"/>
    <x v="15"/>
    <d v="2026-01-16T00:00:00"/>
    <n v="371"/>
    <n v="31.93"/>
    <s v="Sofia Rossi"/>
    <d v="2026-01-31T00:00:00"/>
    <n v="371"/>
    <d v="2026-01-30T00:00:00"/>
    <s v="INV5395"/>
    <n v="371"/>
    <n v="34.08"/>
    <d v="2026-02-03T00:00:00"/>
    <s v="OK"/>
    <s v="OK"/>
    <s v="OK"/>
    <s v="OK"/>
    <s v="OK"/>
    <s v="Price Variance"/>
    <s v="OK"/>
    <s v="OK"/>
    <n v="0"/>
    <n v="0"/>
    <n v="0"/>
    <n v="0"/>
    <n v="0"/>
    <n v="1"/>
    <n v="0"/>
    <n v="0"/>
    <x v="0"/>
  </r>
  <r>
    <s v="PO1381"/>
    <x v="27"/>
    <d v="2026-05-03T00:00:00"/>
    <n v="279"/>
    <n v="78.48"/>
    <s v="Lukas Müller"/>
    <d v="2026-05-22T00:00:00"/>
    <n v="283"/>
    <d v="2026-05-20T00:00:00"/>
    <s v="INV5396"/>
    <n v="279"/>
    <n v="78.48"/>
    <d v="2026-05-30T00:00:00"/>
    <s v="OK"/>
    <s v="OK"/>
    <s v="OK"/>
    <s v="OK"/>
    <s v="Qty Variance"/>
    <s v="OK"/>
    <s v="OK"/>
    <s v="OK"/>
    <n v="0"/>
    <n v="0"/>
    <n v="0"/>
    <n v="0"/>
    <n v="1"/>
    <n v="0"/>
    <n v="0"/>
    <n v="0"/>
    <x v="3"/>
  </r>
  <r>
    <s v="PO1382"/>
    <x v="19"/>
    <d v="2026-03-29T00:00:00"/>
    <n v="289"/>
    <n v="74.09"/>
    <s v="Eva Andersson"/>
    <d v="2026-04-11T00:00:00"/>
    <n v="289"/>
    <d v="2026-04-13T00:00:00"/>
    <s v="INV5397"/>
    <n v="289"/>
    <n v="85.1"/>
    <d v="2026-04-19T00:00:00"/>
    <s v="OK"/>
    <s v="OK"/>
    <s v="OK"/>
    <s v="OK"/>
    <s v="OK"/>
    <s v="Price Variance"/>
    <s v="Late Delivery"/>
    <s v="OK"/>
    <n v="0"/>
    <n v="0"/>
    <n v="0"/>
    <n v="0"/>
    <n v="0"/>
    <n v="1"/>
    <n v="1"/>
    <n v="0"/>
    <x v="2"/>
  </r>
  <r>
    <s v="PO1383"/>
    <x v="36"/>
    <d v="2026-05-04T00:00:00"/>
    <n v="108"/>
    <n v="191.68"/>
    <s v="Anna Kowalska"/>
    <d v="2026-05-18T00:00:00"/>
    <n v="108"/>
    <d v="2026-06-05T00:00:00"/>
    <s v="INV5398"/>
    <n v="108"/>
    <n v="191.68"/>
    <d v="2026-05-21T00:00:00"/>
    <s v="OK"/>
    <s v="OK"/>
    <s v="OK"/>
    <s v="OK"/>
    <s v="OK"/>
    <s v="OK"/>
    <s v="Late Delivery"/>
    <s v="OK"/>
    <n v="0"/>
    <n v="0"/>
    <n v="0"/>
    <n v="0"/>
    <n v="0"/>
    <n v="0"/>
    <n v="1"/>
    <n v="0"/>
    <x v="3"/>
  </r>
  <r>
    <s v="PO1385"/>
    <x v="45"/>
    <d v="2026-05-03T00:00:00"/>
    <n v="188"/>
    <n v="114.3"/>
    <s v="Victor Popescu"/>
    <d v="2026-05-16T00:00:00"/>
    <n v="188"/>
    <d v="2026-05-16T00:00:00"/>
    <s v="INV5400"/>
    <n v="188"/>
    <n v="114.3"/>
    <d v="2026-05-19T00:00:00"/>
    <s v="OK"/>
    <s v="OK"/>
    <s v="OK"/>
    <s v="OK"/>
    <s v="OK"/>
    <s v="OK"/>
    <s v="OK"/>
    <s v="OK"/>
    <n v="0"/>
    <n v="0"/>
    <n v="0"/>
    <n v="0"/>
    <n v="0"/>
    <n v="0"/>
    <n v="0"/>
    <n v="0"/>
    <x v="3"/>
  </r>
  <r>
    <s v="PO1369"/>
    <x v="1"/>
    <d v="2026-03-27T00:00:00"/>
    <n v="421"/>
    <n v="97.38"/>
    <s v="Ingrid Hansen"/>
    <d v="2026-04-05T00:00:00"/>
    <m/>
    <m/>
    <s v="INV5384"/>
    <n v="421"/>
    <n v="97.38"/>
    <d v="2026-04-08T00:00:00"/>
    <s v="OK"/>
    <s v="No GR - Not received"/>
    <s v="OK"/>
    <s v="OK"/>
    <s v="OK"/>
    <s v="OK"/>
    <s v="OK"/>
    <s v="OK"/>
    <n v="0"/>
    <n v="1"/>
    <n v="0"/>
    <n v="0"/>
    <n v="0"/>
    <n v="0"/>
    <n v="0"/>
    <n v="0"/>
    <x v="2"/>
  </r>
  <r>
    <s v="PO1386"/>
    <x v="42"/>
    <d v="2026-02-01T00:00:00"/>
    <n v="303"/>
    <n v="136.94"/>
    <s v="Laura Schmidt"/>
    <d v="2026-02-18T00:00:00"/>
    <n v="317"/>
    <d v="2026-02-20T00:00:00"/>
    <s v="INV5401"/>
    <n v="303"/>
    <n v="136.94"/>
    <d v="2026-02-23T00:00:00"/>
    <s v="OK"/>
    <s v="OK"/>
    <s v="OK"/>
    <s v="OK"/>
    <s v="Qty Variance"/>
    <s v="OK"/>
    <s v="Late Delivery"/>
    <s v="OK"/>
    <n v="0"/>
    <n v="0"/>
    <n v="0"/>
    <n v="0"/>
    <n v="1"/>
    <n v="0"/>
    <n v="1"/>
    <n v="0"/>
    <x v="4"/>
  </r>
  <r>
    <s v="PO1387"/>
    <x v="40"/>
    <d v="2026-02-07T00:00:00"/>
    <n v="158"/>
    <n v="13.2"/>
    <s v="Marta Nowak"/>
    <d v="2026-02-14T00:00:00"/>
    <n v="158"/>
    <d v="2026-02-14T00:00:00"/>
    <s v="INV5402"/>
    <n v="158"/>
    <n v="13.2"/>
    <d v="2026-02-18T00:00:00"/>
    <s v="OK"/>
    <s v="OK"/>
    <s v="OK"/>
    <s v="OK"/>
    <s v="OK"/>
    <s v="OK"/>
    <s v="OK"/>
    <s v="OK"/>
    <n v="0"/>
    <n v="0"/>
    <n v="0"/>
    <n v="0"/>
    <n v="0"/>
    <n v="0"/>
    <n v="0"/>
    <n v="0"/>
    <x v="4"/>
  </r>
  <r>
    <s v="PO1388"/>
    <x v="40"/>
    <d v="2026-04-24T00:00:00"/>
    <n v="345"/>
    <n v="55.01"/>
    <s v="Andreas Weber"/>
    <d v="2026-05-05T00:00:00"/>
    <n v="345"/>
    <d v="2026-05-06T00:00:00"/>
    <s v="INV5403"/>
    <n v="345"/>
    <n v="55.01"/>
    <d v="2026-05-14T00:00:00"/>
    <s v="OK"/>
    <s v="OK"/>
    <s v="OK"/>
    <s v="OK"/>
    <s v="OK"/>
    <s v="OK"/>
    <s v="Late Delivery"/>
    <s v="OK"/>
    <n v="0"/>
    <n v="0"/>
    <n v="0"/>
    <n v="0"/>
    <n v="0"/>
    <n v="0"/>
    <n v="1"/>
    <n v="0"/>
    <x v="1"/>
  </r>
  <r>
    <s v="PO1389"/>
    <x v="41"/>
    <d v="2026-05-18T00:00:00"/>
    <n v="148"/>
    <n v="186.94"/>
    <s v="Marta Nowak"/>
    <d v="2026-05-31T00:00:00"/>
    <n v="148"/>
    <d v="2026-06-02T00:00:00"/>
    <s v="INV5404"/>
    <n v="148"/>
    <n v="186.94"/>
    <d v="2026-06-09T00:00:00"/>
    <s v="OK"/>
    <s v="OK"/>
    <s v="OK"/>
    <s v="OK"/>
    <s v="OK"/>
    <s v="OK"/>
    <s v="Late Delivery"/>
    <s v="OK"/>
    <n v="0"/>
    <n v="0"/>
    <n v="0"/>
    <n v="0"/>
    <n v="0"/>
    <n v="0"/>
    <n v="1"/>
    <n v="0"/>
    <x v="3"/>
  </r>
  <r>
    <s v="PO1390"/>
    <x v="1"/>
    <d v="2026-01-28T00:00:00"/>
    <n v="325"/>
    <n v="149.47"/>
    <s v="Mateo García"/>
    <d v="2026-02-09T00:00:00"/>
    <n v="325"/>
    <d v="2026-02-08T00:00:00"/>
    <s v="INV5405"/>
    <n v="325"/>
    <n v="149.47"/>
    <d v="2026-02-11T00:00:00"/>
    <s v="OK"/>
    <s v="OK"/>
    <s v="OK"/>
    <s v="OK"/>
    <s v="OK"/>
    <s v="OK"/>
    <s v="OK"/>
    <s v="OK"/>
    <n v="0"/>
    <n v="0"/>
    <n v="0"/>
    <n v="0"/>
    <n v="0"/>
    <n v="0"/>
    <n v="0"/>
    <n v="0"/>
    <x v="0"/>
  </r>
  <r>
    <s v="PO1394"/>
    <x v="44"/>
    <d v="2026-02-21T00:00:00"/>
    <n v="397"/>
    <n v="192.96"/>
    <s v="Elena Petrova"/>
    <d v="2026-03-07T00:00:00"/>
    <n v="397"/>
    <d v="2026-03-08T00:00:00"/>
    <s v="INV5409"/>
    <n v="397"/>
    <n v="203.42"/>
    <d v="2026-03-08T00:00:00"/>
    <s v="OK"/>
    <s v="OK"/>
    <s v="OK"/>
    <s v="OK"/>
    <s v="OK"/>
    <s v="Price Variance"/>
    <s v="Late Delivery"/>
    <s v="OK"/>
    <n v="0"/>
    <n v="0"/>
    <n v="0"/>
    <n v="0"/>
    <n v="0"/>
    <n v="1"/>
    <n v="1"/>
    <n v="0"/>
    <x v="4"/>
  </r>
  <r>
    <s v="PO1395"/>
    <x v="43"/>
    <d v="2026-01-16T00:00:00"/>
    <n v="474"/>
    <n v="154.9"/>
    <s v="Katarina Jovanović"/>
    <d v="2026-01-28T00:00:00"/>
    <n v="474"/>
    <d v="2026-02-04T00:00:00"/>
    <s v="INV5410"/>
    <n v="474"/>
    <n v="154.9"/>
    <d v="2026-01-30T00:00:00"/>
    <s v="OK"/>
    <s v="OK"/>
    <s v="OK"/>
    <s v="OK"/>
    <s v="OK"/>
    <s v="OK"/>
    <s v="Late Delivery"/>
    <s v="OK"/>
    <n v="0"/>
    <n v="0"/>
    <n v="0"/>
    <n v="0"/>
    <n v="0"/>
    <n v="0"/>
    <n v="1"/>
    <n v="0"/>
    <x v="0"/>
  </r>
  <r>
    <s v="PO1397"/>
    <x v="7"/>
    <d v="2026-04-12T00:00:00"/>
    <n v="413"/>
    <n v="101.6"/>
    <s v="Victor Popescu"/>
    <d v="2026-04-26T00:00:00"/>
    <n v="413"/>
    <d v="2026-04-25T00:00:00"/>
    <s v="INV5412"/>
    <n v="413"/>
    <n v="114.49"/>
    <d v="2026-05-02T00:00:00"/>
    <s v="OK"/>
    <s v="OK"/>
    <s v="OK"/>
    <s v="OK"/>
    <s v="OK"/>
    <s v="Price Variance"/>
    <s v="OK"/>
    <s v="OK"/>
    <n v="0"/>
    <n v="0"/>
    <n v="0"/>
    <n v="0"/>
    <n v="0"/>
    <n v="1"/>
    <n v="0"/>
    <n v="0"/>
    <x v="1"/>
  </r>
  <r>
    <s v="PO1398"/>
    <x v="7"/>
    <d v="2026-01-03T00:00:00"/>
    <n v="162"/>
    <n v="115.75"/>
    <s v="Haley Rivas"/>
    <d v="2026-01-18T00:00:00"/>
    <n v="162"/>
    <d v="2026-01-27T00:00:00"/>
    <s v="INV5413"/>
    <n v="162"/>
    <n v="115.75"/>
    <d v="2026-01-28T00:00:00"/>
    <s v="OK"/>
    <s v="OK"/>
    <s v="OK"/>
    <s v="OK"/>
    <s v="OK"/>
    <s v="OK"/>
    <s v="Late Delivery"/>
    <s v="OK"/>
    <n v="0"/>
    <n v="0"/>
    <n v="0"/>
    <n v="0"/>
    <n v="0"/>
    <n v="0"/>
    <n v="1"/>
    <n v="0"/>
    <x v="0"/>
  </r>
  <r>
    <s v="PO1399"/>
    <x v="42"/>
    <d v="2026-04-27T00:00:00"/>
    <n v="338"/>
    <n v="110.94"/>
    <s v="Andreas Weber"/>
    <d v="2026-05-06T00:00:00"/>
    <n v="338"/>
    <d v="2026-05-08T00:00:00"/>
    <s v="INV5414"/>
    <n v="338"/>
    <n v="110.94"/>
    <d v="2026-05-13T00:00:00"/>
    <s v="OK"/>
    <s v="OK"/>
    <s v="OK"/>
    <s v="OK"/>
    <s v="OK"/>
    <s v="OK"/>
    <s v="Late Delivery"/>
    <s v="OK"/>
    <n v="0"/>
    <n v="0"/>
    <n v="0"/>
    <n v="0"/>
    <n v="0"/>
    <n v="0"/>
    <n v="1"/>
    <n v="0"/>
    <x v="1"/>
  </r>
  <r>
    <s v="PO1400"/>
    <x v="3"/>
    <d v="2026-04-30T00:00:00"/>
    <n v="149"/>
    <n v="42.6"/>
    <s v="Haley Rivas"/>
    <d v="2026-05-15T00:00:00"/>
    <n v="149"/>
    <d v="2026-05-14T00:00:00"/>
    <s v="INV5415"/>
    <n v="149"/>
    <n v="42.6"/>
    <d v="2026-05-21T00:00:00"/>
    <s v="OK"/>
    <s v="OK"/>
    <s v="OK"/>
    <s v="OK"/>
    <s v="OK"/>
    <s v="OK"/>
    <s v="OK"/>
    <s v="OK"/>
    <n v="0"/>
    <n v="0"/>
    <n v="0"/>
    <n v="0"/>
    <n v="0"/>
    <n v="0"/>
    <n v="0"/>
    <n v="0"/>
    <x v="1"/>
  </r>
  <r>
    <s v="PO1401"/>
    <x v="11"/>
    <d v="2026-04-28T00:00:00"/>
    <n v="341"/>
    <n v="55.17"/>
    <s v="Lukas Müller"/>
    <d v="2026-05-03T00:00:00"/>
    <n v="341"/>
    <d v="2026-05-04T00:00:00"/>
    <s v="INV5416"/>
    <n v="341"/>
    <n v="63.34"/>
    <d v="2026-05-04T00:00:00"/>
    <s v="OK"/>
    <s v="OK"/>
    <s v="OK"/>
    <s v="OK"/>
    <s v="OK"/>
    <s v="Price Variance"/>
    <s v="Late Delivery"/>
    <s v="OK"/>
    <n v="0"/>
    <n v="0"/>
    <n v="0"/>
    <n v="0"/>
    <n v="0"/>
    <n v="1"/>
    <n v="1"/>
    <n v="0"/>
    <x v="1"/>
  </r>
  <r>
    <s v="PO1402"/>
    <x v="15"/>
    <d v="2026-03-28T00:00:00"/>
    <n v="414"/>
    <n v="62.53"/>
    <s v="Felix Bauer"/>
    <d v="2026-04-08T00:00:00"/>
    <n v="414"/>
    <d v="2026-04-08T00:00:00"/>
    <s v="INV5417"/>
    <n v="414"/>
    <n v="62.53"/>
    <d v="2026-04-10T00:00:00"/>
    <s v="OK"/>
    <s v="OK"/>
    <s v="OK"/>
    <s v="OK"/>
    <s v="OK"/>
    <s v="OK"/>
    <s v="OK"/>
    <s v="OK"/>
    <n v="0"/>
    <n v="0"/>
    <n v="0"/>
    <n v="0"/>
    <n v="0"/>
    <n v="0"/>
    <n v="0"/>
    <n v="0"/>
    <x v="2"/>
  </r>
  <r>
    <s v="PO1403"/>
    <x v="28"/>
    <d v="2026-04-14T00:00:00"/>
    <n v="433"/>
    <n v="88.4"/>
    <s v="Elena Petrova"/>
    <d v="2026-04-21T00:00:00"/>
    <n v="433"/>
    <d v="2026-04-19T00:00:00"/>
    <s v="INV5418"/>
    <n v="433"/>
    <n v="88.4"/>
    <d v="2026-05-01T00:00:00"/>
    <s v="OK"/>
    <s v="OK"/>
    <s v="OK"/>
    <s v="OK"/>
    <s v="OK"/>
    <s v="OK"/>
    <s v="OK"/>
    <s v="OK"/>
    <n v="0"/>
    <n v="0"/>
    <n v="0"/>
    <n v="0"/>
    <n v="0"/>
    <n v="0"/>
    <n v="0"/>
    <n v="0"/>
    <x v="1"/>
  </r>
  <r>
    <s v="PO1404"/>
    <x v="29"/>
    <d v="2026-01-25T00:00:00"/>
    <n v="104"/>
    <n v="196.43"/>
    <s v="Andreas Weber"/>
    <d v="2026-02-09T00:00:00"/>
    <n v="110"/>
    <d v="2026-02-20T00:00:00"/>
    <s v="INV5419"/>
    <n v="104"/>
    <n v="212.69"/>
    <d v="2026-02-14T00:00:00"/>
    <s v="OK"/>
    <s v="OK"/>
    <s v="OK"/>
    <s v="OK"/>
    <s v="Qty Variance"/>
    <s v="Price Variance"/>
    <s v="Late Delivery"/>
    <s v="OK"/>
    <n v="0"/>
    <n v="0"/>
    <n v="0"/>
    <n v="0"/>
    <n v="1"/>
    <n v="1"/>
    <n v="1"/>
    <n v="0"/>
    <x v="0"/>
  </r>
  <r>
    <s v="PO1384"/>
    <x v="4"/>
    <d v="2026-03-18T00:00:00"/>
    <n v="404"/>
    <n v="61.36"/>
    <s v=""/>
    <d v="2026-04-07T00:00:00"/>
    <m/>
    <m/>
    <s v="INV5399"/>
    <n v="404"/>
    <n v="65.349999999999994"/>
    <d v="2026-04-12T00:00:00"/>
    <s v="Missing Approval"/>
    <s v="No GR - Not received"/>
    <s v="OK"/>
    <s v="OK"/>
    <s v="OK"/>
    <s v="Price Variance"/>
    <s v="OK"/>
    <s v="OK"/>
    <n v="1"/>
    <n v="1"/>
    <n v="0"/>
    <n v="0"/>
    <n v="0"/>
    <n v="1"/>
    <n v="0"/>
    <n v="0"/>
    <x v="2"/>
  </r>
  <r>
    <s v="PO1405"/>
    <x v="26"/>
    <d v="2026-01-02T00:00:00"/>
    <n v="143"/>
    <n v="79.8"/>
    <s v="Ingrid Hansen"/>
    <d v="2026-01-15T00:00:00"/>
    <n v="143"/>
    <d v="2026-02-02T00:00:00"/>
    <s v="INV5420"/>
    <n v="143"/>
    <n v="79.8"/>
    <d v="2026-01-17T00:00:00"/>
    <s v="OK"/>
    <s v="OK"/>
    <s v="OK"/>
    <s v="OK"/>
    <s v="OK"/>
    <s v="OK"/>
    <s v="Late Delivery"/>
    <s v="OK"/>
    <n v="0"/>
    <n v="0"/>
    <n v="0"/>
    <n v="0"/>
    <n v="0"/>
    <n v="0"/>
    <n v="1"/>
    <n v="0"/>
    <x v="0"/>
  </r>
  <r>
    <s v="PO1406"/>
    <x v="24"/>
    <d v="2026-03-19T00:00:00"/>
    <n v="308"/>
    <n v="145.96"/>
    <s v="J. Kovacs"/>
    <d v="2026-04-01T00:00:00"/>
    <n v="308"/>
    <d v="2026-04-02T00:00:00"/>
    <s v="INV5421"/>
    <n v="308"/>
    <n v="145.96"/>
    <d v="2026-04-11T00:00:00"/>
    <s v="OK"/>
    <s v="OK"/>
    <s v="OK"/>
    <s v="OK"/>
    <s v="OK"/>
    <s v="OK"/>
    <s v="Late Delivery"/>
    <s v="OK"/>
    <n v="0"/>
    <n v="0"/>
    <n v="0"/>
    <n v="0"/>
    <n v="0"/>
    <n v="0"/>
    <n v="1"/>
    <n v="0"/>
    <x v="2"/>
  </r>
  <r>
    <s v="PO1407"/>
    <x v="43"/>
    <d v="2026-04-03T00:00:00"/>
    <n v="364"/>
    <n v="51.08"/>
    <s v="Felix Bauer"/>
    <d v="2026-04-11T00:00:00"/>
    <n v="379"/>
    <d v="2026-04-09T00:00:00"/>
    <s v="INV5422"/>
    <n v="364"/>
    <n v="51.08"/>
    <d v="2026-04-21T00:00:00"/>
    <s v="OK"/>
    <s v="OK"/>
    <s v="OK"/>
    <s v="OK"/>
    <s v="Qty Variance"/>
    <s v="OK"/>
    <s v="OK"/>
    <s v="OK"/>
    <n v="0"/>
    <n v="0"/>
    <n v="0"/>
    <n v="0"/>
    <n v="1"/>
    <n v="0"/>
    <n v="0"/>
    <n v="0"/>
    <x v="1"/>
  </r>
  <r>
    <s v="PO1408"/>
    <x v="30"/>
    <d v="2026-03-20T00:00:00"/>
    <n v="91"/>
    <n v="84.06"/>
    <s v="Clara Silva"/>
    <d v="2026-04-03T00:00:00"/>
    <n v="91"/>
    <d v="2026-04-01T00:00:00"/>
    <s v="INV5423"/>
    <n v="91"/>
    <n v="84.06"/>
    <d v="2026-04-10T00:00:00"/>
    <s v="OK"/>
    <s v="OK"/>
    <s v="OK"/>
    <s v="OK"/>
    <s v="OK"/>
    <s v="OK"/>
    <s v="OK"/>
    <s v="OK"/>
    <n v="0"/>
    <n v="0"/>
    <n v="0"/>
    <n v="0"/>
    <n v="0"/>
    <n v="0"/>
    <n v="0"/>
    <n v="0"/>
    <x v="2"/>
  </r>
  <r>
    <s v="PO1409"/>
    <x v="5"/>
    <d v="2026-01-31T00:00:00"/>
    <n v="337"/>
    <n v="183.65"/>
    <s v="Nicolas Dubois"/>
    <d v="2026-02-16T00:00:00"/>
    <n v="337"/>
    <d v="2026-02-17T00:00:00"/>
    <s v="INV5424"/>
    <n v="337"/>
    <n v="183.65"/>
    <d v="2026-02-19T00:00:00"/>
    <s v="OK"/>
    <s v="OK"/>
    <s v="OK"/>
    <s v="OK"/>
    <s v="OK"/>
    <s v="OK"/>
    <s v="Late Delivery"/>
    <s v="OK"/>
    <n v="0"/>
    <n v="0"/>
    <n v="0"/>
    <n v="0"/>
    <n v="0"/>
    <n v="0"/>
    <n v="1"/>
    <n v="0"/>
    <x v="0"/>
  </r>
  <r>
    <s v="PO1410"/>
    <x v="36"/>
    <d v="2026-02-26T00:00:00"/>
    <n v="122"/>
    <n v="191.69"/>
    <s v=""/>
    <d v="2026-03-07T00:00:00"/>
    <n v="122"/>
    <d v="2026-03-08T00:00:00"/>
    <s v="INV5425"/>
    <n v="122"/>
    <n v="191.69"/>
    <d v="2026-03-13T00:00:00"/>
    <s v="Missing Approval"/>
    <s v="OK"/>
    <s v="OK"/>
    <s v="OK"/>
    <s v="OK"/>
    <s v="OK"/>
    <s v="Late Delivery"/>
    <s v="OK"/>
    <n v="1"/>
    <n v="0"/>
    <n v="0"/>
    <n v="0"/>
    <n v="0"/>
    <n v="0"/>
    <n v="1"/>
    <n v="0"/>
    <x v="4"/>
  </r>
  <r>
    <s v="PO1391"/>
    <x v="21"/>
    <d v="2026-05-16T00:00:00"/>
    <n v="125"/>
    <n v="129.4"/>
    <s v="A. Nagy"/>
    <d v="2026-05-24T00:00:00"/>
    <m/>
    <m/>
    <s v="INV5406"/>
    <n v="125"/>
    <n v="129.4"/>
    <d v="2026-05-25T00:00:00"/>
    <s v="OK"/>
    <s v="No GR - Not received"/>
    <s v="OK"/>
    <s v="OK"/>
    <s v="OK"/>
    <s v="OK"/>
    <s v="OK"/>
    <s v="OK"/>
    <n v="0"/>
    <n v="1"/>
    <n v="0"/>
    <n v="0"/>
    <n v="0"/>
    <n v="0"/>
    <n v="0"/>
    <n v="0"/>
    <x v="3"/>
  </r>
  <r>
    <s v="PO1411"/>
    <x v="30"/>
    <d v="2026-04-06T00:00:00"/>
    <n v="222"/>
    <n v="141.88"/>
    <s v="Andreas Weber"/>
    <d v="2026-04-17T00:00:00"/>
    <n v="222"/>
    <d v="2026-04-15T00:00:00"/>
    <s v="INV5426"/>
    <n v="222"/>
    <n v="141.88"/>
    <d v="2026-04-19T00:00:00"/>
    <s v="OK"/>
    <s v="OK"/>
    <s v="OK"/>
    <s v="OK"/>
    <s v="OK"/>
    <s v="OK"/>
    <s v="OK"/>
    <s v="OK"/>
    <n v="0"/>
    <n v="0"/>
    <n v="0"/>
    <n v="0"/>
    <n v="0"/>
    <n v="0"/>
    <n v="0"/>
    <n v="0"/>
    <x v="1"/>
  </r>
  <r>
    <s v="PO1392"/>
    <x v="34"/>
    <d v="2026-03-26T00:00:00"/>
    <n v="377"/>
    <n v="97.12"/>
    <s v="Felix Bauer"/>
    <d v="2026-04-04T00:00:00"/>
    <m/>
    <m/>
    <s v="INV5407"/>
    <n v="377"/>
    <n v="107.47"/>
    <d v="2026-04-08T00:00:00"/>
    <s v="OK"/>
    <s v="No GR - Not received"/>
    <s v="OK"/>
    <s v="OK"/>
    <s v="OK"/>
    <s v="Price Variance"/>
    <s v="OK"/>
    <s v="OK"/>
    <n v="0"/>
    <n v="1"/>
    <n v="0"/>
    <n v="0"/>
    <n v="0"/>
    <n v="1"/>
    <n v="0"/>
    <n v="0"/>
    <x v="2"/>
  </r>
  <r>
    <s v="PO1413"/>
    <x v="32"/>
    <d v="2026-05-25T00:00:00"/>
    <n v="67"/>
    <n v="17.04"/>
    <s v="Pavel Horák"/>
    <d v="2026-06-15T00:00:00"/>
    <n v="67"/>
    <d v="2026-07-01T00:00:00"/>
    <s v="INV5428"/>
    <n v="67"/>
    <n v="17.04"/>
    <d v="2026-06-19T00:00:00"/>
    <s v="OK"/>
    <s v="OK"/>
    <s v="OK"/>
    <s v="OK"/>
    <s v="OK"/>
    <s v="OK"/>
    <s v="Late Delivery"/>
    <s v="OK"/>
    <n v="0"/>
    <n v="0"/>
    <n v="0"/>
    <n v="0"/>
    <n v="0"/>
    <n v="0"/>
    <n v="1"/>
    <n v="0"/>
    <x v="3"/>
  </r>
  <r>
    <s v="PO1393"/>
    <x v="25"/>
    <d v="2026-05-21T00:00:00"/>
    <n v="485"/>
    <n v="35.799999999999997"/>
    <s v="Katarina Jovanović"/>
    <d v="2026-06-10T00:00:00"/>
    <m/>
    <m/>
    <s v="INV5408"/>
    <n v="485"/>
    <n v="35.799999999999997"/>
    <d v="2026-06-14T00:00:00"/>
    <s v="OK"/>
    <s v="No GR - Not received"/>
    <s v="OK"/>
    <s v="OK"/>
    <s v="OK"/>
    <s v="OK"/>
    <s v="OK"/>
    <s v="OK"/>
    <n v="0"/>
    <n v="1"/>
    <n v="0"/>
    <n v="0"/>
    <n v="0"/>
    <n v="0"/>
    <n v="0"/>
    <n v="0"/>
    <x v="3"/>
  </r>
  <r>
    <s v="PO1414"/>
    <x v="41"/>
    <d v="2026-05-27T00:00:00"/>
    <n v="284"/>
    <n v="34.22"/>
    <s v="Elena Petrova"/>
    <d v="2026-06-17T00:00:00"/>
    <n v="284"/>
    <d v="2026-06-15T00:00:00"/>
    <s v="INV5429"/>
    <n v="284"/>
    <n v="34.22"/>
    <d v="2026-06-18T00:00:00"/>
    <s v="OK"/>
    <s v="OK"/>
    <s v="OK"/>
    <s v="OK"/>
    <s v="OK"/>
    <s v="OK"/>
    <s v="OK"/>
    <s v="OK"/>
    <n v="0"/>
    <n v="0"/>
    <n v="0"/>
    <n v="0"/>
    <n v="0"/>
    <n v="0"/>
    <n v="0"/>
    <n v="0"/>
    <x v="3"/>
  </r>
  <r>
    <s v="PO1415"/>
    <x v="23"/>
    <d v="2026-01-30T00:00:00"/>
    <n v="358"/>
    <n v="45.05"/>
    <s v="Emma Johansson"/>
    <d v="2026-02-19T00:00:00"/>
    <n v="358"/>
    <d v="2026-02-21T00:00:00"/>
    <s v="INV5430"/>
    <n v="358"/>
    <n v="45.05"/>
    <d v="2026-02-21T00:00:00"/>
    <s v="OK"/>
    <s v="OK"/>
    <s v="OK"/>
    <s v="OK"/>
    <s v="OK"/>
    <s v="OK"/>
    <s v="Late Delivery"/>
    <s v="OK"/>
    <n v="0"/>
    <n v="0"/>
    <n v="0"/>
    <n v="0"/>
    <n v="0"/>
    <n v="0"/>
    <n v="1"/>
    <n v="0"/>
    <x v="0"/>
  </r>
  <r>
    <s v="PO1416"/>
    <x v="10"/>
    <d v="2026-05-11T00:00:00"/>
    <n v="238"/>
    <n v="162.69"/>
    <s v="Ingrid Hansen"/>
    <d v="2026-05-20T00:00:00"/>
    <n v="238"/>
    <d v="2026-05-20T00:00:00"/>
    <s v="INV5431"/>
    <n v="238"/>
    <n v="162.69"/>
    <d v="2026-05-24T00:00:00"/>
    <s v="OK"/>
    <s v="OK"/>
    <s v="OK"/>
    <s v="OK"/>
    <s v="OK"/>
    <s v="OK"/>
    <s v="OK"/>
    <s v="OK"/>
    <n v="0"/>
    <n v="0"/>
    <n v="0"/>
    <n v="0"/>
    <n v="0"/>
    <n v="0"/>
    <n v="0"/>
    <n v="0"/>
    <x v="3"/>
  </r>
  <r>
    <s v="PO1396"/>
    <x v="19"/>
    <d v="2026-01-10T00:00:00"/>
    <n v="477"/>
    <n v="184.69"/>
    <s v="Marco Bianchi"/>
    <d v="2026-01-20T00:00:00"/>
    <m/>
    <m/>
    <s v="INV5411"/>
    <n v="477"/>
    <n v="184.69"/>
    <d v="2026-01-23T00:00:00"/>
    <s v="OK"/>
    <s v="No GR - Not received"/>
    <s v="OK"/>
    <s v="OK"/>
    <s v="OK"/>
    <s v="OK"/>
    <s v="OK"/>
    <s v="OK"/>
    <n v="0"/>
    <n v="1"/>
    <n v="0"/>
    <n v="0"/>
    <n v="0"/>
    <n v="0"/>
    <n v="0"/>
    <n v="0"/>
    <x v="0"/>
  </r>
  <r>
    <s v="PO1417"/>
    <x v="3"/>
    <d v="2026-04-17T00:00:00"/>
    <n v="243"/>
    <n v="114.96"/>
    <s v="Pavel Horák"/>
    <d v="2026-05-06T00:00:00"/>
    <n v="250"/>
    <d v="2026-05-06T00:00:00"/>
    <s v="INV5432"/>
    <n v="243"/>
    <n v="127.17"/>
    <d v="2026-05-11T00:00:00"/>
    <s v="OK"/>
    <s v="OK"/>
    <s v="OK"/>
    <s v="OK"/>
    <s v="Qty Variance"/>
    <s v="Price Variance"/>
    <s v="OK"/>
    <s v="OK"/>
    <n v="0"/>
    <n v="0"/>
    <n v="0"/>
    <n v="0"/>
    <n v="1"/>
    <n v="1"/>
    <n v="0"/>
    <n v="0"/>
    <x v="1"/>
  </r>
  <r>
    <s v="PO1418"/>
    <x v="12"/>
    <d v="2026-03-20T00:00:00"/>
    <n v="380"/>
    <n v="9.25"/>
    <s v="Anna Kowalska"/>
    <d v="2026-03-25T00:00:00"/>
    <n v="380"/>
    <d v="2026-03-25T00:00:00"/>
    <s v="INV5433"/>
    <n v="380"/>
    <n v="9.25"/>
    <d v="2026-03-26T00:00:00"/>
    <s v="OK"/>
    <s v="OK"/>
    <s v="OK"/>
    <s v="OK"/>
    <s v="OK"/>
    <s v="OK"/>
    <s v="OK"/>
    <s v="OK"/>
    <n v="0"/>
    <n v="0"/>
    <n v="0"/>
    <n v="0"/>
    <n v="0"/>
    <n v="0"/>
    <n v="0"/>
    <n v="0"/>
    <x v="2"/>
  </r>
  <r>
    <s v="PO1419"/>
    <x v="15"/>
    <d v="2026-02-25T00:00:00"/>
    <n v="306"/>
    <n v="19.239999999999998"/>
    <s v="Marco Bianchi"/>
    <d v="2026-03-13T00:00:00"/>
    <n v="306"/>
    <d v="2026-03-24T00:00:00"/>
    <s v="INV5434"/>
    <n v="306"/>
    <n v="19.239999999999998"/>
    <d v="2026-03-21T00:00:00"/>
    <s v="OK"/>
    <s v="OK"/>
    <s v="OK"/>
    <s v="OK"/>
    <s v="OK"/>
    <s v="OK"/>
    <s v="Late Delivery"/>
    <s v="OK"/>
    <n v="0"/>
    <n v="0"/>
    <n v="0"/>
    <n v="0"/>
    <n v="0"/>
    <n v="0"/>
    <n v="1"/>
    <n v="0"/>
    <x v="4"/>
  </r>
  <r>
    <s v="PO1421"/>
    <x v="7"/>
    <d v="2026-03-15T00:00:00"/>
    <n v="219"/>
    <n v="40.1"/>
    <s v="Winter Underwood"/>
    <d v="2026-04-02T00:00:00"/>
    <n v="219"/>
    <d v="2026-04-16T00:00:00"/>
    <s v="INV5436"/>
    <n v="219"/>
    <n v="40.1"/>
    <d v="2026-04-03T00:00:00"/>
    <s v="OK"/>
    <s v="OK"/>
    <s v="OK"/>
    <s v="OK"/>
    <s v="OK"/>
    <s v="OK"/>
    <s v="Late Delivery"/>
    <s v="OK"/>
    <n v="0"/>
    <n v="0"/>
    <n v="0"/>
    <n v="0"/>
    <n v="0"/>
    <n v="0"/>
    <n v="1"/>
    <n v="0"/>
    <x v="2"/>
  </r>
  <r>
    <s v="PO1422"/>
    <x v="35"/>
    <d v="2026-04-08T00:00:00"/>
    <n v="239"/>
    <n v="174.58"/>
    <s v="Laura Schmidt"/>
    <d v="2026-04-25T00:00:00"/>
    <n v="239"/>
    <d v="2026-04-26T00:00:00"/>
    <s v="INV5437"/>
    <n v="239"/>
    <n v="174.58"/>
    <d v="2026-04-30T00:00:00"/>
    <s v="OK"/>
    <s v="OK"/>
    <s v="OK"/>
    <s v="OK"/>
    <s v="OK"/>
    <s v="OK"/>
    <s v="Late Delivery"/>
    <s v="OK"/>
    <n v="0"/>
    <n v="0"/>
    <n v="0"/>
    <n v="0"/>
    <n v="0"/>
    <n v="0"/>
    <n v="1"/>
    <n v="0"/>
    <x v="1"/>
  </r>
  <r>
    <s v="PO1424"/>
    <x v="28"/>
    <d v="2026-05-18T00:00:00"/>
    <n v="211"/>
    <n v="108.12"/>
    <s v="Victor Popescu"/>
    <d v="2026-05-30T00:00:00"/>
    <n v="211"/>
    <d v="2026-05-28T00:00:00"/>
    <s v="INV5439"/>
    <n v="211"/>
    <n v="108.12"/>
    <d v="2026-05-31T00:00:00"/>
    <s v="OK"/>
    <s v="OK"/>
    <s v="OK"/>
    <s v="OK"/>
    <s v="OK"/>
    <s v="OK"/>
    <s v="OK"/>
    <s v="OK"/>
    <n v="0"/>
    <n v="0"/>
    <n v="0"/>
    <n v="0"/>
    <n v="0"/>
    <n v="0"/>
    <n v="0"/>
    <n v="0"/>
    <x v="3"/>
  </r>
  <r>
    <s v="PO1425"/>
    <x v="25"/>
    <d v="2026-01-06T00:00:00"/>
    <n v="162"/>
    <n v="95.29"/>
    <s v="Victor Popescu"/>
    <d v="2026-01-24T00:00:00"/>
    <n v="162"/>
    <d v="2026-01-26T00:00:00"/>
    <s v="INV5440"/>
    <n v="162"/>
    <n v="95.29"/>
    <d v="2026-01-28T00:00:00"/>
    <s v="OK"/>
    <s v="OK"/>
    <s v="OK"/>
    <s v="OK"/>
    <s v="OK"/>
    <s v="OK"/>
    <s v="Late Delivery"/>
    <s v="OK"/>
    <n v="0"/>
    <n v="0"/>
    <n v="0"/>
    <n v="0"/>
    <n v="0"/>
    <n v="0"/>
    <n v="1"/>
    <n v="0"/>
    <x v="0"/>
  </r>
  <r>
    <s v="PO1426"/>
    <x v="19"/>
    <d v="2026-04-08T00:00:00"/>
    <n v="431"/>
    <n v="49.78"/>
    <s v="Ingrid Hansen"/>
    <d v="2026-04-24T00:00:00"/>
    <n v="431"/>
    <d v="2026-04-23T00:00:00"/>
    <s v="INV5441"/>
    <n v="431"/>
    <n v="49.78"/>
    <d v="2026-04-28T00:00:00"/>
    <s v="OK"/>
    <s v="OK"/>
    <s v="OK"/>
    <s v="OK"/>
    <s v="OK"/>
    <s v="OK"/>
    <s v="OK"/>
    <s v="OK"/>
    <n v="0"/>
    <n v="0"/>
    <n v="0"/>
    <n v="0"/>
    <n v="0"/>
    <n v="0"/>
    <n v="0"/>
    <n v="0"/>
    <x v="1"/>
  </r>
  <r>
    <s v="PO1427"/>
    <x v="14"/>
    <d v="2026-03-12T00:00:00"/>
    <n v="106"/>
    <n v="187.8"/>
    <s v="Victor Popescu"/>
    <d v="2026-03-20T00:00:00"/>
    <n v="90"/>
    <d v="2026-03-18T00:00:00"/>
    <s v="INV5442"/>
    <n v="106"/>
    <n v="187.8"/>
    <d v="2026-03-26T00:00:00"/>
    <s v="OK"/>
    <s v="OK"/>
    <s v="OK"/>
    <s v="OK"/>
    <s v="Qty Variance"/>
    <s v="OK"/>
    <s v="OK"/>
    <s v="OK"/>
    <n v="0"/>
    <n v="0"/>
    <n v="0"/>
    <n v="0"/>
    <n v="1"/>
    <n v="0"/>
    <n v="0"/>
    <n v="0"/>
    <x v="2"/>
  </r>
  <r>
    <s v="PO1428"/>
    <x v="7"/>
    <d v="2026-04-18T00:00:00"/>
    <n v="324"/>
    <n v="154.38"/>
    <s v="J. Kovacs"/>
    <d v="2026-04-30T00:00:00"/>
    <n v="323"/>
    <d v="2026-04-29T00:00:00"/>
    <s v="INV5443"/>
    <n v="324"/>
    <n v="154.38"/>
    <d v="2026-05-02T00:00:00"/>
    <s v="OK"/>
    <s v="OK"/>
    <s v="OK"/>
    <s v="OK"/>
    <s v="Qty Variance"/>
    <s v="OK"/>
    <s v="OK"/>
    <s v="OK"/>
    <n v="0"/>
    <n v="0"/>
    <n v="0"/>
    <n v="0"/>
    <n v="1"/>
    <n v="0"/>
    <n v="0"/>
    <n v="0"/>
    <x v="1"/>
  </r>
  <r>
    <s v="PO1429"/>
    <x v="13"/>
    <d v="2026-01-18T00:00:00"/>
    <n v="61"/>
    <n v="120.82"/>
    <s v="Ingrid Hansen"/>
    <d v="2026-01-24T00:00:00"/>
    <n v="61"/>
    <d v="2026-01-22T00:00:00"/>
    <s v="INV5444"/>
    <n v="61"/>
    <n v="130.35"/>
    <d v="2026-01-27T00:00:00"/>
    <s v="OK"/>
    <s v="OK"/>
    <s v="OK"/>
    <s v="OK"/>
    <s v="OK"/>
    <s v="Price Variance"/>
    <s v="OK"/>
    <s v="OK"/>
    <n v="0"/>
    <n v="0"/>
    <n v="0"/>
    <n v="0"/>
    <n v="0"/>
    <n v="1"/>
    <n v="0"/>
    <n v="0"/>
    <x v="0"/>
  </r>
  <r>
    <s v="PO1430"/>
    <x v="26"/>
    <d v="2026-01-12T00:00:00"/>
    <n v="215"/>
    <n v="90.6"/>
    <s v="Pavel Horák"/>
    <d v="2026-01-23T00:00:00"/>
    <n v="215"/>
    <d v="2026-02-04T00:00:00"/>
    <s v="INV5445"/>
    <n v="215"/>
    <n v="90.6"/>
    <d v="2026-01-26T00:00:00"/>
    <s v="OK"/>
    <s v="OK"/>
    <s v="OK"/>
    <s v="OK"/>
    <s v="OK"/>
    <s v="OK"/>
    <s v="Late Delivery"/>
    <s v="OK"/>
    <n v="0"/>
    <n v="0"/>
    <n v="0"/>
    <n v="0"/>
    <n v="0"/>
    <n v="0"/>
    <n v="1"/>
    <n v="0"/>
    <x v="0"/>
  </r>
  <r>
    <s v="PO1432"/>
    <x v="33"/>
    <d v="2026-03-24T00:00:00"/>
    <n v="131"/>
    <n v="63.84"/>
    <s v="Winter Underwood"/>
    <d v="2026-04-14T00:00:00"/>
    <n v="131"/>
    <d v="2026-04-15T00:00:00"/>
    <s v="INV5447"/>
    <n v="131"/>
    <n v="73.97"/>
    <d v="2026-04-19T00:00:00"/>
    <s v="OK"/>
    <s v="OK"/>
    <s v="OK"/>
    <s v="OK"/>
    <s v="OK"/>
    <s v="Price Variance"/>
    <s v="Late Delivery"/>
    <s v="OK"/>
    <n v="0"/>
    <n v="0"/>
    <n v="0"/>
    <n v="0"/>
    <n v="0"/>
    <n v="1"/>
    <n v="1"/>
    <n v="0"/>
    <x v="2"/>
  </r>
  <r>
    <s v="PO1412"/>
    <x v="26"/>
    <d v="2026-01-21T00:00:00"/>
    <n v="279"/>
    <n v="92.12"/>
    <s v="Marta Nowak"/>
    <d v="2026-02-06T00:00:00"/>
    <m/>
    <m/>
    <s v="INV5427"/>
    <n v="279"/>
    <n v="92.12"/>
    <d v="2026-02-16T00:00:00"/>
    <s v="OK"/>
    <s v="No GR - Not received"/>
    <s v="OK"/>
    <s v="OK"/>
    <s v="OK"/>
    <s v="OK"/>
    <s v="OK"/>
    <s v="OK"/>
    <n v="0"/>
    <n v="1"/>
    <n v="0"/>
    <n v="0"/>
    <n v="0"/>
    <n v="0"/>
    <n v="0"/>
    <n v="0"/>
    <x v="0"/>
  </r>
  <r>
    <s v="PO1433"/>
    <x v="4"/>
    <d v="2026-04-16T00:00:00"/>
    <n v="163"/>
    <n v="58.66"/>
    <s v="Pavel Horák"/>
    <d v="2026-04-26T00:00:00"/>
    <n v="163"/>
    <d v="2026-04-25T00:00:00"/>
    <s v="INV5448"/>
    <n v="163"/>
    <n v="58.66"/>
    <d v="2026-05-03T00:00:00"/>
    <s v="OK"/>
    <s v="OK"/>
    <s v="OK"/>
    <s v="OK"/>
    <s v="OK"/>
    <s v="OK"/>
    <s v="OK"/>
    <s v="OK"/>
    <n v="0"/>
    <n v="0"/>
    <n v="0"/>
    <n v="0"/>
    <n v="0"/>
    <n v="0"/>
    <n v="0"/>
    <n v="0"/>
    <x v="1"/>
  </r>
  <r>
    <s v="PO1434"/>
    <x v="0"/>
    <d v="2026-04-20T00:00:00"/>
    <n v="294"/>
    <n v="101.65"/>
    <s v="Jakub Novák"/>
    <d v="2026-05-07T00:00:00"/>
    <n v="294"/>
    <d v="2026-05-05T00:00:00"/>
    <s v="INV5449"/>
    <n v="294"/>
    <n v="101.65"/>
    <d v="2026-05-12T00:00:00"/>
    <s v="OK"/>
    <s v="OK"/>
    <s v="OK"/>
    <s v="OK"/>
    <s v="OK"/>
    <s v="OK"/>
    <s v="OK"/>
    <s v="OK"/>
    <n v="0"/>
    <n v="0"/>
    <n v="0"/>
    <n v="0"/>
    <n v="0"/>
    <n v="0"/>
    <n v="0"/>
    <n v="0"/>
    <x v="1"/>
  </r>
  <r>
    <s v="PO1435"/>
    <x v="31"/>
    <d v="2026-03-23T00:00:00"/>
    <n v="366"/>
    <n v="86.18"/>
    <s v="Winter Underwood"/>
    <d v="2026-04-06T00:00:00"/>
    <n v="366"/>
    <d v="2026-04-05T00:00:00"/>
    <s v="INV5450"/>
    <n v="366"/>
    <n v="86.18"/>
    <d v="2026-04-10T00:00:00"/>
    <s v="OK"/>
    <s v="OK"/>
    <s v="OK"/>
    <s v="OK"/>
    <s v="OK"/>
    <s v="OK"/>
    <s v="OK"/>
    <s v="OK"/>
    <n v="0"/>
    <n v="0"/>
    <n v="0"/>
    <n v="0"/>
    <n v="0"/>
    <n v="0"/>
    <n v="0"/>
    <n v="0"/>
    <x v="2"/>
  </r>
  <r>
    <s v="PO1436"/>
    <x v="39"/>
    <d v="2026-02-17T00:00:00"/>
    <n v="396"/>
    <n v="109.9"/>
    <s v="Mateo García"/>
    <d v="2026-03-01T00:00:00"/>
    <n v="396"/>
    <d v="2026-02-28T00:00:00"/>
    <s v="INV5451"/>
    <n v="396"/>
    <n v="109.9"/>
    <d v="2026-03-03T00:00:00"/>
    <s v="OK"/>
    <s v="OK"/>
    <s v="OK"/>
    <s v="OK"/>
    <s v="OK"/>
    <s v="OK"/>
    <s v="OK"/>
    <s v="OK"/>
    <n v="0"/>
    <n v="0"/>
    <n v="0"/>
    <n v="0"/>
    <n v="0"/>
    <n v="0"/>
    <n v="0"/>
    <n v="0"/>
    <x v="4"/>
  </r>
  <r>
    <s v="PO1437"/>
    <x v="47"/>
    <d v="2026-02-06T00:00:00"/>
    <n v="422"/>
    <n v="95.29"/>
    <s v=""/>
    <d v="2026-02-24T00:00:00"/>
    <n v="402"/>
    <d v="2026-02-25T00:00:00"/>
    <s v="INV5452"/>
    <n v="422"/>
    <n v="95.29"/>
    <d v="2026-03-03T00:00:00"/>
    <s v="Missing Approval"/>
    <s v="OK"/>
    <s v="OK"/>
    <s v="OK"/>
    <s v="Qty Variance"/>
    <s v="OK"/>
    <s v="Late Delivery"/>
    <s v="OK"/>
    <n v="1"/>
    <n v="0"/>
    <n v="0"/>
    <n v="0"/>
    <n v="1"/>
    <n v="0"/>
    <n v="1"/>
    <n v="0"/>
    <x v="4"/>
  </r>
  <r>
    <s v="PO1439"/>
    <x v="13"/>
    <d v="2026-03-26T00:00:00"/>
    <n v="341"/>
    <n v="20.420000000000002"/>
    <s v="Ingrid Hansen"/>
    <d v="2026-04-11T00:00:00"/>
    <n v="338"/>
    <d v="2026-04-13T00:00:00"/>
    <s v="INV5454"/>
    <n v="341"/>
    <n v="20.420000000000002"/>
    <d v="2026-04-14T00:00:00"/>
    <s v="OK"/>
    <s v="OK"/>
    <s v="OK"/>
    <s v="OK"/>
    <s v="Qty Variance"/>
    <s v="OK"/>
    <s v="Late Delivery"/>
    <s v="OK"/>
    <n v="0"/>
    <n v="0"/>
    <n v="0"/>
    <n v="0"/>
    <n v="1"/>
    <n v="0"/>
    <n v="1"/>
    <n v="0"/>
    <x v="2"/>
  </r>
  <r>
    <s v="PO1420"/>
    <x v="5"/>
    <d v="2026-01-17T00:00:00"/>
    <n v="287"/>
    <n v="198.85"/>
    <s v="Camila Cantrell"/>
    <d v="2026-02-06T00:00:00"/>
    <m/>
    <m/>
    <s v="INV5435"/>
    <n v="287"/>
    <n v="198.85"/>
    <d v="2026-02-11T00:00:00"/>
    <s v="OK"/>
    <s v="No GR - Not received"/>
    <s v="OK"/>
    <s v="OK"/>
    <s v="OK"/>
    <s v="OK"/>
    <s v="OK"/>
    <s v="OK"/>
    <n v="0"/>
    <n v="1"/>
    <n v="0"/>
    <n v="0"/>
    <n v="0"/>
    <n v="0"/>
    <n v="0"/>
    <n v="0"/>
    <x v="0"/>
  </r>
  <r>
    <s v="PO1440"/>
    <x v="10"/>
    <d v="2026-05-18T00:00:00"/>
    <n v="380"/>
    <n v="166.73"/>
    <s v="A. Nagy"/>
    <d v="2026-05-31T00:00:00"/>
    <n v="380"/>
    <d v="2026-06-01T00:00:00"/>
    <s v="INV5455"/>
    <n v="380"/>
    <n v="166.73"/>
    <d v="2026-06-01T00:00:00"/>
    <s v="OK"/>
    <s v="OK"/>
    <s v="OK"/>
    <s v="OK"/>
    <s v="OK"/>
    <s v="OK"/>
    <s v="Late Delivery"/>
    <s v="OK"/>
    <n v="0"/>
    <n v="0"/>
    <n v="0"/>
    <n v="0"/>
    <n v="0"/>
    <n v="0"/>
    <n v="1"/>
    <n v="0"/>
    <x v="3"/>
  </r>
  <r>
    <s v="PO1441"/>
    <x v="39"/>
    <d v="2026-01-11T00:00:00"/>
    <n v="457"/>
    <n v="19.190000000000001"/>
    <s v="Eva Andersson"/>
    <d v="2026-01-22T00:00:00"/>
    <n v="457"/>
    <d v="2026-01-24T00:00:00"/>
    <s v="INV5456"/>
    <n v="457"/>
    <n v="19.190000000000001"/>
    <d v="2026-01-24T00:00:00"/>
    <s v="OK"/>
    <s v="OK"/>
    <s v="OK"/>
    <s v="OK"/>
    <s v="OK"/>
    <s v="OK"/>
    <s v="Late Delivery"/>
    <s v="OK"/>
    <n v="0"/>
    <n v="0"/>
    <n v="0"/>
    <n v="0"/>
    <n v="0"/>
    <n v="0"/>
    <n v="1"/>
    <n v="0"/>
    <x v="0"/>
  </r>
  <r>
    <s v="PO1442"/>
    <x v="44"/>
    <d v="2026-02-23T00:00:00"/>
    <n v="455"/>
    <n v="181.87"/>
    <s v=""/>
    <d v="2026-02-28T00:00:00"/>
    <n v="455"/>
    <d v="2026-02-26T00:00:00"/>
    <s v="INV5457"/>
    <n v="455"/>
    <n v="181.87"/>
    <d v="2026-03-10T00:00:00"/>
    <s v="Missing Approval"/>
    <s v="OK"/>
    <s v="OK"/>
    <s v="OK"/>
    <s v="OK"/>
    <s v="OK"/>
    <s v="OK"/>
    <s v="OK"/>
    <n v="1"/>
    <n v="0"/>
    <n v="0"/>
    <n v="0"/>
    <n v="0"/>
    <n v="0"/>
    <n v="0"/>
    <n v="0"/>
    <x v="4"/>
  </r>
  <r>
    <s v="PO1423"/>
    <x v="10"/>
    <d v="2026-05-19T00:00:00"/>
    <n v="78"/>
    <n v="132.44"/>
    <s v="Jakub Novák"/>
    <d v="2026-05-27T00:00:00"/>
    <m/>
    <m/>
    <s v="INV5438"/>
    <n v="78"/>
    <n v="132.44"/>
    <d v="2026-06-02T00:00:00"/>
    <s v="OK"/>
    <s v="No GR - Not received"/>
    <s v="OK"/>
    <s v="OK"/>
    <s v="OK"/>
    <s v="OK"/>
    <s v="OK"/>
    <s v="OK"/>
    <n v="0"/>
    <n v="1"/>
    <n v="0"/>
    <n v="0"/>
    <n v="0"/>
    <n v="0"/>
    <n v="0"/>
    <n v="0"/>
    <x v="3"/>
  </r>
  <r>
    <s v="PO1443"/>
    <x v="13"/>
    <d v="2026-02-18T00:00:00"/>
    <n v="389"/>
    <n v="27.88"/>
    <s v="Eva Andersson"/>
    <d v="2026-03-10T00:00:00"/>
    <n v="389"/>
    <d v="2026-03-08T00:00:00"/>
    <s v="INV5458"/>
    <n v="389"/>
    <n v="27.88"/>
    <d v="2026-03-13T00:00:00"/>
    <s v="OK"/>
    <s v="OK"/>
    <s v="OK"/>
    <s v="OK"/>
    <s v="OK"/>
    <s v="OK"/>
    <s v="OK"/>
    <s v="OK"/>
    <n v="0"/>
    <n v="0"/>
    <n v="0"/>
    <n v="0"/>
    <n v="0"/>
    <n v="0"/>
    <n v="0"/>
    <n v="0"/>
    <x v="4"/>
  </r>
  <r>
    <s v="PO1444"/>
    <x v="26"/>
    <d v="2026-02-22T00:00:00"/>
    <n v="213"/>
    <n v="183.45"/>
    <s v="Pavel Horák"/>
    <d v="2026-03-09T00:00:00"/>
    <n v="213"/>
    <d v="2026-03-07T00:00:00"/>
    <s v="INV5459"/>
    <n v="213"/>
    <n v="183.45"/>
    <d v="2026-03-17T00:00:00"/>
    <s v="OK"/>
    <s v="OK"/>
    <s v="OK"/>
    <s v="OK"/>
    <s v="OK"/>
    <s v="OK"/>
    <s v="OK"/>
    <s v="OK"/>
    <n v="0"/>
    <n v="0"/>
    <n v="0"/>
    <n v="0"/>
    <n v="0"/>
    <n v="0"/>
    <n v="0"/>
    <n v="0"/>
    <x v="4"/>
  </r>
  <r>
    <s v="PO1445"/>
    <x v="42"/>
    <d v="2026-04-08T00:00:00"/>
    <n v="248"/>
    <n v="109.06"/>
    <s v=""/>
    <d v="2026-04-22T00:00:00"/>
    <n v="248"/>
    <d v="2026-04-20T00:00:00"/>
    <s v="INV5460"/>
    <n v="248"/>
    <n v="109.06"/>
    <d v="2026-04-30T00:00:00"/>
    <s v="Missing Approval"/>
    <s v="OK"/>
    <s v="OK"/>
    <s v="OK"/>
    <s v="OK"/>
    <s v="OK"/>
    <s v="OK"/>
    <s v="OK"/>
    <n v="1"/>
    <n v="0"/>
    <n v="0"/>
    <n v="0"/>
    <n v="0"/>
    <n v="0"/>
    <n v="0"/>
    <n v="0"/>
    <x v="1"/>
  </r>
  <r>
    <s v="PO1446"/>
    <x v="18"/>
    <d v="2026-04-03T00:00:00"/>
    <n v="272"/>
    <n v="177.15"/>
    <s v="Ingrid Hansen"/>
    <d v="2026-04-11T00:00:00"/>
    <n v="272"/>
    <d v="2026-04-13T00:00:00"/>
    <s v="INV5461"/>
    <n v="272"/>
    <n v="177.15"/>
    <d v="2026-04-19T00:00:00"/>
    <s v="OK"/>
    <s v="OK"/>
    <s v="OK"/>
    <s v="OK"/>
    <s v="OK"/>
    <s v="OK"/>
    <s v="Late Delivery"/>
    <s v="OK"/>
    <n v="0"/>
    <n v="0"/>
    <n v="0"/>
    <n v="0"/>
    <n v="0"/>
    <n v="0"/>
    <n v="1"/>
    <n v="0"/>
    <x v="1"/>
  </r>
  <r>
    <s v="PO1447"/>
    <x v="22"/>
    <d v="2026-05-01T00:00:00"/>
    <n v="399"/>
    <n v="168.75"/>
    <s v="Sofia Rossi"/>
    <d v="2026-05-17T00:00:00"/>
    <n v="399"/>
    <d v="2026-05-25T00:00:00"/>
    <s v="INV5462"/>
    <n v="399"/>
    <n v="168.75"/>
    <d v="2026-05-18T00:00:00"/>
    <s v="OK"/>
    <s v="OK"/>
    <s v="OK"/>
    <s v="OK"/>
    <s v="OK"/>
    <s v="OK"/>
    <s v="Late Delivery"/>
    <s v="Duplicate Invoice"/>
    <n v="0"/>
    <n v="0"/>
    <n v="0"/>
    <n v="0"/>
    <n v="0"/>
    <n v="0"/>
    <n v="1"/>
    <n v="1"/>
    <x v="3"/>
  </r>
  <r>
    <s v="PO1447"/>
    <x v="22"/>
    <d v="2026-05-01T00:00:00"/>
    <n v="399"/>
    <n v="168.75"/>
    <s v="Sofia Rossi"/>
    <d v="2026-05-17T00:00:00"/>
    <n v="399"/>
    <d v="2026-05-25T00:00:00"/>
    <s v="INV5463"/>
    <n v="399"/>
    <n v="168.75"/>
    <d v="2026-05-23T00:00:00"/>
    <s v="OK"/>
    <s v="OK"/>
    <s v="OK"/>
    <s v="OK"/>
    <s v="OK"/>
    <s v="OK"/>
    <s v="Late Delivery"/>
    <s v="Duplicate Invoice"/>
    <n v="0"/>
    <n v="0"/>
    <n v="0"/>
    <n v="0"/>
    <n v="0"/>
    <n v="0"/>
    <n v="1"/>
    <n v="1"/>
    <x v="3"/>
  </r>
  <r>
    <s v="PO1448"/>
    <x v="45"/>
    <d v="2026-04-16T00:00:00"/>
    <n v="33"/>
    <n v="114.69"/>
    <s v="Mateo García"/>
    <d v="2026-04-25T00:00:00"/>
    <n v="33"/>
    <d v="2026-04-26T00:00:00"/>
    <s v="INV5464"/>
    <n v="33"/>
    <n v="114.69"/>
    <d v="2026-05-01T00:00:00"/>
    <s v="OK"/>
    <s v="OK"/>
    <s v="OK"/>
    <s v="OK"/>
    <s v="OK"/>
    <s v="OK"/>
    <s v="Late Delivery"/>
    <s v="OK"/>
    <n v="0"/>
    <n v="0"/>
    <n v="0"/>
    <n v="0"/>
    <n v="0"/>
    <n v="0"/>
    <n v="1"/>
    <n v="0"/>
    <x v="1"/>
  </r>
  <r>
    <s v="PO1449"/>
    <x v="20"/>
    <d v="2026-03-08T00:00:00"/>
    <n v="293"/>
    <n v="187.28"/>
    <s v="Emma Johansson"/>
    <d v="2026-03-26T00:00:00"/>
    <n v="293"/>
    <d v="2026-03-24T00:00:00"/>
    <s v="INV5465"/>
    <n v="293"/>
    <n v="187.28"/>
    <d v="2026-04-02T00:00:00"/>
    <s v="OK"/>
    <s v="OK"/>
    <s v="OK"/>
    <s v="OK"/>
    <s v="OK"/>
    <s v="OK"/>
    <s v="OK"/>
    <s v="OK"/>
    <n v="0"/>
    <n v="0"/>
    <n v="0"/>
    <n v="0"/>
    <n v="0"/>
    <n v="0"/>
    <n v="0"/>
    <n v="0"/>
    <x v="2"/>
  </r>
  <r>
    <s v="PO1450"/>
    <x v="42"/>
    <d v="2026-02-09T00:00:00"/>
    <n v="110"/>
    <n v="69.319999999999993"/>
    <s v="Laura Schmidt"/>
    <d v="2026-02-21T00:00:00"/>
    <n v="110"/>
    <d v="2026-02-21T00:00:00"/>
    <s v="INV5466"/>
    <n v="110"/>
    <n v="69.319999999999993"/>
    <d v="2026-03-01T00:00:00"/>
    <s v="OK"/>
    <s v="OK"/>
    <s v="OK"/>
    <s v="OK"/>
    <s v="OK"/>
    <s v="OK"/>
    <s v="OK"/>
    <s v="OK"/>
    <n v="0"/>
    <n v="0"/>
    <n v="0"/>
    <n v="0"/>
    <n v="0"/>
    <n v="0"/>
    <n v="0"/>
    <n v="0"/>
    <x v="4"/>
  </r>
  <r>
    <s v="PO1431"/>
    <x v="21"/>
    <d v="2026-02-05T00:00:00"/>
    <n v="267"/>
    <n v="198.73"/>
    <s v="Mateo García"/>
    <d v="2026-02-20T00:00:00"/>
    <m/>
    <m/>
    <s v="INV5446"/>
    <n v="267"/>
    <n v="198.73"/>
    <d v="2026-02-24T00:00:00"/>
    <s v="OK"/>
    <s v="No GR - Not received"/>
    <s v="OK"/>
    <s v="OK"/>
    <s v="OK"/>
    <s v="OK"/>
    <s v="OK"/>
    <s v="OK"/>
    <n v="0"/>
    <n v="1"/>
    <n v="0"/>
    <n v="0"/>
    <n v="0"/>
    <n v="0"/>
    <n v="0"/>
    <n v="0"/>
    <x v="4"/>
  </r>
  <r>
    <s v="PO1451"/>
    <x v="37"/>
    <d v="2026-05-21T00:00:00"/>
    <n v="345"/>
    <n v="188.98"/>
    <s v="Elena Petrova"/>
    <d v="2026-06-03T00:00:00"/>
    <n v="345"/>
    <d v="2026-06-01T00:00:00"/>
    <s v="INV5467"/>
    <n v="345"/>
    <n v="188.98"/>
    <d v="2026-06-05T00:00:00"/>
    <s v="OK"/>
    <s v="OK"/>
    <s v="OK"/>
    <s v="OK"/>
    <s v="OK"/>
    <s v="OK"/>
    <s v="OK"/>
    <s v="OK"/>
    <n v="0"/>
    <n v="0"/>
    <n v="0"/>
    <n v="0"/>
    <n v="0"/>
    <n v="0"/>
    <n v="0"/>
    <n v="0"/>
    <x v="3"/>
  </r>
  <r>
    <s v="PO1452"/>
    <x v="37"/>
    <d v="2026-05-06T00:00:00"/>
    <n v="245"/>
    <n v="37.81"/>
    <s v="Jakub Novák"/>
    <d v="2026-05-16T00:00:00"/>
    <n v="245"/>
    <d v="2026-05-14T00:00:00"/>
    <s v="INV5468"/>
    <n v="245"/>
    <n v="44.93"/>
    <d v="2026-05-23T00:00:00"/>
    <s v="OK"/>
    <s v="OK"/>
    <s v="OK"/>
    <s v="OK"/>
    <s v="OK"/>
    <s v="Price Variance"/>
    <s v="OK"/>
    <s v="OK"/>
    <n v="0"/>
    <n v="0"/>
    <n v="0"/>
    <n v="0"/>
    <n v="0"/>
    <n v="1"/>
    <n v="0"/>
    <n v="0"/>
    <x v="3"/>
  </r>
  <r>
    <s v="PO1453"/>
    <x v="1"/>
    <d v="2026-05-20T00:00:00"/>
    <n v="260"/>
    <n v="40.89"/>
    <s v="Pavel Horák"/>
    <d v="2026-05-26T00:00:00"/>
    <n v="260"/>
    <d v="2026-05-27T00:00:00"/>
    <s v="INV5469"/>
    <n v="260"/>
    <n v="40.89"/>
    <d v="2026-06-02T00:00:00"/>
    <s v="OK"/>
    <s v="OK"/>
    <s v="OK"/>
    <s v="OK"/>
    <s v="OK"/>
    <s v="OK"/>
    <s v="Late Delivery"/>
    <s v="OK"/>
    <n v="0"/>
    <n v="0"/>
    <n v="0"/>
    <n v="0"/>
    <n v="0"/>
    <n v="0"/>
    <n v="1"/>
    <n v="0"/>
    <x v="3"/>
  </r>
  <r>
    <s v="PO1454"/>
    <x v="31"/>
    <d v="2026-01-09T00:00:00"/>
    <n v="439"/>
    <n v="170.11"/>
    <s v="Felix Bauer"/>
    <d v="2026-01-15T00:00:00"/>
    <n v="439"/>
    <d v="2026-01-15T00:00:00"/>
    <s v="INV5470"/>
    <n v="439"/>
    <n v="170.11"/>
    <d v="2026-01-21T00:00:00"/>
    <s v="OK"/>
    <s v="OK"/>
    <s v="OK"/>
    <s v="OK"/>
    <s v="OK"/>
    <s v="OK"/>
    <s v="OK"/>
    <s v="OK"/>
    <n v="0"/>
    <n v="0"/>
    <n v="0"/>
    <n v="0"/>
    <n v="0"/>
    <n v="0"/>
    <n v="0"/>
    <n v="0"/>
    <x v="0"/>
  </r>
  <r>
    <s v="PO1455"/>
    <x v="25"/>
    <d v="2026-04-16T00:00:00"/>
    <n v="80"/>
    <n v="169.3"/>
    <s v="Mateo García"/>
    <d v="2026-04-23T00:00:00"/>
    <n v="80"/>
    <d v="2026-04-22T00:00:00"/>
    <s v="INV5471"/>
    <n v="80"/>
    <n v="169.3"/>
    <d v="2026-04-29T00:00:00"/>
    <s v="OK"/>
    <s v="OK"/>
    <s v="OK"/>
    <s v="OK"/>
    <s v="OK"/>
    <s v="OK"/>
    <s v="OK"/>
    <s v="OK"/>
    <n v="0"/>
    <n v="0"/>
    <n v="0"/>
    <n v="0"/>
    <n v="0"/>
    <n v="0"/>
    <n v="0"/>
    <n v="0"/>
    <x v="1"/>
  </r>
  <r>
    <s v="PO1456"/>
    <x v="9"/>
    <d v="2026-02-08T00:00:00"/>
    <n v="14"/>
    <n v="47.65"/>
    <s v="Ingrid Hansen"/>
    <d v="2026-02-24T00:00:00"/>
    <n v="14"/>
    <d v="2026-03-16T00:00:00"/>
    <s v="INV5472"/>
    <n v="14"/>
    <n v="47.65"/>
    <d v="2026-03-03T00:00:00"/>
    <s v="OK"/>
    <s v="OK"/>
    <s v="OK"/>
    <s v="OK"/>
    <s v="OK"/>
    <s v="OK"/>
    <s v="Late Delivery"/>
    <s v="OK"/>
    <n v="0"/>
    <n v="0"/>
    <n v="0"/>
    <n v="0"/>
    <n v="0"/>
    <n v="0"/>
    <n v="1"/>
    <n v="0"/>
    <x v="4"/>
  </r>
  <r>
    <s v="PO1438"/>
    <x v="34"/>
    <d v="2026-05-23T00:00:00"/>
    <n v="281"/>
    <n v="31.15"/>
    <s v="Mateo García"/>
    <d v="2026-06-05T00:00:00"/>
    <m/>
    <m/>
    <s v="INV5453"/>
    <n v="281"/>
    <n v="31.15"/>
    <d v="2026-06-14T00:00:00"/>
    <s v="OK"/>
    <s v="No GR - Not received"/>
    <s v="OK"/>
    <s v="OK"/>
    <s v="OK"/>
    <s v="OK"/>
    <s v="OK"/>
    <s v="OK"/>
    <n v="0"/>
    <n v="1"/>
    <n v="0"/>
    <n v="0"/>
    <n v="0"/>
    <n v="0"/>
    <n v="0"/>
    <n v="0"/>
    <x v="3"/>
  </r>
  <r>
    <s v="PO1458"/>
    <x v="25"/>
    <d v="2026-01-05T00:00:00"/>
    <n v="281"/>
    <n v="145.83000000000001"/>
    <s v="Pavel Horák"/>
    <d v="2026-01-19T00:00:00"/>
    <n v="281"/>
    <d v="2026-01-21T00:00:00"/>
    <s v="INV5474"/>
    <n v="281"/>
    <n v="145.83000000000001"/>
    <d v="2026-01-20T00:00:00"/>
    <s v="OK"/>
    <s v="OK"/>
    <s v="OK"/>
    <s v="OK"/>
    <s v="OK"/>
    <s v="OK"/>
    <s v="Late Delivery"/>
    <s v="OK"/>
    <n v="0"/>
    <n v="0"/>
    <n v="0"/>
    <n v="0"/>
    <n v="0"/>
    <n v="0"/>
    <n v="1"/>
    <n v="0"/>
    <x v="0"/>
  </r>
  <r>
    <s v="PO1459"/>
    <x v="20"/>
    <d v="2026-05-09T00:00:00"/>
    <n v="426"/>
    <n v="141.08000000000001"/>
    <s v="Marco Bianchi"/>
    <d v="2026-05-19T00:00:00"/>
    <n v="426"/>
    <d v="2026-05-18T00:00:00"/>
    <s v="INV5475"/>
    <n v="426"/>
    <n v="141.08000000000001"/>
    <d v="2026-05-24T00:00:00"/>
    <s v="OK"/>
    <s v="OK"/>
    <s v="OK"/>
    <s v="OK"/>
    <s v="OK"/>
    <s v="OK"/>
    <s v="OK"/>
    <s v="OK"/>
    <n v="0"/>
    <n v="0"/>
    <n v="0"/>
    <n v="0"/>
    <n v="0"/>
    <n v="0"/>
    <n v="0"/>
    <n v="0"/>
    <x v="3"/>
  </r>
  <r>
    <s v="PO1460"/>
    <x v="6"/>
    <d v="2026-01-25T00:00:00"/>
    <n v="278"/>
    <n v="34.04"/>
    <s v="Sofia Rossi"/>
    <d v="2026-02-15T00:00:00"/>
    <n v="278"/>
    <d v="2026-02-21T00:00:00"/>
    <s v="INV5476"/>
    <n v="278"/>
    <n v="34.04"/>
    <d v="2026-02-18T00:00:00"/>
    <s v="OK"/>
    <s v="OK"/>
    <s v="OK"/>
    <s v="OK"/>
    <s v="OK"/>
    <s v="OK"/>
    <s v="Late Delivery"/>
    <s v="OK"/>
    <n v="0"/>
    <n v="0"/>
    <n v="0"/>
    <n v="0"/>
    <n v="0"/>
    <n v="0"/>
    <n v="1"/>
    <n v="0"/>
    <x v="0"/>
  </r>
  <r>
    <s v="PO1461"/>
    <x v="18"/>
    <d v="2026-04-01T00:00:00"/>
    <n v="146"/>
    <n v="160.01"/>
    <s v="Camila Cantrell"/>
    <d v="2026-04-17T00:00:00"/>
    <n v="146"/>
    <d v="2026-04-18T00:00:00"/>
    <s v="INV5477"/>
    <n v="146"/>
    <n v="160.01"/>
    <d v="2026-04-20T00:00:00"/>
    <s v="OK"/>
    <s v="OK"/>
    <s v="OK"/>
    <s v="OK"/>
    <s v="OK"/>
    <s v="OK"/>
    <s v="Late Delivery"/>
    <s v="Duplicate Invoice"/>
    <n v="0"/>
    <n v="0"/>
    <n v="0"/>
    <n v="0"/>
    <n v="0"/>
    <n v="0"/>
    <n v="1"/>
    <n v="1"/>
    <x v="1"/>
  </r>
  <r>
    <s v="PO1461"/>
    <x v="18"/>
    <d v="2026-04-01T00:00:00"/>
    <n v="146"/>
    <n v="160.01"/>
    <s v="Camila Cantrell"/>
    <d v="2026-04-17T00:00:00"/>
    <n v="146"/>
    <d v="2026-04-18T00:00:00"/>
    <s v="INV5478"/>
    <n v="146"/>
    <n v="160.01"/>
    <d v="2026-04-21T00:00:00"/>
    <s v="OK"/>
    <s v="OK"/>
    <s v="OK"/>
    <s v="OK"/>
    <s v="OK"/>
    <s v="OK"/>
    <s v="Late Delivery"/>
    <s v="Duplicate Invoice"/>
    <n v="0"/>
    <n v="0"/>
    <n v="0"/>
    <n v="0"/>
    <n v="0"/>
    <n v="0"/>
    <n v="1"/>
    <n v="1"/>
    <x v="1"/>
  </r>
  <r>
    <s v="PO1462"/>
    <x v="29"/>
    <d v="2026-04-28T00:00:00"/>
    <n v="299"/>
    <n v="52.43"/>
    <s v="Marta Nowak"/>
    <d v="2026-05-10T00:00:00"/>
    <n v="299"/>
    <d v="2026-05-10T00:00:00"/>
    <s v="INV5479"/>
    <n v="299"/>
    <n v="52.43"/>
    <d v="2026-05-17T00:00:00"/>
    <s v="OK"/>
    <s v="OK"/>
    <s v="OK"/>
    <s v="OK"/>
    <s v="OK"/>
    <s v="OK"/>
    <s v="OK"/>
    <s v="OK"/>
    <n v="0"/>
    <n v="0"/>
    <n v="0"/>
    <n v="0"/>
    <n v="0"/>
    <n v="0"/>
    <n v="0"/>
    <n v="0"/>
    <x v="1"/>
  </r>
  <r>
    <s v="PO1463"/>
    <x v="47"/>
    <d v="2026-01-21T00:00:00"/>
    <n v="344"/>
    <n v="198.38"/>
    <s v="Katarina Jovanović"/>
    <d v="2026-01-27T00:00:00"/>
    <n v="344"/>
    <d v="2026-01-29T00:00:00"/>
    <s v="INV5480"/>
    <n v="344"/>
    <n v="198.38"/>
    <d v="2026-01-29T00:00:00"/>
    <s v="OK"/>
    <s v="OK"/>
    <s v="OK"/>
    <s v="OK"/>
    <s v="OK"/>
    <s v="OK"/>
    <s v="Late Delivery"/>
    <s v="OK"/>
    <n v="0"/>
    <n v="0"/>
    <n v="0"/>
    <n v="0"/>
    <n v="0"/>
    <n v="0"/>
    <n v="1"/>
    <n v="0"/>
    <x v="0"/>
  </r>
  <r>
    <s v="PO1464"/>
    <x v="10"/>
    <d v="2026-04-14T00:00:00"/>
    <n v="204"/>
    <n v="78.55"/>
    <s v="Andreas Weber"/>
    <d v="2026-04-20T00:00:00"/>
    <n v="204"/>
    <d v="2026-05-10T00:00:00"/>
    <s v="INV5481"/>
    <n v="204"/>
    <n v="78.55"/>
    <d v="2026-04-27T00:00:00"/>
    <s v="OK"/>
    <s v="OK"/>
    <s v="OK"/>
    <s v="OK"/>
    <s v="OK"/>
    <s v="OK"/>
    <s v="Late Delivery"/>
    <s v="OK"/>
    <n v="0"/>
    <n v="0"/>
    <n v="0"/>
    <n v="0"/>
    <n v="0"/>
    <n v="0"/>
    <n v="1"/>
    <n v="0"/>
    <x v="1"/>
  </r>
  <r>
    <s v="PO1465"/>
    <x v="0"/>
    <d v="2026-01-03T00:00:00"/>
    <n v="369"/>
    <n v="38.42"/>
    <s v="Andreas Weber"/>
    <d v="2026-01-21T00:00:00"/>
    <n v="369"/>
    <d v="2026-01-22T00:00:00"/>
    <s v="INV5482"/>
    <n v="369"/>
    <n v="38.42"/>
    <d v="2026-01-26T00:00:00"/>
    <s v="OK"/>
    <s v="OK"/>
    <s v="OK"/>
    <s v="OK"/>
    <s v="OK"/>
    <s v="OK"/>
    <s v="Late Delivery"/>
    <s v="OK"/>
    <n v="0"/>
    <n v="0"/>
    <n v="0"/>
    <n v="0"/>
    <n v="0"/>
    <n v="0"/>
    <n v="1"/>
    <n v="0"/>
    <x v="0"/>
  </r>
  <r>
    <s v="PO1466"/>
    <x v="43"/>
    <d v="2026-03-26T00:00:00"/>
    <n v="299"/>
    <n v="195.58"/>
    <s v="Haley Rivas"/>
    <d v="2026-04-16T00:00:00"/>
    <n v="299"/>
    <d v="2026-04-15T00:00:00"/>
    <s v="INV5483"/>
    <n v="299"/>
    <n v="195.58"/>
    <d v="2026-04-23T00:00:00"/>
    <s v="OK"/>
    <s v="OK"/>
    <s v="OK"/>
    <s v="OK"/>
    <s v="OK"/>
    <s v="OK"/>
    <s v="OK"/>
    <s v="OK"/>
    <n v="0"/>
    <n v="0"/>
    <n v="0"/>
    <n v="0"/>
    <n v="0"/>
    <n v="0"/>
    <n v="0"/>
    <n v="0"/>
    <x v="2"/>
  </r>
  <r>
    <s v="PO1467"/>
    <x v="7"/>
    <d v="2026-02-28T00:00:00"/>
    <n v="118"/>
    <n v="180.75"/>
    <s v="Marta Nowak"/>
    <d v="2026-03-20T00:00:00"/>
    <n v="118"/>
    <d v="2026-03-22T00:00:00"/>
    <s v="INV5484"/>
    <n v="118"/>
    <n v="180.75"/>
    <d v="2026-03-22T00:00:00"/>
    <s v="OK"/>
    <s v="OK"/>
    <s v="OK"/>
    <s v="OK"/>
    <s v="OK"/>
    <s v="OK"/>
    <s v="Late Delivery"/>
    <s v="OK"/>
    <n v="0"/>
    <n v="0"/>
    <n v="0"/>
    <n v="0"/>
    <n v="0"/>
    <n v="0"/>
    <n v="1"/>
    <n v="0"/>
    <x v="4"/>
  </r>
  <r>
    <s v="PO1468"/>
    <x v="46"/>
    <d v="2026-01-12T00:00:00"/>
    <n v="483"/>
    <n v="19.5"/>
    <s v="Anna Kowalska"/>
    <d v="2026-01-18T00:00:00"/>
    <n v="483"/>
    <d v="2026-01-19T00:00:00"/>
    <s v="INV5485"/>
    <n v="483"/>
    <n v="19.5"/>
    <d v="2026-01-24T00:00:00"/>
    <s v="OK"/>
    <s v="OK"/>
    <s v="OK"/>
    <s v="OK"/>
    <s v="OK"/>
    <s v="OK"/>
    <s v="Late Delivery"/>
    <s v="OK"/>
    <n v="0"/>
    <n v="0"/>
    <n v="0"/>
    <n v="0"/>
    <n v="0"/>
    <n v="0"/>
    <n v="1"/>
    <n v="0"/>
    <x v="0"/>
  </r>
  <r>
    <s v="PO1470"/>
    <x v="9"/>
    <d v="2026-04-12T00:00:00"/>
    <n v="485"/>
    <n v="20"/>
    <s v="Lukas Müller"/>
    <d v="2026-04-24T00:00:00"/>
    <n v="485"/>
    <d v="2026-04-22T00:00:00"/>
    <s v="INV5487"/>
    <n v="485"/>
    <n v="20"/>
    <d v="2026-04-29T00:00:00"/>
    <s v="OK"/>
    <s v="OK"/>
    <s v="OK"/>
    <s v="OK"/>
    <s v="OK"/>
    <s v="OK"/>
    <s v="OK"/>
    <s v="Duplicate Invoice"/>
    <n v="0"/>
    <n v="0"/>
    <n v="0"/>
    <n v="0"/>
    <n v="0"/>
    <n v="0"/>
    <n v="0"/>
    <n v="1"/>
    <x v="1"/>
  </r>
  <r>
    <s v="PO1470"/>
    <x v="9"/>
    <d v="2026-04-12T00:00:00"/>
    <n v="485"/>
    <n v="20"/>
    <s v="Lukas Müller"/>
    <d v="2026-04-24T00:00:00"/>
    <n v="485"/>
    <d v="2026-04-22T00:00:00"/>
    <s v="INV5488"/>
    <n v="485"/>
    <n v="20"/>
    <d v="2026-05-01T00:00:00"/>
    <s v="OK"/>
    <s v="OK"/>
    <s v="OK"/>
    <s v="OK"/>
    <s v="OK"/>
    <s v="OK"/>
    <s v="OK"/>
    <s v="Duplicate Invoice"/>
    <n v="0"/>
    <n v="0"/>
    <n v="0"/>
    <n v="0"/>
    <n v="0"/>
    <n v="0"/>
    <n v="0"/>
    <n v="1"/>
    <x v="1"/>
  </r>
  <r>
    <s v="PO1471"/>
    <x v="33"/>
    <d v="2026-04-10T00:00:00"/>
    <n v="356"/>
    <n v="179.82"/>
    <s v="Elena Petrova"/>
    <d v="2026-04-27T00:00:00"/>
    <n v="356"/>
    <d v="2026-04-25T00:00:00"/>
    <s v="INV5489"/>
    <n v="356"/>
    <n v="179.82"/>
    <d v="2026-04-28T00:00:00"/>
    <s v="OK"/>
    <s v="OK"/>
    <s v="OK"/>
    <s v="OK"/>
    <s v="OK"/>
    <s v="OK"/>
    <s v="OK"/>
    <s v="OK"/>
    <n v="0"/>
    <n v="0"/>
    <n v="0"/>
    <n v="0"/>
    <n v="0"/>
    <n v="0"/>
    <n v="0"/>
    <n v="0"/>
    <x v="1"/>
  </r>
  <r>
    <s v="PO1472"/>
    <x v="15"/>
    <d v="2026-02-05T00:00:00"/>
    <n v="414"/>
    <n v="197.75"/>
    <s v="Victor Popescu"/>
    <d v="2026-02-12T00:00:00"/>
    <n v="414"/>
    <d v="2026-02-10T00:00:00"/>
    <s v="INV5490"/>
    <n v="414"/>
    <n v="197.75"/>
    <d v="2026-02-19T00:00:00"/>
    <s v="OK"/>
    <s v="OK"/>
    <s v="OK"/>
    <s v="OK"/>
    <s v="OK"/>
    <s v="OK"/>
    <s v="OK"/>
    <s v="OK"/>
    <n v="0"/>
    <n v="0"/>
    <n v="0"/>
    <n v="0"/>
    <n v="0"/>
    <n v="0"/>
    <n v="0"/>
    <n v="0"/>
    <x v="4"/>
  </r>
  <r>
    <s v="PO1473"/>
    <x v="3"/>
    <d v="2026-03-30T00:00:00"/>
    <n v="37"/>
    <n v="24.05"/>
    <s v="Mateo García"/>
    <d v="2026-04-06T00:00:00"/>
    <n v="37"/>
    <d v="2026-04-06T00:00:00"/>
    <s v="INV5491"/>
    <n v="37"/>
    <n v="24.05"/>
    <d v="2026-04-13T00:00:00"/>
    <s v="OK"/>
    <s v="OK"/>
    <s v="OK"/>
    <s v="OK"/>
    <s v="OK"/>
    <s v="OK"/>
    <s v="OK"/>
    <s v="OK"/>
    <n v="0"/>
    <n v="0"/>
    <n v="0"/>
    <n v="0"/>
    <n v="0"/>
    <n v="0"/>
    <n v="0"/>
    <n v="0"/>
    <x v="2"/>
  </r>
  <r>
    <s v="PO1474"/>
    <x v="24"/>
    <d v="2026-04-12T00:00:00"/>
    <n v="406"/>
    <n v="68.64"/>
    <s v="Katarina Jovanović"/>
    <d v="2026-04-25T00:00:00"/>
    <n v="406"/>
    <d v="2026-04-26T00:00:00"/>
    <s v="INV5492"/>
    <n v="406"/>
    <n v="68.64"/>
    <d v="2026-04-28T00:00:00"/>
    <s v="OK"/>
    <s v="OK"/>
    <s v="OK"/>
    <s v="OK"/>
    <s v="OK"/>
    <s v="OK"/>
    <s v="Late Delivery"/>
    <s v="OK"/>
    <n v="0"/>
    <n v="0"/>
    <n v="0"/>
    <n v="0"/>
    <n v="0"/>
    <n v="0"/>
    <n v="1"/>
    <n v="0"/>
    <x v="1"/>
  </r>
  <r>
    <s v="PO1475"/>
    <x v="23"/>
    <d v="2026-05-06T00:00:00"/>
    <n v="126"/>
    <n v="74.38"/>
    <s v="Laura Schmidt"/>
    <d v="2026-05-24T00:00:00"/>
    <n v="126"/>
    <d v="2026-05-26T00:00:00"/>
    <s v="INV5493"/>
    <n v="126"/>
    <n v="74.38"/>
    <d v="2026-05-26T00:00:00"/>
    <s v="OK"/>
    <s v="OK"/>
    <s v="OK"/>
    <s v="OK"/>
    <s v="OK"/>
    <s v="OK"/>
    <s v="Late Delivery"/>
    <s v="OK"/>
    <n v="0"/>
    <n v="0"/>
    <n v="0"/>
    <n v="0"/>
    <n v="0"/>
    <n v="0"/>
    <n v="1"/>
    <n v="0"/>
    <x v="3"/>
  </r>
  <r>
    <s v="PO1457"/>
    <x v="21"/>
    <d v="2026-05-04T00:00:00"/>
    <n v="347"/>
    <n v="100.13"/>
    <s v="J. Kovacs"/>
    <d v="2026-05-22T00:00:00"/>
    <m/>
    <m/>
    <s v="INV5473"/>
    <n v="347"/>
    <n v="100.13"/>
    <d v="2026-05-23T00:00:00"/>
    <s v="OK"/>
    <s v="No GR - Not received"/>
    <s v="OK"/>
    <s v="OK"/>
    <s v="OK"/>
    <s v="OK"/>
    <s v="OK"/>
    <s v="OK"/>
    <n v="0"/>
    <n v="1"/>
    <n v="0"/>
    <n v="0"/>
    <n v="0"/>
    <n v="0"/>
    <n v="0"/>
    <n v="0"/>
    <x v="3"/>
  </r>
  <r>
    <s v="PO1477"/>
    <x v="26"/>
    <d v="2026-01-19T00:00:00"/>
    <n v="52"/>
    <n v="57.25"/>
    <s v="Laura Schmidt"/>
    <d v="2026-01-28T00:00:00"/>
    <n v="52"/>
    <d v="2026-01-29T00:00:00"/>
    <s v="INV5495"/>
    <n v="52"/>
    <n v="57.25"/>
    <d v="2026-02-01T00:00:00"/>
    <s v="OK"/>
    <s v="OK"/>
    <s v="OK"/>
    <s v="OK"/>
    <s v="OK"/>
    <s v="OK"/>
    <s v="Late Delivery"/>
    <s v="OK"/>
    <n v="0"/>
    <n v="0"/>
    <n v="0"/>
    <n v="0"/>
    <n v="0"/>
    <n v="0"/>
    <n v="1"/>
    <n v="0"/>
    <x v="0"/>
  </r>
  <r>
    <s v="PO1478"/>
    <x v="15"/>
    <d v="2026-04-10T00:00:00"/>
    <n v="172"/>
    <n v="75.34"/>
    <s v="Camila Cantrell"/>
    <d v="2026-04-15T00:00:00"/>
    <n v="172"/>
    <d v="2026-04-13T00:00:00"/>
    <s v="INV5496"/>
    <n v="172"/>
    <n v="75.34"/>
    <d v="2026-04-22T00:00:00"/>
    <s v="OK"/>
    <s v="OK"/>
    <s v="OK"/>
    <s v="OK"/>
    <s v="OK"/>
    <s v="OK"/>
    <s v="OK"/>
    <s v="OK"/>
    <n v="0"/>
    <n v="0"/>
    <n v="0"/>
    <n v="0"/>
    <n v="0"/>
    <n v="0"/>
    <n v="0"/>
    <n v="0"/>
    <x v="1"/>
  </r>
  <r>
    <s v="PO1480"/>
    <x v="10"/>
    <d v="2026-02-17T00:00:00"/>
    <n v="230"/>
    <n v="92.52"/>
    <s v=""/>
    <d v="2026-03-10T00:00:00"/>
    <n v="230"/>
    <d v="2026-03-08T00:00:00"/>
    <s v="INV5498"/>
    <n v="230"/>
    <n v="92.52"/>
    <d v="2026-03-15T00:00:00"/>
    <s v="Missing Approval"/>
    <s v="OK"/>
    <s v="OK"/>
    <s v="OK"/>
    <s v="OK"/>
    <s v="OK"/>
    <s v="OK"/>
    <s v="OK"/>
    <n v="1"/>
    <n v="0"/>
    <n v="0"/>
    <n v="0"/>
    <n v="0"/>
    <n v="0"/>
    <n v="0"/>
    <n v="0"/>
    <x v="4"/>
  </r>
  <r>
    <s v="PO1481"/>
    <x v="34"/>
    <d v="2026-01-27T00:00:00"/>
    <n v="23"/>
    <n v="22.48"/>
    <s v="Pavel Horák"/>
    <d v="2026-02-03T00:00:00"/>
    <n v="23"/>
    <d v="2026-02-05T00:00:00"/>
    <s v="INV5499"/>
    <n v="23"/>
    <n v="22.48"/>
    <d v="2026-02-05T00:00:00"/>
    <s v="OK"/>
    <s v="OK"/>
    <s v="OK"/>
    <s v="OK"/>
    <s v="OK"/>
    <s v="OK"/>
    <s v="Late Delivery"/>
    <s v="OK"/>
    <n v="0"/>
    <n v="0"/>
    <n v="0"/>
    <n v="0"/>
    <n v="0"/>
    <n v="0"/>
    <n v="1"/>
    <n v="0"/>
    <x v="0"/>
  </r>
  <r>
    <s v="PO1482"/>
    <x v="17"/>
    <d v="2026-03-25T00:00:00"/>
    <n v="452"/>
    <n v="80.12"/>
    <s v="Nicolas Dubois"/>
    <d v="2026-04-12T00:00:00"/>
    <n v="452"/>
    <d v="2026-04-10T00:00:00"/>
    <s v="INV5500"/>
    <n v="452"/>
    <n v="80.12"/>
    <d v="2026-04-20T00:00:00"/>
    <s v="OK"/>
    <s v="OK"/>
    <s v="OK"/>
    <s v="OK"/>
    <s v="OK"/>
    <s v="OK"/>
    <s v="OK"/>
    <s v="OK"/>
    <n v="0"/>
    <n v="0"/>
    <n v="0"/>
    <n v="0"/>
    <n v="0"/>
    <n v="0"/>
    <n v="0"/>
    <n v="0"/>
    <x v="2"/>
  </r>
  <r>
    <s v="PO1483"/>
    <x v="39"/>
    <d v="2026-01-22T00:00:00"/>
    <n v="381"/>
    <n v="180.72"/>
    <s v="Mateo García"/>
    <d v="2026-02-12T00:00:00"/>
    <n v="381"/>
    <d v="2026-02-14T00:00:00"/>
    <s v="INV5501"/>
    <n v="381"/>
    <n v="180.72"/>
    <d v="2026-02-13T00:00:00"/>
    <s v="OK"/>
    <s v="OK"/>
    <s v="OK"/>
    <s v="OK"/>
    <s v="OK"/>
    <s v="OK"/>
    <s v="Late Delivery"/>
    <s v="OK"/>
    <n v="0"/>
    <n v="0"/>
    <n v="0"/>
    <n v="0"/>
    <n v="0"/>
    <n v="0"/>
    <n v="1"/>
    <n v="0"/>
    <x v="0"/>
  </r>
  <r>
    <s v="PO1484"/>
    <x v="11"/>
    <d v="2026-04-08T00:00:00"/>
    <n v="96"/>
    <n v="32.07"/>
    <s v="Nicolas Dubois"/>
    <d v="2026-04-21T00:00:00"/>
    <n v="96"/>
    <d v="2026-04-19T00:00:00"/>
    <s v="INV5502"/>
    <n v="96"/>
    <n v="32.07"/>
    <d v="2026-04-22T00:00:00"/>
    <s v="OK"/>
    <s v="OK"/>
    <s v="OK"/>
    <s v="OK"/>
    <s v="OK"/>
    <s v="OK"/>
    <s v="OK"/>
    <s v="OK"/>
    <n v="0"/>
    <n v="0"/>
    <n v="0"/>
    <n v="0"/>
    <n v="0"/>
    <n v="0"/>
    <n v="0"/>
    <n v="0"/>
    <x v="1"/>
  </r>
  <r>
    <s v="PO1485"/>
    <x v="37"/>
    <d v="2026-02-07T00:00:00"/>
    <n v="42"/>
    <n v="37.61"/>
    <s v="Anna Kowalska"/>
    <d v="2026-02-25T00:00:00"/>
    <n v="48"/>
    <d v="2026-02-27T00:00:00"/>
    <s v="INV5503"/>
    <n v="42"/>
    <n v="37.61"/>
    <d v="2026-02-26T00:00:00"/>
    <s v="OK"/>
    <s v="OK"/>
    <s v="OK"/>
    <s v="OK"/>
    <s v="Qty Variance"/>
    <s v="OK"/>
    <s v="Late Delivery"/>
    <s v="OK"/>
    <n v="0"/>
    <n v="0"/>
    <n v="0"/>
    <n v="0"/>
    <n v="1"/>
    <n v="0"/>
    <n v="1"/>
    <n v="0"/>
    <x v="4"/>
  </r>
  <r>
    <s v="PO1486"/>
    <x v="47"/>
    <d v="2026-05-04T00:00:00"/>
    <n v="410"/>
    <n v="20"/>
    <s v="Anna Kowalska"/>
    <d v="2026-05-16T00:00:00"/>
    <n v="410"/>
    <d v="2026-05-15T00:00:00"/>
    <s v="INV5504"/>
    <n v="410"/>
    <n v="20"/>
    <d v="2026-05-17T00:00:00"/>
    <s v="OK"/>
    <s v="OK"/>
    <s v="OK"/>
    <s v="OK"/>
    <s v="OK"/>
    <s v="OK"/>
    <s v="OK"/>
    <s v="OK"/>
    <n v="0"/>
    <n v="0"/>
    <n v="0"/>
    <n v="0"/>
    <n v="0"/>
    <n v="0"/>
    <n v="0"/>
    <n v="0"/>
    <x v="3"/>
  </r>
  <r>
    <s v="PO1487"/>
    <x v="22"/>
    <d v="2026-05-07T00:00:00"/>
    <n v="314"/>
    <n v="125.25"/>
    <s v=""/>
    <d v="2026-05-15T00:00:00"/>
    <n v="314"/>
    <d v="2026-05-16T00:00:00"/>
    <s v="INV5505"/>
    <n v="314"/>
    <n v="125.25"/>
    <d v="2026-05-20T00:00:00"/>
    <s v="Missing Approval"/>
    <s v="OK"/>
    <s v="OK"/>
    <s v="OK"/>
    <s v="OK"/>
    <s v="OK"/>
    <s v="Late Delivery"/>
    <s v="OK"/>
    <n v="1"/>
    <n v="0"/>
    <n v="0"/>
    <n v="0"/>
    <n v="0"/>
    <n v="0"/>
    <n v="1"/>
    <n v="0"/>
    <x v="3"/>
  </r>
  <r>
    <s v="PO1488"/>
    <x v="1"/>
    <d v="2026-03-19T00:00:00"/>
    <n v="13"/>
    <n v="190.02"/>
    <s v="Elena Petrova"/>
    <d v="2026-04-05T00:00:00"/>
    <n v="13"/>
    <d v="2026-04-04T00:00:00"/>
    <s v="INV5506"/>
    <n v="13"/>
    <n v="190.02"/>
    <d v="2026-04-11T00:00:00"/>
    <s v="OK"/>
    <s v="OK"/>
    <s v="OK"/>
    <s v="OK"/>
    <s v="OK"/>
    <s v="OK"/>
    <s v="OK"/>
    <s v="OK"/>
    <n v="0"/>
    <n v="0"/>
    <n v="0"/>
    <n v="0"/>
    <n v="0"/>
    <n v="0"/>
    <n v="0"/>
    <n v="0"/>
    <x v="2"/>
  </r>
  <r>
    <s v="PO1489"/>
    <x v="24"/>
    <d v="2026-04-23T00:00:00"/>
    <n v="181"/>
    <n v="88.97"/>
    <s v="Katarina Jovanović"/>
    <d v="2026-05-02T00:00:00"/>
    <n v="181"/>
    <d v="2026-05-02T00:00:00"/>
    <s v="INV5507"/>
    <n v="181"/>
    <n v="88.97"/>
    <d v="2026-05-08T00:00:00"/>
    <s v="OK"/>
    <s v="OK"/>
    <s v="OK"/>
    <s v="OK"/>
    <s v="OK"/>
    <s v="OK"/>
    <s v="OK"/>
    <s v="OK"/>
    <n v="0"/>
    <n v="0"/>
    <n v="0"/>
    <n v="0"/>
    <n v="0"/>
    <n v="0"/>
    <n v="0"/>
    <n v="0"/>
    <x v="1"/>
  </r>
  <r>
    <s v="PO1469"/>
    <x v="28"/>
    <d v="2026-03-22T00:00:00"/>
    <n v="18"/>
    <n v="192.49"/>
    <s v="Emma Johansson"/>
    <d v="2026-03-31T00:00:00"/>
    <m/>
    <m/>
    <s v="INV5486"/>
    <n v="18"/>
    <n v="192.49"/>
    <d v="2026-04-04T00:00:00"/>
    <s v="OK"/>
    <s v="No GR - Not received"/>
    <s v="OK"/>
    <s v="OK"/>
    <s v="OK"/>
    <s v="OK"/>
    <s v="OK"/>
    <s v="OK"/>
    <n v="0"/>
    <n v="1"/>
    <n v="0"/>
    <n v="0"/>
    <n v="0"/>
    <n v="0"/>
    <n v="0"/>
    <n v="0"/>
    <x v="2"/>
  </r>
  <r>
    <s v="PO1490"/>
    <x v="47"/>
    <d v="2026-03-24T00:00:00"/>
    <n v="318"/>
    <n v="189.72"/>
    <s v="Sofia Rossi"/>
    <d v="2026-04-13T00:00:00"/>
    <n v="330"/>
    <d v="2026-04-14T00:00:00"/>
    <s v="INV5508"/>
    <n v="318"/>
    <n v="189.72"/>
    <d v="2026-04-19T00:00:00"/>
    <s v="OK"/>
    <s v="OK"/>
    <s v="OK"/>
    <s v="OK"/>
    <s v="Qty Variance"/>
    <s v="OK"/>
    <s v="Late Delivery"/>
    <s v="OK"/>
    <n v="0"/>
    <n v="0"/>
    <n v="0"/>
    <n v="0"/>
    <n v="1"/>
    <n v="0"/>
    <n v="1"/>
    <n v="0"/>
    <x v="2"/>
  </r>
  <r>
    <s v="PO1491"/>
    <x v="45"/>
    <d v="2026-02-15T00:00:00"/>
    <n v="213"/>
    <n v="193.9"/>
    <s v="Nicolas Dubois"/>
    <d v="2026-03-07T00:00:00"/>
    <n v="213"/>
    <d v="2026-03-09T00:00:00"/>
    <s v="INV5509"/>
    <n v="213"/>
    <n v="193.9"/>
    <d v="2026-03-08T00:00:00"/>
    <s v="OK"/>
    <s v="OK"/>
    <s v="OK"/>
    <s v="OK"/>
    <s v="OK"/>
    <s v="OK"/>
    <s v="Late Delivery"/>
    <s v="OK"/>
    <n v="0"/>
    <n v="0"/>
    <n v="0"/>
    <n v="0"/>
    <n v="0"/>
    <n v="0"/>
    <n v="1"/>
    <n v="0"/>
    <x v="4"/>
  </r>
  <r>
    <s v="PO1492"/>
    <x v="33"/>
    <d v="2026-03-04T00:00:00"/>
    <n v="176"/>
    <n v="78.33"/>
    <s v="Laura Schmidt"/>
    <d v="2026-03-20T00:00:00"/>
    <n v="176"/>
    <d v="2026-03-22T00:00:00"/>
    <s v="INV5510"/>
    <n v="176"/>
    <n v="78.33"/>
    <d v="2026-03-22T00:00:00"/>
    <s v="OK"/>
    <s v="OK"/>
    <s v="OK"/>
    <s v="OK"/>
    <s v="OK"/>
    <s v="OK"/>
    <s v="Late Delivery"/>
    <s v="Duplicate Invoice"/>
    <n v="0"/>
    <n v="0"/>
    <n v="0"/>
    <n v="0"/>
    <n v="0"/>
    <n v="0"/>
    <n v="1"/>
    <n v="1"/>
    <x v="2"/>
  </r>
  <r>
    <s v="PO1492"/>
    <x v="33"/>
    <d v="2026-03-04T00:00:00"/>
    <n v="176"/>
    <n v="78.33"/>
    <s v="Laura Schmidt"/>
    <d v="2026-03-20T00:00:00"/>
    <n v="176"/>
    <d v="2026-03-22T00:00:00"/>
    <s v="INV5511"/>
    <n v="176"/>
    <n v="78.33"/>
    <d v="2026-03-26T00:00:00"/>
    <s v="OK"/>
    <s v="OK"/>
    <s v="OK"/>
    <s v="OK"/>
    <s v="OK"/>
    <s v="OK"/>
    <s v="Late Delivery"/>
    <s v="Duplicate Invoice"/>
    <n v="0"/>
    <n v="0"/>
    <n v="0"/>
    <n v="0"/>
    <n v="0"/>
    <n v="0"/>
    <n v="1"/>
    <n v="1"/>
    <x v="2"/>
  </r>
  <r>
    <s v="PO1493"/>
    <x v="16"/>
    <d v="2026-05-25T00:00:00"/>
    <n v="112"/>
    <n v="120.48"/>
    <s v="Pavel Horák"/>
    <d v="2026-06-04T00:00:00"/>
    <n v="112"/>
    <d v="2026-06-02T00:00:00"/>
    <s v="INV5512"/>
    <n v="112"/>
    <n v="120.48"/>
    <d v="2026-06-07T00:00:00"/>
    <s v="OK"/>
    <s v="OK"/>
    <s v="OK"/>
    <s v="OK"/>
    <s v="OK"/>
    <s v="OK"/>
    <s v="OK"/>
    <s v="Duplicate Invoice"/>
    <n v="0"/>
    <n v="0"/>
    <n v="0"/>
    <n v="0"/>
    <n v="0"/>
    <n v="0"/>
    <n v="0"/>
    <n v="1"/>
    <x v="3"/>
  </r>
  <r>
    <s v="PO1493"/>
    <x v="16"/>
    <d v="2026-05-25T00:00:00"/>
    <n v="112"/>
    <n v="120.48"/>
    <s v="Pavel Horák"/>
    <d v="2026-06-04T00:00:00"/>
    <n v="112"/>
    <d v="2026-06-02T00:00:00"/>
    <s v="INV5513"/>
    <n v="112"/>
    <n v="120.48"/>
    <d v="2026-06-08T00:00:00"/>
    <s v="OK"/>
    <s v="OK"/>
    <s v="OK"/>
    <s v="OK"/>
    <s v="OK"/>
    <s v="OK"/>
    <s v="OK"/>
    <s v="Duplicate Invoice"/>
    <n v="0"/>
    <n v="0"/>
    <n v="0"/>
    <n v="0"/>
    <n v="0"/>
    <n v="0"/>
    <n v="0"/>
    <n v="1"/>
    <x v="3"/>
  </r>
  <r>
    <s v="PO1494"/>
    <x v="12"/>
    <d v="2026-05-21T00:00:00"/>
    <n v="23"/>
    <n v="190.84"/>
    <s v="Ingrid Hansen"/>
    <d v="2026-06-01T00:00:00"/>
    <n v="23"/>
    <d v="2026-06-02T00:00:00"/>
    <s v="INV5514"/>
    <n v="23"/>
    <n v="190.84"/>
    <d v="2026-06-06T00:00:00"/>
    <s v="OK"/>
    <s v="OK"/>
    <s v="OK"/>
    <s v="OK"/>
    <s v="OK"/>
    <s v="OK"/>
    <s v="Late Delivery"/>
    <s v="OK"/>
    <n v="0"/>
    <n v="0"/>
    <n v="0"/>
    <n v="0"/>
    <n v="0"/>
    <n v="0"/>
    <n v="1"/>
    <n v="0"/>
    <x v="3"/>
  </r>
  <r>
    <s v="PO1495"/>
    <x v="23"/>
    <d v="2026-03-16T00:00:00"/>
    <n v="435"/>
    <n v="140.1"/>
    <s v="Marco Bianchi"/>
    <d v="2026-04-05T00:00:00"/>
    <n v="435"/>
    <d v="2026-04-03T00:00:00"/>
    <s v="INV5515"/>
    <n v="435"/>
    <n v="140.1"/>
    <d v="2026-04-09T00:00:00"/>
    <s v="OK"/>
    <s v="OK"/>
    <s v="OK"/>
    <s v="OK"/>
    <s v="OK"/>
    <s v="OK"/>
    <s v="OK"/>
    <s v="OK"/>
    <n v="0"/>
    <n v="0"/>
    <n v="0"/>
    <n v="0"/>
    <n v="0"/>
    <n v="0"/>
    <n v="0"/>
    <n v="0"/>
    <x v="2"/>
  </r>
  <r>
    <s v="PO1496"/>
    <x v="1"/>
    <d v="2026-03-19T00:00:00"/>
    <n v="133"/>
    <n v="54.27"/>
    <s v="Winter Underwood"/>
    <d v="2026-04-06T00:00:00"/>
    <n v="133"/>
    <d v="2026-04-05T00:00:00"/>
    <s v="INV5516"/>
    <n v="133"/>
    <n v="54.27"/>
    <d v="2026-04-14T00:00:00"/>
    <s v="OK"/>
    <s v="OK"/>
    <s v="OK"/>
    <s v="OK"/>
    <s v="OK"/>
    <s v="OK"/>
    <s v="OK"/>
    <s v="OK"/>
    <n v="0"/>
    <n v="0"/>
    <n v="0"/>
    <n v="0"/>
    <n v="0"/>
    <n v="0"/>
    <n v="0"/>
    <n v="0"/>
    <x v="2"/>
  </r>
  <r>
    <s v="PO1497"/>
    <x v="39"/>
    <d v="2026-01-19T00:00:00"/>
    <n v="239"/>
    <n v="198.19"/>
    <s v="Andreas Weber"/>
    <d v="2026-02-05T00:00:00"/>
    <n v="239"/>
    <d v="2026-02-05T00:00:00"/>
    <s v="INV5517"/>
    <n v="239"/>
    <n v="198.19"/>
    <d v="2026-02-06T00:00:00"/>
    <s v="OK"/>
    <s v="OK"/>
    <s v="OK"/>
    <s v="OK"/>
    <s v="OK"/>
    <s v="OK"/>
    <s v="OK"/>
    <s v="OK"/>
    <n v="0"/>
    <n v="0"/>
    <n v="0"/>
    <n v="0"/>
    <n v="0"/>
    <n v="0"/>
    <n v="0"/>
    <n v="0"/>
    <x v="0"/>
  </r>
  <r>
    <s v="PO1476"/>
    <x v="28"/>
    <d v="2026-05-30T00:00:00"/>
    <n v="348"/>
    <n v="79.11"/>
    <s v="Eva Andersson"/>
    <d v="2026-06-13T00:00:00"/>
    <m/>
    <m/>
    <s v="INV5494"/>
    <n v="348"/>
    <n v="79.11"/>
    <d v="2026-06-16T00:00:00"/>
    <s v="OK"/>
    <s v="No GR - Not received"/>
    <s v="OK"/>
    <s v="OK"/>
    <s v="OK"/>
    <s v="OK"/>
    <s v="OK"/>
    <s v="OK"/>
    <n v="0"/>
    <n v="1"/>
    <n v="0"/>
    <n v="0"/>
    <n v="0"/>
    <n v="0"/>
    <n v="0"/>
    <n v="0"/>
    <x v="3"/>
  </r>
  <r>
    <s v="PO1498"/>
    <x v="19"/>
    <d v="2026-05-10T00:00:00"/>
    <n v="482"/>
    <n v="184.48"/>
    <s v="Marta Nowak"/>
    <d v="2026-05-28T00:00:00"/>
    <n v="482"/>
    <d v="2026-05-29T00:00:00"/>
    <s v="INV5518"/>
    <n v="482"/>
    <n v="184.48"/>
    <d v="2026-06-03T00:00:00"/>
    <s v="OK"/>
    <s v="OK"/>
    <s v="OK"/>
    <s v="OK"/>
    <s v="OK"/>
    <s v="OK"/>
    <s v="Late Delivery"/>
    <s v="Duplicate Invoice"/>
    <n v="0"/>
    <n v="0"/>
    <n v="0"/>
    <n v="0"/>
    <n v="0"/>
    <n v="0"/>
    <n v="1"/>
    <n v="1"/>
    <x v="3"/>
  </r>
  <r>
    <s v="PO1498"/>
    <x v="19"/>
    <d v="2026-05-10T00:00:00"/>
    <n v="482"/>
    <n v="184.48"/>
    <s v="Marta Nowak"/>
    <d v="2026-05-28T00:00:00"/>
    <n v="482"/>
    <d v="2026-05-29T00:00:00"/>
    <s v="INV5519"/>
    <n v="482"/>
    <n v="184.48"/>
    <d v="2026-06-06T00:00:00"/>
    <s v="OK"/>
    <s v="OK"/>
    <s v="OK"/>
    <s v="OK"/>
    <s v="OK"/>
    <s v="OK"/>
    <s v="Late Delivery"/>
    <s v="Duplicate Invoice"/>
    <n v="0"/>
    <n v="0"/>
    <n v="0"/>
    <n v="0"/>
    <n v="0"/>
    <n v="0"/>
    <n v="1"/>
    <n v="1"/>
    <x v="3"/>
  </r>
  <r>
    <s v="PO1499"/>
    <x v="19"/>
    <d v="2026-01-10T00:00:00"/>
    <n v="414"/>
    <n v="193.84"/>
    <s v="Marta Nowak"/>
    <d v="2026-01-17T00:00:00"/>
    <n v="414"/>
    <d v="2026-01-17T00:00:00"/>
    <s v="INV5520"/>
    <n v="414"/>
    <n v="193.84"/>
    <d v="2026-01-23T00:00:00"/>
    <s v="OK"/>
    <s v="OK"/>
    <s v="OK"/>
    <s v="OK"/>
    <s v="OK"/>
    <s v="OK"/>
    <s v="OK"/>
    <s v="OK"/>
    <n v="0"/>
    <n v="0"/>
    <n v="0"/>
    <n v="0"/>
    <n v="0"/>
    <n v="0"/>
    <n v="0"/>
    <n v="0"/>
    <x v="0"/>
  </r>
  <r>
    <s v="PO1501"/>
    <x v="33"/>
    <d v="2026-04-13T00:00:00"/>
    <n v="395"/>
    <n v="69.66"/>
    <s v="Marco Bianchi"/>
    <d v="2026-04-21T00:00:00"/>
    <n v="395"/>
    <d v="2026-04-23T00:00:00"/>
    <s v="INV5522"/>
    <n v="395"/>
    <n v="69.66"/>
    <d v="2026-04-23T00:00:00"/>
    <s v="OK"/>
    <s v="OK"/>
    <s v="OK"/>
    <s v="OK"/>
    <s v="OK"/>
    <s v="OK"/>
    <s v="Late Delivery"/>
    <s v="OK"/>
    <n v="0"/>
    <n v="0"/>
    <n v="0"/>
    <n v="0"/>
    <n v="0"/>
    <n v="0"/>
    <n v="1"/>
    <n v="0"/>
    <x v="1"/>
  </r>
  <r>
    <s v="PO1479"/>
    <x v="47"/>
    <d v="2026-04-24T00:00:00"/>
    <n v="194"/>
    <n v="153.46"/>
    <s v="Haley Rivas"/>
    <d v="2026-05-03T00:00:00"/>
    <m/>
    <m/>
    <s v="INV5497"/>
    <n v="194"/>
    <n v="153.46"/>
    <d v="2026-05-05T00:00:00"/>
    <s v="OK"/>
    <s v="No GR - Not received"/>
    <s v="OK"/>
    <s v="OK"/>
    <s v="OK"/>
    <s v="OK"/>
    <s v="OK"/>
    <s v="OK"/>
    <n v="0"/>
    <n v="1"/>
    <n v="0"/>
    <n v="0"/>
    <n v="0"/>
    <n v="0"/>
    <n v="0"/>
    <n v="0"/>
    <x v="1"/>
  </r>
  <r>
    <s v="PO1502"/>
    <x v="25"/>
    <d v="2026-01-26T00:00:00"/>
    <n v="142"/>
    <n v="48.29"/>
    <s v="Victor Popescu"/>
    <d v="2026-02-16T00:00:00"/>
    <n v="142"/>
    <d v="2026-02-16T00:00:00"/>
    <s v="INV5523"/>
    <n v="142"/>
    <n v="48.29"/>
    <d v="2026-02-24T00:00:00"/>
    <s v="OK"/>
    <s v="OK"/>
    <s v="OK"/>
    <s v="OK"/>
    <s v="OK"/>
    <s v="OK"/>
    <s v="OK"/>
    <s v="OK"/>
    <n v="0"/>
    <n v="0"/>
    <n v="0"/>
    <n v="0"/>
    <n v="0"/>
    <n v="0"/>
    <n v="0"/>
    <n v="0"/>
    <x v="0"/>
  </r>
  <r>
    <s v="PO1503"/>
    <x v="8"/>
    <d v="2026-05-29T00:00:00"/>
    <n v="362"/>
    <n v="117.17"/>
    <s v="Ingrid Hansen"/>
    <d v="2026-06-14T00:00:00"/>
    <n v="362"/>
    <d v="2026-06-16T00:00:00"/>
    <s v="INV5524"/>
    <n v="362"/>
    <n v="117.17"/>
    <d v="2026-06-16T00:00:00"/>
    <s v="OK"/>
    <s v="OK"/>
    <s v="OK"/>
    <s v="OK"/>
    <s v="OK"/>
    <s v="OK"/>
    <s v="Late Delivery"/>
    <s v="OK"/>
    <n v="0"/>
    <n v="0"/>
    <n v="0"/>
    <n v="0"/>
    <n v="0"/>
    <n v="0"/>
    <n v="1"/>
    <n v="0"/>
    <x v="3"/>
  </r>
  <r>
    <s v="PO1504"/>
    <x v="29"/>
    <d v="2026-04-29T00:00:00"/>
    <n v="405"/>
    <n v="137.51"/>
    <s v="Marta Nowak"/>
    <d v="2026-05-20T00:00:00"/>
    <n v="405"/>
    <d v="2026-05-20T00:00:00"/>
    <s v="INV5525"/>
    <n v="405"/>
    <n v="137.51"/>
    <d v="2026-05-24T00:00:00"/>
    <s v="OK"/>
    <s v="OK"/>
    <s v="OK"/>
    <s v="OK"/>
    <s v="OK"/>
    <s v="OK"/>
    <s v="OK"/>
    <s v="OK"/>
    <n v="0"/>
    <n v="0"/>
    <n v="0"/>
    <n v="0"/>
    <n v="0"/>
    <n v="0"/>
    <n v="0"/>
    <n v="0"/>
    <x v="1"/>
  </r>
  <r>
    <s v="PO1505"/>
    <x v="14"/>
    <d v="2026-03-30T00:00:00"/>
    <n v="22"/>
    <n v="99.14"/>
    <s v="Nicolas Dubois"/>
    <d v="2026-04-17T00:00:00"/>
    <n v="22"/>
    <d v="2026-04-17T00:00:00"/>
    <s v="INV5526"/>
    <n v="22"/>
    <n v="99.14"/>
    <d v="2026-04-27T00:00:00"/>
    <s v="OK"/>
    <s v="OK"/>
    <s v="OK"/>
    <s v="OK"/>
    <s v="OK"/>
    <s v="OK"/>
    <s v="OK"/>
    <s v="OK"/>
    <n v="0"/>
    <n v="0"/>
    <n v="0"/>
    <n v="0"/>
    <n v="0"/>
    <n v="0"/>
    <n v="0"/>
    <n v="0"/>
    <x v="2"/>
  </r>
  <r>
    <s v="PO1507"/>
    <x v="47"/>
    <d v="2026-03-29T00:00:00"/>
    <n v="243"/>
    <n v="157.93"/>
    <s v="Clara Silva"/>
    <d v="2026-04-18T00:00:00"/>
    <n v="243"/>
    <d v="2026-04-17T00:00:00"/>
    <s v="INV5528"/>
    <n v="243"/>
    <n v="157.93"/>
    <d v="2026-04-23T00:00:00"/>
    <s v="OK"/>
    <s v="OK"/>
    <s v="OK"/>
    <s v="OK"/>
    <s v="OK"/>
    <s v="OK"/>
    <s v="OK"/>
    <s v="OK"/>
    <n v="0"/>
    <n v="0"/>
    <n v="0"/>
    <n v="0"/>
    <n v="0"/>
    <n v="0"/>
    <n v="0"/>
    <n v="0"/>
    <x v="2"/>
  </r>
  <r>
    <s v="PO1508"/>
    <x v="40"/>
    <d v="2026-05-02T00:00:00"/>
    <n v="59"/>
    <n v="90.44"/>
    <s v="Marta Nowak"/>
    <d v="2026-05-21T00:00:00"/>
    <n v="59"/>
    <d v="2026-05-20T00:00:00"/>
    <s v="INV5529"/>
    <n v="59"/>
    <n v="90.44"/>
    <d v="2026-05-29T00:00:00"/>
    <s v="OK"/>
    <s v="OK"/>
    <s v="OK"/>
    <s v="OK"/>
    <s v="OK"/>
    <s v="OK"/>
    <s v="OK"/>
    <s v="OK"/>
    <n v="0"/>
    <n v="0"/>
    <n v="0"/>
    <n v="0"/>
    <n v="0"/>
    <n v="0"/>
    <n v="0"/>
    <n v="0"/>
    <x v="3"/>
  </r>
  <r>
    <s v="PO1509"/>
    <x v="45"/>
    <d v="2026-01-18T00:00:00"/>
    <n v="163"/>
    <n v="13.71"/>
    <s v="Marta Nowak"/>
    <d v="2026-01-26T00:00:00"/>
    <n v="163"/>
    <d v="2026-01-25T00:00:00"/>
    <s v="INV5530"/>
    <n v="163"/>
    <n v="13.71"/>
    <d v="2026-01-28T00:00:00"/>
    <s v="OK"/>
    <s v="OK"/>
    <s v="OK"/>
    <s v="OK"/>
    <s v="OK"/>
    <s v="OK"/>
    <s v="OK"/>
    <s v="OK"/>
    <n v="0"/>
    <n v="0"/>
    <n v="0"/>
    <n v="0"/>
    <n v="0"/>
    <n v="0"/>
    <n v="0"/>
    <n v="0"/>
    <x v="0"/>
  </r>
  <r>
    <s v="PO1510"/>
    <x v="20"/>
    <d v="2026-03-29T00:00:00"/>
    <n v="341"/>
    <n v="26.33"/>
    <s v="Lukas Müller"/>
    <d v="2026-04-10T00:00:00"/>
    <n v="341"/>
    <d v="2026-04-23T00:00:00"/>
    <s v="INV5531"/>
    <n v="341"/>
    <n v="26.33"/>
    <d v="2026-04-14T00:00:00"/>
    <s v="OK"/>
    <s v="OK"/>
    <s v="OK"/>
    <s v="OK"/>
    <s v="OK"/>
    <s v="OK"/>
    <s v="Late Delivery"/>
    <s v="OK"/>
    <n v="0"/>
    <n v="0"/>
    <n v="0"/>
    <n v="0"/>
    <n v="0"/>
    <n v="0"/>
    <n v="1"/>
    <n v="0"/>
    <x v="2"/>
  </r>
  <r>
    <s v="PO1511"/>
    <x v="31"/>
    <d v="2026-02-14T00:00:00"/>
    <n v="292"/>
    <n v="36.229999999999997"/>
    <s v="Pavel Horák"/>
    <d v="2026-03-04T00:00:00"/>
    <n v="292"/>
    <d v="2026-03-02T00:00:00"/>
    <s v="INV5532"/>
    <n v="292"/>
    <n v="36.229999999999997"/>
    <d v="2026-03-06T00:00:00"/>
    <s v="OK"/>
    <s v="OK"/>
    <s v="OK"/>
    <s v="OK"/>
    <s v="OK"/>
    <s v="OK"/>
    <s v="OK"/>
    <s v="OK"/>
    <n v="0"/>
    <n v="0"/>
    <n v="0"/>
    <n v="0"/>
    <n v="0"/>
    <n v="0"/>
    <n v="0"/>
    <n v="0"/>
    <x v="4"/>
  </r>
  <r>
    <s v="PO1512"/>
    <x v="30"/>
    <d v="2026-03-01T00:00:00"/>
    <n v="418"/>
    <n v="83.98"/>
    <s v="Lukas Müller"/>
    <d v="2026-03-11T00:00:00"/>
    <n v="418"/>
    <d v="2026-03-12T00:00:00"/>
    <s v="INV5533"/>
    <n v="418"/>
    <n v="83.98"/>
    <d v="2026-03-12T00:00:00"/>
    <s v="OK"/>
    <s v="OK"/>
    <s v="OK"/>
    <s v="OK"/>
    <s v="OK"/>
    <s v="OK"/>
    <s v="Late Delivery"/>
    <s v="OK"/>
    <n v="0"/>
    <n v="0"/>
    <n v="0"/>
    <n v="0"/>
    <n v="0"/>
    <n v="0"/>
    <n v="1"/>
    <n v="0"/>
    <x v="2"/>
  </r>
  <r>
    <s v="PO1513"/>
    <x v="0"/>
    <d v="2026-04-21T00:00:00"/>
    <n v="212"/>
    <n v="10.69"/>
    <s v="Thomas Lefèvre"/>
    <d v="2026-05-02T00:00:00"/>
    <n v="212"/>
    <d v="2026-04-30T00:00:00"/>
    <s v="INV5534"/>
    <n v="212"/>
    <n v="10.69"/>
    <d v="2026-05-09T00:00:00"/>
    <s v="OK"/>
    <s v="OK"/>
    <s v="OK"/>
    <s v="OK"/>
    <s v="OK"/>
    <s v="OK"/>
    <s v="OK"/>
    <s v="OK"/>
    <n v="0"/>
    <n v="0"/>
    <n v="0"/>
    <n v="0"/>
    <n v="0"/>
    <n v="0"/>
    <n v="0"/>
    <n v="0"/>
    <x v="1"/>
  </r>
  <r>
    <s v="PO1514"/>
    <x v="23"/>
    <d v="2026-04-20T00:00:00"/>
    <n v="209"/>
    <n v="5.87"/>
    <s v="Sofia Rossi"/>
    <d v="2026-05-01T00:00:00"/>
    <n v="209"/>
    <d v="2026-05-02T00:00:00"/>
    <s v="INV5535"/>
    <n v="209"/>
    <n v="5.87"/>
    <d v="2026-05-06T00:00:00"/>
    <s v="OK"/>
    <s v="OK"/>
    <s v="OK"/>
    <s v="OK"/>
    <s v="OK"/>
    <s v="OK"/>
    <s v="Late Delivery"/>
    <s v="OK"/>
    <n v="0"/>
    <n v="0"/>
    <n v="0"/>
    <n v="0"/>
    <n v="0"/>
    <n v="0"/>
    <n v="1"/>
    <n v="0"/>
    <x v="1"/>
  </r>
  <r>
    <s v="PO1515"/>
    <x v="46"/>
    <d v="2026-01-17T00:00:00"/>
    <n v="305"/>
    <n v="24.84"/>
    <s v=""/>
    <d v="2026-01-27T00:00:00"/>
    <n v="305"/>
    <d v="2026-01-29T00:00:00"/>
    <s v="INV5536"/>
    <n v="305"/>
    <n v="24.84"/>
    <d v="2026-01-29T00:00:00"/>
    <s v="Missing Approval"/>
    <s v="OK"/>
    <s v="OK"/>
    <s v="OK"/>
    <s v="OK"/>
    <s v="OK"/>
    <s v="Late Delivery"/>
    <s v="OK"/>
    <n v="1"/>
    <n v="0"/>
    <n v="0"/>
    <n v="0"/>
    <n v="0"/>
    <n v="0"/>
    <n v="1"/>
    <n v="0"/>
    <x v="0"/>
  </r>
  <r>
    <s v="PO1516"/>
    <x v="35"/>
    <d v="2026-03-25T00:00:00"/>
    <n v="110"/>
    <n v="94.22"/>
    <s v="Anna Kowalska"/>
    <d v="2026-04-14T00:00:00"/>
    <n v="110"/>
    <d v="2026-04-15T00:00:00"/>
    <s v="INV5537"/>
    <n v="110"/>
    <n v="94.22"/>
    <d v="2026-04-22T00:00:00"/>
    <s v="OK"/>
    <s v="OK"/>
    <s v="OK"/>
    <s v="OK"/>
    <s v="OK"/>
    <s v="OK"/>
    <s v="Late Delivery"/>
    <s v="OK"/>
    <n v="0"/>
    <n v="0"/>
    <n v="0"/>
    <n v="0"/>
    <n v="0"/>
    <n v="0"/>
    <n v="1"/>
    <n v="0"/>
    <x v="2"/>
  </r>
  <r>
    <s v="PO1517"/>
    <x v="31"/>
    <d v="2026-03-22T00:00:00"/>
    <n v="315"/>
    <n v="80.78"/>
    <s v=""/>
    <d v="2026-03-30T00:00:00"/>
    <n v="315"/>
    <d v="2026-04-01T00:00:00"/>
    <s v="INV5538"/>
    <n v="315"/>
    <n v="80.78"/>
    <d v="2026-04-03T00:00:00"/>
    <s v="Missing Approval"/>
    <s v="OK"/>
    <s v="OK"/>
    <s v="OK"/>
    <s v="OK"/>
    <s v="OK"/>
    <s v="Late Delivery"/>
    <s v="OK"/>
    <n v="1"/>
    <n v="0"/>
    <n v="0"/>
    <n v="0"/>
    <n v="0"/>
    <n v="0"/>
    <n v="1"/>
    <n v="0"/>
    <x v="2"/>
  </r>
  <r>
    <s v="PO1518"/>
    <x v="40"/>
    <d v="2026-04-01T00:00:00"/>
    <n v="442"/>
    <n v="94.28"/>
    <s v="Lukas Müller"/>
    <d v="2026-04-15T00:00:00"/>
    <n v="442"/>
    <d v="2026-04-16T00:00:00"/>
    <s v="INV5539"/>
    <n v="442"/>
    <n v="94.28"/>
    <d v="2026-04-25T00:00:00"/>
    <s v="OK"/>
    <s v="OK"/>
    <s v="OK"/>
    <s v="OK"/>
    <s v="OK"/>
    <s v="OK"/>
    <s v="Late Delivery"/>
    <s v="OK"/>
    <n v="0"/>
    <n v="0"/>
    <n v="0"/>
    <n v="0"/>
    <n v="0"/>
    <n v="0"/>
    <n v="1"/>
    <n v="0"/>
    <x v="1"/>
  </r>
  <r>
    <s v="PO1519"/>
    <x v="36"/>
    <d v="2026-01-22T00:00:00"/>
    <n v="354"/>
    <n v="31.12"/>
    <s v="Haley Rivas"/>
    <d v="2026-02-03T00:00:00"/>
    <n v="354"/>
    <d v="2026-02-11T00:00:00"/>
    <s v="INV5540"/>
    <n v="354"/>
    <n v="31.12"/>
    <d v="2026-02-10T00:00:00"/>
    <s v="OK"/>
    <s v="OK"/>
    <s v="OK"/>
    <s v="OK"/>
    <s v="OK"/>
    <s v="OK"/>
    <s v="Late Delivery"/>
    <s v="OK"/>
    <n v="0"/>
    <n v="0"/>
    <n v="0"/>
    <n v="0"/>
    <n v="0"/>
    <n v="0"/>
    <n v="1"/>
    <n v="0"/>
    <x v="0"/>
  </r>
  <r>
    <s v="PO1520"/>
    <x v="47"/>
    <d v="2026-01-30T00:00:00"/>
    <n v="103"/>
    <n v="77.790000000000006"/>
    <s v="Winter Underwood"/>
    <d v="2026-02-20T00:00:00"/>
    <n v="103"/>
    <d v="2026-02-19T00:00:00"/>
    <s v="INV5541"/>
    <n v="103"/>
    <n v="77.790000000000006"/>
    <d v="2026-02-27T00:00:00"/>
    <s v="OK"/>
    <s v="OK"/>
    <s v="OK"/>
    <s v="OK"/>
    <s v="OK"/>
    <s v="OK"/>
    <s v="OK"/>
    <s v="OK"/>
    <n v="0"/>
    <n v="0"/>
    <n v="0"/>
    <n v="0"/>
    <n v="0"/>
    <n v="0"/>
    <n v="0"/>
    <n v="0"/>
    <x v="0"/>
  </r>
  <r>
    <s v="PO1521"/>
    <x v="39"/>
    <d v="2026-04-18T00:00:00"/>
    <n v="315"/>
    <n v="31.88"/>
    <s v="Laura Schmidt"/>
    <d v="2026-05-06T00:00:00"/>
    <n v="296"/>
    <d v="2026-05-08T00:00:00"/>
    <s v="INV5542"/>
    <n v="315"/>
    <n v="31.88"/>
    <d v="2026-05-08T00:00:00"/>
    <s v="OK"/>
    <s v="OK"/>
    <s v="OK"/>
    <s v="OK"/>
    <s v="Qty Variance"/>
    <s v="OK"/>
    <s v="Late Delivery"/>
    <s v="OK"/>
    <n v="0"/>
    <n v="0"/>
    <n v="0"/>
    <n v="0"/>
    <n v="1"/>
    <n v="0"/>
    <n v="1"/>
    <n v="0"/>
    <x v="1"/>
  </r>
  <r>
    <s v="PO1522"/>
    <x v="28"/>
    <d v="2026-05-05T00:00:00"/>
    <n v="335"/>
    <n v="109.79"/>
    <s v="Katarina Jovanović"/>
    <d v="2026-05-15T00:00:00"/>
    <n v="335"/>
    <d v="2026-06-03T00:00:00"/>
    <s v="INV5543"/>
    <n v="335"/>
    <n v="109.79"/>
    <d v="2026-05-21T00:00:00"/>
    <s v="OK"/>
    <s v="OK"/>
    <s v="OK"/>
    <s v="OK"/>
    <s v="OK"/>
    <s v="OK"/>
    <s v="Late Delivery"/>
    <s v="OK"/>
    <n v="0"/>
    <n v="0"/>
    <n v="0"/>
    <n v="0"/>
    <n v="0"/>
    <n v="0"/>
    <n v="1"/>
    <n v="0"/>
    <x v="3"/>
  </r>
  <r>
    <s v="PO1523"/>
    <x v="8"/>
    <d v="2026-02-12T00:00:00"/>
    <n v="260"/>
    <n v="61.32"/>
    <s v="Lukas Müller"/>
    <d v="2026-02-27T00:00:00"/>
    <n v="260"/>
    <d v="2026-03-01T00:00:00"/>
    <s v="INV5544"/>
    <n v="260"/>
    <n v="61.32"/>
    <d v="2026-03-01T00:00:00"/>
    <s v="OK"/>
    <s v="OK"/>
    <s v="OK"/>
    <s v="OK"/>
    <s v="OK"/>
    <s v="OK"/>
    <s v="Late Delivery"/>
    <s v="OK"/>
    <n v="0"/>
    <n v="0"/>
    <n v="0"/>
    <n v="0"/>
    <n v="0"/>
    <n v="0"/>
    <n v="1"/>
    <n v="0"/>
    <x v="4"/>
  </r>
  <r>
    <s v="PO1500"/>
    <x v="6"/>
    <d v="2026-03-05T00:00:00"/>
    <n v="346"/>
    <n v="134.62"/>
    <s v="Lukas Müller"/>
    <d v="2026-03-11T00:00:00"/>
    <m/>
    <m/>
    <s v="INV5521"/>
    <n v="346"/>
    <n v="134.62"/>
    <d v="2026-03-19T00:00:00"/>
    <s v="OK"/>
    <s v="No GR - Not received"/>
    <s v="OK"/>
    <s v="OK"/>
    <s v="OK"/>
    <s v="OK"/>
    <s v="OK"/>
    <s v="OK"/>
    <n v="0"/>
    <n v="1"/>
    <n v="0"/>
    <n v="0"/>
    <n v="0"/>
    <n v="0"/>
    <n v="0"/>
    <n v="0"/>
    <x v="2"/>
  </r>
  <r>
    <s v="PO1524"/>
    <x v="23"/>
    <d v="2026-01-14T00:00:00"/>
    <n v="453"/>
    <n v="75.010000000000005"/>
    <s v="J. Kovacs"/>
    <d v="2026-02-03T00:00:00"/>
    <n v="453"/>
    <d v="2026-02-05T00:00:00"/>
    <s v="INV5545"/>
    <n v="453"/>
    <n v="75.010000000000005"/>
    <d v="2026-02-09T00:00:00"/>
    <s v="OK"/>
    <s v="OK"/>
    <s v="OK"/>
    <s v="OK"/>
    <s v="OK"/>
    <s v="OK"/>
    <s v="Late Delivery"/>
    <s v="OK"/>
    <n v="0"/>
    <n v="0"/>
    <n v="0"/>
    <n v="0"/>
    <n v="0"/>
    <n v="0"/>
    <n v="1"/>
    <n v="0"/>
    <x v="0"/>
  </r>
  <r>
    <s v="PO1525"/>
    <x v="1"/>
    <d v="2026-02-19T00:00:00"/>
    <n v="427"/>
    <n v="79.87"/>
    <s v="Pavel Horák"/>
    <d v="2026-03-12T00:00:00"/>
    <n v="427"/>
    <d v="2026-03-11T00:00:00"/>
    <s v="INV5546"/>
    <n v="427"/>
    <n v="79.87"/>
    <d v="2026-03-13T00:00:00"/>
    <s v="OK"/>
    <s v="OK"/>
    <s v="OK"/>
    <s v="OK"/>
    <s v="OK"/>
    <s v="OK"/>
    <s v="OK"/>
    <s v="OK"/>
    <n v="0"/>
    <n v="0"/>
    <n v="0"/>
    <n v="0"/>
    <n v="0"/>
    <n v="0"/>
    <n v="0"/>
    <n v="0"/>
    <x v="4"/>
  </r>
  <r>
    <s v="PO1526"/>
    <x v="43"/>
    <d v="2026-05-07T00:00:00"/>
    <n v="219"/>
    <n v="138.52000000000001"/>
    <s v="Marco Bianchi"/>
    <d v="2026-05-26T00:00:00"/>
    <n v="219"/>
    <d v="2026-05-24T00:00:00"/>
    <s v="INV5547"/>
    <n v="219"/>
    <n v="138.52000000000001"/>
    <d v="2026-05-30T00:00:00"/>
    <s v="OK"/>
    <s v="OK"/>
    <s v="OK"/>
    <s v="OK"/>
    <s v="OK"/>
    <s v="OK"/>
    <s v="OK"/>
    <s v="OK"/>
    <n v="0"/>
    <n v="0"/>
    <n v="0"/>
    <n v="0"/>
    <n v="0"/>
    <n v="0"/>
    <n v="0"/>
    <n v="0"/>
    <x v="3"/>
  </r>
  <r>
    <s v="PO1527"/>
    <x v="37"/>
    <d v="2026-02-12T00:00:00"/>
    <n v="52"/>
    <n v="115.25"/>
    <s v="Eva Andersson"/>
    <d v="2026-02-24T00:00:00"/>
    <n v="52"/>
    <d v="2026-03-15T00:00:00"/>
    <s v="INV5548"/>
    <n v="52"/>
    <n v="115.25"/>
    <d v="2026-03-02T00:00:00"/>
    <s v="OK"/>
    <s v="OK"/>
    <s v="OK"/>
    <s v="OK"/>
    <s v="OK"/>
    <s v="OK"/>
    <s v="Late Delivery"/>
    <s v="OK"/>
    <n v="0"/>
    <n v="0"/>
    <n v="0"/>
    <n v="0"/>
    <n v="0"/>
    <n v="0"/>
    <n v="1"/>
    <n v="0"/>
    <x v="4"/>
  </r>
  <r>
    <s v="PO1528"/>
    <x v="42"/>
    <d v="2026-01-09T00:00:00"/>
    <n v="150"/>
    <n v="48.84"/>
    <s v="Nicolas Dubois"/>
    <d v="2026-01-19T00:00:00"/>
    <n v="150"/>
    <d v="2026-01-20T00:00:00"/>
    <s v="INV5549"/>
    <n v="150"/>
    <n v="48.84"/>
    <d v="2026-01-22T00:00:00"/>
    <s v="OK"/>
    <s v="OK"/>
    <s v="OK"/>
    <s v="OK"/>
    <s v="OK"/>
    <s v="OK"/>
    <s v="Late Delivery"/>
    <s v="OK"/>
    <n v="0"/>
    <n v="0"/>
    <n v="0"/>
    <n v="0"/>
    <n v="0"/>
    <n v="0"/>
    <n v="1"/>
    <n v="0"/>
    <x v="0"/>
  </r>
  <r>
    <s v="PO1506"/>
    <x v="10"/>
    <d v="2026-01-30T00:00:00"/>
    <n v="435"/>
    <n v="188.43"/>
    <s v="Winter Underwood"/>
    <d v="2026-02-15T00:00:00"/>
    <m/>
    <m/>
    <s v="INV5527"/>
    <n v="435"/>
    <n v="188.43"/>
    <d v="2026-02-16T00:00:00"/>
    <s v="OK"/>
    <s v="No GR - Not received"/>
    <s v="OK"/>
    <s v="OK"/>
    <s v="OK"/>
    <s v="OK"/>
    <s v="OK"/>
    <s v="OK"/>
    <n v="0"/>
    <n v="1"/>
    <n v="0"/>
    <n v="0"/>
    <n v="0"/>
    <n v="0"/>
    <n v="0"/>
    <n v="0"/>
    <x v="0"/>
  </r>
  <r>
    <s v="PO1529"/>
    <x v="30"/>
    <d v="2026-05-25T00:00:00"/>
    <n v="390"/>
    <n v="155.65"/>
    <s v="Andreas Weber"/>
    <d v="2026-06-15T00:00:00"/>
    <n v="390"/>
    <d v="2026-06-16T00:00:00"/>
    <s v="INV5550"/>
    <n v="390"/>
    <n v="155.65"/>
    <d v="2026-06-19T00:00:00"/>
    <s v="OK"/>
    <s v="OK"/>
    <s v="OK"/>
    <s v="OK"/>
    <s v="OK"/>
    <s v="OK"/>
    <s v="Late Delivery"/>
    <s v="OK"/>
    <n v="0"/>
    <n v="0"/>
    <n v="0"/>
    <n v="0"/>
    <n v="0"/>
    <n v="0"/>
    <n v="1"/>
    <n v="0"/>
    <x v="3"/>
  </r>
  <r>
    <s v="PO1530"/>
    <x v="16"/>
    <d v="2026-05-27T00:00:00"/>
    <n v="68"/>
    <n v="57.24"/>
    <s v=""/>
    <d v="2026-06-12T00:00:00"/>
    <n v="68"/>
    <d v="2026-06-23T00:00:00"/>
    <s v="INV5551"/>
    <n v="68"/>
    <n v="67.42"/>
    <d v="2026-06-18T00:00:00"/>
    <s v="Missing Approval"/>
    <s v="OK"/>
    <s v="OK"/>
    <s v="OK"/>
    <s v="OK"/>
    <s v="Price Variance"/>
    <s v="Late Delivery"/>
    <s v="OK"/>
    <n v="1"/>
    <n v="0"/>
    <n v="0"/>
    <n v="0"/>
    <n v="0"/>
    <n v="1"/>
    <n v="1"/>
    <n v="0"/>
    <x v="3"/>
  </r>
  <r>
    <s v="PO1531"/>
    <x v="19"/>
    <d v="2026-01-11T00:00:00"/>
    <n v="399"/>
    <n v="145.19999999999999"/>
    <s v="Pavel Horák"/>
    <d v="2026-01-22T00:00:00"/>
    <n v="399"/>
    <d v="2026-01-24T00:00:00"/>
    <s v="INV5552"/>
    <n v="399"/>
    <n v="145.19999999999999"/>
    <d v="2026-01-26T00:00:00"/>
    <s v="OK"/>
    <s v="OK"/>
    <s v="OK"/>
    <s v="OK"/>
    <s v="OK"/>
    <s v="OK"/>
    <s v="Late Delivery"/>
    <s v="OK"/>
    <n v="0"/>
    <n v="0"/>
    <n v="0"/>
    <n v="0"/>
    <n v="0"/>
    <n v="0"/>
    <n v="1"/>
    <n v="0"/>
    <x v="0"/>
  </r>
  <r>
    <s v="PO1533"/>
    <x v="47"/>
    <d v="2026-01-09T00:00:00"/>
    <n v="240"/>
    <n v="56.25"/>
    <s v="Camila Cantrell"/>
    <d v="2026-01-28T00:00:00"/>
    <n v="240"/>
    <d v="2026-02-10T00:00:00"/>
    <s v="INV5554"/>
    <n v="240"/>
    <n v="56.25"/>
    <d v="2026-01-29T00:00:00"/>
    <s v="OK"/>
    <s v="OK"/>
    <s v="OK"/>
    <s v="OK"/>
    <s v="OK"/>
    <s v="OK"/>
    <s v="Late Delivery"/>
    <s v="OK"/>
    <n v="0"/>
    <n v="0"/>
    <n v="0"/>
    <n v="0"/>
    <n v="0"/>
    <n v="0"/>
    <n v="1"/>
    <n v="0"/>
    <x v="0"/>
  </r>
  <r>
    <s v="PO1534"/>
    <x v="16"/>
    <d v="2026-03-02T00:00:00"/>
    <n v="117"/>
    <n v="163.09"/>
    <s v=""/>
    <d v="2026-03-18T00:00:00"/>
    <n v="117"/>
    <d v="2026-03-20T00:00:00"/>
    <s v="INV5555"/>
    <n v="117"/>
    <n v="163.09"/>
    <d v="2026-03-20T00:00:00"/>
    <s v="Missing Approval"/>
    <s v="OK"/>
    <s v="OK"/>
    <s v="OK"/>
    <s v="OK"/>
    <s v="OK"/>
    <s v="Late Delivery"/>
    <s v="OK"/>
    <n v="1"/>
    <n v="0"/>
    <n v="0"/>
    <n v="0"/>
    <n v="0"/>
    <n v="0"/>
    <n v="1"/>
    <n v="0"/>
    <x v="2"/>
  </r>
  <r>
    <s v="PO1535"/>
    <x v="9"/>
    <d v="2026-04-20T00:00:00"/>
    <n v="94"/>
    <n v="125.15"/>
    <s v="Sofia Rossi"/>
    <d v="2026-05-01T00:00:00"/>
    <n v="94"/>
    <d v="2026-05-02T00:00:00"/>
    <s v="INV5556"/>
    <n v="94"/>
    <n v="125.15"/>
    <d v="2026-05-11T00:00:00"/>
    <s v="OK"/>
    <s v="OK"/>
    <s v="OK"/>
    <s v="OK"/>
    <s v="OK"/>
    <s v="OK"/>
    <s v="Late Delivery"/>
    <s v="OK"/>
    <n v="0"/>
    <n v="0"/>
    <n v="0"/>
    <n v="0"/>
    <n v="0"/>
    <n v="0"/>
    <n v="1"/>
    <n v="0"/>
    <x v="1"/>
  </r>
  <r>
    <s v="PO1536"/>
    <x v="21"/>
    <d v="2026-05-26T00:00:00"/>
    <n v="189"/>
    <n v="108.79"/>
    <s v="Thomas Lefèvre"/>
    <d v="2026-06-05T00:00:00"/>
    <n v="189"/>
    <d v="2026-06-05T00:00:00"/>
    <s v="INV5557"/>
    <n v="189"/>
    <n v="108.79"/>
    <d v="2026-06-13T00:00:00"/>
    <s v="OK"/>
    <s v="OK"/>
    <s v="OK"/>
    <s v="OK"/>
    <s v="OK"/>
    <s v="OK"/>
    <s v="OK"/>
    <s v="OK"/>
    <n v="0"/>
    <n v="0"/>
    <n v="0"/>
    <n v="0"/>
    <n v="0"/>
    <n v="0"/>
    <n v="0"/>
    <n v="0"/>
    <x v="3"/>
  </r>
  <r>
    <s v="PO1537"/>
    <x v="45"/>
    <d v="2026-03-16T00:00:00"/>
    <n v="158"/>
    <n v="116.68"/>
    <s v="Clara Silva"/>
    <d v="2026-03-24T00:00:00"/>
    <n v="158"/>
    <d v="2026-03-25T00:00:00"/>
    <s v="INV5558"/>
    <n v="158"/>
    <n v="116.68"/>
    <d v="2026-03-25T00:00:00"/>
    <s v="OK"/>
    <s v="OK"/>
    <s v="OK"/>
    <s v="OK"/>
    <s v="OK"/>
    <s v="OK"/>
    <s v="Late Delivery"/>
    <s v="OK"/>
    <n v="0"/>
    <n v="0"/>
    <n v="0"/>
    <n v="0"/>
    <n v="0"/>
    <n v="0"/>
    <n v="1"/>
    <n v="0"/>
    <x v="2"/>
  </r>
  <r>
    <s v="PO1538"/>
    <x v="1"/>
    <d v="2026-04-16T00:00:00"/>
    <n v="480"/>
    <n v="16.559999999999999"/>
    <s v="Anna Kowalska"/>
    <d v="2026-04-25T00:00:00"/>
    <n v="480"/>
    <d v="2026-04-25T00:00:00"/>
    <s v="INV5559"/>
    <n v="480"/>
    <n v="16.559999999999999"/>
    <d v="2026-04-29T00:00:00"/>
    <s v="OK"/>
    <s v="OK"/>
    <s v="OK"/>
    <s v="OK"/>
    <s v="OK"/>
    <s v="OK"/>
    <s v="OK"/>
    <s v="OK"/>
    <n v="0"/>
    <n v="0"/>
    <n v="0"/>
    <n v="0"/>
    <n v="0"/>
    <n v="0"/>
    <n v="0"/>
    <n v="0"/>
    <x v="1"/>
  </r>
  <r>
    <s v="PO1539"/>
    <x v="5"/>
    <d v="2026-02-03T00:00:00"/>
    <n v="137"/>
    <n v="33.520000000000003"/>
    <s v="Elena Petrova"/>
    <d v="2026-02-15T00:00:00"/>
    <n v="137"/>
    <d v="2026-02-15T00:00:00"/>
    <s v="INV5560"/>
    <n v="137"/>
    <n v="33.520000000000003"/>
    <d v="2026-02-19T00:00:00"/>
    <s v="OK"/>
    <s v="OK"/>
    <s v="OK"/>
    <s v="OK"/>
    <s v="OK"/>
    <s v="OK"/>
    <s v="OK"/>
    <s v="OK"/>
    <n v="0"/>
    <n v="0"/>
    <n v="0"/>
    <n v="0"/>
    <n v="0"/>
    <n v="0"/>
    <n v="0"/>
    <n v="0"/>
    <x v="4"/>
  </r>
  <r>
    <s v="PO1540"/>
    <x v="12"/>
    <d v="2026-04-11T00:00:00"/>
    <n v="260"/>
    <n v="32.72"/>
    <s v="Katarina Jovanović"/>
    <d v="2026-04-24T00:00:00"/>
    <n v="260"/>
    <d v="2026-05-07T00:00:00"/>
    <s v="INV5561"/>
    <n v="260"/>
    <n v="38.6"/>
    <d v="2026-04-27T00:00:00"/>
    <s v="OK"/>
    <s v="OK"/>
    <s v="OK"/>
    <s v="OK"/>
    <s v="OK"/>
    <s v="Price Variance"/>
    <s v="Late Delivery"/>
    <s v="OK"/>
    <n v="0"/>
    <n v="0"/>
    <n v="0"/>
    <n v="0"/>
    <n v="0"/>
    <n v="1"/>
    <n v="1"/>
    <n v="0"/>
    <x v="1"/>
  </r>
  <r>
    <s v="PO1541"/>
    <x v="0"/>
    <d v="2026-04-17T00:00:00"/>
    <n v="202"/>
    <n v="93.14"/>
    <s v="Katarina Jovanović"/>
    <d v="2026-04-24T00:00:00"/>
    <n v="202"/>
    <d v="2026-04-26T00:00:00"/>
    <s v="INV5562"/>
    <n v="202"/>
    <n v="93.14"/>
    <d v="2026-04-29T00:00:00"/>
    <s v="OK"/>
    <s v="OK"/>
    <s v="OK"/>
    <s v="OK"/>
    <s v="OK"/>
    <s v="OK"/>
    <s v="Late Delivery"/>
    <s v="OK"/>
    <n v="0"/>
    <n v="0"/>
    <n v="0"/>
    <n v="0"/>
    <n v="0"/>
    <n v="0"/>
    <n v="1"/>
    <n v="0"/>
    <x v="1"/>
  </r>
  <r>
    <s v="PO1542"/>
    <x v="29"/>
    <d v="2026-05-12T00:00:00"/>
    <n v="393"/>
    <n v="59.25"/>
    <s v="Jakub Novák"/>
    <d v="2026-05-31T00:00:00"/>
    <n v="393"/>
    <d v="2026-05-31T00:00:00"/>
    <s v="INV5563"/>
    <n v="393"/>
    <n v="59.25"/>
    <d v="2026-06-03T00:00:00"/>
    <s v="OK"/>
    <s v="OK"/>
    <s v="OK"/>
    <s v="OK"/>
    <s v="OK"/>
    <s v="OK"/>
    <s v="OK"/>
    <s v="OK"/>
    <n v="0"/>
    <n v="0"/>
    <n v="0"/>
    <n v="0"/>
    <n v="0"/>
    <n v="0"/>
    <n v="0"/>
    <n v="0"/>
    <x v="3"/>
  </r>
  <r>
    <s v="PO1543"/>
    <x v="37"/>
    <d v="2026-03-25T00:00:00"/>
    <n v="307"/>
    <n v="5.48"/>
    <s v="Eva Andersson"/>
    <d v="2026-04-01T00:00:00"/>
    <n v="307"/>
    <d v="2026-03-30T00:00:00"/>
    <s v="INV5564"/>
    <n v="307"/>
    <n v="5.48"/>
    <d v="2026-04-07T00:00:00"/>
    <s v="OK"/>
    <s v="OK"/>
    <s v="OK"/>
    <s v="OK"/>
    <s v="OK"/>
    <s v="OK"/>
    <s v="OK"/>
    <s v="OK"/>
    <n v="0"/>
    <n v="0"/>
    <n v="0"/>
    <n v="0"/>
    <n v="0"/>
    <n v="0"/>
    <n v="0"/>
    <n v="0"/>
    <x v="2"/>
  </r>
  <r>
    <s v="PO1544"/>
    <x v="22"/>
    <d v="2026-04-28T00:00:00"/>
    <n v="335"/>
    <n v="134.51"/>
    <s v="Jakub Novák"/>
    <d v="2026-05-05T00:00:00"/>
    <n v="341"/>
    <d v="2026-05-20T00:00:00"/>
    <s v="INV5565"/>
    <n v="335"/>
    <n v="134.51"/>
    <d v="2026-05-11T00:00:00"/>
    <s v="OK"/>
    <s v="OK"/>
    <s v="OK"/>
    <s v="OK"/>
    <s v="Qty Variance"/>
    <s v="OK"/>
    <s v="Late Delivery"/>
    <s v="OK"/>
    <n v="0"/>
    <n v="0"/>
    <n v="0"/>
    <n v="0"/>
    <n v="1"/>
    <n v="0"/>
    <n v="1"/>
    <n v="0"/>
    <x v="1"/>
  </r>
  <r>
    <s v="PO1545"/>
    <x v="19"/>
    <d v="2026-04-12T00:00:00"/>
    <n v="121"/>
    <n v="193.79"/>
    <s v=""/>
    <d v="2026-05-02T00:00:00"/>
    <n v="121"/>
    <d v="2026-05-02T00:00:00"/>
    <s v="INV5566"/>
    <n v="121"/>
    <n v="193.79"/>
    <d v="2026-05-11T00:00:00"/>
    <s v="Missing Approval"/>
    <s v="OK"/>
    <s v="OK"/>
    <s v="OK"/>
    <s v="OK"/>
    <s v="OK"/>
    <s v="OK"/>
    <s v="OK"/>
    <n v="1"/>
    <n v="0"/>
    <n v="0"/>
    <n v="0"/>
    <n v="0"/>
    <n v="0"/>
    <n v="0"/>
    <n v="0"/>
    <x v="1"/>
  </r>
  <r>
    <s v="PO1546"/>
    <x v="46"/>
    <d v="2026-03-24T00:00:00"/>
    <n v="434"/>
    <n v="60.3"/>
    <s v="Pavel Horák"/>
    <d v="2026-04-02T00:00:00"/>
    <n v="434"/>
    <d v="2026-04-16T00:00:00"/>
    <s v="INV5567"/>
    <n v="434"/>
    <n v="60.3"/>
    <d v="2026-04-06T00:00:00"/>
    <s v="OK"/>
    <s v="OK"/>
    <s v="OK"/>
    <s v="OK"/>
    <s v="OK"/>
    <s v="OK"/>
    <s v="Late Delivery"/>
    <s v="OK"/>
    <n v="0"/>
    <n v="0"/>
    <n v="0"/>
    <n v="0"/>
    <n v="0"/>
    <n v="0"/>
    <n v="1"/>
    <n v="0"/>
    <x v="2"/>
  </r>
  <r>
    <s v="PO1547"/>
    <x v="33"/>
    <d v="2026-05-05T00:00:00"/>
    <n v="413"/>
    <n v="72.03"/>
    <s v="Felix Bauer"/>
    <d v="2026-05-11T00:00:00"/>
    <n v="413"/>
    <d v="2026-05-13T00:00:00"/>
    <s v="INV5568"/>
    <n v="413"/>
    <n v="72.03"/>
    <d v="2026-05-13T00:00:00"/>
    <s v="OK"/>
    <s v="OK"/>
    <s v="OK"/>
    <s v="OK"/>
    <s v="OK"/>
    <s v="OK"/>
    <s v="Late Delivery"/>
    <s v="OK"/>
    <n v="0"/>
    <n v="0"/>
    <n v="0"/>
    <n v="0"/>
    <n v="0"/>
    <n v="0"/>
    <n v="1"/>
    <n v="0"/>
    <x v="3"/>
  </r>
  <r>
    <s v="PO1548"/>
    <x v="7"/>
    <d v="2026-01-26T00:00:00"/>
    <n v="330"/>
    <n v="157.86000000000001"/>
    <s v="Ingrid Hansen"/>
    <d v="2026-01-31T00:00:00"/>
    <n v="330"/>
    <d v="2026-02-02T00:00:00"/>
    <s v="INV5569"/>
    <n v="330"/>
    <n v="157.86000000000001"/>
    <d v="2026-02-10T00:00:00"/>
    <s v="OK"/>
    <s v="OK"/>
    <s v="OK"/>
    <s v="OK"/>
    <s v="OK"/>
    <s v="OK"/>
    <s v="Late Delivery"/>
    <s v="OK"/>
    <n v="0"/>
    <n v="0"/>
    <n v="0"/>
    <n v="0"/>
    <n v="0"/>
    <n v="0"/>
    <n v="1"/>
    <n v="0"/>
    <x v="0"/>
  </r>
  <r>
    <s v="PO1549"/>
    <x v="16"/>
    <d v="2026-02-10T00:00:00"/>
    <n v="235"/>
    <n v="94.02"/>
    <s v="Marco Bianchi"/>
    <d v="2026-02-21T00:00:00"/>
    <n v="235"/>
    <d v="2026-02-21T00:00:00"/>
    <s v="INV5570"/>
    <n v="235"/>
    <n v="111.9"/>
    <d v="2026-02-26T00:00:00"/>
    <s v="OK"/>
    <s v="OK"/>
    <s v="OK"/>
    <s v="OK"/>
    <s v="OK"/>
    <s v="Price Variance"/>
    <s v="OK"/>
    <s v="OK"/>
    <n v="0"/>
    <n v="0"/>
    <n v="0"/>
    <n v="0"/>
    <n v="0"/>
    <n v="1"/>
    <n v="0"/>
    <n v="0"/>
    <x v="4"/>
  </r>
  <r>
    <s v="PO1550"/>
    <x v="5"/>
    <d v="2026-02-03T00:00:00"/>
    <n v="461"/>
    <n v="131.75"/>
    <s v="Lukas Müller"/>
    <d v="2026-02-16T00:00:00"/>
    <n v="461"/>
    <d v="2026-02-18T00:00:00"/>
    <s v="INV5571"/>
    <n v="461"/>
    <n v="131.75"/>
    <d v="2026-02-19T00:00:00"/>
    <s v="OK"/>
    <s v="OK"/>
    <s v="OK"/>
    <s v="OK"/>
    <s v="OK"/>
    <s v="OK"/>
    <s v="Late Delivery"/>
    <s v="OK"/>
    <n v="0"/>
    <n v="0"/>
    <n v="0"/>
    <n v="0"/>
    <n v="0"/>
    <n v="0"/>
    <n v="1"/>
    <n v="0"/>
    <x v="4"/>
  </r>
  <r>
    <s v="PO1551"/>
    <x v="10"/>
    <d v="2026-04-03T00:00:00"/>
    <n v="138"/>
    <n v="21.07"/>
    <s v="Felix Bauer"/>
    <d v="2026-04-13T00:00:00"/>
    <n v="150"/>
    <d v="2026-04-14T00:00:00"/>
    <s v="INV5572"/>
    <n v="138"/>
    <n v="21.07"/>
    <d v="2026-04-16T00:00:00"/>
    <s v="OK"/>
    <s v="OK"/>
    <s v="OK"/>
    <s v="OK"/>
    <s v="Qty Variance"/>
    <s v="OK"/>
    <s v="Late Delivery"/>
    <s v="OK"/>
    <n v="0"/>
    <n v="0"/>
    <n v="0"/>
    <n v="0"/>
    <n v="1"/>
    <n v="0"/>
    <n v="1"/>
    <n v="0"/>
    <x v="1"/>
  </r>
  <r>
    <s v="PO1552"/>
    <x v="21"/>
    <d v="2026-04-12T00:00:00"/>
    <n v="330"/>
    <n v="64.569999999999993"/>
    <s v="Marta Nowak"/>
    <d v="2026-04-24T00:00:00"/>
    <n v="330"/>
    <d v="2026-04-23T00:00:00"/>
    <s v="INV5573"/>
    <n v="330"/>
    <n v="64.569999999999993"/>
    <d v="2026-04-28T00:00:00"/>
    <s v="OK"/>
    <s v="OK"/>
    <s v="OK"/>
    <s v="OK"/>
    <s v="OK"/>
    <s v="OK"/>
    <s v="OK"/>
    <s v="OK"/>
    <n v="0"/>
    <n v="0"/>
    <n v="0"/>
    <n v="0"/>
    <n v="0"/>
    <n v="0"/>
    <n v="0"/>
    <n v="0"/>
    <x v="1"/>
  </r>
  <r>
    <s v="PO1553"/>
    <x v="38"/>
    <d v="2026-01-24T00:00:00"/>
    <n v="370"/>
    <n v="23.56"/>
    <s v="Sofia Rossi"/>
    <d v="2026-02-13T00:00:00"/>
    <n v="370"/>
    <d v="2026-02-15T00:00:00"/>
    <s v="INV5574"/>
    <n v="370"/>
    <n v="27.3"/>
    <d v="2026-02-23T00:00:00"/>
    <s v="OK"/>
    <s v="OK"/>
    <s v="OK"/>
    <s v="OK"/>
    <s v="OK"/>
    <s v="Price Variance"/>
    <s v="Late Delivery"/>
    <s v="OK"/>
    <n v="0"/>
    <n v="0"/>
    <n v="0"/>
    <n v="0"/>
    <n v="0"/>
    <n v="1"/>
    <n v="1"/>
    <n v="0"/>
    <x v="0"/>
  </r>
  <r>
    <s v="PO1532"/>
    <x v="38"/>
    <d v="2026-01-27T00:00:00"/>
    <n v="386"/>
    <n v="166.86"/>
    <s v="Eva Andersson"/>
    <d v="2026-02-08T00:00:00"/>
    <m/>
    <m/>
    <s v="INV5553"/>
    <n v="386"/>
    <n v="166.86"/>
    <d v="2026-02-18T00:00:00"/>
    <s v="OK"/>
    <s v="No GR - Not received"/>
    <s v="OK"/>
    <s v="OK"/>
    <s v="OK"/>
    <s v="OK"/>
    <s v="OK"/>
    <s v="OK"/>
    <n v="0"/>
    <n v="1"/>
    <n v="0"/>
    <n v="0"/>
    <n v="0"/>
    <n v="0"/>
    <n v="0"/>
    <n v="0"/>
    <x v="0"/>
  </r>
  <r>
    <s v="PO1554"/>
    <x v="32"/>
    <d v="2026-02-03T00:00:00"/>
    <n v="313"/>
    <n v="49.11"/>
    <s v="Felix Bauer"/>
    <d v="2026-02-22T00:00:00"/>
    <n v="313"/>
    <d v="2026-02-24T00:00:00"/>
    <s v="INV5575"/>
    <n v="313"/>
    <n v="49.11"/>
    <d v="2026-02-25T00:00:00"/>
    <s v="OK"/>
    <s v="OK"/>
    <s v="OK"/>
    <s v="OK"/>
    <s v="OK"/>
    <s v="OK"/>
    <s v="Late Delivery"/>
    <s v="OK"/>
    <n v="0"/>
    <n v="0"/>
    <n v="0"/>
    <n v="0"/>
    <n v="0"/>
    <n v="0"/>
    <n v="1"/>
    <n v="0"/>
    <x v="4"/>
  </r>
  <r>
    <s v="PO1555"/>
    <x v="25"/>
    <d v="2026-01-03T00:00:00"/>
    <n v="366"/>
    <n v="72"/>
    <s v="Haley Rivas"/>
    <d v="2026-01-21T00:00:00"/>
    <n v="366"/>
    <d v="2026-01-22T00:00:00"/>
    <s v="INV5576"/>
    <n v="366"/>
    <n v="72"/>
    <d v="2026-01-24T00:00:00"/>
    <s v="OK"/>
    <s v="OK"/>
    <s v="OK"/>
    <s v="OK"/>
    <s v="OK"/>
    <s v="OK"/>
    <s v="Late Delivery"/>
    <s v="OK"/>
    <n v="0"/>
    <n v="0"/>
    <n v="0"/>
    <n v="0"/>
    <n v="0"/>
    <n v="0"/>
    <n v="1"/>
    <n v="0"/>
    <x v="0"/>
  </r>
  <r>
    <s v="PO1557"/>
    <x v="22"/>
    <d v="2026-01-27T00:00:00"/>
    <n v="62"/>
    <n v="66.099999999999994"/>
    <s v="Nicolas Dubois"/>
    <d v="2026-02-05T00:00:00"/>
    <n v="62"/>
    <d v="2026-02-06T00:00:00"/>
    <s v="INV5578"/>
    <n v="62"/>
    <n v="66.099999999999994"/>
    <d v="2026-02-14T00:00:00"/>
    <s v="OK"/>
    <s v="OK"/>
    <s v="OK"/>
    <s v="OK"/>
    <s v="OK"/>
    <s v="OK"/>
    <s v="Late Delivery"/>
    <s v="OK"/>
    <n v="0"/>
    <n v="0"/>
    <n v="0"/>
    <n v="0"/>
    <n v="0"/>
    <n v="0"/>
    <n v="1"/>
    <n v="0"/>
    <x v="0"/>
  </r>
  <r>
    <s v="PO1558"/>
    <x v="39"/>
    <d v="2026-02-04T00:00:00"/>
    <n v="338"/>
    <n v="198.62"/>
    <s v="Winter Underwood"/>
    <d v="2026-02-11T00:00:00"/>
    <n v="338"/>
    <d v="2026-02-12T00:00:00"/>
    <s v="INV5579"/>
    <n v="338"/>
    <n v="198.62"/>
    <d v="2026-02-14T00:00:00"/>
    <s v="OK"/>
    <s v="OK"/>
    <s v="OK"/>
    <s v="OK"/>
    <s v="OK"/>
    <s v="OK"/>
    <s v="Late Delivery"/>
    <s v="OK"/>
    <n v="0"/>
    <n v="0"/>
    <n v="0"/>
    <n v="0"/>
    <n v="0"/>
    <n v="0"/>
    <n v="1"/>
    <n v="0"/>
    <x v="4"/>
  </r>
  <r>
    <s v="PO1559"/>
    <x v="31"/>
    <d v="2026-05-25T00:00:00"/>
    <n v="14"/>
    <n v="124.01"/>
    <s v=""/>
    <d v="2026-06-13T00:00:00"/>
    <n v="14"/>
    <d v="2026-06-13T00:00:00"/>
    <s v="INV5580"/>
    <n v="14"/>
    <n v="124.01"/>
    <d v="2026-06-14T00:00:00"/>
    <s v="Missing Approval"/>
    <s v="OK"/>
    <s v="OK"/>
    <s v="OK"/>
    <s v="OK"/>
    <s v="OK"/>
    <s v="OK"/>
    <s v="OK"/>
    <n v="1"/>
    <n v="0"/>
    <n v="0"/>
    <n v="0"/>
    <n v="0"/>
    <n v="0"/>
    <n v="0"/>
    <n v="0"/>
    <x v="3"/>
  </r>
  <r>
    <s v="PO1560"/>
    <x v="40"/>
    <d v="2026-02-24T00:00:00"/>
    <n v="331"/>
    <n v="150.91"/>
    <s v="Marco Bianchi"/>
    <d v="2026-03-15T00:00:00"/>
    <n v="331"/>
    <d v="2026-03-13T00:00:00"/>
    <s v="INV5581"/>
    <n v="331"/>
    <n v="150.91"/>
    <d v="2026-03-20T00:00:00"/>
    <s v="OK"/>
    <s v="OK"/>
    <s v="OK"/>
    <s v="OK"/>
    <s v="OK"/>
    <s v="OK"/>
    <s v="OK"/>
    <s v="OK"/>
    <n v="0"/>
    <n v="0"/>
    <n v="0"/>
    <n v="0"/>
    <n v="0"/>
    <n v="0"/>
    <n v="0"/>
    <n v="0"/>
    <x v="4"/>
  </r>
  <r>
    <s v="PO1561"/>
    <x v="13"/>
    <d v="2026-01-23T00:00:00"/>
    <n v="469"/>
    <n v="24.59"/>
    <s v="Eva Andersson"/>
    <d v="2026-01-31T00:00:00"/>
    <n v="469"/>
    <d v="2026-01-30T00:00:00"/>
    <s v="INV5582"/>
    <n v="469"/>
    <n v="24.59"/>
    <d v="2026-02-07T00:00:00"/>
    <s v="OK"/>
    <s v="OK"/>
    <s v="OK"/>
    <s v="OK"/>
    <s v="OK"/>
    <s v="OK"/>
    <s v="OK"/>
    <s v="OK"/>
    <n v="0"/>
    <n v="0"/>
    <n v="0"/>
    <n v="0"/>
    <n v="0"/>
    <n v="0"/>
    <n v="0"/>
    <n v="0"/>
    <x v="0"/>
  </r>
  <r>
    <s v="PO1562"/>
    <x v="2"/>
    <d v="2026-04-09T00:00:00"/>
    <n v="189"/>
    <n v="192.83"/>
    <s v=""/>
    <d v="2026-04-18T00:00:00"/>
    <n v="189"/>
    <d v="2026-04-19T00:00:00"/>
    <s v="INV5583"/>
    <n v="189"/>
    <n v="192.83"/>
    <d v="2026-04-20T00:00:00"/>
    <s v="Missing Approval"/>
    <s v="OK"/>
    <s v="OK"/>
    <s v="OK"/>
    <s v="OK"/>
    <s v="OK"/>
    <s v="Late Delivery"/>
    <s v="OK"/>
    <n v="1"/>
    <n v="0"/>
    <n v="0"/>
    <n v="0"/>
    <n v="0"/>
    <n v="0"/>
    <n v="1"/>
    <n v="0"/>
    <x v="1"/>
  </r>
  <r>
    <s v="PO1563"/>
    <x v="26"/>
    <d v="2026-03-12T00:00:00"/>
    <n v="340"/>
    <n v="21.43"/>
    <s v="Pavel Horák"/>
    <d v="2026-03-26T00:00:00"/>
    <n v="354"/>
    <d v="2026-03-24T00:00:00"/>
    <s v="INV5584"/>
    <n v="340"/>
    <n v="21.43"/>
    <d v="2026-04-02T00:00:00"/>
    <s v="OK"/>
    <s v="OK"/>
    <s v="OK"/>
    <s v="OK"/>
    <s v="Qty Variance"/>
    <s v="OK"/>
    <s v="OK"/>
    <s v="OK"/>
    <n v="0"/>
    <n v="0"/>
    <n v="0"/>
    <n v="0"/>
    <n v="1"/>
    <n v="0"/>
    <n v="0"/>
    <n v="0"/>
    <x v="2"/>
  </r>
  <r>
    <s v="PO1565"/>
    <x v="31"/>
    <d v="2026-05-11T00:00:00"/>
    <n v="106"/>
    <n v="150.83000000000001"/>
    <s v="Nicolas Dubois"/>
    <d v="2026-05-17T00:00:00"/>
    <n v="106"/>
    <d v="2026-05-30T00:00:00"/>
    <s v="INV5587"/>
    <n v="106"/>
    <n v="169.44"/>
    <d v="2026-05-26T00:00:00"/>
    <s v="OK"/>
    <s v="OK"/>
    <s v="OK"/>
    <s v="OK"/>
    <s v="OK"/>
    <s v="Price Variance"/>
    <s v="Late Delivery"/>
    <s v="OK"/>
    <n v="0"/>
    <n v="0"/>
    <n v="0"/>
    <n v="0"/>
    <n v="0"/>
    <n v="1"/>
    <n v="1"/>
    <n v="0"/>
    <x v="3"/>
  </r>
  <r>
    <s v="PO1567"/>
    <x v="31"/>
    <d v="2026-01-04T00:00:00"/>
    <n v="194"/>
    <n v="187.12"/>
    <s v="Winter Underwood"/>
    <d v="2026-01-21T00:00:00"/>
    <n v="190"/>
    <d v="2026-01-23T00:00:00"/>
    <s v="INV5589"/>
    <n v="194"/>
    <n v="187.12"/>
    <d v="2026-01-23T00:00:00"/>
    <s v="OK"/>
    <s v="OK"/>
    <s v="OK"/>
    <s v="OK"/>
    <s v="Qty Variance"/>
    <s v="OK"/>
    <s v="Late Delivery"/>
    <s v="OK"/>
    <n v="0"/>
    <n v="0"/>
    <n v="0"/>
    <n v="0"/>
    <n v="1"/>
    <n v="0"/>
    <n v="1"/>
    <n v="0"/>
    <x v="0"/>
  </r>
  <r>
    <s v="PO1568"/>
    <x v="33"/>
    <d v="2026-04-18T00:00:00"/>
    <n v="197"/>
    <n v="111.54"/>
    <s v="Lukas Müller"/>
    <d v="2026-05-08T00:00:00"/>
    <n v="197"/>
    <d v="2026-05-17T00:00:00"/>
    <s v="INV5590"/>
    <n v="197"/>
    <n v="111.54"/>
    <d v="2026-05-16T00:00:00"/>
    <s v="OK"/>
    <s v="OK"/>
    <s v="OK"/>
    <s v="OK"/>
    <s v="OK"/>
    <s v="OK"/>
    <s v="Late Delivery"/>
    <s v="OK"/>
    <n v="0"/>
    <n v="0"/>
    <n v="0"/>
    <n v="0"/>
    <n v="0"/>
    <n v="0"/>
    <n v="1"/>
    <n v="0"/>
    <x v="1"/>
  </r>
  <r>
    <s v="PO1569"/>
    <x v="32"/>
    <d v="2026-01-05T00:00:00"/>
    <n v="310"/>
    <n v="18.170000000000002"/>
    <s v="Anna Kowalska"/>
    <d v="2026-01-16T00:00:00"/>
    <n v="310"/>
    <d v="2026-01-18T00:00:00"/>
    <s v="INV5591"/>
    <n v="310"/>
    <n v="18.170000000000002"/>
    <d v="2026-01-21T00:00:00"/>
    <s v="OK"/>
    <s v="OK"/>
    <s v="OK"/>
    <s v="OK"/>
    <s v="OK"/>
    <s v="OK"/>
    <s v="Late Delivery"/>
    <s v="OK"/>
    <n v="0"/>
    <n v="0"/>
    <n v="0"/>
    <n v="0"/>
    <n v="0"/>
    <n v="0"/>
    <n v="1"/>
    <n v="0"/>
    <x v="0"/>
  </r>
  <r>
    <s v="PO1570"/>
    <x v="7"/>
    <d v="2026-01-16T00:00:00"/>
    <n v="495"/>
    <n v="158.91"/>
    <s v="Clara Silva"/>
    <d v="2026-01-30T00:00:00"/>
    <n v="495"/>
    <d v="2026-02-01T00:00:00"/>
    <s v="INV5592"/>
    <n v="495"/>
    <n v="168.37"/>
    <d v="2026-02-08T00:00:00"/>
    <s v="OK"/>
    <s v="OK"/>
    <s v="OK"/>
    <s v="OK"/>
    <s v="OK"/>
    <s v="Price Variance"/>
    <s v="Late Delivery"/>
    <s v="OK"/>
    <n v="0"/>
    <n v="0"/>
    <n v="0"/>
    <n v="0"/>
    <n v="0"/>
    <n v="1"/>
    <n v="1"/>
    <n v="0"/>
    <x v="0"/>
  </r>
  <r>
    <s v="PO1571"/>
    <x v="0"/>
    <d v="2026-05-09T00:00:00"/>
    <n v="402"/>
    <n v="86.01"/>
    <s v="Marta Nowak"/>
    <d v="2026-05-26T00:00:00"/>
    <n v="402"/>
    <d v="2026-05-28T00:00:00"/>
    <s v="INV5593"/>
    <n v="402"/>
    <n v="86.01"/>
    <d v="2026-05-27T00:00:00"/>
    <s v="OK"/>
    <s v="OK"/>
    <s v="OK"/>
    <s v="OK"/>
    <s v="OK"/>
    <s v="OK"/>
    <s v="Late Delivery"/>
    <s v="OK"/>
    <n v="0"/>
    <n v="0"/>
    <n v="0"/>
    <n v="0"/>
    <n v="0"/>
    <n v="0"/>
    <n v="1"/>
    <n v="0"/>
    <x v="3"/>
  </r>
  <r>
    <s v="PO1572"/>
    <x v="10"/>
    <d v="2026-05-18T00:00:00"/>
    <n v="285"/>
    <n v="125.13"/>
    <s v="Anna Kowalska"/>
    <d v="2026-05-25T00:00:00"/>
    <n v="285"/>
    <d v="2026-05-25T00:00:00"/>
    <s v="INV5594"/>
    <n v="285"/>
    <n v="125.13"/>
    <d v="2026-06-03T00:00:00"/>
    <s v="OK"/>
    <s v="OK"/>
    <s v="OK"/>
    <s v="OK"/>
    <s v="OK"/>
    <s v="OK"/>
    <s v="OK"/>
    <s v="OK"/>
    <n v="0"/>
    <n v="0"/>
    <n v="0"/>
    <n v="0"/>
    <n v="0"/>
    <n v="0"/>
    <n v="0"/>
    <n v="0"/>
    <x v="3"/>
  </r>
  <r>
    <s v="PO1573"/>
    <x v="47"/>
    <d v="2026-01-21T00:00:00"/>
    <n v="271"/>
    <n v="184.58"/>
    <s v="Winter Underwood"/>
    <d v="2026-02-05T00:00:00"/>
    <n v="264"/>
    <d v="2026-02-07T00:00:00"/>
    <s v="INV5595"/>
    <n v="271"/>
    <n v="184.58"/>
    <d v="2026-02-15T00:00:00"/>
    <s v="OK"/>
    <s v="OK"/>
    <s v="OK"/>
    <s v="OK"/>
    <s v="Qty Variance"/>
    <s v="OK"/>
    <s v="Late Delivery"/>
    <s v="OK"/>
    <n v="0"/>
    <n v="0"/>
    <n v="0"/>
    <n v="0"/>
    <n v="1"/>
    <n v="0"/>
    <n v="1"/>
    <n v="0"/>
    <x v="0"/>
  </r>
  <r>
    <s v="PO1574"/>
    <x v="29"/>
    <d v="2026-05-31T00:00:00"/>
    <n v="334"/>
    <n v="153.83000000000001"/>
    <s v="Katarina Jovanović"/>
    <d v="2026-06-07T00:00:00"/>
    <n v="334"/>
    <d v="2026-06-06T00:00:00"/>
    <s v="INV5596"/>
    <n v="334"/>
    <n v="153.83000000000001"/>
    <d v="2026-06-09T00:00:00"/>
    <s v="OK"/>
    <s v="OK"/>
    <s v="OK"/>
    <s v="OK"/>
    <s v="OK"/>
    <s v="OK"/>
    <s v="OK"/>
    <s v="OK"/>
    <n v="0"/>
    <n v="0"/>
    <n v="0"/>
    <n v="0"/>
    <n v="0"/>
    <n v="0"/>
    <n v="0"/>
    <n v="0"/>
    <x v="3"/>
  </r>
  <r>
    <s v="PO1575"/>
    <x v="47"/>
    <d v="2026-04-22T00:00:00"/>
    <n v="383"/>
    <n v="190.92"/>
    <s v="Mateo García"/>
    <d v="2026-04-28T00:00:00"/>
    <n v="383"/>
    <d v="2026-04-28T00:00:00"/>
    <s v="INV5597"/>
    <n v="383"/>
    <n v="190.92"/>
    <d v="2026-04-30T00:00:00"/>
    <s v="OK"/>
    <s v="OK"/>
    <s v="OK"/>
    <s v="OK"/>
    <s v="OK"/>
    <s v="OK"/>
    <s v="OK"/>
    <s v="OK"/>
    <n v="0"/>
    <n v="0"/>
    <n v="0"/>
    <n v="0"/>
    <n v="0"/>
    <n v="0"/>
    <n v="0"/>
    <n v="0"/>
    <x v="1"/>
  </r>
  <r>
    <s v="PO1576"/>
    <x v="26"/>
    <d v="2026-01-23T00:00:00"/>
    <n v="483"/>
    <n v="89.72"/>
    <s v="Ingrid Hansen"/>
    <d v="2026-01-29T00:00:00"/>
    <n v="483"/>
    <d v="2026-02-13T00:00:00"/>
    <s v="INV5598"/>
    <n v="483"/>
    <n v="89.72"/>
    <d v="2026-02-01T00:00:00"/>
    <s v="OK"/>
    <s v="OK"/>
    <s v="OK"/>
    <s v="OK"/>
    <s v="OK"/>
    <s v="OK"/>
    <s v="Late Delivery"/>
    <s v="Duplicate Invoice"/>
    <n v="0"/>
    <n v="0"/>
    <n v="0"/>
    <n v="0"/>
    <n v="0"/>
    <n v="0"/>
    <n v="1"/>
    <n v="1"/>
    <x v="0"/>
  </r>
  <r>
    <s v="PO1576"/>
    <x v="26"/>
    <d v="2026-01-23T00:00:00"/>
    <n v="483"/>
    <n v="89.72"/>
    <s v="Ingrid Hansen"/>
    <d v="2026-01-29T00:00:00"/>
    <n v="483"/>
    <d v="2026-02-13T00:00:00"/>
    <s v="INV5599"/>
    <n v="483"/>
    <n v="89.72"/>
    <d v="2026-02-05T00:00:00"/>
    <s v="OK"/>
    <s v="OK"/>
    <s v="OK"/>
    <s v="OK"/>
    <s v="OK"/>
    <s v="OK"/>
    <s v="Late Delivery"/>
    <s v="Duplicate Invoice"/>
    <n v="0"/>
    <n v="0"/>
    <n v="0"/>
    <n v="0"/>
    <n v="0"/>
    <n v="0"/>
    <n v="1"/>
    <n v="1"/>
    <x v="0"/>
  </r>
  <r>
    <s v="PO1577"/>
    <x v="47"/>
    <d v="2026-02-14T00:00:00"/>
    <n v="71"/>
    <n v="7.47"/>
    <s v="Winter Underwood"/>
    <d v="2026-02-19T00:00:00"/>
    <n v="71"/>
    <d v="2026-02-18T00:00:00"/>
    <s v="INV5600"/>
    <n v="71"/>
    <n v="7.47"/>
    <d v="2026-02-21T00:00:00"/>
    <s v="OK"/>
    <s v="OK"/>
    <s v="OK"/>
    <s v="OK"/>
    <s v="OK"/>
    <s v="OK"/>
    <s v="OK"/>
    <s v="Duplicate Invoice"/>
    <n v="0"/>
    <n v="0"/>
    <n v="0"/>
    <n v="0"/>
    <n v="0"/>
    <n v="0"/>
    <n v="0"/>
    <n v="1"/>
    <x v="4"/>
  </r>
  <r>
    <s v="PO1577"/>
    <x v="47"/>
    <d v="2026-02-14T00:00:00"/>
    <n v="71"/>
    <n v="7.47"/>
    <s v="Winter Underwood"/>
    <d v="2026-02-19T00:00:00"/>
    <n v="71"/>
    <d v="2026-02-18T00:00:00"/>
    <s v="INV5601"/>
    <n v="71"/>
    <n v="7.47"/>
    <d v="2026-02-26T00:00:00"/>
    <s v="OK"/>
    <s v="OK"/>
    <s v="OK"/>
    <s v="OK"/>
    <s v="OK"/>
    <s v="OK"/>
    <s v="OK"/>
    <s v="Duplicate Invoice"/>
    <n v="0"/>
    <n v="0"/>
    <n v="0"/>
    <n v="0"/>
    <n v="0"/>
    <n v="0"/>
    <n v="0"/>
    <n v="1"/>
    <x v="4"/>
  </r>
  <r>
    <s v="PO1578"/>
    <x v="11"/>
    <d v="2026-05-08T00:00:00"/>
    <n v="497"/>
    <n v="72.61"/>
    <s v="Clara Silva"/>
    <d v="2026-05-21T00:00:00"/>
    <n v="497"/>
    <d v="2026-06-10T00:00:00"/>
    <s v="INV5602"/>
    <n v="497"/>
    <n v="72.61"/>
    <d v="2026-05-24T00:00:00"/>
    <s v="OK"/>
    <s v="OK"/>
    <s v="OK"/>
    <s v="OK"/>
    <s v="OK"/>
    <s v="OK"/>
    <s v="Late Delivery"/>
    <s v="OK"/>
    <n v="0"/>
    <n v="0"/>
    <n v="0"/>
    <n v="0"/>
    <n v="0"/>
    <n v="0"/>
    <n v="1"/>
    <n v="0"/>
    <x v="3"/>
  </r>
  <r>
    <s v="PO1579"/>
    <x v="11"/>
    <d v="2026-04-06T00:00:00"/>
    <n v="74"/>
    <n v="151.21"/>
    <s v="Anna Kowalska"/>
    <d v="2026-04-14T00:00:00"/>
    <n v="74"/>
    <d v="2026-04-16T00:00:00"/>
    <s v="INV5603"/>
    <n v="74"/>
    <n v="151.21"/>
    <d v="2026-04-15T00:00:00"/>
    <s v="OK"/>
    <s v="OK"/>
    <s v="OK"/>
    <s v="OK"/>
    <s v="OK"/>
    <s v="OK"/>
    <s v="Late Delivery"/>
    <s v="OK"/>
    <n v="0"/>
    <n v="0"/>
    <n v="0"/>
    <n v="0"/>
    <n v="0"/>
    <n v="0"/>
    <n v="1"/>
    <n v="0"/>
    <x v="1"/>
  </r>
  <r>
    <s v="PO1580"/>
    <x v="20"/>
    <d v="2026-03-27T00:00:00"/>
    <n v="423"/>
    <n v="88.72"/>
    <s v="Clara Silva"/>
    <d v="2026-04-03T00:00:00"/>
    <n v="423"/>
    <d v="2026-04-02T00:00:00"/>
    <s v="INV5604"/>
    <n v="423"/>
    <n v="88.72"/>
    <d v="2026-04-08T00:00:00"/>
    <s v="OK"/>
    <s v="OK"/>
    <s v="OK"/>
    <s v="OK"/>
    <s v="OK"/>
    <s v="OK"/>
    <s v="OK"/>
    <s v="OK"/>
    <n v="0"/>
    <n v="0"/>
    <n v="0"/>
    <n v="0"/>
    <n v="0"/>
    <n v="0"/>
    <n v="0"/>
    <n v="0"/>
    <x v="2"/>
  </r>
  <r>
    <s v="PO1556"/>
    <x v="5"/>
    <d v="2026-02-03T00:00:00"/>
    <n v="254"/>
    <n v="18.809999999999999"/>
    <s v="Laura Schmidt"/>
    <d v="2026-02-10T00:00:00"/>
    <m/>
    <m/>
    <s v="INV5577"/>
    <n v="254"/>
    <n v="22.5"/>
    <d v="2026-02-13T00:00:00"/>
    <s v="OK"/>
    <s v="No GR - Not received"/>
    <s v="OK"/>
    <s v="OK"/>
    <s v="OK"/>
    <s v="Price Variance"/>
    <s v="OK"/>
    <s v="OK"/>
    <n v="0"/>
    <n v="1"/>
    <n v="0"/>
    <n v="0"/>
    <n v="0"/>
    <n v="1"/>
    <n v="0"/>
    <n v="0"/>
    <x v="4"/>
  </r>
  <r>
    <s v="PO1581"/>
    <x v="18"/>
    <d v="2026-05-28T00:00:00"/>
    <n v="331"/>
    <n v="20.03"/>
    <s v="Ingrid Hansen"/>
    <d v="2026-06-18T00:00:00"/>
    <n v="331"/>
    <d v="2026-06-17T00:00:00"/>
    <s v="INV5605"/>
    <n v="331"/>
    <n v="20.03"/>
    <d v="2026-06-25T00:00:00"/>
    <s v="OK"/>
    <s v="OK"/>
    <s v="OK"/>
    <s v="OK"/>
    <s v="OK"/>
    <s v="OK"/>
    <s v="OK"/>
    <s v="OK"/>
    <n v="0"/>
    <n v="0"/>
    <n v="0"/>
    <n v="0"/>
    <n v="0"/>
    <n v="0"/>
    <n v="0"/>
    <n v="0"/>
    <x v="3"/>
  </r>
  <r>
    <s v="PO1582"/>
    <x v="35"/>
    <d v="2026-01-15T00:00:00"/>
    <n v="265"/>
    <n v="172.58"/>
    <s v="Lukas Müller"/>
    <d v="2026-01-31T00:00:00"/>
    <n v="265"/>
    <d v="2026-01-31T00:00:00"/>
    <s v="INV5606"/>
    <n v="265"/>
    <n v="172.58"/>
    <d v="2026-02-04T00:00:00"/>
    <s v="OK"/>
    <s v="OK"/>
    <s v="OK"/>
    <s v="OK"/>
    <s v="OK"/>
    <s v="OK"/>
    <s v="OK"/>
    <s v="OK"/>
    <n v="0"/>
    <n v="0"/>
    <n v="0"/>
    <n v="0"/>
    <n v="0"/>
    <n v="0"/>
    <n v="0"/>
    <n v="0"/>
    <x v="0"/>
  </r>
  <r>
    <s v="PO1583"/>
    <x v="11"/>
    <d v="2026-03-07T00:00:00"/>
    <n v="405"/>
    <n v="25.07"/>
    <s v="Emma Johansson"/>
    <d v="2026-03-15T00:00:00"/>
    <n v="405"/>
    <d v="2026-03-13T00:00:00"/>
    <s v="INV5607"/>
    <n v="405"/>
    <n v="25.07"/>
    <d v="2026-03-24T00:00:00"/>
    <s v="OK"/>
    <s v="OK"/>
    <s v="OK"/>
    <s v="OK"/>
    <s v="OK"/>
    <s v="OK"/>
    <s v="OK"/>
    <s v="OK"/>
    <n v="0"/>
    <n v="0"/>
    <n v="0"/>
    <n v="0"/>
    <n v="0"/>
    <n v="0"/>
    <n v="0"/>
    <n v="0"/>
    <x v="2"/>
  </r>
  <r>
    <s v="PO1584"/>
    <x v="4"/>
    <d v="2026-05-11T00:00:00"/>
    <n v="11"/>
    <n v="13.59"/>
    <s v="J. Kovacs"/>
    <d v="2026-05-23T00:00:00"/>
    <n v="11"/>
    <d v="2026-06-09T00:00:00"/>
    <s v="INV5608"/>
    <n v="11"/>
    <n v="13.59"/>
    <d v="2026-06-01T00:00:00"/>
    <s v="OK"/>
    <s v="OK"/>
    <s v="OK"/>
    <s v="OK"/>
    <s v="OK"/>
    <s v="OK"/>
    <s v="Late Delivery"/>
    <s v="OK"/>
    <n v="0"/>
    <n v="0"/>
    <n v="0"/>
    <n v="0"/>
    <n v="0"/>
    <n v="0"/>
    <n v="1"/>
    <n v="0"/>
    <x v="3"/>
  </r>
  <r>
    <s v="PO1585"/>
    <x v="7"/>
    <d v="2026-05-01T00:00:00"/>
    <n v="196"/>
    <n v="79.680000000000007"/>
    <s v="Winter Underwood"/>
    <d v="2026-05-11T00:00:00"/>
    <n v="196"/>
    <d v="2026-05-22T00:00:00"/>
    <s v="INV5609"/>
    <n v="196"/>
    <n v="79.680000000000007"/>
    <d v="2026-05-17T00:00:00"/>
    <s v="OK"/>
    <s v="OK"/>
    <s v="OK"/>
    <s v="OK"/>
    <s v="OK"/>
    <s v="OK"/>
    <s v="Late Delivery"/>
    <s v="OK"/>
    <n v="0"/>
    <n v="0"/>
    <n v="0"/>
    <n v="0"/>
    <n v="0"/>
    <n v="0"/>
    <n v="1"/>
    <n v="0"/>
    <x v="3"/>
  </r>
  <r>
    <s v="PO1586"/>
    <x v="7"/>
    <d v="2026-05-22T00:00:00"/>
    <n v="421"/>
    <n v="183.22"/>
    <s v="Victor Popescu"/>
    <d v="2026-06-09T00:00:00"/>
    <n v="421"/>
    <d v="2026-06-27T00:00:00"/>
    <s v="INV5610"/>
    <n v="421"/>
    <n v="183.22"/>
    <d v="2026-06-15T00:00:00"/>
    <s v="OK"/>
    <s v="OK"/>
    <s v="OK"/>
    <s v="OK"/>
    <s v="OK"/>
    <s v="OK"/>
    <s v="Late Delivery"/>
    <s v="OK"/>
    <n v="0"/>
    <n v="0"/>
    <n v="0"/>
    <n v="0"/>
    <n v="0"/>
    <n v="0"/>
    <n v="1"/>
    <n v="0"/>
    <x v="3"/>
  </r>
  <r>
    <s v="PO1587"/>
    <x v="4"/>
    <d v="2026-03-24T00:00:00"/>
    <n v="137"/>
    <n v="86.17"/>
    <s v="Victor Popescu"/>
    <d v="2026-04-08T00:00:00"/>
    <n v="137"/>
    <d v="2026-04-10T00:00:00"/>
    <s v="INV5611"/>
    <n v="137"/>
    <n v="86.17"/>
    <d v="2026-04-10T00:00:00"/>
    <s v="OK"/>
    <s v="OK"/>
    <s v="OK"/>
    <s v="OK"/>
    <s v="OK"/>
    <s v="OK"/>
    <s v="Late Delivery"/>
    <s v="OK"/>
    <n v="0"/>
    <n v="0"/>
    <n v="0"/>
    <n v="0"/>
    <n v="0"/>
    <n v="0"/>
    <n v="1"/>
    <n v="0"/>
    <x v="2"/>
  </r>
  <r>
    <s v="PO1564"/>
    <x v="5"/>
    <d v="2026-01-07T00:00:00"/>
    <n v="444"/>
    <n v="170.18"/>
    <s v="Nicolas Dubois"/>
    <d v="2026-01-18T00:00:00"/>
    <m/>
    <m/>
    <s v="INV5585"/>
    <n v="444"/>
    <n v="170.18"/>
    <d v="2026-01-24T00:00:00"/>
    <s v="OK"/>
    <s v="No GR - Not received"/>
    <s v="OK"/>
    <s v="OK"/>
    <s v="OK"/>
    <s v="OK"/>
    <s v="OK"/>
    <s v="Duplicate Invoice"/>
    <n v="0"/>
    <n v="1"/>
    <n v="0"/>
    <n v="0"/>
    <n v="0"/>
    <n v="0"/>
    <n v="0"/>
    <n v="1"/>
    <x v="0"/>
  </r>
  <r>
    <s v="PO1564"/>
    <x v="5"/>
    <d v="2026-01-07T00:00:00"/>
    <n v="444"/>
    <n v="170.18"/>
    <s v="Nicolas Dubois"/>
    <d v="2026-01-18T00:00:00"/>
    <m/>
    <m/>
    <s v="INV5586"/>
    <n v="444"/>
    <n v="170.18"/>
    <d v="2026-01-25T00:00:00"/>
    <s v="OK"/>
    <s v="No GR - Not received"/>
    <s v="OK"/>
    <s v="OK"/>
    <s v="OK"/>
    <s v="OK"/>
    <s v="OK"/>
    <s v="Duplicate Invoice"/>
    <n v="0"/>
    <n v="1"/>
    <n v="0"/>
    <n v="0"/>
    <n v="0"/>
    <n v="0"/>
    <n v="0"/>
    <n v="1"/>
    <x v="0"/>
  </r>
  <r>
    <s v="PO1588"/>
    <x v="46"/>
    <d v="2026-01-20T00:00:00"/>
    <n v="302"/>
    <n v="77.7"/>
    <s v="Clara Silva"/>
    <d v="2026-01-26T00:00:00"/>
    <n v="302"/>
    <d v="2026-01-27T00:00:00"/>
    <s v="INV5612"/>
    <n v="302"/>
    <n v="82.01"/>
    <d v="2026-01-29T00:00:00"/>
    <s v="OK"/>
    <s v="OK"/>
    <s v="OK"/>
    <s v="OK"/>
    <s v="OK"/>
    <s v="Price Variance"/>
    <s v="Late Delivery"/>
    <s v="OK"/>
    <n v="0"/>
    <n v="0"/>
    <n v="0"/>
    <n v="0"/>
    <n v="0"/>
    <n v="1"/>
    <n v="1"/>
    <n v="0"/>
    <x v="0"/>
  </r>
  <r>
    <s v="PO1589"/>
    <x v="28"/>
    <d v="2026-02-27T00:00:00"/>
    <n v="421"/>
    <n v="105.58"/>
    <s v="A. Nagy"/>
    <d v="2026-03-16T00:00:00"/>
    <n v="421"/>
    <d v="2026-03-17T00:00:00"/>
    <s v="INV5613"/>
    <n v="421"/>
    <n v="105.58"/>
    <d v="2026-03-19T00:00:00"/>
    <s v="OK"/>
    <s v="OK"/>
    <s v="OK"/>
    <s v="OK"/>
    <s v="OK"/>
    <s v="OK"/>
    <s v="Late Delivery"/>
    <s v="OK"/>
    <n v="0"/>
    <n v="0"/>
    <n v="0"/>
    <n v="0"/>
    <n v="0"/>
    <n v="0"/>
    <n v="1"/>
    <n v="0"/>
    <x v="4"/>
  </r>
  <r>
    <s v="PO1590"/>
    <x v="32"/>
    <d v="2026-04-30T00:00:00"/>
    <n v="453"/>
    <n v="60.05"/>
    <s v="Nicolas Dubois"/>
    <d v="2026-05-15T00:00:00"/>
    <n v="453"/>
    <d v="2026-05-13T00:00:00"/>
    <s v="INV5614"/>
    <n v="453"/>
    <n v="60.05"/>
    <d v="2026-05-21T00:00:00"/>
    <s v="OK"/>
    <s v="OK"/>
    <s v="OK"/>
    <s v="OK"/>
    <s v="OK"/>
    <s v="OK"/>
    <s v="OK"/>
    <s v="OK"/>
    <n v="0"/>
    <n v="0"/>
    <n v="0"/>
    <n v="0"/>
    <n v="0"/>
    <n v="0"/>
    <n v="0"/>
    <n v="0"/>
    <x v="1"/>
  </r>
  <r>
    <s v="PO1566"/>
    <x v="26"/>
    <d v="2026-05-07T00:00:00"/>
    <n v="207"/>
    <n v="26.99"/>
    <s v="Andreas Weber"/>
    <d v="2026-05-14T00:00:00"/>
    <m/>
    <m/>
    <s v="INV5588"/>
    <n v="207"/>
    <n v="26.99"/>
    <d v="2026-05-24T00:00:00"/>
    <s v="OK"/>
    <s v="No GR - Not received"/>
    <s v="OK"/>
    <s v="OK"/>
    <s v="OK"/>
    <s v="OK"/>
    <s v="OK"/>
    <s v="OK"/>
    <n v="0"/>
    <n v="1"/>
    <n v="0"/>
    <n v="0"/>
    <n v="0"/>
    <n v="0"/>
    <n v="0"/>
    <n v="0"/>
    <x v="3"/>
  </r>
  <r>
    <s v="PO1591"/>
    <x v="10"/>
    <d v="2026-05-22T00:00:00"/>
    <n v="243"/>
    <n v="6.55"/>
    <s v="Sofia Rossi"/>
    <d v="2026-06-05T00:00:00"/>
    <n v="243"/>
    <d v="2026-06-11T00:00:00"/>
    <s v="INV5615"/>
    <n v="243"/>
    <n v="6.55"/>
    <d v="2026-06-12T00:00:00"/>
    <s v="OK"/>
    <s v="OK"/>
    <s v="OK"/>
    <s v="OK"/>
    <s v="OK"/>
    <s v="OK"/>
    <s v="Late Delivery"/>
    <s v="OK"/>
    <n v="0"/>
    <n v="0"/>
    <n v="0"/>
    <n v="0"/>
    <n v="0"/>
    <n v="0"/>
    <n v="1"/>
    <n v="0"/>
    <x v="3"/>
  </r>
  <r>
    <s v="PO1592"/>
    <x v="33"/>
    <d v="2026-03-19T00:00:00"/>
    <n v="388"/>
    <n v="126.43"/>
    <s v="Ingrid Hansen"/>
    <d v="2026-04-04T00:00:00"/>
    <n v="388"/>
    <d v="2026-04-02T00:00:00"/>
    <s v="INV5616"/>
    <n v="388"/>
    <n v="126.43"/>
    <d v="2026-04-11T00:00:00"/>
    <s v="OK"/>
    <s v="OK"/>
    <s v="OK"/>
    <s v="OK"/>
    <s v="OK"/>
    <s v="OK"/>
    <s v="OK"/>
    <s v="OK"/>
    <n v="0"/>
    <n v="0"/>
    <n v="0"/>
    <n v="0"/>
    <n v="0"/>
    <n v="0"/>
    <n v="0"/>
    <n v="0"/>
    <x v="2"/>
  </r>
  <r>
    <s v="PO1593"/>
    <x v="2"/>
    <d v="2026-05-07T00:00:00"/>
    <n v="405"/>
    <n v="156.30000000000001"/>
    <s v="Victor Popescu"/>
    <d v="2026-05-19T00:00:00"/>
    <n v="405"/>
    <d v="2026-05-18T00:00:00"/>
    <s v="INV5617"/>
    <n v="405"/>
    <n v="156.30000000000001"/>
    <d v="2026-05-27T00:00:00"/>
    <s v="OK"/>
    <s v="OK"/>
    <s v="OK"/>
    <s v="OK"/>
    <s v="OK"/>
    <s v="OK"/>
    <s v="OK"/>
    <s v="OK"/>
    <n v="0"/>
    <n v="0"/>
    <n v="0"/>
    <n v="0"/>
    <n v="0"/>
    <n v="0"/>
    <n v="0"/>
    <n v="0"/>
    <x v="3"/>
  </r>
  <r>
    <s v="PO1594"/>
    <x v="14"/>
    <d v="2026-01-02T00:00:00"/>
    <n v="487"/>
    <n v="84.96"/>
    <s v="Mateo García"/>
    <d v="2026-01-18T00:00:00"/>
    <n v="487"/>
    <d v="2026-01-20T00:00:00"/>
    <s v="INV5618"/>
    <n v="487"/>
    <n v="84.96"/>
    <d v="2026-01-25T00:00:00"/>
    <s v="OK"/>
    <s v="OK"/>
    <s v="OK"/>
    <s v="OK"/>
    <s v="OK"/>
    <s v="OK"/>
    <s v="Late Delivery"/>
    <s v="OK"/>
    <n v="0"/>
    <n v="0"/>
    <n v="0"/>
    <n v="0"/>
    <n v="0"/>
    <n v="0"/>
    <n v="1"/>
    <n v="0"/>
    <x v="0"/>
  </r>
  <r>
    <s v="PO1595"/>
    <x v="0"/>
    <d v="2026-01-03T00:00:00"/>
    <n v="496"/>
    <n v="70.33"/>
    <s v="Eva Andersson"/>
    <d v="2026-01-20T00:00:00"/>
    <n v="496"/>
    <d v="2026-01-21T00:00:00"/>
    <s v="INV5619"/>
    <n v="496"/>
    <n v="70.33"/>
    <d v="2026-01-24T00:00:00"/>
    <s v="OK"/>
    <s v="OK"/>
    <s v="OK"/>
    <s v="OK"/>
    <s v="OK"/>
    <s v="OK"/>
    <s v="Late Delivery"/>
    <s v="OK"/>
    <n v="0"/>
    <n v="0"/>
    <n v="0"/>
    <n v="0"/>
    <n v="0"/>
    <n v="0"/>
    <n v="1"/>
    <n v="0"/>
    <x v="0"/>
  </r>
  <r>
    <s v="PO1596"/>
    <x v="15"/>
    <d v="2026-03-20T00:00:00"/>
    <n v="63"/>
    <n v="45.01"/>
    <s v="Mateo García"/>
    <d v="2026-04-07T00:00:00"/>
    <n v="63"/>
    <d v="2026-04-09T00:00:00"/>
    <s v="INV5620"/>
    <n v="63"/>
    <n v="45.01"/>
    <d v="2026-04-11T00:00:00"/>
    <s v="OK"/>
    <s v="OK"/>
    <s v="OK"/>
    <s v="OK"/>
    <s v="OK"/>
    <s v="OK"/>
    <s v="Late Delivery"/>
    <s v="OK"/>
    <n v="0"/>
    <n v="0"/>
    <n v="0"/>
    <n v="0"/>
    <n v="0"/>
    <n v="0"/>
    <n v="1"/>
    <n v="0"/>
    <x v="2"/>
  </r>
  <r>
    <s v="PO1597"/>
    <x v="37"/>
    <d v="2026-01-16T00:00:00"/>
    <n v="82"/>
    <n v="143.77000000000001"/>
    <s v="Camila Cantrell"/>
    <d v="2026-01-22T00:00:00"/>
    <n v="86"/>
    <d v="2026-01-23T00:00:00"/>
    <s v="INV5621"/>
    <n v="82"/>
    <n v="143.77000000000001"/>
    <d v="2026-01-31T00:00:00"/>
    <s v="OK"/>
    <s v="OK"/>
    <s v="OK"/>
    <s v="OK"/>
    <s v="Qty Variance"/>
    <s v="OK"/>
    <s v="Late Delivery"/>
    <s v="OK"/>
    <n v="0"/>
    <n v="0"/>
    <n v="0"/>
    <n v="0"/>
    <n v="1"/>
    <n v="0"/>
    <n v="1"/>
    <n v="0"/>
    <x v="0"/>
  </r>
  <r>
    <s v="PO1598"/>
    <x v="4"/>
    <d v="2026-05-14T00:00:00"/>
    <n v="221"/>
    <n v="141.66999999999999"/>
    <s v="Jakub Novák"/>
    <d v="2026-06-02T00:00:00"/>
    <n v="221"/>
    <d v="2026-06-16T00:00:00"/>
    <s v="INV5622"/>
    <n v="221"/>
    <n v="141.66999999999999"/>
    <d v="2026-06-05T00:00:00"/>
    <s v="OK"/>
    <s v="OK"/>
    <s v="OK"/>
    <s v="OK"/>
    <s v="OK"/>
    <s v="OK"/>
    <s v="Late Delivery"/>
    <s v="OK"/>
    <n v="0"/>
    <n v="0"/>
    <n v="0"/>
    <n v="0"/>
    <n v="0"/>
    <n v="0"/>
    <n v="1"/>
    <n v="0"/>
    <x v="3"/>
  </r>
  <r>
    <s v="PO1599"/>
    <x v="15"/>
    <d v="2026-01-22T00:00:00"/>
    <n v="307"/>
    <n v="23.64"/>
    <s v="Winter Underwood"/>
    <d v="2026-02-08T00:00:00"/>
    <n v="307"/>
    <d v="2026-02-25T00:00:00"/>
    <s v="INV5623"/>
    <n v="307"/>
    <n v="23.64"/>
    <d v="2026-02-15T00:00:00"/>
    <s v="OK"/>
    <s v="OK"/>
    <s v="OK"/>
    <s v="OK"/>
    <s v="OK"/>
    <s v="OK"/>
    <s v="Late Delivery"/>
    <s v="Duplicate Invoice"/>
    <n v="0"/>
    <n v="0"/>
    <n v="0"/>
    <n v="0"/>
    <n v="0"/>
    <n v="0"/>
    <n v="1"/>
    <n v="1"/>
    <x v="0"/>
  </r>
  <r>
    <s v="PO1599"/>
    <x v="15"/>
    <d v="2026-01-22T00:00:00"/>
    <n v="307"/>
    <n v="23.64"/>
    <s v="Winter Underwood"/>
    <d v="2026-02-08T00:00:00"/>
    <n v="307"/>
    <d v="2026-02-25T00:00:00"/>
    <s v="INV5624"/>
    <n v="307"/>
    <n v="23.64"/>
    <d v="2026-02-20T00:00:00"/>
    <s v="OK"/>
    <s v="OK"/>
    <s v="OK"/>
    <s v="OK"/>
    <s v="OK"/>
    <s v="OK"/>
    <s v="Late Delivery"/>
    <s v="Duplicate Invoice"/>
    <n v="0"/>
    <n v="0"/>
    <n v="0"/>
    <n v="0"/>
    <n v="0"/>
    <n v="0"/>
    <n v="1"/>
    <n v="1"/>
    <x v="0"/>
  </r>
  <r>
    <s v="PO1600"/>
    <x v="32"/>
    <d v="2026-05-26T00:00:00"/>
    <n v="41"/>
    <n v="89.82"/>
    <s v="Winter Underwood"/>
    <d v="2026-06-07T00:00:00"/>
    <n v="41"/>
    <d v="2026-06-08T00:00:00"/>
    <s v="INV5625"/>
    <n v="41"/>
    <n v="89.82"/>
    <d v="2026-06-12T00:00:00"/>
    <s v="OK"/>
    <s v="OK"/>
    <s v="OK"/>
    <s v="OK"/>
    <s v="OK"/>
    <s v="OK"/>
    <s v="Late Delivery"/>
    <s v="OK"/>
    <n v="0"/>
    <n v="0"/>
    <n v="0"/>
    <n v="0"/>
    <n v="0"/>
    <n v="0"/>
    <n v="1"/>
    <n v="0"/>
    <x v="3"/>
  </r>
  <r>
    <s v="PO1601"/>
    <x v="42"/>
    <d v="2026-03-08T00:00:00"/>
    <n v="445"/>
    <n v="66.430000000000007"/>
    <s v="Laura Schmidt"/>
    <d v="2026-03-23T00:00:00"/>
    <n v="445"/>
    <d v="2026-03-24T00:00:00"/>
    <s v="INV5626"/>
    <n v="445"/>
    <n v="66.430000000000007"/>
    <d v="2026-04-01T00:00:00"/>
    <s v="OK"/>
    <s v="OK"/>
    <s v="OK"/>
    <s v="OK"/>
    <s v="OK"/>
    <s v="OK"/>
    <s v="Late Delivery"/>
    <s v="OK"/>
    <n v="0"/>
    <n v="0"/>
    <n v="0"/>
    <n v="0"/>
    <n v="0"/>
    <n v="0"/>
    <n v="1"/>
    <n v="0"/>
    <x v="2"/>
  </r>
  <r>
    <s v="PO1602"/>
    <x v="45"/>
    <d v="2026-04-26T00:00:00"/>
    <n v="149"/>
    <n v="50.55"/>
    <s v="Sofia Rossi"/>
    <d v="2026-05-05T00:00:00"/>
    <n v="165"/>
    <d v="2026-05-07T00:00:00"/>
    <s v="INV5627"/>
    <n v="149"/>
    <n v="50.55"/>
    <d v="2026-05-07T00:00:00"/>
    <s v="OK"/>
    <s v="OK"/>
    <s v="OK"/>
    <s v="OK"/>
    <s v="Qty Variance"/>
    <s v="OK"/>
    <s v="Late Delivery"/>
    <s v="OK"/>
    <n v="0"/>
    <n v="0"/>
    <n v="0"/>
    <n v="0"/>
    <n v="1"/>
    <n v="0"/>
    <n v="1"/>
    <n v="0"/>
    <x v="1"/>
  </r>
  <r>
    <s v="PO1603"/>
    <x v="2"/>
    <d v="2026-01-28T00:00:00"/>
    <n v="89"/>
    <n v="25.6"/>
    <s v="Ingrid Hansen"/>
    <d v="2026-02-16T00:00:00"/>
    <n v="89"/>
    <d v="2026-02-16T00:00:00"/>
    <s v="INV5628"/>
    <n v="89"/>
    <n v="25.6"/>
    <d v="2026-02-21T00:00:00"/>
    <s v="OK"/>
    <s v="OK"/>
    <s v="OK"/>
    <s v="OK"/>
    <s v="OK"/>
    <s v="OK"/>
    <s v="OK"/>
    <s v="OK"/>
    <n v="0"/>
    <n v="0"/>
    <n v="0"/>
    <n v="0"/>
    <n v="0"/>
    <n v="0"/>
    <n v="0"/>
    <n v="0"/>
    <x v="0"/>
  </r>
  <r>
    <s v="PO1606"/>
    <x v="11"/>
    <d v="2026-03-19T00:00:00"/>
    <n v="433"/>
    <n v="142.41999999999999"/>
    <s v="Thomas Lefèvre"/>
    <d v="2026-03-25T00:00:00"/>
    <n v="433"/>
    <d v="2026-04-09T00:00:00"/>
    <s v="INV5632"/>
    <n v="433"/>
    <n v="142.41999999999999"/>
    <d v="2026-03-27T00:00:00"/>
    <s v="OK"/>
    <s v="OK"/>
    <s v="OK"/>
    <s v="OK"/>
    <s v="OK"/>
    <s v="OK"/>
    <s v="Late Delivery"/>
    <s v="OK"/>
    <n v="0"/>
    <n v="0"/>
    <n v="0"/>
    <n v="0"/>
    <n v="0"/>
    <n v="0"/>
    <n v="1"/>
    <n v="0"/>
    <x v="2"/>
  </r>
  <r>
    <s v="PO1607"/>
    <x v="13"/>
    <d v="2026-03-25T00:00:00"/>
    <n v="85"/>
    <n v="22.79"/>
    <s v="Mateo García"/>
    <d v="2026-04-10T00:00:00"/>
    <n v="85"/>
    <d v="2026-04-10T00:00:00"/>
    <s v="INV5633"/>
    <n v="85"/>
    <n v="22.79"/>
    <d v="2026-04-15T00:00:00"/>
    <s v="OK"/>
    <s v="OK"/>
    <s v="OK"/>
    <s v="OK"/>
    <s v="OK"/>
    <s v="OK"/>
    <s v="OK"/>
    <s v="OK"/>
    <n v="0"/>
    <n v="0"/>
    <n v="0"/>
    <n v="0"/>
    <n v="0"/>
    <n v="0"/>
    <n v="0"/>
    <n v="0"/>
    <x v="2"/>
  </r>
  <r>
    <s v="PO1609"/>
    <x v="20"/>
    <d v="2026-04-14T00:00:00"/>
    <n v="447"/>
    <n v="93.18"/>
    <s v="Victor Popescu"/>
    <d v="2026-04-26T00:00:00"/>
    <n v="447"/>
    <d v="2026-04-26T00:00:00"/>
    <s v="INV5635"/>
    <n v="447"/>
    <n v="93.18"/>
    <d v="2026-05-01T00:00:00"/>
    <s v="OK"/>
    <s v="OK"/>
    <s v="OK"/>
    <s v="OK"/>
    <s v="OK"/>
    <s v="OK"/>
    <s v="OK"/>
    <s v="OK"/>
    <n v="0"/>
    <n v="0"/>
    <n v="0"/>
    <n v="0"/>
    <n v="0"/>
    <n v="0"/>
    <n v="0"/>
    <n v="0"/>
    <x v="1"/>
  </r>
  <r>
    <s v="PO1610"/>
    <x v="6"/>
    <d v="2026-04-29T00:00:00"/>
    <n v="62"/>
    <n v="161.76"/>
    <s v="Winter Underwood"/>
    <d v="2026-05-07T00:00:00"/>
    <n v="66"/>
    <d v="2026-05-07T00:00:00"/>
    <s v="INV5636"/>
    <n v="62"/>
    <n v="161.76"/>
    <d v="2026-05-08T00:00:00"/>
    <s v="OK"/>
    <s v="OK"/>
    <s v="OK"/>
    <s v="OK"/>
    <s v="Qty Variance"/>
    <s v="OK"/>
    <s v="OK"/>
    <s v="OK"/>
    <n v="0"/>
    <n v="0"/>
    <n v="0"/>
    <n v="0"/>
    <n v="1"/>
    <n v="0"/>
    <n v="0"/>
    <n v="0"/>
    <x v="1"/>
  </r>
  <r>
    <s v="PO1611"/>
    <x v="25"/>
    <d v="2026-01-16T00:00:00"/>
    <n v="435"/>
    <n v="157.29"/>
    <s v="Mateo García"/>
    <d v="2026-01-25T00:00:00"/>
    <n v="454"/>
    <d v="2026-01-27T00:00:00"/>
    <s v="INV5637"/>
    <n v="435"/>
    <n v="157.29"/>
    <d v="2026-02-01T00:00:00"/>
    <s v="OK"/>
    <s v="OK"/>
    <s v="OK"/>
    <s v="OK"/>
    <s v="Qty Variance"/>
    <s v="OK"/>
    <s v="Late Delivery"/>
    <s v="OK"/>
    <n v="0"/>
    <n v="0"/>
    <n v="0"/>
    <n v="0"/>
    <n v="1"/>
    <n v="0"/>
    <n v="1"/>
    <n v="0"/>
    <x v="0"/>
  </r>
  <r>
    <s v="PO1612"/>
    <x v="41"/>
    <d v="2026-04-13T00:00:00"/>
    <n v="200"/>
    <n v="138.83000000000001"/>
    <s v="Katarina Jovanović"/>
    <d v="2026-04-20T00:00:00"/>
    <n v="200"/>
    <d v="2026-05-05T00:00:00"/>
    <s v="INV5638"/>
    <n v="200"/>
    <n v="138.83000000000001"/>
    <d v="2026-04-29T00:00:00"/>
    <s v="OK"/>
    <s v="OK"/>
    <s v="OK"/>
    <s v="OK"/>
    <s v="OK"/>
    <s v="OK"/>
    <s v="Late Delivery"/>
    <s v="OK"/>
    <n v="0"/>
    <n v="0"/>
    <n v="0"/>
    <n v="0"/>
    <n v="0"/>
    <n v="0"/>
    <n v="1"/>
    <n v="0"/>
    <x v="1"/>
  </r>
  <r>
    <s v="PO1613"/>
    <x v="2"/>
    <d v="2026-05-31T00:00:00"/>
    <n v="142"/>
    <n v="183.9"/>
    <s v="Camila Cantrell"/>
    <d v="2026-06-05T00:00:00"/>
    <n v="142"/>
    <d v="2026-06-25T00:00:00"/>
    <s v="INV5639"/>
    <n v="142"/>
    <n v="183.9"/>
    <d v="2026-06-12T00:00:00"/>
    <s v="OK"/>
    <s v="OK"/>
    <s v="OK"/>
    <s v="OK"/>
    <s v="OK"/>
    <s v="OK"/>
    <s v="Late Delivery"/>
    <s v="OK"/>
    <n v="0"/>
    <n v="0"/>
    <n v="0"/>
    <n v="0"/>
    <n v="0"/>
    <n v="0"/>
    <n v="1"/>
    <n v="0"/>
    <x v="3"/>
  </r>
  <r>
    <s v="PO1614"/>
    <x v="32"/>
    <d v="2026-02-20T00:00:00"/>
    <n v="472"/>
    <n v="130.97"/>
    <s v="Winter Underwood"/>
    <d v="2026-02-27T00:00:00"/>
    <n v="472"/>
    <d v="2026-02-27T00:00:00"/>
    <s v="INV5640"/>
    <n v="472"/>
    <n v="130.97"/>
    <d v="2026-02-28T00:00:00"/>
    <s v="OK"/>
    <s v="OK"/>
    <s v="OK"/>
    <s v="OK"/>
    <s v="OK"/>
    <s v="OK"/>
    <s v="OK"/>
    <s v="OK"/>
    <n v="0"/>
    <n v="0"/>
    <n v="0"/>
    <n v="0"/>
    <n v="0"/>
    <n v="0"/>
    <n v="0"/>
    <n v="0"/>
    <x v="4"/>
  </r>
  <r>
    <s v="PO1615"/>
    <x v="24"/>
    <d v="2026-02-01T00:00:00"/>
    <n v="31"/>
    <n v="188.74"/>
    <s v="A. Nagy"/>
    <d v="2026-02-11T00:00:00"/>
    <n v="31"/>
    <d v="2026-02-10T00:00:00"/>
    <s v="INV5641"/>
    <n v="31"/>
    <n v="188.74"/>
    <d v="2026-02-14T00:00:00"/>
    <s v="OK"/>
    <s v="OK"/>
    <s v="OK"/>
    <s v="OK"/>
    <s v="OK"/>
    <s v="OK"/>
    <s v="OK"/>
    <s v="OK"/>
    <n v="0"/>
    <n v="0"/>
    <n v="0"/>
    <n v="0"/>
    <n v="0"/>
    <n v="0"/>
    <n v="0"/>
    <n v="0"/>
    <x v="4"/>
  </r>
  <r>
    <s v="PO1616"/>
    <x v="33"/>
    <d v="2026-04-21T00:00:00"/>
    <n v="430"/>
    <n v="146.26"/>
    <s v="Andreas Weber"/>
    <d v="2026-04-26T00:00:00"/>
    <n v="430"/>
    <d v="2026-04-27T00:00:00"/>
    <s v="INV5642"/>
    <n v="430"/>
    <n v="146.26"/>
    <d v="2026-05-01T00:00:00"/>
    <s v="OK"/>
    <s v="OK"/>
    <s v="OK"/>
    <s v="OK"/>
    <s v="OK"/>
    <s v="OK"/>
    <s v="Late Delivery"/>
    <s v="OK"/>
    <n v="0"/>
    <n v="0"/>
    <n v="0"/>
    <n v="0"/>
    <n v="0"/>
    <n v="0"/>
    <n v="1"/>
    <n v="0"/>
    <x v="1"/>
  </r>
  <r>
    <s v="PO1617"/>
    <x v="39"/>
    <d v="2026-04-20T00:00:00"/>
    <n v="98"/>
    <n v="74.02"/>
    <s v="Lukas Müller"/>
    <d v="2026-05-03T00:00:00"/>
    <n v="88"/>
    <d v="2026-05-20T00:00:00"/>
    <s v="INV5643"/>
    <n v="98"/>
    <n v="74.02"/>
    <d v="2026-05-09T00:00:00"/>
    <s v="OK"/>
    <s v="OK"/>
    <s v="OK"/>
    <s v="OK"/>
    <s v="Qty Variance"/>
    <s v="OK"/>
    <s v="Late Delivery"/>
    <s v="OK"/>
    <n v="0"/>
    <n v="0"/>
    <n v="0"/>
    <n v="0"/>
    <n v="1"/>
    <n v="0"/>
    <n v="1"/>
    <n v="0"/>
    <x v="1"/>
  </r>
  <r>
    <s v="PO1618"/>
    <x v="46"/>
    <d v="2026-04-25T00:00:00"/>
    <n v="462"/>
    <n v="33.979999999999997"/>
    <s v="Thomas Lefèvre"/>
    <d v="2026-05-07T00:00:00"/>
    <n v="462"/>
    <d v="2026-05-05T00:00:00"/>
    <s v="INV5644"/>
    <n v="462"/>
    <n v="33.979999999999997"/>
    <d v="2026-05-17T00:00:00"/>
    <s v="OK"/>
    <s v="OK"/>
    <s v="OK"/>
    <s v="OK"/>
    <s v="OK"/>
    <s v="OK"/>
    <s v="OK"/>
    <s v="OK"/>
    <n v="0"/>
    <n v="0"/>
    <n v="0"/>
    <n v="0"/>
    <n v="0"/>
    <n v="0"/>
    <n v="0"/>
    <n v="0"/>
    <x v="1"/>
  </r>
  <r>
    <s v="PO1619"/>
    <x v="43"/>
    <d v="2026-03-17T00:00:00"/>
    <n v="265"/>
    <n v="85.34"/>
    <s v="Pavel Horák"/>
    <d v="2026-04-06T00:00:00"/>
    <n v="265"/>
    <d v="2026-04-26T00:00:00"/>
    <s v="INV5645"/>
    <n v="265"/>
    <n v="85.34"/>
    <d v="2026-04-14T00:00:00"/>
    <s v="OK"/>
    <s v="OK"/>
    <s v="OK"/>
    <s v="OK"/>
    <s v="OK"/>
    <s v="OK"/>
    <s v="Late Delivery"/>
    <s v="OK"/>
    <n v="0"/>
    <n v="0"/>
    <n v="0"/>
    <n v="0"/>
    <n v="0"/>
    <n v="0"/>
    <n v="1"/>
    <n v="0"/>
    <x v="2"/>
  </r>
  <r>
    <s v="PO1620"/>
    <x v="21"/>
    <d v="2026-01-23T00:00:00"/>
    <n v="153"/>
    <n v="79.69"/>
    <s v="Marco Bianchi"/>
    <d v="2026-02-03T00:00:00"/>
    <n v="153"/>
    <d v="2026-02-01T00:00:00"/>
    <s v="INV5646"/>
    <n v="153"/>
    <n v="79.69"/>
    <d v="2026-02-12T00:00:00"/>
    <s v="OK"/>
    <s v="OK"/>
    <s v="OK"/>
    <s v="OK"/>
    <s v="OK"/>
    <s v="OK"/>
    <s v="OK"/>
    <s v="OK"/>
    <n v="0"/>
    <n v="0"/>
    <n v="0"/>
    <n v="0"/>
    <n v="0"/>
    <n v="0"/>
    <n v="0"/>
    <n v="0"/>
    <x v="0"/>
  </r>
  <r>
    <s v="PO1621"/>
    <x v="43"/>
    <d v="2026-05-15T00:00:00"/>
    <n v="137"/>
    <n v="128"/>
    <s v="Pavel Horák"/>
    <d v="2026-05-20T00:00:00"/>
    <n v="137"/>
    <d v="2026-05-21T00:00:00"/>
    <s v="INV5647"/>
    <n v="137"/>
    <n v="128"/>
    <d v="2026-05-29T00:00:00"/>
    <s v="OK"/>
    <s v="OK"/>
    <s v="OK"/>
    <s v="OK"/>
    <s v="OK"/>
    <s v="OK"/>
    <s v="Late Delivery"/>
    <s v="OK"/>
    <n v="0"/>
    <n v="0"/>
    <n v="0"/>
    <n v="0"/>
    <n v="0"/>
    <n v="0"/>
    <n v="1"/>
    <n v="0"/>
    <x v="3"/>
  </r>
  <r>
    <s v="PO1622"/>
    <x v="39"/>
    <d v="2026-04-02T00:00:00"/>
    <n v="255"/>
    <n v="111.18"/>
    <s v="Andreas Weber"/>
    <d v="2026-04-18T00:00:00"/>
    <n v="255"/>
    <d v="2026-04-18T00:00:00"/>
    <s v="INV5648"/>
    <n v="255"/>
    <n v="111.18"/>
    <d v="2026-04-22T00:00:00"/>
    <s v="OK"/>
    <s v="OK"/>
    <s v="OK"/>
    <s v="OK"/>
    <s v="OK"/>
    <s v="OK"/>
    <s v="OK"/>
    <s v="OK"/>
    <n v="0"/>
    <n v="0"/>
    <n v="0"/>
    <n v="0"/>
    <n v="0"/>
    <n v="0"/>
    <n v="0"/>
    <n v="0"/>
    <x v="1"/>
  </r>
  <r>
    <s v="PO1623"/>
    <x v="33"/>
    <d v="2026-05-09T00:00:00"/>
    <n v="174"/>
    <n v="80.73"/>
    <s v="Lukas Müller"/>
    <d v="2026-05-14T00:00:00"/>
    <n v="174"/>
    <d v="2026-05-13T00:00:00"/>
    <s v="INV5649"/>
    <n v="174"/>
    <n v="80.73"/>
    <d v="2026-05-19T00:00:00"/>
    <s v="OK"/>
    <s v="OK"/>
    <s v="OK"/>
    <s v="OK"/>
    <s v="OK"/>
    <s v="OK"/>
    <s v="OK"/>
    <s v="OK"/>
    <n v="0"/>
    <n v="0"/>
    <n v="0"/>
    <n v="0"/>
    <n v="0"/>
    <n v="0"/>
    <n v="0"/>
    <n v="0"/>
    <x v="3"/>
  </r>
  <r>
    <s v="PO1624"/>
    <x v="45"/>
    <d v="2026-02-26T00:00:00"/>
    <n v="25"/>
    <n v="179.67"/>
    <s v="Eva Andersson"/>
    <d v="2026-03-11T00:00:00"/>
    <n v="25"/>
    <d v="2026-03-10T00:00:00"/>
    <s v="INV5650"/>
    <n v="25"/>
    <n v="179.67"/>
    <d v="2026-03-13T00:00:00"/>
    <s v="OK"/>
    <s v="OK"/>
    <s v="OK"/>
    <s v="OK"/>
    <s v="OK"/>
    <s v="OK"/>
    <s v="OK"/>
    <s v="OK"/>
    <n v="0"/>
    <n v="0"/>
    <n v="0"/>
    <n v="0"/>
    <n v="0"/>
    <n v="0"/>
    <n v="0"/>
    <n v="0"/>
    <x v="4"/>
  </r>
  <r>
    <s v="PO1625"/>
    <x v="21"/>
    <d v="2026-05-01T00:00:00"/>
    <n v="281"/>
    <n v="74.7"/>
    <s v="Emma Johansson"/>
    <d v="2026-05-13T00:00:00"/>
    <n v="281"/>
    <d v="2026-05-14T00:00:00"/>
    <s v="INV5651"/>
    <n v="281"/>
    <n v="81.12"/>
    <d v="2026-05-15T00:00:00"/>
    <s v="OK"/>
    <s v="OK"/>
    <s v="OK"/>
    <s v="OK"/>
    <s v="OK"/>
    <s v="Price Variance"/>
    <s v="Late Delivery"/>
    <s v="OK"/>
    <n v="0"/>
    <n v="0"/>
    <n v="0"/>
    <n v="0"/>
    <n v="0"/>
    <n v="1"/>
    <n v="1"/>
    <n v="0"/>
    <x v="3"/>
  </r>
  <r>
    <s v="PO1626"/>
    <x v="11"/>
    <d v="2026-01-26T00:00:00"/>
    <n v="136"/>
    <n v="133.09"/>
    <s v="Anna Kowalska"/>
    <d v="2026-02-01T00:00:00"/>
    <n v="136"/>
    <d v="2026-02-02T00:00:00"/>
    <s v="INV5652"/>
    <n v="136"/>
    <n v="154.59"/>
    <d v="2026-02-10T00:00:00"/>
    <s v="OK"/>
    <s v="OK"/>
    <s v="OK"/>
    <s v="OK"/>
    <s v="OK"/>
    <s v="Price Variance"/>
    <s v="Late Delivery"/>
    <s v="OK"/>
    <n v="0"/>
    <n v="0"/>
    <n v="0"/>
    <n v="0"/>
    <n v="0"/>
    <n v="1"/>
    <n v="1"/>
    <n v="0"/>
    <x v="0"/>
  </r>
  <r>
    <s v="PO1627"/>
    <x v="4"/>
    <d v="2026-05-28T00:00:00"/>
    <n v="443"/>
    <n v="196.62"/>
    <s v="Laura Schmidt"/>
    <d v="2026-06-13T00:00:00"/>
    <n v="431"/>
    <d v="2026-06-22T00:00:00"/>
    <s v="INV5653"/>
    <n v="443"/>
    <n v="196.62"/>
    <d v="2026-06-14T00:00:00"/>
    <s v="OK"/>
    <s v="OK"/>
    <s v="OK"/>
    <s v="OK"/>
    <s v="Qty Variance"/>
    <s v="OK"/>
    <s v="Late Delivery"/>
    <s v="OK"/>
    <n v="0"/>
    <n v="0"/>
    <n v="0"/>
    <n v="0"/>
    <n v="1"/>
    <n v="0"/>
    <n v="1"/>
    <n v="0"/>
    <x v="3"/>
  </r>
  <r>
    <s v="PO1628"/>
    <x v="28"/>
    <d v="2026-02-15T00:00:00"/>
    <n v="131"/>
    <n v="120.54"/>
    <s v="Victor Popescu"/>
    <d v="2026-03-03T00:00:00"/>
    <n v="131"/>
    <d v="2026-03-04T00:00:00"/>
    <s v="INV5654"/>
    <n v="131"/>
    <n v="120.54"/>
    <d v="2026-03-12T00:00:00"/>
    <s v="OK"/>
    <s v="OK"/>
    <s v="OK"/>
    <s v="OK"/>
    <s v="OK"/>
    <s v="OK"/>
    <s v="Late Delivery"/>
    <s v="OK"/>
    <n v="0"/>
    <n v="0"/>
    <n v="0"/>
    <n v="0"/>
    <n v="0"/>
    <n v="0"/>
    <n v="1"/>
    <n v="0"/>
    <x v="4"/>
  </r>
  <r>
    <s v="PO1629"/>
    <x v="2"/>
    <d v="2026-01-08T00:00:00"/>
    <n v="370"/>
    <n v="141.61000000000001"/>
    <s v="Emma Johansson"/>
    <d v="2026-01-17T00:00:00"/>
    <n v="370"/>
    <d v="2026-01-16T00:00:00"/>
    <s v="INV5655"/>
    <n v="370"/>
    <n v="141.61000000000001"/>
    <d v="2026-01-25T00:00:00"/>
    <s v="OK"/>
    <s v="OK"/>
    <s v="OK"/>
    <s v="OK"/>
    <s v="OK"/>
    <s v="OK"/>
    <s v="OK"/>
    <s v="OK"/>
    <n v="0"/>
    <n v="0"/>
    <n v="0"/>
    <n v="0"/>
    <n v="0"/>
    <n v="0"/>
    <n v="0"/>
    <n v="0"/>
    <x v="0"/>
  </r>
  <r>
    <s v="PO1630"/>
    <x v="33"/>
    <d v="2026-02-18T00:00:00"/>
    <n v="438"/>
    <n v="197.66"/>
    <s v="Andreas Weber"/>
    <d v="2026-03-04T00:00:00"/>
    <n v="438"/>
    <d v="2026-03-03T00:00:00"/>
    <s v="INV5656"/>
    <n v="438"/>
    <n v="197.66"/>
    <d v="2026-03-13T00:00:00"/>
    <s v="OK"/>
    <s v="OK"/>
    <s v="OK"/>
    <s v="OK"/>
    <s v="OK"/>
    <s v="OK"/>
    <s v="OK"/>
    <s v="OK"/>
    <n v="0"/>
    <n v="0"/>
    <n v="0"/>
    <n v="0"/>
    <n v="0"/>
    <n v="0"/>
    <n v="0"/>
    <n v="0"/>
    <x v="4"/>
  </r>
  <r>
    <s v="PO1631"/>
    <x v="28"/>
    <d v="2026-05-06T00:00:00"/>
    <n v="29"/>
    <n v="22.6"/>
    <s v="Mateo García"/>
    <d v="2026-05-18T00:00:00"/>
    <n v="29"/>
    <d v="2026-05-23T00:00:00"/>
    <s v="INV5657"/>
    <n v="29"/>
    <n v="22.6"/>
    <d v="2026-05-28T00:00:00"/>
    <s v="OK"/>
    <s v="OK"/>
    <s v="OK"/>
    <s v="OK"/>
    <s v="OK"/>
    <s v="OK"/>
    <s v="Late Delivery"/>
    <s v="OK"/>
    <n v="0"/>
    <n v="0"/>
    <n v="0"/>
    <n v="0"/>
    <n v="0"/>
    <n v="0"/>
    <n v="1"/>
    <n v="0"/>
    <x v="3"/>
  </r>
  <r>
    <s v="PO1604"/>
    <x v="45"/>
    <d v="2026-04-15T00:00:00"/>
    <n v="71"/>
    <n v="109.51"/>
    <s v="Eva Andersson"/>
    <d v="2026-04-26T00:00:00"/>
    <m/>
    <m/>
    <s v="INV5629"/>
    <n v="71"/>
    <n v="109.51"/>
    <d v="2026-05-01T00:00:00"/>
    <s v="OK"/>
    <s v="No GR - Not received"/>
    <s v="OK"/>
    <s v="OK"/>
    <s v="OK"/>
    <s v="OK"/>
    <s v="OK"/>
    <s v="Duplicate Invoice"/>
    <n v="0"/>
    <n v="1"/>
    <n v="0"/>
    <n v="0"/>
    <n v="0"/>
    <n v="0"/>
    <n v="0"/>
    <n v="1"/>
    <x v="1"/>
  </r>
  <r>
    <s v="PO1604"/>
    <x v="45"/>
    <d v="2026-04-15T00:00:00"/>
    <n v="71"/>
    <n v="109.51"/>
    <s v="Eva Andersson"/>
    <d v="2026-04-26T00:00:00"/>
    <m/>
    <m/>
    <s v="INV5630"/>
    <n v="71"/>
    <n v="109.51"/>
    <d v="2026-05-05T00:00:00"/>
    <s v="OK"/>
    <s v="No GR - Not received"/>
    <s v="OK"/>
    <s v="OK"/>
    <s v="OK"/>
    <s v="OK"/>
    <s v="OK"/>
    <s v="Duplicate Invoice"/>
    <n v="0"/>
    <n v="1"/>
    <n v="0"/>
    <n v="0"/>
    <n v="0"/>
    <n v="0"/>
    <n v="0"/>
    <n v="1"/>
    <x v="1"/>
  </r>
  <r>
    <s v="PO1632"/>
    <x v="20"/>
    <d v="2026-05-15T00:00:00"/>
    <n v="254"/>
    <n v="5.13"/>
    <s v="Thomas Lefèvre"/>
    <d v="2026-05-26T00:00:00"/>
    <n v="254"/>
    <d v="2026-05-27T00:00:00"/>
    <s v="INV5658"/>
    <n v="254"/>
    <n v="5.13"/>
    <d v="2026-05-27T00:00:00"/>
    <s v="OK"/>
    <s v="OK"/>
    <s v="OK"/>
    <s v="OK"/>
    <s v="OK"/>
    <s v="OK"/>
    <s v="Late Delivery"/>
    <s v="OK"/>
    <n v="0"/>
    <n v="0"/>
    <n v="0"/>
    <n v="0"/>
    <n v="0"/>
    <n v="0"/>
    <n v="1"/>
    <n v="0"/>
    <x v="3"/>
  </r>
  <r>
    <s v="PO1633"/>
    <x v="1"/>
    <d v="2026-03-29T00:00:00"/>
    <n v="377"/>
    <n v="39.6"/>
    <s v="Elena Petrova"/>
    <d v="2026-04-04T00:00:00"/>
    <n v="377"/>
    <d v="2026-04-02T00:00:00"/>
    <s v="INV5659"/>
    <n v="377"/>
    <n v="39.6"/>
    <d v="2026-04-10T00:00:00"/>
    <s v="OK"/>
    <s v="OK"/>
    <s v="OK"/>
    <s v="OK"/>
    <s v="OK"/>
    <s v="OK"/>
    <s v="OK"/>
    <s v="OK"/>
    <n v="0"/>
    <n v="0"/>
    <n v="0"/>
    <n v="0"/>
    <n v="0"/>
    <n v="0"/>
    <n v="0"/>
    <n v="0"/>
    <x v="2"/>
  </r>
  <r>
    <s v="PO1605"/>
    <x v="23"/>
    <d v="2026-03-20T00:00:00"/>
    <n v="247"/>
    <n v="56.68"/>
    <s v="Haley Rivas"/>
    <d v="2026-03-27T00:00:00"/>
    <m/>
    <m/>
    <s v="INV5631"/>
    <n v="247"/>
    <n v="56.68"/>
    <d v="2026-03-31T00:00:00"/>
    <s v="OK"/>
    <s v="No GR - Not received"/>
    <s v="OK"/>
    <s v="OK"/>
    <s v="OK"/>
    <s v="OK"/>
    <s v="OK"/>
    <s v="OK"/>
    <n v="0"/>
    <n v="1"/>
    <n v="0"/>
    <n v="0"/>
    <n v="0"/>
    <n v="0"/>
    <n v="0"/>
    <n v="0"/>
    <x v="2"/>
  </r>
  <r>
    <s v="PO1634"/>
    <x v="20"/>
    <d v="2026-02-07T00:00:00"/>
    <n v="310"/>
    <n v="142.41999999999999"/>
    <s v="Winter Underwood"/>
    <d v="2026-02-15T00:00:00"/>
    <n v="328"/>
    <d v="2026-02-14T00:00:00"/>
    <s v="INV5660"/>
    <n v="310"/>
    <n v="142.41999999999999"/>
    <d v="2026-02-24T00:00:00"/>
    <s v="OK"/>
    <s v="OK"/>
    <s v="OK"/>
    <s v="OK"/>
    <s v="Qty Variance"/>
    <s v="OK"/>
    <s v="OK"/>
    <s v="OK"/>
    <n v="0"/>
    <n v="0"/>
    <n v="0"/>
    <n v="0"/>
    <n v="1"/>
    <n v="0"/>
    <n v="0"/>
    <n v="0"/>
    <x v="4"/>
  </r>
  <r>
    <s v="PO1636"/>
    <x v="2"/>
    <d v="2026-01-26T00:00:00"/>
    <n v="182"/>
    <n v="63.84"/>
    <s v="Winter Underwood"/>
    <d v="2026-02-05T00:00:00"/>
    <n v="182"/>
    <d v="2026-02-03T00:00:00"/>
    <s v="INV5662"/>
    <n v="182"/>
    <n v="63.84"/>
    <d v="2026-02-14T00:00:00"/>
    <s v="OK"/>
    <s v="OK"/>
    <s v="OK"/>
    <s v="OK"/>
    <s v="OK"/>
    <s v="OK"/>
    <s v="OK"/>
    <s v="OK"/>
    <n v="0"/>
    <n v="0"/>
    <n v="0"/>
    <n v="0"/>
    <n v="0"/>
    <n v="0"/>
    <n v="0"/>
    <n v="0"/>
    <x v="0"/>
  </r>
  <r>
    <s v="PO1637"/>
    <x v="22"/>
    <d v="2026-04-22T00:00:00"/>
    <n v="415"/>
    <n v="129.66"/>
    <s v="Andreas Weber"/>
    <d v="2026-05-07T00:00:00"/>
    <n v="415"/>
    <d v="2026-05-05T00:00:00"/>
    <s v="INV5663"/>
    <n v="415"/>
    <n v="129.66"/>
    <d v="2026-05-13T00:00:00"/>
    <s v="OK"/>
    <s v="OK"/>
    <s v="OK"/>
    <s v="OK"/>
    <s v="OK"/>
    <s v="OK"/>
    <s v="OK"/>
    <s v="OK"/>
    <n v="0"/>
    <n v="0"/>
    <n v="0"/>
    <n v="0"/>
    <n v="0"/>
    <n v="0"/>
    <n v="0"/>
    <n v="0"/>
    <x v="1"/>
  </r>
  <r>
    <s v="PO1608"/>
    <x v="29"/>
    <d v="2026-05-12T00:00:00"/>
    <n v="35"/>
    <n v="137.05000000000001"/>
    <s v="Anna Kowalska"/>
    <d v="2026-05-22T00:00:00"/>
    <m/>
    <m/>
    <s v="INV5634"/>
    <n v="35"/>
    <n v="137.05000000000001"/>
    <d v="2026-05-24T00:00:00"/>
    <s v="OK"/>
    <s v="No GR - Not received"/>
    <s v="OK"/>
    <s v="OK"/>
    <s v="OK"/>
    <s v="OK"/>
    <s v="OK"/>
    <s v="OK"/>
    <n v="0"/>
    <n v="1"/>
    <n v="0"/>
    <n v="0"/>
    <n v="0"/>
    <n v="0"/>
    <n v="0"/>
    <n v="0"/>
    <x v="3"/>
  </r>
  <r>
    <s v="PO1638"/>
    <x v="28"/>
    <d v="2026-05-24T00:00:00"/>
    <n v="365"/>
    <n v="178.47"/>
    <s v="Thomas Lefèvre"/>
    <d v="2026-06-09T00:00:00"/>
    <n v="365"/>
    <d v="2026-06-07T00:00:00"/>
    <s v="INV5664"/>
    <n v="365"/>
    <n v="178.47"/>
    <d v="2026-06-10T00:00:00"/>
    <s v="OK"/>
    <s v="OK"/>
    <s v="OK"/>
    <s v="OK"/>
    <s v="OK"/>
    <s v="OK"/>
    <s v="OK"/>
    <s v="OK"/>
    <n v="0"/>
    <n v="0"/>
    <n v="0"/>
    <n v="0"/>
    <n v="0"/>
    <n v="0"/>
    <n v="0"/>
    <n v="0"/>
    <x v="3"/>
  </r>
  <r>
    <s v="PO1639"/>
    <x v="4"/>
    <d v="2026-05-31T00:00:00"/>
    <n v="427"/>
    <n v="39.19"/>
    <s v="Nicolas Dubois"/>
    <d v="2026-06-14T00:00:00"/>
    <n v="427"/>
    <d v="2026-06-22T00:00:00"/>
    <s v="INV5665"/>
    <n v="427"/>
    <n v="39.19"/>
    <d v="2026-06-20T00:00:00"/>
    <s v="OK"/>
    <s v="OK"/>
    <s v="OK"/>
    <s v="OK"/>
    <s v="OK"/>
    <s v="OK"/>
    <s v="Late Delivery"/>
    <s v="OK"/>
    <n v="0"/>
    <n v="0"/>
    <n v="0"/>
    <n v="0"/>
    <n v="0"/>
    <n v="0"/>
    <n v="1"/>
    <n v="0"/>
    <x v="3"/>
  </r>
  <r>
    <s v="PO1640"/>
    <x v="1"/>
    <d v="2026-02-15T00:00:00"/>
    <n v="383"/>
    <n v="5.35"/>
    <s v="Marta Nowak"/>
    <d v="2026-03-04T00:00:00"/>
    <n v="383"/>
    <d v="2026-03-06T00:00:00"/>
    <s v="INV5666"/>
    <n v="383"/>
    <n v="5.35"/>
    <d v="2026-03-08T00:00:00"/>
    <s v="OK"/>
    <s v="OK"/>
    <s v="OK"/>
    <s v="OK"/>
    <s v="OK"/>
    <s v="OK"/>
    <s v="Late Delivery"/>
    <s v="OK"/>
    <n v="0"/>
    <n v="0"/>
    <n v="0"/>
    <n v="0"/>
    <n v="0"/>
    <n v="0"/>
    <n v="1"/>
    <n v="0"/>
    <x v="4"/>
  </r>
  <r>
    <s v="PO1641"/>
    <x v="33"/>
    <d v="2026-01-09T00:00:00"/>
    <n v="103"/>
    <n v="122.47"/>
    <s v="Thomas Lefèvre"/>
    <d v="2026-01-21T00:00:00"/>
    <n v="103"/>
    <d v="2026-01-19T00:00:00"/>
    <s v="INV5667"/>
    <n v="103"/>
    <n v="122.47"/>
    <d v="2026-01-23T00:00:00"/>
    <s v="OK"/>
    <s v="OK"/>
    <s v="OK"/>
    <s v="OK"/>
    <s v="OK"/>
    <s v="OK"/>
    <s v="OK"/>
    <s v="OK"/>
    <n v="0"/>
    <n v="0"/>
    <n v="0"/>
    <n v="0"/>
    <n v="0"/>
    <n v="0"/>
    <n v="0"/>
    <n v="0"/>
    <x v="0"/>
  </r>
  <r>
    <s v="PO1642"/>
    <x v="0"/>
    <d v="2026-05-25T00:00:00"/>
    <n v="63"/>
    <n v="187.65"/>
    <s v="Winter Underwood"/>
    <d v="2026-06-09T00:00:00"/>
    <n v="63"/>
    <d v="2026-06-10T00:00:00"/>
    <s v="INV5668"/>
    <n v="63"/>
    <n v="187.65"/>
    <d v="2026-06-14T00:00:00"/>
    <s v="OK"/>
    <s v="OK"/>
    <s v="OK"/>
    <s v="OK"/>
    <s v="OK"/>
    <s v="OK"/>
    <s v="Late Delivery"/>
    <s v="OK"/>
    <n v="0"/>
    <n v="0"/>
    <n v="0"/>
    <n v="0"/>
    <n v="0"/>
    <n v="0"/>
    <n v="1"/>
    <n v="0"/>
    <x v="3"/>
  </r>
  <r>
    <s v="PO1643"/>
    <x v="15"/>
    <d v="2026-01-20T00:00:00"/>
    <n v="131"/>
    <n v="72.63"/>
    <s v="Elena Petrova"/>
    <d v="2026-01-30T00:00:00"/>
    <n v="131"/>
    <d v="2026-02-09T00:00:00"/>
    <s v="INV5669"/>
    <n v="131"/>
    <n v="72.63"/>
    <d v="2026-02-09T00:00:00"/>
    <s v="OK"/>
    <s v="OK"/>
    <s v="OK"/>
    <s v="OK"/>
    <s v="OK"/>
    <s v="OK"/>
    <s v="Late Delivery"/>
    <s v="OK"/>
    <n v="0"/>
    <n v="0"/>
    <n v="0"/>
    <n v="0"/>
    <n v="0"/>
    <n v="0"/>
    <n v="1"/>
    <n v="0"/>
    <x v="0"/>
  </r>
  <r>
    <s v="PO1644"/>
    <x v="0"/>
    <d v="2026-01-23T00:00:00"/>
    <n v="430"/>
    <n v="143.25"/>
    <s v="Katarina Jovanović"/>
    <d v="2026-02-07T00:00:00"/>
    <n v="430"/>
    <d v="2026-02-08T00:00:00"/>
    <s v="INV5670"/>
    <n v="430"/>
    <n v="143.25"/>
    <d v="2026-02-16T00:00:00"/>
    <s v="OK"/>
    <s v="OK"/>
    <s v="OK"/>
    <s v="OK"/>
    <s v="OK"/>
    <s v="OK"/>
    <s v="Late Delivery"/>
    <s v="OK"/>
    <n v="0"/>
    <n v="0"/>
    <n v="0"/>
    <n v="0"/>
    <n v="0"/>
    <n v="0"/>
    <n v="1"/>
    <n v="0"/>
    <x v="0"/>
  </r>
  <r>
    <s v="PO1635"/>
    <x v="31"/>
    <d v="2026-04-04T00:00:00"/>
    <n v="47"/>
    <n v="77.849999999999994"/>
    <s v=""/>
    <d v="2026-04-21T00:00:00"/>
    <m/>
    <m/>
    <s v="INV5661"/>
    <n v="47"/>
    <n v="86.98"/>
    <d v="2026-04-24T00:00:00"/>
    <s v="Missing Approval"/>
    <s v="No GR - Not received"/>
    <s v="OK"/>
    <s v="OK"/>
    <s v="OK"/>
    <s v="Price Variance"/>
    <s v="OK"/>
    <s v="OK"/>
    <n v="1"/>
    <n v="1"/>
    <n v="0"/>
    <n v="0"/>
    <n v="0"/>
    <n v="1"/>
    <n v="0"/>
    <n v="0"/>
    <x v="1"/>
  </r>
  <r>
    <s v="PO1645"/>
    <x v="23"/>
    <d v="2026-01-03T00:00:00"/>
    <n v="145"/>
    <n v="45.89"/>
    <s v="Marta Nowak"/>
    <d v="2026-01-10T00:00:00"/>
    <n v="145"/>
    <d v="2026-01-10T00:00:00"/>
    <s v="INV5671"/>
    <n v="145"/>
    <n v="51.37"/>
    <d v="2026-01-20T00:00:00"/>
    <s v="OK"/>
    <s v="OK"/>
    <s v="OK"/>
    <s v="OK"/>
    <s v="OK"/>
    <s v="Price Variance"/>
    <s v="OK"/>
    <s v="OK"/>
    <n v="0"/>
    <n v="0"/>
    <n v="0"/>
    <n v="0"/>
    <n v="0"/>
    <n v="1"/>
    <n v="0"/>
    <n v="0"/>
    <x v="0"/>
  </r>
  <r>
    <s v="PO1646"/>
    <x v="40"/>
    <d v="2026-03-07T00:00:00"/>
    <n v="412"/>
    <n v="26.07"/>
    <s v="J. Kovacs"/>
    <d v="2026-03-13T00:00:00"/>
    <n v="412"/>
    <d v="2026-03-14T00:00:00"/>
    <s v="INV5672"/>
    <n v="412"/>
    <n v="27.4"/>
    <d v="2026-03-21T00:00:00"/>
    <s v="OK"/>
    <s v="OK"/>
    <s v="OK"/>
    <s v="OK"/>
    <s v="OK"/>
    <s v="Price Variance"/>
    <s v="Late Delivery"/>
    <s v="OK"/>
    <n v="0"/>
    <n v="0"/>
    <n v="0"/>
    <n v="0"/>
    <n v="0"/>
    <n v="1"/>
    <n v="1"/>
    <n v="0"/>
    <x v="2"/>
  </r>
  <r>
    <s v="PO1647"/>
    <x v="39"/>
    <d v="2026-04-23T00:00:00"/>
    <n v="385"/>
    <n v="86.83"/>
    <s v="Lukas Müller"/>
    <d v="2026-05-11T00:00:00"/>
    <n v="385"/>
    <d v="2026-05-10T00:00:00"/>
    <s v="INV5673"/>
    <n v="385"/>
    <n v="86.83"/>
    <d v="2026-05-12T00:00:00"/>
    <s v="OK"/>
    <s v="OK"/>
    <s v="OK"/>
    <s v="OK"/>
    <s v="OK"/>
    <s v="OK"/>
    <s v="OK"/>
    <s v="OK"/>
    <n v="0"/>
    <n v="0"/>
    <n v="0"/>
    <n v="0"/>
    <n v="0"/>
    <n v="0"/>
    <n v="0"/>
    <n v="0"/>
    <x v="1"/>
  </r>
  <r>
    <s v="PO1648"/>
    <x v="37"/>
    <d v="2026-04-07T00:00:00"/>
    <n v="189"/>
    <n v="111.47"/>
    <s v="Haley Rivas"/>
    <d v="2026-04-27T00:00:00"/>
    <n v="189"/>
    <d v="2026-04-25T00:00:00"/>
    <s v="INV5674"/>
    <n v="189"/>
    <n v="111.47"/>
    <d v="2026-05-04T00:00:00"/>
    <s v="OK"/>
    <s v="OK"/>
    <s v="OK"/>
    <s v="OK"/>
    <s v="OK"/>
    <s v="OK"/>
    <s v="OK"/>
    <s v="OK"/>
    <n v="0"/>
    <n v="0"/>
    <n v="0"/>
    <n v="0"/>
    <n v="0"/>
    <n v="0"/>
    <n v="0"/>
    <n v="0"/>
    <x v="1"/>
  </r>
  <r>
    <s v="PO1649"/>
    <x v="33"/>
    <d v="2026-02-27T00:00:00"/>
    <n v="93"/>
    <n v="93"/>
    <s v=""/>
    <d v="2026-03-13T00:00:00"/>
    <n v="85"/>
    <d v="2026-03-13T00:00:00"/>
    <s v="INV5675"/>
    <n v="93"/>
    <n v="93"/>
    <d v="2026-03-21T00:00:00"/>
    <s v="Missing Approval"/>
    <s v="OK"/>
    <s v="OK"/>
    <s v="OK"/>
    <s v="Qty Variance"/>
    <s v="OK"/>
    <s v="OK"/>
    <s v="OK"/>
    <n v="1"/>
    <n v="0"/>
    <n v="0"/>
    <n v="0"/>
    <n v="1"/>
    <n v="0"/>
    <n v="0"/>
    <n v="0"/>
    <x v="4"/>
  </r>
  <r>
    <s v="PO1650"/>
    <x v="20"/>
    <d v="2026-03-23T00:00:00"/>
    <n v="143"/>
    <n v="190.57"/>
    <s v="Camila Cantrell"/>
    <d v="2026-04-07T00:00:00"/>
    <n v="143"/>
    <d v="2026-04-07T00:00:00"/>
    <s v="INV5676"/>
    <n v="143"/>
    <n v="190.57"/>
    <d v="2026-04-10T00:00:00"/>
    <s v="OK"/>
    <s v="OK"/>
    <s v="OK"/>
    <s v="OK"/>
    <s v="OK"/>
    <s v="OK"/>
    <s v="OK"/>
    <s v="OK"/>
    <n v="0"/>
    <n v="0"/>
    <n v="0"/>
    <n v="0"/>
    <n v="0"/>
    <n v="0"/>
    <n v="0"/>
    <n v="0"/>
    <x v="2"/>
  </r>
  <r>
    <s v="PO1651"/>
    <x v="11"/>
    <d v="2026-04-07T00:00:00"/>
    <n v="92"/>
    <n v="147.74"/>
    <s v="Pavel Horák"/>
    <d v="2026-04-14T00:00:00"/>
    <n v="92"/>
    <d v="2026-04-13T00:00:00"/>
    <s v="INV5677"/>
    <n v="92"/>
    <n v="147.74"/>
    <d v="2026-04-15T00:00:00"/>
    <s v="OK"/>
    <s v="OK"/>
    <s v="OK"/>
    <s v="OK"/>
    <s v="OK"/>
    <s v="OK"/>
    <s v="OK"/>
    <s v="OK"/>
    <n v="0"/>
    <n v="0"/>
    <n v="0"/>
    <n v="0"/>
    <n v="0"/>
    <n v="0"/>
    <n v="0"/>
    <n v="0"/>
    <x v="1"/>
  </r>
  <r>
    <s v="PO1652"/>
    <x v="24"/>
    <d v="2026-05-04T00:00:00"/>
    <n v="370"/>
    <n v="11.04"/>
    <s v="Katarina Jovanović"/>
    <d v="2026-05-14T00:00:00"/>
    <n v="370"/>
    <d v="2026-05-15T00:00:00"/>
    <s v="INV5678"/>
    <n v="370"/>
    <n v="11.04"/>
    <d v="2026-05-18T00:00:00"/>
    <s v="OK"/>
    <s v="OK"/>
    <s v="OK"/>
    <s v="OK"/>
    <s v="OK"/>
    <s v="OK"/>
    <s v="Late Delivery"/>
    <s v="OK"/>
    <n v="0"/>
    <n v="0"/>
    <n v="0"/>
    <n v="0"/>
    <n v="0"/>
    <n v="0"/>
    <n v="1"/>
    <n v="0"/>
    <x v="3"/>
  </r>
  <r>
    <s v="PO1653"/>
    <x v="17"/>
    <d v="2026-04-22T00:00:00"/>
    <n v="90"/>
    <n v="15.44"/>
    <s v="Elena Petrova"/>
    <d v="2026-05-03T00:00:00"/>
    <n v="90"/>
    <d v="2026-05-02T00:00:00"/>
    <s v="INV5679"/>
    <n v="90"/>
    <n v="15.44"/>
    <d v="2026-05-09T00:00:00"/>
    <s v="OK"/>
    <s v="OK"/>
    <s v="OK"/>
    <s v="OK"/>
    <s v="OK"/>
    <s v="OK"/>
    <s v="OK"/>
    <s v="OK"/>
    <n v="0"/>
    <n v="0"/>
    <n v="0"/>
    <n v="0"/>
    <n v="0"/>
    <n v="0"/>
    <n v="0"/>
    <n v="0"/>
    <x v="1"/>
  </r>
  <r>
    <s v="PO1654"/>
    <x v="41"/>
    <d v="2026-04-15T00:00:00"/>
    <n v="366"/>
    <n v="113.05"/>
    <s v="Victor Popescu"/>
    <d v="2026-04-28T00:00:00"/>
    <n v="366"/>
    <d v="2026-04-29T00:00:00"/>
    <s v="INV5680"/>
    <n v="366"/>
    <n v="113.05"/>
    <d v="2026-05-03T00:00:00"/>
    <s v="OK"/>
    <s v="OK"/>
    <s v="OK"/>
    <s v="OK"/>
    <s v="OK"/>
    <s v="OK"/>
    <s v="Late Delivery"/>
    <s v="OK"/>
    <n v="0"/>
    <n v="0"/>
    <n v="0"/>
    <n v="0"/>
    <n v="0"/>
    <n v="0"/>
    <n v="1"/>
    <n v="0"/>
    <x v="1"/>
  </r>
  <r>
    <s v="PO1655"/>
    <x v="27"/>
    <d v="2026-03-14T00:00:00"/>
    <n v="162"/>
    <n v="51.32"/>
    <s v="A. Nagy"/>
    <d v="2026-03-31T00:00:00"/>
    <n v="162"/>
    <d v="2026-04-01T00:00:00"/>
    <s v="INV5681"/>
    <n v="162"/>
    <n v="51.32"/>
    <d v="2026-04-08T00:00:00"/>
    <s v="OK"/>
    <s v="OK"/>
    <s v="OK"/>
    <s v="OK"/>
    <s v="OK"/>
    <s v="OK"/>
    <s v="Late Delivery"/>
    <s v="OK"/>
    <n v="0"/>
    <n v="0"/>
    <n v="0"/>
    <n v="0"/>
    <n v="0"/>
    <n v="0"/>
    <n v="1"/>
    <n v="0"/>
    <x v="2"/>
  </r>
  <r>
    <s v="PO1656"/>
    <x v="33"/>
    <d v="2026-05-21T00:00:00"/>
    <n v="440"/>
    <n v="100.73"/>
    <s v="A. Nagy"/>
    <d v="2026-06-06T00:00:00"/>
    <n v="440"/>
    <d v="2026-06-07T00:00:00"/>
    <s v="INV5682"/>
    <n v="440"/>
    <n v="100.73"/>
    <d v="2026-06-13T00:00:00"/>
    <s v="OK"/>
    <s v="OK"/>
    <s v="OK"/>
    <s v="OK"/>
    <s v="OK"/>
    <s v="OK"/>
    <s v="Late Delivery"/>
    <s v="Duplicate Invoice"/>
    <n v="0"/>
    <n v="0"/>
    <n v="0"/>
    <n v="0"/>
    <n v="0"/>
    <n v="0"/>
    <n v="1"/>
    <n v="1"/>
    <x v="3"/>
  </r>
  <r>
    <s v="PO1656"/>
    <x v="33"/>
    <d v="2026-05-21T00:00:00"/>
    <n v="440"/>
    <n v="100.73"/>
    <s v="A. Nagy"/>
    <d v="2026-06-06T00:00:00"/>
    <n v="440"/>
    <d v="2026-06-07T00:00:00"/>
    <s v="INV5683"/>
    <n v="440"/>
    <n v="100.73"/>
    <d v="2026-06-15T00:00:00"/>
    <s v="OK"/>
    <s v="OK"/>
    <s v="OK"/>
    <s v="OK"/>
    <s v="OK"/>
    <s v="OK"/>
    <s v="Late Delivery"/>
    <s v="Duplicate Invoice"/>
    <n v="0"/>
    <n v="0"/>
    <n v="0"/>
    <n v="0"/>
    <n v="0"/>
    <n v="0"/>
    <n v="1"/>
    <n v="1"/>
    <x v="3"/>
  </r>
  <r>
    <s v="PO1657"/>
    <x v="25"/>
    <d v="2026-04-20T00:00:00"/>
    <n v="54"/>
    <n v="62.44"/>
    <s v="Felix Bauer"/>
    <d v="2026-05-10T00:00:00"/>
    <n v="54"/>
    <d v="2026-05-11T00:00:00"/>
    <s v="INV5684"/>
    <n v="54"/>
    <n v="62.44"/>
    <d v="2026-05-15T00:00:00"/>
    <s v="OK"/>
    <s v="OK"/>
    <s v="OK"/>
    <s v="OK"/>
    <s v="OK"/>
    <s v="OK"/>
    <s v="Late Delivery"/>
    <s v="OK"/>
    <n v="0"/>
    <n v="0"/>
    <n v="0"/>
    <n v="0"/>
    <n v="0"/>
    <n v="0"/>
    <n v="1"/>
    <n v="0"/>
    <x v="1"/>
  </r>
  <r>
    <s v="PO1658"/>
    <x v="41"/>
    <d v="2026-01-25T00:00:00"/>
    <n v="23"/>
    <n v="45.36"/>
    <s v="Katarina Jovanović"/>
    <d v="2026-02-08T00:00:00"/>
    <n v="23"/>
    <d v="2026-02-08T00:00:00"/>
    <s v="INV5685"/>
    <n v="23"/>
    <n v="45.36"/>
    <d v="2026-02-14T00:00:00"/>
    <s v="OK"/>
    <s v="OK"/>
    <s v="OK"/>
    <s v="OK"/>
    <s v="OK"/>
    <s v="OK"/>
    <s v="OK"/>
    <s v="OK"/>
    <n v="0"/>
    <n v="0"/>
    <n v="0"/>
    <n v="0"/>
    <n v="0"/>
    <n v="0"/>
    <n v="0"/>
    <n v="0"/>
    <x v="0"/>
  </r>
  <r>
    <s v="PO1659"/>
    <x v="10"/>
    <d v="2026-05-02T00:00:00"/>
    <n v="442"/>
    <n v="27.52"/>
    <s v="Laura Schmidt"/>
    <d v="2026-05-22T00:00:00"/>
    <n v="442"/>
    <d v="2026-05-24T00:00:00"/>
    <s v="INV5686"/>
    <n v="442"/>
    <n v="27.52"/>
    <d v="2026-05-26T00:00:00"/>
    <s v="OK"/>
    <s v="OK"/>
    <s v="OK"/>
    <s v="OK"/>
    <s v="OK"/>
    <s v="OK"/>
    <s v="Late Delivery"/>
    <s v="OK"/>
    <n v="0"/>
    <n v="0"/>
    <n v="0"/>
    <n v="0"/>
    <n v="0"/>
    <n v="0"/>
    <n v="1"/>
    <n v="0"/>
    <x v="3"/>
  </r>
  <r>
    <s v="PO1660"/>
    <x v="37"/>
    <d v="2026-03-09T00:00:00"/>
    <n v="56"/>
    <n v="130.16"/>
    <s v="Laura Schmidt"/>
    <d v="2026-03-19T00:00:00"/>
    <n v="50"/>
    <d v="2026-03-20T00:00:00"/>
    <s v="INV5687"/>
    <n v="56"/>
    <n v="130.16"/>
    <d v="2026-03-24T00:00:00"/>
    <s v="OK"/>
    <s v="OK"/>
    <s v="OK"/>
    <s v="OK"/>
    <s v="Qty Variance"/>
    <s v="OK"/>
    <s v="Late Delivery"/>
    <s v="OK"/>
    <n v="0"/>
    <n v="0"/>
    <n v="0"/>
    <n v="0"/>
    <n v="1"/>
    <n v="0"/>
    <n v="1"/>
    <n v="0"/>
    <x v="2"/>
  </r>
  <r>
    <s v="PO1661"/>
    <x v="35"/>
    <d v="2026-04-08T00:00:00"/>
    <n v="199"/>
    <n v="41.38"/>
    <s v="A. Nagy"/>
    <d v="2026-04-21T00:00:00"/>
    <n v="199"/>
    <d v="2026-04-21T00:00:00"/>
    <s v="INV5688"/>
    <n v="199"/>
    <n v="41.38"/>
    <d v="2026-04-29T00:00:00"/>
    <s v="OK"/>
    <s v="OK"/>
    <s v="OK"/>
    <s v="OK"/>
    <s v="OK"/>
    <s v="OK"/>
    <s v="OK"/>
    <s v="OK"/>
    <n v="0"/>
    <n v="0"/>
    <n v="0"/>
    <n v="0"/>
    <n v="0"/>
    <n v="0"/>
    <n v="0"/>
    <n v="0"/>
    <x v="1"/>
  </r>
  <r>
    <s v="PO1662"/>
    <x v="23"/>
    <d v="2026-04-30T00:00:00"/>
    <n v="144"/>
    <n v="49.12"/>
    <s v="Anna Kowalska"/>
    <d v="2026-05-06T00:00:00"/>
    <n v="144"/>
    <d v="2026-05-08T00:00:00"/>
    <s v="INV5689"/>
    <n v="144"/>
    <n v="49.12"/>
    <d v="2026-05-12T00:00:00"/>
    <s v="OK"/>
    <s v="OK"/>
    <s v="OK"/>
    <s v="OK"/>
    <s v="OK"/>
    <s v="OK"/>
    <s v="Late Delivery"/>
    <s v="OK"/>
    <n v="0"/>
    <n v="0"/>
    <n v="0"/>
    <n v="0"/>
    <n v="0"/>
    <n v="0"/>
    <n v="1"/>
    <n v="0"/>
    <x v="1"/>
  </r>
  <r>
    <s v="PO1663"/>
    <x v="14"/>
    <d v="2026-01-25T00:00:00"/>
    <n v="53"/>
    <n v="135.29"/>
    <s v=""/>
    <d v="2026-02-12T00:00:00"/>
    <n v="53"/>
    <d v="2026-02-11T00:00:00"/>
    <s v="INV5690"/>
    <n v="53"/>
    <n v="135.29"/>
    <d v="2026-02-19T00:00:00"/>
    <s v="Missing Approval"/>
    <s v="OK"/>
    <s v="OK"/>
    <s v="OK"/>
    <s v="OK"/>
    <s v="OK"/>
    <s v="OK"/>
    <s v="OK"/>
    <n v="1"/>
    <n v="0"/>
    <n v="0"/>
    <n v="0"/>
    <n v="0"/>
    <n v="0"/>
    <n v="0"/>
    <n v="0"/>
    <x v="0"/>
  </r>
  <r>
    <s v="PO1664"/>
    <x v="2"/>
    <d v="2026-02-28T00:00:00"/>
    <n v="293"/>
    <n v="16.89"/>
    <s v="Laura Schmidt"/>
    <d v="2026-03-21T00:00:00"/>
    <n v="293"/>
    <d v="2026-03-21T00:00:00"/>
    <s v="INV5691"/>
    <n v="293"/>
    <n v="16.89"/>
    <d v="2026-03-28T00:00:00"/>
    <s v="OK"/>
    <s v="OK"/>
    <s v="OK"/>
    <s v="OK"/>
    <s v="OK"/>
    <s v="OK"/>
    <s v="OK"/>
    <s v="OK"/>
    <n v="0"/>
    <n v="0"/>
    <n v="0"/>
    <n v="0"/>
    <n v="0"/>
    <n v="0"/>
    <n v="0"/>
    <n v="0"/>
    <x v="4"/>
  </r>
  <r>
    <s v="PO1665"/>
    <x v="34"/>
    <d v="2026-05-18T00:00:00"/>
    <n v="361"/>
    <n v="174.04"/>
    <s v="Andreas Weber"/>
    <d v="2026-05-30T00:00:00"/>
    <n v="361"/>
    <d v="2026-05-29T00:00:00"/>
    <s v="INV5692"/>
    <n v="361"/>
    <n v="174.04"/>
    <d v="2026-05-31T00:00:00"/>
    <s v="OK"/>
    <s v="OK"/>
    <s v="OK"/>
    <s v="OK"/>
    <s v="OK"/>
    <s v="OK"/>
    <s v="OK"/>
    <s v="OK"/>
    <n v="0"/>
    <n v="0"/>
    <n v="0"/>
    <n v="0"/>
    <n v="0"/>
    <n v="0"/>
    <n v="0"/>
    <n v="0"/>
    <x v="3"/>
  </r>
  <r>
    <s v="PO1666"/>
    <x v="44"/>
    <d v="2026-03-18T00:00:00"/>
    <n v="50"/>
    <n v="81.99"/>
    <s v="Marta Nowak"/>
    <d v="2026-03-24T00:00:00"/>
    <n v="50"/>
    <d v="2026-04-09T00:00:00"/>
    <s v="INV5693"/>
    <n v="50"/>
    <n v="81.99"/>
    <d v="2026-03-25T00:00:00"/>
    <s v="OK"/>
    <s v="OK"/>
    <s v="OK"/>
    <s v="OK"/>
    <s v="OK"/>
    <s v="OK"/>
    <s v="Late Delivery"/>
    <s v="OK"/>
    <n v="0"/>
    <n v="0"/>
    <n v="0"/>
    <n v="0"/>
    <n v="0"/>
    <n v="0"/>
    <n v="1"/>
    <n v="0"/>
    <x v="2"/>
  </r>
  <r>
    <s v="PO1667"/>
    <x v="3"/>
    <d v="2026-05-27T00:00:00"/>
    <n v="471"/>
    <n v="105.78"/>
    <s v="Emma Johansson"/>
    <d v="2026-06-05T00:00:00"/>
    <n v="471"/>
    <d v="2026-06-07T00:00:00"/>
    <s v="INV5694"/>
    <n v="471"/>
    <n v="105.78"/>
    <d v="2026-06-11T00:00:00"/>
    <s v="OK"/>
    <s v="OK"/>
    <s v="OK"/>
    <s v="OK"/>
    <s v="OK"/>
    <s v="OK"/>
    <s v="Late Delivery"/>
    <s v="OK"/>
    <n v="0"/>
    <n v="0"/>
    <n v="0"/>
    <n v="0"/>
    <n v="0"/>
    <n v="0"/>
    <n v="1"/>
    <n v="0"/>
    <x v="3"/>
  </r>
  <r>
    <s v="PO1668"/>
    <x v="16"/>
    <d v="2026-04-25T00:00:00"/>
    <n v="98"/>
    <n v="190.07"/>
    <s v="Lukas Müller"/>
    <d v="2026-05-06T00:00:00"/>
    <n v="98"/>
    <d v="2026-05-08T00:00:00"/>
    <s v="INV5695"/>
    <n v="98"/>
    <n v="190.07"/>
    <d v="2026-05-07T00:00:00"/>
    <s v="OK"/>
    <s v="OK"/>
    <s v="OK"/>
    <s v="OK"/>
    <s v="OK"/>
    <s v="OK"/>
    <s v="Late Delivery"/>
    <s v="OK"/>
    <n v="0"/>
    <n v="0"/>
    <n v="0"/>
    <n v="0"/>
    <n v="0"/>
    <n v="0"/>
    <n v="1"/>
    <n v="0"/>
    <x v="1"/>
  </r>
  <r>
    <s v="PO1669"/>
    <x v="41"/>
    <d v="2026-02-02T00:00:00"/>
    <n v="31"/>
    <n v="87.56"/>
    <s v="Felix Bauer"/>
    <d v="2026-02-20T00:00:00"/>
    <n v="31"/>
    <d v="2026-02-19T00:00:00"/>
    <s v="INV5696"/>
    <n v="31"/>
    <n v="87.56"/>
    <d v="2026-02-28T00:00:00"/>
    <s v="OK"/>
    <s v="OK"/>
    <s v="OK"/>
    <s v="OK"/>
    <s v="OK"/>
    <s v="OK"/>
    <s v="OK"/>
    <s v="OK"/>
    <n v="0"/>
    <n v="0"/>
    <n v="0"/>
    <n v="0"/>
    <n v="0"/>
    <n v="0"/>
    <n v="0"/>
    <n v="0"/>
    <x v="4"/>
  </r>
  <r>
    <s v="PO1670"/>
    <x v="41"/>
    <d v="2026-02-07T00:00:00"/>
    <n v="437"/>
    <n v="121.03"/>
    <s v="Elena Petrova"/>
    <d v="2026-02-14T00:00:00"/>
    <n v="457"/>
    <d v="2026-03-02T00:00:00"/>
    <s v="INV5697"/>
    <n v="437"/>
    <n v="121.03"/>
    <d v="2026-02-24T00:00:00"/>
    <s v="OK"/>
    <s v="OK"/>
    <s v="OK"/>
    <s v="OK"/>
    <s v="Qty Variance"/>
    <s v="OK"/>
    <s v="Late Delivery"/>
    <s v="OK"/>
    <n v="0"/>
    <n v="0"/>
    <n v="0"/>
    <n v="0"/>
    <n v="1"/>
    <n v="0"/>
    <n v="1"/>
    <n v="0"/>
    <x v="4"/>
  </r>
  <r>
    <s v="PO1671"/>
    <x v="10"/>
    <d v="2026-04-10T00:00:00"/>
    <n v="294"/>
    <n v="82.48"/>
    <s v="Elena Petrova"/>
    <d v="2026-04-23T00:00:00"/>
    <n v="294"/>
    <d v="2026-04-21T00:00:00"/>
    <s v="INV5698"/>
    <n v="294"/>
    <n v="82.48"/>
    <d v="2026-04-27T00:00:00"/>
    <s v="OK"/>
    <s v="OK"/>
    <s v="OK"/>
    <s v="OK"/>
    <s v="OK"/>
    <s v="OK"/>
    <s v="OK"/>
    <s v="OK"/>
    <n v="0"/>
    <n v="0"/>
    <n v="0"/>
    <n v="0"/>
    <n v="0"/>
    <n v="0"/>
    <n v="0"/>
    <n v="0"/>
    <x v="1"/>
  </r>
  <r>
    <s v="PO1672"/>
    <x v="31"/>
    <d v="2026-04-28T00:00:00"/>
    <n v="479"/>
    <n v="175.33"/>
    <s v="Marta Nowak"/>
    <d v="2026-05-19T00:00:00"/>
    <n v="479"/>
    <d v="2026-05-20T00:00:00"/>
    <s v="INV5699"/>
    <n v="479"/>
    <n v="175.33"/>
    <d v="2026-05-24T00:00:00"/>
    <s v="OK"/>
    <s v="OK"/>
    <s v="OK"/>
    <s v="OK"/>
    <s v="OK"/>
    <s v="OK"/>
    <s v="Late Delivery"/>
    <s v="OK"/>
    <n v="0"/>
    <n v="0"/>
    <n v="0"/>
    <n v="0"/>
    <n v="0"/>
    <n v="0"/>
    <n v="1"/>
    <n v="0"/>
    <x v="1"/>
  </r>
  <r>
    <s v="PO1673"/>
    <x v="34"/>
    <d v="2026-01-29T00:00:00"/>
    <n v="222"/>
    <n v="34.18"/>
    <s v="Emma Johansson"/>
    <d v="2026-02-06T00:00:00"/>
    <n v="222"/>
    <d v="2026-02-05T00:00:00"/>
    <s v="INV5700"/>
    <n v="222"/>
    <n v="34.18"/>
    <d v="2026-02-13T00:00:00"/>
    <s v="OK"/>
    <s v="OK"/>
    <s v="OK"/>
    <s v="OK"/>
    <s v="OK"/>
    <s v="OK"/>
    <s v="OK"/>
    <s v="OK"/>
    <n v="0"/>
    <n v="0"/>
    <n v="0"/>
    <n v="0"/>
    <n v="0"/>
    <n v="0"/>
    <n v="0"/>
    <n v="0"/>
    <x v="0"/>
  </r>
  <r>
    <s v="PO1674"/>
    <x v="6"/>
    <d v="2026-05-25T00:00:00"/>
    <n v="409"/>
    <n v="24.69"/>
    <s v=""/>
    <d v="2026-06-10T00:00:00"/>
    <n v="409"/>
    <d v="2026-06-10T00:00:00"/>
    <s v="INV5701"/>
    <n v="409"/>
    <n v="24.69"/>
    <d v="2026-06-12T00:00:00"/>
    <s v="Missing Approval"/>
    <s v="OK"/>
    <s v="OK"/>
    <s v="OK"/>
    <s v="OK"/>
    <s v="OK"/>
    <s v="OK"/>
    <s v="OK"/>
    <n v="1"/>
    <n v="0"/>
    <n v="0"/>
    <n v="0"/>
    <n v="0"/>
    <n v="0"/>
    <n v="0"/>
    <n v="0"/>
    <x v="3"/>
  </r>
  <r>
    <s v="PO1675"/>
    <x v="34"/>
    <d v="2026-03-09T00:00:00"/>
    <n v="206"/>
    <n v="132.68"/>
    <s v="Emma Johansson"/>
    <d v="2026-03-29T00:00:00"/>
    <n v="206"/>
    <d v="2026-03-28T00:00:00"/>
    <s v="INV5702"/>
    <n v="206"/>
    <n v="132.68"/>
    <d v="2026-04-01T00:00:00"/>
    <s v="OK"/>
    <s v="OK"/>
    <s v="OK"/>
    <s v="OK"/>
    <s v="OK"/>
    <s v="OK"/>
    <s v="OK"/>
    <s v="OK"/>
    <n v="0"/>
    <n v="0"/>
    <n v="0"/>
    <n v="0"/>
    <n v="0"/>
    <n v="0"/>
    <n v="0"/>
    <n v="0"/>
    <x v="2"/>
  </r>
  <r>
    <s v="PO1676"/>
    <x v="7"/>
    <d v="2026-02-14T00:00:00"/>
    <n v="151"/>
    <n v="83.58"/>
    <s v="Thomas Lefèvre"/>
    <d v="2026-03-03T00:00:00"/>
    <n v="151"/>
    <d v="2026-03-02T00:00:00"/>
    <s v="INV5703"/>
    <n v="151"/>
    <n v="83.58"/>
    <d v="2026-03-06T00:00:00"/>
    <s v="OK"/>
    <s v="OK"/>
    <s v="OK"/>
    <s v="OK"/>
    <s v="OK"/>
    <s v="OK"/>
    <s v="OK"/>
    <s v="OK"/>
    <n v="0"/>
    <n v="0"/>
    <n v="0"/>
    <n v="0"/>
    <n v="0"/>
    <n v="0"/>
    <n v="0"/>
    <n v="0"/>
    <x v="4"/>
  </r>
  <r>
    <s v="PO1677"/>
    <x v="7"/>
    <d v="2026-04-12T00:00:00"/>
    <n v="465"/>
    <n v="176.4"/>
    <s v="Marta Nowak"/>
    <d v="2026-04-24T00:00:00"/>
    <n v="465"/>
    <d v="2026-04-24T00:00:00"/>
    <s v="INV5704"/>
    <n v="465"/>
    <n v="176.4"/>
    <d v="2026-04-25T00:00:00"/>
    <s v="OK"/>
    <s v="OK"/>
    <s v="OK"/>
    <s v="OK"/>
    <s v="OK"/>
    <s v="OK"/>
    <s v="OK"/>
    <s v="OK"/>
    <n v="0"/>
    <n v="0"/>
    <n v="0"/>
    <n v="0"/>
    <n v="0"/>
    <n v="0"/>
    <n v="0"/>
    <n v="0"/>
    <x v="1"/>
  </r>
  <r>
    <s v="PO1678"/>
    <x v="21"/>
    <d v="2026-05-02T00:00:00"/>
    <n v="481"/>
    <n v="57.37"/>
    <s v="Jakub Novák"/>
    <d v="2026-05-07T00:00:00"/>
    <n v="481"/>
    <d v="2026-05-06T00:00:00"/>
    <s v="INV5705"/>
    <n v="481"/>
    <n v="57.37"/>
    <d v="2026-05-10T00:00:00"/>
    <s v="OK"/>
    <s v="OK"/>
    <s v="OK"/>
    <s v="OK"/>
    <s v="OK"/>
    <s v="OK"/>
    <s v="OK"/>
    <s v="OK"/>
    <n v="0"/>
    <n v="0"/>
    <n v="0"/>
    <n v="0"/>
    <n v="0"/>
    <n v="0"/>
    <n v="0"/>
    <n v="0"/>
    <x v="3"/>
  </r>
  <r>
    <s v="PO1679"/>
    <x v="24"/>
    <d v="2026-03-19T00:00:00"/>
    <n v="169"/>
    <n v="59.67"/>
    <s v="Andreas Weber"/>
    <d v="2026-03-27T00:00:00"/>
    <n v="169"/>
    <d v="2026-03-25T00:00:00"/>
    <s v="INV5706"/>
    <n v="169"/>
    <n v="59.67"/>
    <d v="2026-03-29T00:00:00"/>
    <s v="OK"/>
    <s v="OK"/>
    <s v="OK"/>
    <s v="OK"/>
    <s v="OK"/>
    <s v="OK"/>
    <s v="OK"/>
    <s v="OK"/>
    <n v="0"/>
    <n v="0"/>
    <n v="0"/>
    <n v="0"/>
    <n v="0"/>
    <n v="0"/>
    <n v="0"/>
    <n v="0"/>
    <x v="2"/>
  </r>
  <r>
    <s v="PO1680"/>
    <x v="4"/>
    <d v="2026-02-04T00:00:00"/>
    <n v="163"/>
    <n v="194.97"/>
    <s v="Ingrid Hansen"/>
    <d v="2026-02-19T00:00:00"/>
    <n v="163"/>
    <d v="2026-02-20T00:00:00"/>
    <s v="INV5707"/>
    <n v="163"/>
    <n v="194.97"/>
    <d v="2026-02-28T00:00:00"/>
    <s v="OK"/>
    <s v="OK"/>
    <s v="OK"/>
    <s v="OK"/>
    <s v="OK"/>
    <s v="OK"/>
    <s v="Late Delivery"/>
    <s v="OK"/>
    <n v="0"/>
    <n v="0"/>
    <n v="0"/>
    <n v="0"/>
    <n v="0"/>
    <n v="0"/>
    <n v="1"/>
    <n v="0"/>
    <x v="4"/>
  </r>
  <r>
    <s v="PO1681"/>
    <x v="46"/>
    <d v="2026-04-17T00:00:00"/>
    <n v="319"/>
    <n v="130.88"/>
    <s v="Sofia Rossi"/>
    <d v="2026-05-06T00:00:00"/>
    <n v="319"/>
    <d v="2026-05-08T00:00:00"/>
    <s v="INV5708"/>
    <n v="319"/>
    <n v="130.88"/>
    <d v="2026-05-10T00:00:00"/>
    <s v="OK"/>
    <s v="OK"/>
    <s v="OK"/>
    <s v="OK"/>
    <s v="OK"/>
    <s v="OK"/>
    <s v="Late Delivery"/>
    <s v="OK"/>
    <n v="0"/>
    <n v="0"/>
    <n v="0"/>
    <n v="0"/>
    <n v="0"/>
    <n v="0"/>
    <n v="1"/>
    <n v="0"/>
    <x v="1"/>
  </r>
  <r>
    <s v="PO1682"/>
    <x v="13"/>
    <d v="2026-04-15T00:00:00"/>
    <n v="389"/>
    <n v="99.47"/>
    <s v="Clara Silva"/>
    <d v="2026-05-01T00:00:00"/>
    <n v="397"/>
    <d v="2026-05-02T00:00:00"/>
    <s v="INV5709"/>
    <n v="389"/>
    <n v="99.47"/>
    <d v="2026-05-02T00:00:00"/>
    <s v="OK"/>
    <s v="OK"/>
    <s v="OK"/>
    <s v="OK"/>
    <s v="Qty Variance"/>
    <s v="OK"/>
    <s v="Late Delivery"/>
    <s v="OK"/>
    <n v="0"/>
    <n v="0"/>
    <n v="0"/>
    <n v="0"/>
    <n v="1"/>
    <n v="0"/>
    <n v="1"/>
    <n v="0"/>
    <x v="1"/>
  </r>
  <r>
    <s v="PO1683"/>
    <x v="21"/>
    <d v="2026-05-12T00:00:00"/>
    <n v="415"/>
    <n v="36"/>
    <s v="Nicolas Dubois"/>
    <d v="2026-06-02T00:00:00"/>
    <n v="415"/>
    <d v="2026-06-04T00:00:00"/>
    <s v="INV5710"/>
    <n v="415"/>
    <n v="36"/>
    <d v="2026-06-07T00:00:00"/>
    <s v="OK"/>
    <s v="OK"/>
    <s v="OK"/>
    <s v="OK"/>
    <s v="OK"/>
    <s v="OK"/>
    <s v="Late Delivery"/>
    <s v="OK"/>
    <n v="0"/>
    <n v="0"/>
    <n v="0"/>
    <n v="0"/>
    <n v="0"/>
    <n v="0"/>
    <n v="1"/>
    <n v="0"/>
    <x v="3"/>
  </r>
  <r>
    <s v="PO1684"/>
    <x v="29"/>
    <d v="2026-02-04T00:00:00"/>
    <n v="409"/>
    <n v="171"/>
    <s v="Emma Johansson"/>
    <d v="2026-02-09T00:00:00"/>
    <n v="419"/>
    <d v="2026-02-10T00:00:00"/>
    <s v="INV5711"/>
    <n v="409"/>
    <n v="171"/>
    <d v="2026-02-15T00:00:00"/>
    <s v="OK"/>
    <s v="OK"/>
    <s v="OK"/>
    <s v="OK"/>
    <s v="Qty Variance"/>
    <s v="OK"/>
    <s v="Late Delivery"/>
    <s v="OK"/>
    <n v="0"/>
    <n v="0"/>
    <n v="0"/>
    <n v="0"/>
    <n v="1"/>
    <n v="0"/>
    <n v="1"/>
    <n v="0"/>
    <x v="4"/>
  </r>
  <r>
    <s v="PO1685"/>
    <x v="28"/>
    <d v="2026-02-19T00:00:00"/>
    <n v="458"/>
    <n v="167.42"/>
    <s v="A. Nagy"/>
    <d v="2026-03-03T00:00:00"/>
    <n v="458"/>
    <d v="2026-03-01T00:00:00"/>
    <s v="INV5712"/>
    <n v="458"/>
    <n v="167.42"/>
    <d v="2026-03-04T00:00:00"/>
    <s v="OK"/>
    <s v="OK"/>
    <s v="OK"/>
    <s v="OK"/>
    <s v="OK"/>
    <s v="OK"/>
    <s v="OK"/>
    <s v="OK"/>
    <n v="0"/>
    <n v="0"/>
    <n v="0"/>
    <n v="0"/>
    <n v="0"/>
    <n v="0"/>
    <n v="0"/>
    <n v="0"/>
    <x v="4"/>
  </r>
  <r>
    <s v="PO1686"/>
    <x v="7"/>
    <d v="2026-04-27T00:00:00"/>
    <n v="35"/>
    <n v="184.02"/>
    <s v="Marta Nowak"/>
    <d v="2026-05-08T00:00:00"/>
    <n v="35"/>
    <d v="2026-05-08T00:00:00"/>
    <s v="INV5713"/>
    <n v="35"/>
    <n v="211.45"/>
    <d v="2026-05-14T00:00:00"/>
    <s v="OK"/>
    <s v="OK"/>
    <s v="OK"/>
    <s v="OK"/>
    <s v="OK"/>
    <s v="Price Variance"/>
    <s v="OK"/>
    <s v="OK"/>
    <n v="0"/>
    <n v="0"/>
    <n v="0"/>
    <n v="0"/>
    <n v="0"/>
    <n v="1"/>
    <n v="0"/>
    <n v="0"/>
    <x v="1"/>
  </r>
  <r>
    <s v="PO1687"/>
    <x v="46"/>
    <d v="2026-04-05T00:00:00"/>
    <n v="431"/>
    <n v="95.52"/>
    <s v="Laura Schmidt"/>
    <d v="2026-04-13T00:00:00"/>
    <n v="431"/>
    <d v="2026-04-15T00:00:00"/>
    <s v="INV5714"/>
    <n v="431"/>
    <n v="95.52"/>
    <d v="2026-04-23T00:00:00"/>
    <s v="OK"/>
    <s v="OK"/>
    <s v="OK"/>
    <s v="OK"/>
    <s v="OK"/>
    <s v="OK"/>
    <s v="Late Delivery"/>
    <s v="OK"/>
    <n v="0"/>
    <n v="0"/>
    <n v="0"/>
    <n v="0"/>
    <n v="0"/>
    <n v="0"/>
    <n v="1"/>
    <n v="0"/>
    <x v="1"/>
  </r>
  <r>
    <s v="PO1688"/>
    <x v="12"/>
    <d v="2026-01-08T00:00:00"/>
    <n v="133"/>
    <n v="77.63"/>
    <s v="Thomas Lefèvre"/>
    <d v="2026-01-27T00:00:00"/>
    <n v="133"/>
    <d v="2026-01-26T00:00:00"/>
    <s v="INV5715"/>
    <n v="133"/>
    <n v="77.63"/>
    <d v="2026-02-04T00:00:00"/>
    <s v="OK"/>
    <s v="OK"/>
    <s v="OK"/>
    <s v="OK"/>
    <s v="OK"/>
    <s v="OK"/>
    <s v="OK"/>
    <s v="OK"/>
    <n v="0"/>
    <n v="0"/>
    <n v="0"/>
    <n v="0"/>
    <n v="0"/>
    <n v="0"/>
    <n v="0"/>
    <n v="0"/>
    <x v="0"/>
  </r>
  <r>
    <s v="PO1689"/>
    <x v="28"/>
    <d v="2026-05-02T00:00:00"/>
    <n v="310"/>
    <n v="112.51"/>
    <s v="Jakub Novák"/>
    <d v="2026-05-12T00:00:00"/>
    <n v="310"/>
    <d v="2026-05-12T00:00:00"/>
    <s v="INV5716"/>
    <n v="310"/>
    <n v="112.51"/>
    <d v="2026-05-14T00:00:00"/>
    <s v="OK"/>
    <s v="OK"/>
    <s v="OK"/>
    <s v="OK"/>
    <s v="OK"/>
    <s v="OK"/>
    <s v="OK"/>
    <s v="OK"/>
    <n v="0"/>
    <n v="0"/>
    <n v="0"/>
    <n v="0"/>
    <n v="0"/>
    <n v="0"/>
    <n v="0"/>
    <n v="0"/>
    <x v="3"/>
  </r>
  <r>
    <s v="PO1690"/>
    <x v="18"/>
    <d v="2026-01-24T00:00:00"/>
    <n v="155"/>
    <n v="10.35"/>
    <s v="A. Nagy"/>
    <d v="2026-02-03T00:00:00"/>
    <n v="155"/>
    <d v="2026-02-05T00:00:00"/>
    <s v="INV5717"/>
    <n v="155"/>
    <n v="10.35"/>
    <d v="2026-02-06T00:00:00"/>
    <s v="OK"/>
    <s v="OK"/>
    <s v="OK"/>
    <s v="OK"/>
    <s v="OK"/>
    <s v="OK"/>
    <s v="Late Delivery"/>
    <s v="OK"/>
    <n v="0"/>
    <n v="0"/>
    <n v="0"/>
    <n v="0"/>
    <n v="0"/>
    <n v="0"/>
    <n v="1"/>
    <n v="0"/>
    <x v="0"/>
  </r>
  <r>
    <s v="PO1691"/>
    <x v="33"/>
    <d v="2026-02-24T00:00:00"/>
    <n v="448"/>
    <n v="48.16"/>
    <s v="Mateo García"/>
    <d v="2026-03-07T00:00:00"/>
    <n v="448"/>
    <d v="2026-03-08T00:00:00"/>
    <s v="INV5718"/>
    <n v="448"/>
    <n v="48.16"/>
    <d v="2026-03-13T00:00:00"/>
    <s v="OK"/>
    <s v="OK"/>
    <s v="OK"/>
    <s v="OK"/>
    <s v="OK"/>
    <s v="OK"/>
    <s v="Late Delivery"/>
    <s v="OK"/>
    <n v="0"/>
    <n v="0"/>
    <n v="0"/>
    <n v="0"/>
    <n v="0"/>
    <n v="0"/>
    <n v="1"/>
    <n v="0"/>
    <x v="4"/>
  </r>
  <r>
    <s v="PO1692"/>
    <x v="46"/>
    <d v="2026-04-15T00:00:00"/>
    <n v="272"/>
    <n v="8.91"/>
    <s v="Eva Andersson"/>
    <d v="2026-04-20T00:00:00"/>
    <n v="272"/>
    <d v="2026-04-19T00:00:00"/>
    <s v="INV5719"/>
    <n v="272"/>
    <n v="8.91"/>
    <d v="2026-04-30T00:00:00"/>
    <s v="OK"/>
    <s v="OK"/>
    <s v="OK"/>
    <s v="OK"/>
    <s v="OK"/>
    <s v="OK"/>
    <s v="OK"/>
    <s v="OK"/>
    <n v="0"/>
    <n v="0"/>
    <n v="0"/>
    <n v="0"/>
    <n v="0"/>
    <n v="0"/>
    <n v="0"/>
    <n v="0"/>
    <x v="1"/>
  </r>
  <r>
    <s v="PO1693"/>
    <x v="44"/>
    <d v="2026-02-03T00:00:00"/>
    <n v="341"/>
    <n v="38.770000000000003"/>
    <s v="J. Kovacs"/>
    <d v="2026-02-15T00:00:00"/>
    <n v="341"/>
    <d v="2026-02-24T00:00:00"/>
    <s v="INV5720"/>
    <n v="341"/>
    <n v="38.770000000000003"/>
    <d v="2026-02-19T00:00:00"/>
    <s v="OK"/>
    <s v="OK"/>
    <s v="OK"/>
    <s v="OK"/>
    <s v="OK"/>
    <s v="OK"/>
    <s v="Late Delivery"/>
    <s v="OK"/>
    <n v="0"/>
    <n v="0"/>
    <n v="0"/>
    <n v="0"/>
    <n v="0"/>
    <n v="0"/>
    <n v="1"/>
    <n v="0"/>
    <x v="4"/>
  </r>
  <r>
    <s v="PO1694"/>
    <x v="18"/>
    <d v="2026-03-20T00:00:00"/>
    <n v="374"/>
    <n v="193.57"/>
    <s v="Katarina Jovanović"/>
    <d v="2026-04-02T00:00:00"/>
    <m/>
    <m/>
    <s v="INV5721"/>
    <n v="374"/>
    <n v="206.34"/>
    <d v="2026-04-12T00:00:00"/>
    <s v="OK"/>
    <s v="No GR - Not received"/>
    <s v="OK"/>
    <s v="OK"/>
    <s v="OK"/>
    <s v="Price Variance"/>
    <s v="OK"/>
    <s v="OK"/>
    <n v="0"/>
    <n v="1"/>
    <n v="0"/>
    <n v="0"/>
    <n v="0"/>
    <n v="1"/>
    <n v="0"/>
    <n v="0"/>
    <x v="2"/>
  </r>
  <r>
    <s v="PO1695"/>
    <x v="38"/>
    <d v="2026-04-07T00:00:00"/>
    <n v="446"/>
    <n v="73"/>
    <s v="Anna Kowalska"/>
    <d v="2026-04-18T00:00:00"/>
    <n v="446"/>
    <d v="2026-04-17T00:00:00"/>
    <s v="INV5722"/>
    <n v="446"/>
    <n v="73"/>
    <d v="2026-04-22T00:00:00"/>
    <s v="OK"/>
    <s v="OK"/>
    <s v="OK"/>
    <s v="OK"/>
    <s v="OK"/>
    <s v="OK"/>
    <s v="OK"/>
    <s v="OK"/>
    <n v="0"/>
    <n v="0"/>
    <n v="0"/>
    <n v="0"/>
    <n v="0"/>
    <n v="0"/>
    <n v="0"/>
    <n v="0"/>
    <x v="1"/>
  </r>
  <r>
    <s v="PO1696"/>
    <x v="30"/>
    <d v="2026-03-19T00:00:00"/>
    <n v="356"/>
    <n v="106.52"/>
    <s v=""/>
    <d v="2026-04-05T00:00:00"/>
    <n v="356"/>
    <d v="2026-04-21T00:00:00"/>
    <s v="INV5723"/>
    <n v="356"/>
    <n v="106.52"/>
    <d v="2026-04-07T00:00:00"/>
    <s v="Missing Approval"/>
    <s v="OK"/>
    <s v="OK"/>
    <s v="OK"/>
    <s v="OK"/>
    <s v="OK"/>
    <s v="Late Delivery"/>
    <s v="OK"/>
    <n v="1"/>
    <n v="0"/>
    <n v="0"/>
    <n v="0"/>
    <n v="0"/>
    <n v="0"/>
    <n v="1"/>
    <n v="0"/>
    <x v="2"/>
  </r>
  <r>
    <s v="PO1697"/>
    <x v="2"/>
    <d v="2026-01-27T00:00:00"/>
    <n v="13"/>
    <n v="104.75"/>
    <s v="Felix Bauer"/>
    <d v="2026-02-12T00:00:00"/>
    <n v="13"/>
    <d v="2026-02-13T00:00:00"/>
    <s v="INV5724"/>
    <n v="13"/>
    <n v="104.75"/>
    <d v="2026-02-18T00:00:00"/>
    <s v="OK"/>
    <s v="OK"/>
    <s v="OK"/>
    <s v="OK"/>
    <s v="OK"/>
    <s v="OK"/>
    <s v="Late Delivery"/>
    <s v="OK"/>
    <n v="0"/>
    <n v="0"/>
    <n v="0"/>
    <n v="0"/>
    <n v="0"/>
    <n v="0"/>
    <n v="1"/>
    <n v="0"/>
    <x v="0"/>
  </r>
  <r>
    <s v="PO1698"/>
    <x v="8"/>
    <d v="2026-03-14T00:00:00"/>
    <n v="162"/>
    <n v="138.46"/>
    <s v="Andreas Weber"/>
    <d v="2026-03-21T00:00:00"/>
    <n v="162"/>
    <d v="2026-03-19T00:00:00"/>
    <s v="INV5725"/>
    <n v="162"/>
    <n v="138.46"/>
    <d v="2026-03-25T00:00:00"/>
    <s v="OK"/>
    <s v="OK"/>
    <s v="OK"/>
    <s v="OK"/>
    <s v="OK"/>
    <s v="OK"/>
    <s v="OK"/>
    <s v="OK"/>
    <n v="0"/>
    <n v="0"/>
    <n v="0"/>
    <n v="0"/>
    <n v="0"/>
    <n v="0"/>
    <n v="0"/>
    <n v="0"/>
    <x v="2"/>
  </r>
  <r>
    <s v="PO1699"/>
    <x v="24"/>
    <d v="2026-03-12T00:00:00"/>
    <n v="337"/>
    <n v="68.400000000000006"/>
    <s v="Anna Kowalska"/>
    <d v="2026-03-25T00:00:00"/>
    <n v="337"/>
    <d v="2026-03-24T00:00:00"/>
    <s v="INV5726"/>
    <n v="337"/>
    <n v="68.400000000000006"/>
    <d v="2026-03-28T00:00:00"/>
    <s v="OK"/>
    <s v="OK"/>
    <s v="OK"/>
    <s v="OK"/>
    <s v="OK"/>
    <s v="OK"/>
    <s v="OK"/>
    <s v="OK"/>
    <n v="0"/>
    <n v="0"/>
    <n v="0"/>
    <n v="0"/>
    <n v="0"/>
    <n v="0"/>
    <n v="0"/>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68EBD5-01E4-43BB-B198-D799EF4D22E0}"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I52" firstHeaderRow="0" firstDataRow="1" firstDataCol="1"/>
  <pivotFields count="30">
    <pivotField showAll="0"/>
    <pivotField axis="axisRow" showAll="0" sortType="ascending">
      <items count="49">
        <item x="25"/>
        <item x="39"/>
        <item x="4"/>
        <item x="3"/>
        <item x="6"/>
        <item x="45"/>
        <item x="7"/>
        <item x="24"/>
        <item x="44"/>
        <item x="9"/>
        <item x="41"/>
        <item x="31"/>
        <item x="33"/>
        <item x="47"/>
        <item x="17"/>
        <item x="1"/>
        <item x="19"/>
        <item x="29"/>
        <item x="35"/>
        <item x="8"/>
        <item x="5"/>
        <item x="32"/>
        <item x="20"/>
        <item x="42"/>
        <item x="23"/>
        <item x="15"/>
        <item x="2"/>
        <item x="26"/>
        <item x="0"/>
        <item x="34"/>
        <item x="28"/>
        <item x="36"/>
        <item x="43"/>
        <item x="21"/>
        <item x="16"/>
        <item x="38"/>
        <item x="27"/>
        <item x="18"/>
        <item x="11"/>
        <item x="30"/>
        <item x="37"/>
        <item x="46"/>
        <item x="12"/>
        <item x="14"/>
        <item x="40"/>
        <item x="13"/>
        <item x="22"/>
        <item x="10"/>
        <item t="default"/>
      </items>
      <autoSortScope>
        <pivotArea dataOnly="0" outline="0" fieldPosition="0">
          <references count="1">
            <reference field="4294967294" count="1" selected="0">
              <x v="6"/>
            </reference>
          </references>
        </pivotArea>
      </autoSortScope>
    </pivotField>
    <pivotField numFmtId="14" showAll="0"/>
    <pivotField showAll="0"/>
    <pivotField showAll="0"/>
    <pivotField showAll="0"/>
    <pivotField numFmtId="14"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items count="6">
        <item x="0"/>
        <item x="4"/>
        <item x="2"/>
        <item x="1"/>
        <item x="3"/>
        <item t="default"/>
      </items>
    </pivotField>
  </pivotFields>
  <rowFields count="1">
    <field x="1"/>
  </rowFields>
  <rowItems count="49">
    <i>
      <x v="4"/>
    </i>
    <i>
      <x v="29"/>
    </i>
    <i>
      <x v="8"/>
    </i>
    <i>
      <x v="10"/>
    </i>
    <i>
      <x v="3"/>
    </i>
    <i>
      <x v="18"/>
    </i>
    <i>
      <x v="26"/>
    </i>
    <i>
      <x v="33"/>
    </i>
    <i>
      <x v="45"/>
    </i>
    <i>
      <x v="43"/>
    </i>
    <i>
      <x v="35"/>
    </i>
    <i>
      <x/>
    </i>
    <i>
      <x v="36"/>
    </i>
    <i>
      <x v="34"/>
    </i>
    <i>
      <x v="39"/>
    </i>
    <i>
      <x v="5"/>
    </i>
    <i>
      <x v="40"/>
    </i>
    <i>
      <x v="22"/>
    </i>
    <i>
      <x v="42"/>
    </i>
    <i>
      <x v="19"/>
    </i>
    <i>
      <x v="32"/>
    </i>
    <i>
      <x v="7"/>
    </i>
    <i>
      <x v="44"/>
    </i>
    <i>
      <x v="23"/>
    </i>
    <i>
      <x v="31"/>
    </i>
    <i>
      <x v="20"/>
    </i>
    <i>
      <x v="14"/>
    </i>
    <i>
      <x v="30"/>
    </i>
    <i>
      <x v="17"/>
    </i>
    <i>
      <x v="16"/>
    </i>
    <i>
      <x v="25"/>
    </i>
    <i>
      <x v="41"/>
    </i>
    <i>
      <x v="9"/>
    </i>
    <i>
      <x v="21"/>
    </i>
    <i>
      <x v="1"/>
    </i>
    <i>
      <x v="46"/>
    </i>
    <i>
      <x v="15"/>
    </i>
    <i>
      <x v="37"/>
    </i>
    <i>
      <x v="11"/>
    </i>
    <i>
      <x v="24"/>
    </i>
    <i>
      <x v="27"/>
    </i>
    <i>
      <x v="47"/>
    </i>
    <i>
      <x v="2"/>
    </i>
    <i>
      <x v="13"/>
    </i>
    <i>
      <x v="38"/>
    </i>
    <i>
      <x v="28"/>
    </i>
    <i>
      <x v="6"/>
    </i>
    <i>
      <x v="12"/>
    </i>
    <i t="grand">
      <x/>
    </i>
  </rowItems>
  <colFields count="1">
    <field x="-2"/>
  </colFields>
  <colItems count="8">
    <i>
      <x/>
    </i>
    <i i="1">
      <x v="1"/>
    </i>
    <i i="2">
      <x v="2"/>
    </i>
    <i i="3">
      <x v="3"/>
    </i>
    <i i="4">
      <x v="4"/>
    </i>
    <i i="5">
      <x v="5"/>
    </i>
    <i i="6">
      <x v="6"/>
    </i>
    <i i="7">
      <x v="7"/>
    </i>
  </colItems>
  <dataFields count="8">
    <dataField name="Sum of Approval Flag (1/0)" fld="21" baseField="0" baseItem="0"/>
    <dataField name="Sum of GR Flag 1/0" fld="22" baseField="0" baseItem="0"/>
    <dataField name="Sum of Invoice flag 1/0" fld="23" baseField="0" baseItem="0"/>
    <dataField name="Sum of Date Flag 1/0" fld="24" baseField="0" baseItem="0"/>
    <dataField name="Sum of Qty Flag 1/0" fld="25" baseField="0" baseItem="0"/>
    <dataField name="Sum of Price Var 1/0" fld="26" baseField="0" baseItem="0"/>
    <dataField name="Sum of Late Del 1/0" fld="27" baseField="0" baseItem="0"/>
    <dataField name="Sum of Dup Invoice 1/0" fld="28"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4" xr16:uid="{64815392-4E42-4C43-A547-5006972105BE}" autoFormatId="16" applyNumberFormats="0" applyBorderFormats="0" applyFontFormats="0" applyPatternFormats="0" applyAlignmentFormats="0" applyWidthHeightFormats="0">
  <queryTableRefresh nextId="33" unboundColumnsRight="17">
    <queryTableFields count="30">
      <queryTableField id="1" name="PO Number" tableColumnId="1"/>
      <queryTableField id="2" name="Vendor" tableColumnId="2"/>
      <queryTableField id="3" name="Order Date" tableColumnId="3"/>
      <queryTableField id="4" name="PO Quantity" tableColumnId="4"/>
      <queryTableField id="5" name="PO Unit Price" tableColumnId="5"/>
      <queryTableField id="6" name="Approved By" tableColumnId="6"/>
      <queryTableField id="7" name="Promised Delivey Date" tableColumnId="7"/>
      <queryTableField id="8" name="GR Quantity" tableColumnId="8"/>
      <queryTableField id="9" name="Actual Delivery Date" tableColumnId="9"/>
      <queryTableField id="10" name="Invoice Number" tableColumnId="10"/>
      <queryTableField id="11" name="Invoice Quantity" tableColumnId="11"/>
      <queryTableField id="12" name="Invoice Unit Price" tableColumnId="12"/>
      <queryTableField id="13" name="Invoice Date" tableColumnId="13"/>
      <queryTableField id="14" dataBound="0" tableColumnId="14"/>
      <queryTableField id="15" dataBound="0" tableColumnId="15"/>
      <queryTableField id="17" dataBound="0" tableColumnId="17"/>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16"/>
      <queryTableField id="25" dataBound="0" tableColumnId="18"/>
      <queryTableField id="26" dataBound="0" tableColumnId="24"/>
      <queryTableField id="27" dataBound="0" tableColumnId="25"/>
      <queryTableField id="28" dataBound="0" tableColumnId="26"/>
      <queryTableField id="29" dataBound="0" tableColumnId="27"/>
      <queryTableField id="30" dataBound="0" tableColumnId="28"/>
      <queryTableField id="31" dataBound="0" tableColumnId="29"/>
      <queryTableField id="32" dataBound="0"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3" xr16:uid="{0829EC08-EAC7-4F48-8B29-23DE50DE2455}" autoFormatId="16" applyNumberFormats="0" applyBorderFormats="0" applyFontFormats="0" applyPatternFormats="0" applyAlignmentFormats="0" applyWidthHeightFormats="0">
  <queryTableRefresh nextId="8">
    <queryTableFields count="7">
      <queryTableField id="1" name="PO Number" tableColumnId="1"/>
      <queryTableField id="2" name="Vendor" tableColumnId="2"/>
      <queryTableField id="3" name="Order Date" tableColumnId="3"/>
      <queryTableField id="4" name="PO Quantity" tableColumnId="4"/>
      <queryTableField id="5" name="PO Unit Price" tableColumnId="5"/>
      <queryTableField id="6" name="Approved By" tableColumnId="6"/>
      <queryTableField id="7" name="Promised Delivey Date"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5" xr16:uid="{8145E7E1-8D3F-4A4D-ADBC-9A5A4C6DC51B}" autoFormatId="16" applyNumberFormats="0" applyBorderFormats="0" applyFontFormats="0" applyPatternFormats="0" applyAlignmentFormats="0" applyWidthHeightFormats="0">
  <queryTableRefresh nextId="9" unboundColumnsRight="1">
    <queryTableFields count="8">
      <queryTableField id="1" name="PO Number" tableColumnId="1"/>
      <queryTableField id="2" name="Vendor" tableColumnId="2"/>
      <queryTableField id="3" name="Order Date" tableColumnId="3"/>
      <queryTableField id="4" name="PO Quantity" tableColumnId="4"/>
      <queryTableField id="5" name="PO Unit Price" tableColumnId="5"/>
      <queryTableField id="6" name="Approved By" tableColumnId="6"/>
      <queryTableField id="7" name="Promised Delivey Date" tableColumnId="7"/>
      <queryTableField id="8" dataBound="0"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E1461ED0-49B3-462C-8A78-04675413F84E}" autoFormatId="16" applyNumberFormats="0" applyBorderFormats="0" applyFontFormats="0" applyPatternFormats="0" applyAlignmentFormats="0" applyWidthHeightFormats="0">
  <queryTableRefresh nextId="6">
    <queryTableFields count="5">
      <queryTableField id="1" name="PO Number" tableColumnId="1"/>
      <queryTableField id="2" name="Invoice Number" tableColumnId="2"/>
      <queryTableField id="3" name="Invoice Quantity" tableColumnId="3"/>
      <queryTableField id="4" name="Invoice Unit Price" tableColumnId="4"/>
      <queryTableField id="5" name="Invoice Date"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0E29BC4F-BA1E-41EC-BC7E-B11853B13177}" autoFormatId="16" applyNumberFormats="0" applyBorderFormats="0" applyFontFormats="0" applyPatternFormats="0" applyAlignmentFormats="0" applyWidthHeightFormats="0">
  <queryTableRefresh nextId="4">
    <queryTableFields count="3">
      <queryTableField id="1" name="PO Number" tableColumnId="1"/>
      <queryTableField id="2" name="GR Quantity" tableColumnId="2"/>
      <queryTableField id="3" name="Actual Delivery Dat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B662AE85-E832-4447-AD01-2AAC58A0EE5C}" sourceName="Vendor">
  <pivotTables>
    <pivotTable tabId="10" name="PivotTable2"/>
  </pivotTables>
  <data>
    <tabular pivotCacheId="765007962">
      <items count="48">
        <i x="25" s="1"/>
        <i x="39" s="1"/>
        <i x="4" s="1"/>
        <i x="3" s="1"/>
        <i x="6" s="1"/>
        <i x="45" s="1"/>
        <i x="7" s="1"/>
        <i x="24" s="1"/>
        <i x="44" s="1"/>
        <i x="9" s="1"/>
        <i x="41" s="1"/>
        <i x="31" s="1"/>
        <i x="33" s="1"/>
        <i x="47" s="1"/>
        <i x="17" s="1"/>
        <i x="1" s="1"/>
        <i x="19" s="1"/>
        <i x="29" s="1"/>
        <i x="35" s="1"/>
        <i x="8" s="1"/>
        <i x="5" s="1"/>
        <i x="32" s="1"/>
        <i x="20" s="1"/>
        <i x="42" s="1"/>
        <i x="23" s="1"/>
        <i x="15" s="1"/>
        <i x="2" s="1"/>
        <i x="26" s="1"/>
        <i x="0" s="1"/>
        <i x="34" s="1"/>
        <i x="28" s="1"/>
        <i x="36" s="1"/>
        <i x="43" s="1"/>
        <i x="21" s="1"/>
        <i x="16" s="1"/>
        <i x="38" s="1"/>
        <i x="27" s="1"/>
        <i x="18" s="1"/>
        <i x="11" s="1"/>
        <i x="30" s="1"/>
        <i x="37" s="1"/>
        <i x="46" s="1"/>
        <i x="12" s="1"/>
        <i x="14" s="1"/>
        <i x="40" s="1"/>
        <i x="13" s="1"/>
        <i x="22"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65662D6A-9B58-418F-96E8-3F42D7FB779A}" sourceName="Order Month">
  <pivotTables>
    <pivotTable tabId="10" name="PivotTable2"/>
  </pivotTables>
  <data>
    <tabular pivotCacheId="765007962">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dor" xr10:uid="{A8ED1B9A-AA22-48D3-9529-86F58EF80E12}" cache="Slicer_Vendor" caption="Vendor" rowHeight="257175"/>
  <slicer name="Order Month" xr10:uid="{5E48BC5A-C562-4729-AA82-60B11A43F347}" cache="Slicer_Order_Month" caption="Order Month"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2D31138-7183-4AC0-8E9D-057B3825703B}" name="po_master" displayName="po_master" ref="A1:AD727" tableType="queryTable" totalsRowShown="0">
  <autoFilter ref="A1:AD727" xr:uid="{B2D31138-7183-4AC0-8E9D-057B3825703B}"/>
  <tableColumns count="30">
    <tableColumn id="1" xr3:uid="{352C8B34-EB46-4CC9-9FCB-C1B6E7CA04A4}" uniqueName="1" name="PO Number" queryTableFieldId="1" dataDxfId="40"/>
    <tableColumn id="2" xr3:uid="{EBBA96ED-ABE7-4907-B961-FD0CB034EA48}" uniqueName="2" name="Vendor" queryTableFieldId="2" dataDxfId="39"/>
    <tableColumn id="3" xr3:uid="{7E1F6F74-5DAB-4F9E-8F37-5B8EE0880CED}" uniqueName="3" name="Order Date" queryTableFieldId="3" dataDxfId="38"/>
    <tableColumn id="4" xr3:uid="{6464AE77-8D68-4B14-B3A7-88E332D68147}" uniqueName="4" name="PO Quantity" queryTableFieldId="4"/>
    <tableColumn id="5" xr3:uid="{C5A3596D-ACDF-458C-B60F-A4EFE319794E}" uniqueName="5" name="PO Unit Price" queryTableFieldId="5"/>
    <tableColumn id="6" xr3:uid="{8F9C2CC6-DAE5-471B-883E-CC2F09FCAB33}" uniqueName="6" name="Approved By" queryTableFieldId="6" dataDxfId="37"/>
    <tableColumn id="7" xr3:uid="{5CD67CB6-C354-46A9-8BC3-80D9419650EE}" uniqueName="7" name="Promised Delivey Date" queryTableFieldId="7" dataDxfId="36"/>
    <tableColumn id="8" xr3:uid="{E6B82CB6-8A1A-41A0-8432-1A21F1F4FCF4}" uniqueName="8" name="GR Quantity" queryTableFieldId="8"/>
    <tableColumn id="9" xr3:uid="{BEB26672-3F9B-4E32-94ED-F70B75A6CAB4}" uniqueName="9" name="Actual Delivery Date" queryTableFieldId="9" dataDxfId="35"/>
    <tableColumn id="10" xr3:uid="{2478D36F-7060-4AB7-A998-F22AFF00F6C4}" uniqueName="10" name="Invoice Number" queryTableFieldId="10" dataDxfId="34"/>
    <tableColumn id="11" xr3:uid="{1D39CB6D-6263-4734-82A6-026A674F8254}" uniqueName="11" name="Invoice Quantity" queryTableFieldId="11"/>
    <tableColumn id="12" xr3:uid="{34EB4DFA-1B66-4B31-97FA-97CE757D17F0}" uniqueName="12" name="Invoice Unit Price" queryTableFieldId="12"/>
    <tableColumn id="13" xr3:uid="{6CA0B9FC-C481-4EC0-BF42-E838544CE31F}" uniqueName="13" name="Invoice Date" queryTableFieldId="13" dataDxfId="33"/>
    <tableColumn id="14" xr3:uid="{B60D0B81-8B1F-4072-AF59-7BEE325C61AF}" uniqueName="14" name="Missing Approval" queryTableFieldId="14" dataDxfId="32">
      <calculatedColumnFormula>IF(po_master[[#This Row],[Approved By]]="", "Missing Approval", "OK")</calculatedColumnFormula>
    </tableColumn>
    <tableColumn id="15" xr3:uid="{F85C8F9C-A2AF-40EB-A33C-A5891A6D9BFF}" uniqueName="15" name="GR Receipt Status" queryTableFieldId="15" dataDxfId="31">
      <calculatedColumnFormula>IF(ISBLANK(po_master[[#This Row],[GR Quantity]]), "No GR - Not received", "OK")</calculatedColumnFormula>
    </tableColumn>
    <tableColumn id="17" xr3:uid="{3D80F6AA-D5AF-453D-ABFA-F8A43786BD50}" uniqueName="17" name="Date Check" queryTableFieldId="17" dataDxfId="30">
      <calculatedColumnFormula>IF(po_master[[#This Row],[Promised Delivey Date]]&lt;po_master[[#This Row],[Order Date]], "Invalid", "OK")</calculatedColumnFormula>
    </tableColumn>
    <tableColumn id="19" xr3:uid="{D245ACD4-D7C1-4289-9152-654FB850192D}" uniqueName="19" name="No invoice" queryTableFieldId="19" dataDxfId="29">
      <calculatedColumnFormula>IF(ISBLANK(po_master[[#This Row],[Invoice Number]]), "No Invoice", "OK")</calculatedColumnFormula>
    </tableColumn>
    <tableColumn id="20" xr3:uid="{643DE9EC-9650-44C8-B19D-3D2A2224C59E}" uniqueName="20" name="Qty Variance Flag" queryTableFieldId="20" dataDxfId="28">
      <calculatedColumnFormula>IF(AND(NOT(ISBLANK(po_master[[#This Row],[GR Quantity]])), po_master[[#This Row],[GR Quantity]]&lt;&gt;po_master[[#This Row],[PO Quantity]]), "Qty Variance", "OK")</calculatedColumnFormula>
    </tableColumn>
    <tableColumn id="21" xr3:uid="{024AD429-7F30-4EB5-B120-C47C9A25344C}" uniqueName="21" name="Price Variance Flag" queryTableFieldId="21" dataDxfId="27">
      <calculatedColumnFormula>IF(po_master[[#This Row],[Invoice Unit Price]]&gt;po_master[[#This Row],[PO Unit Price]]*1.01, "Price Variance", "OK")</calculatedColumnFormula>
    </tableColumn>
    <tableColumn id="22" xr3:uid="{572A961F-13AF-4641-9E76-1C90BD520032}" uniqueName="22" name="Late Delivery Flag" queryTableFieldId="22" dataDxfId="26">
      <calculatedColumnFormula>IF(po_master[[#This Row],[Actual Delivery Date]]&gt;po_master[[#This Row],[Promised Delivey Date]], "Late Delivery", "OK")</calculatedColumnFormula>
    </tableColumn>
    <tableColumn id="23" xr3:uid="{CD9352BB-753F-47A8-9C0C-15B9969A2E4C}" uniqueName="23" name="Duplicate Invoice Flag" queryTableFieldId="23" dataDxfId="25">
      <calculatedColumnFormula>IF(COUNTIF(po_master[PO Number],po_master[[#This Row],[PO Number]])&gt;1, "Duplicate Invoice", "OK")</calculatedColumnFormula>
    </tableColumn>
    <tableColumn id="16" xr3:uid="{A66B0570-240B-400D-B10A-695BB376FC63}" uniqueName="16" name="Approval Flag (1/0)" queryTableFieldId="24" dataDxfId="8">
      <calculatedColumnFormula>IF(po_master[[#This Row],[Missing Approval]]="Missing Approval", 1, 0)</calculatedColumnFormula>
    </tableColumn>
    <tableColumn id="18" xr3:uid="{8F53DBFD-BAA8-4316-AC7D-2D33081FC5C8}" uniqueName="18" name="GR Flag 1/0" queryTableFieldId="25" dataDxfId="7">
      <calculatedColumnFormula>IF(po_master[[#This Row],[GR Receipt Status]]="No GR - Not Received", 1, 0)</calculatedColumnFormula>
    </tableColumn>
    <tableColumn id="24" xr3:uid="{E8280543-3FD8-4D4E-A2F3-9C9C8F1A3BE1}" uniqueName="24" name="Invoice flag 1/0" queryTableFieldId="26" dataDxfId="6">
      <calculatedColumnFormula>IF(po_master[[#This Row],[No invoice]]="No Invoice", 1, 0)</calculatedColumnFormula>
    </tableColumn>
    <tableColumn id="25" xr3:uid="{EDE75186-5609-4058-BFB6-63A52FA532C3}" uniqueName="25" name="Date Flag 1/0" queryTableFieldId="27" dataDxfId="5">
      <calculatedColumnFormula>IF(po_master[[#This Row],[Date Check]]="Invalid Date", 1, 0)</calculatedColumnFormula>
    </tableColumn>
    <tableColumn id="26" xr3:uid="{8E633961-A27D-4780-9BD8-F9650AB6E5C8}" uniqueName="26" name="Qty Flag 1/0" queryTableFieldId="28" dataDxfId="4">
      <calculatedColumnFormula>IF(po_master[[#This Row],[Qty Variance Flag]]="Qty Variance", 1, 0)</calculatedColumnFormula>
    </tableColumn>
    <tableColumn id="27" xr3:uid="{AE23D46B-8626-4192-9F09-433A2691A5DE}" uniqueName="27" name="Price Var 1/0" queryTableFieldId="29" dataDxfId="3">
      <calculatedColumnFormula>IF(po_master[[#This Row],[Price Variance Flag]]="Price Variance", 1, 0)</calculatedColumnFormula>
    </tableColumn>
    <tableColumn id="28" xr3:uid="{0E5956A4-D4EE-4D55-BDA3-A23E5163DAC5}" uniqueName="28" name="Late Del 1/0" queryTableFieldId="30" dataDxfId="2">
      <calculatedColumnFormula>IF(po_master[[#This Row],[Late Delivery Flag]]="Late Delivery", 1, 0)</calculatedColumnFormula>
    </tableColumn>
    <tableColumn id="29" xr3:uid="{AD0957DB-8E63-4029-B2CE-518E25774F6D}" uniqueName="29" name="Dup Invoice 1/0" queryTableFieldId="31" dataDxfId="1">
      <calculatedColumnFormula>IF(po_master[[#This Row],[Duplicate Invoice Flag]]="Duplicate Invoice", 1, 0)</calculatedColumnFormula>
    </tableColumn>
    <tableColumn id="30" xr3:uid="{7702AF64-7261-41D3-8B43-C6000B0B52C3}" uniqueName="30" name="Order Month" queryTableFieldId="32" dataDxfId="0">
      <calculatedColumnFormula>TEXT(po_master[[#This Row],[Order Date]],"YYYY-MM")</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298BC5-3E4E-4EE7-841E-5D1DB714EF28}" name="po_gr_merged" displayName="po_gr_merged" ref="A1:G701" tableType="queryTable" totalsRowShown="0">
  <autoFilter ref="A1:G701" xr:uid="{3A298BC5-3E4E-4EE7-841E-5D1DB714EF28}"/>
  <tableColumns count="7">
    <tableColumn id="1" xr3:uid="{D4B9019D-5A85-4C56-9E74-7302C51F9742}" uniqueName="1" name="PO Number" queryTableFieldId="1" dataDxfId="24"/>
    <tableColumn id="2" xr3:uid="{9743DE4D-CE22-48F9-ACF6-FBBF500DC9E9}" uniqueName="2" name="Vendor" queryTableFieldId="2" dataDxfId="23"/>
    <tableColumn id="3" xr3:uid="{37F28DC3-9813-43C2-81B5-F051F67370C7}" uniqueName="3" name="Order Date" queryTableFieldId="3" dataDxfId="22"/>
    <tableColumn id="4" xr3:uid="{493131B8-F292-4D0D-B3C8-684C08B09C4A}" uniqueName="4" name="PO Quantity" queryTableFieldId="4"/>
    <tableColumn id="5" xr3:uid="{68685A96-8BDA-485E-87B6-C62FF08844D1}" uniqueName="5" name="PO Unit Price" queryTableFieldId="5"/>
    <tableColumn id="6" xr3:uid="{9408AF1A-DA91-4D8A-A4C8-86D6E557D89B}" uniqueName="6" name="Approved By" queryTableFieldId="6" dataDxfId="21"/>
    <tableColumn id="7" xr3:uid="{C9D1B22C-B697-426D-A3C4-0A2AA747D18D}" uniqueName="7" name="Promised Delivey Date" queryTableFieldId="7"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61430BE-2381-4F7A-A105-2ACB728C2998}" name="purchase_orders" displayName="purchase_orders" ref="A1:H701" tableType="queryTable" totalsRowShown="0">
  <autoFilter ref="A1:H701" xr:uid="{E61430BE-2381-4F7A-A105-2ACB728C2998}"/>
  <tableColumns count="8">
    <tableColumn id="1" xr3:uid="{4240DDBC-FDE1-4492-94D8-AD881A58AD44}" uniqueName="1" name="PO Number" queryTableFieldId="1" dataDxfId="19"/>
    <tableColumn id="2" xr3:uid="{5651AA7E-1E67-485F-B76A-77124F236485}" uniqueName="2" name="Vendor" queryTableFieldId="2" dataDxfId="18"/>
    <tableColumn id="3" xr3:uid="{38BFD304-959C-4581-B119-1BFF0CD2DABC}" uniqueName="3" name="Order Date" queryTableFieldId="3" dataDxfId="17"/>
    <tableColumn id="4" xr3:uid="{03B94752-F472-497F-93E8-0A4729126AB2}" uniqueName="4" name="PO Quantity" queryTableFieldId="4"/>
    <tableColumn id="5" xr3:uid="{D74698BC-F9A9-4083-B2BA-98FA4DF672EF}" uniqueName="5" name="PO Unit Price" queryTableFieldId="5"/>
    <tableColumn id="6" xr3:uid="{2E78C1AA-A852-4519-A233-45D7B454FC64}" uniqueName="6" name="Approved By" queryTableFieldId="6" dataDxfId="16"/>
    <tableColumn id="7" xr3:uid="{834844D3-7386-4EDC-90E6-59B2997A961A}" uniqueName="7" name="Promised Delivey Date" queryTableFieldId="7" dataDxfId="15"/>
    <tableColumn id="8" xr3:uid="{E41D34EC-063F-4FD6-8F60-24676243BE9C}" uniqueName="8" name="Dup Check" queryTableFieldId="8" dataDxfId="14">
      <calculatedColumnFormula>COUNTIF(purchase_orders[PO Number], purchase_orders[[#This Row],[PO Number]])</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14CEE9-F3FD-430A-B6FD-4EB590B0E2A3}" name="invoices" displayName="invoices" ref="A1:E727" tableType="queryTable" totalsRowShown="0">
  <autoFilter ref="A1:E727" xr:uid="{F114CEE9-F3FD-430A-B6FD-4EB590B0E2A3}"/>
  <tableColumns count="5">
    <tableColumn id="1" xr3:uid="{5BFD8BB7-7D37-4A30-83B0-8E6B7A992D16}" uniqueName="1" name="PO Number" queryTableFieldId="1" dataDxfId="13"/>
    <tableColumn id="2" xr3:uid="{32E96611-9E92-4EFE-AC0C-41F3BDB61FA6}" uniqueName="2" name="Invoice Number" queryTableFieldId="2" dataDxfId="12"/>
    <tableColumn id="3" xr3:uid="{B101F59C-2F19-4C31-8289-B25438866F42}" uniqueName="3" name="Invoice Quantity" queryTableFieldId="3"/>
    <tableColumn id="4" xr3:uid="{D96B7FFB-EA17-41CD-9477-ADCA0AD94172}" uniqueName="4" name="Invoice Unit Price" queryTableFieldId="4"/>
    <tableColumn id="5" xr3:uid="{9305A42C-8CEB-4CA5-9DB5-719184221701}" uniqueName="5" name="Invoice Date" queryTableFieldId="5" dataDxfId="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00E67A-285D-4179-98D8-3AED3D46A211}" name="goods_receipts" displayName="goods_receipts" ref="A1:C645" tableType="queryTable" totalsRowShown="0">
  <autoFilter ref="A1:C645" xr:uid="{D100E67A-285D-4179-98D8-3AED3D46A211}"/>
  <tableColumns count="3">
    <tableColumn id="1" xr3:uid="{7BF0D45B-B25E-44C5-9821-A5A22EFDAFBA}" uniqueName="1" name="PO Number" queryTableFieldId="1" dataDxfId="10"/>
    <tableColumn id="2" xr3:uid="{9C9A5191-DDAF-4881-9118-FCE491BCDA36}" uniqueName="2" name="GR Quantity" queryTableFieldId="2"/>
    <tableColumn id="3" xr3:uid="{172D5E0A-4CAC-4135-BEE1-E19802DD255F}" uniqueName="3" name="Actual Delivery Date" queryTableFieldId="3"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68328-F128-413B-A8D0-9120A6E965FC}">
  <dimension ref="A3:I52"/>
  <sheetViews>
    <sheetView tabSelected="1" topLeftCell="A58" workbookViewId="0">
      <selection activeCell="K78" sqref="K78"/>
    </sheetView>
  </sheetViews>
  <sheetFormatPr defaultRowHeight="15" x14ac:dyDescent="0.25"/>
  <cols>
    <col min="1" max="1" width="23.42578125" bestFit="1" customWidth="1"/>
    <col min="2" max="2" width="24.5703125" bestFit="1" customWidth="1"/>
    <col min="3" max="3" width="17.85546875" bestFit="1" customWidth="1"/>
    <col min="4" max="4" width="21.5703125" bestFit="1" customWidth="1"/>
    <col min="5" max="5" width="19.42578125" bestFit="1" customWidth="1"/>
    <col min="6" max="6" width="18.28515625" bestFit="1" customWidth="1"/>
    <col min="7" max="7" width="19" bestFit="1" customWidth="1"/>
    <col min="8" max="8" width="18.5703125" bestFit="1" customWidth="1"/>
    <col min="9" max="9" width="22" bestFit="1" customWidth="1"/>
  </cols>
  <sheetData>
    <row r="3" spans="1:9" x14ac:dyDescent="0.25">
      <c r="A3" s="3" t="s">
        <v>1526</v>
      </c>
      <c r="B3" t="s">
        <v>1536</v>
      </c>
      <c r="C3" t="s">
        <v>1537</v>
      </c>
      <c r="D3" t="s">
        <v>1538</v>
      </c>
      <c r="E3" t="s">
        <v>1539</v>
      </c>
      <c r="F3" t="s">
        <v>1540</v>
      </c>
      <c r="G3" t="s">
        <v>1541</v>
      </c>
      <c r="H3" t="s">
        <v>1542</v>
      </c>
      <c r="I3" t="s">
        <v>1543</v>
      </c>
    </row>
    <row r="4" spans="1:9" x14ac:dyDescent="0.25">
      <c r="A4" s="4" t="s">
        <v>1450</v>
      </c>
      <c r="B4" s="5">
        <v>3</v>
      </c>
      <c r="C4" s="5">
        <v>2</v>
      </c>
      <c r="D4" s="5">
        <v>0</v>
      </c>
      <c r="E4" s="5">
        <v>0</v>
      </c>
      <c r="F4" s="5">
        <v>1</v>
      </c>
      <c r="G4" s="5">
        <v>1</v>
      </c>
      <c r="H4" s="5">
        <v>1</v>
      </c>
      <c r="I4" s="5">
        <v>2</v>
      </c>
    </row>
    <row r="5" spans="1:9" x14ac:dyDescent="0.25">
      <c r="A5" s="4" t="s">
        <v>1495</v>
      </c>
      <c r="B5" s="5">
        <v>0</v>
      </c>
      <c r="C5" s="5">
        <v>2</v>
      </c>
      <c r="D5" s="5">
        <v>0</v>
      </c>
      <c r="E5" s="5">
        <v>0</v>
      </c>
      <c r="F5" s="5">
        <v>1</v>
      </c>
      <c r="G5" s="5">
        <v>2</v>
      </c>
      <c r="H5" s="5">
        <v>2</v>
      </c>
      <c r="I5" s="5">
        <v>0</v>
      </c>
    </row>
    <row r="6" spans="1:9" x14ac:dyDescent="0.25">
      <c r="A6" s="4" t="s">
        <v>1510</v>
      </c>
      <c r="B6" s="5">
        <v>2</v>
      </c>
      <c r="C6" s="5">
        <v>0</v>
      </c>
      <c r="D6" s="5">
        <v>0</v>
      </c>
      <c r="E6" s="5">
        <v>0</v>
      </c>
      <c r="F6" s="5">
        <v>1</v>
      </c>
      <c r="G6" s="5">
        <v>1</v>
      </c>
      <c r="H6" s="5">
        <v>3</v>
      </c>
      <c r="I6" s="5">
        <v>0</v>
      </c>
    </row>
    <row r="7" spans="1:9" x14ac:dyDescent="0.25">
      <c r="A7" s="4" t="s">
        <v>1505</v>
      </c>
      <c r="B7" s="5">
        <v>1</v>
      </c>
      <c r="C7" s="5">
        <v>0</v>
      </c>
      <c r="D7" s="5">
        <v>0</v>
      </c>
      <c r="E7" s="5">
        <v>0</v>
      </c>
      <c r="F7" s="5">
        <v>1</v>
      </c>
      <c r="G7" s="5">
        <v>1</v>
      </c>
      <c r="H7" s="5">
        <v>4</v>
      </c>
      <c r="I7" s="5">
        <v>0</v>
      </c>
    </row>
    <row r="8" spans="1:9" x14ac:dyDescent="0.25">
      <c r="A8" s="4" t="s">
        <v>1445</v>
      </c>
      <c r="B8" s="5">
        <v>0</v>
      </c>
      <c r="C8" s="5">
        <v>0</v>
      </c>
      <c r="D8" s="5">
        <v>0</v>
      </c>
      <c r="E8" s="5">
        <v>0</v>
      </c>
      <c r="F8" s="5">
        <v>3</v>
      </c>
      <c r="G8" s="5">
        <v>2</v>
      </c>
      <c r="H8" s="5">
        <v>4</v>
      </c>
      <c r="I8" s="5">
        <v>0</v>
      </c>
    </row>
    <row r="9" spans="1:9" x14ac:dyDescent="0.25">
      <c r="A9" s="4" t="s">
        <v>1496</v>
      </c>
      <c r="B9" s="5">
        <v>0</v>
      </c>
      <c r="C9" s="5">
        <v>2</v>
      </c>
      <c r="D9" s="5">
        <v>0</v>
      </c>
      <c r="E9" s="5">
        <v>0</v>
      </c>
      <c r="F9" s="5">
        <v>0</v>
      </c>
      <c r="G9" s="5">
        <v>1</v>
      </c>
      <c r="H9" s="5">
        <v>4</v>
      </c>
      <c r="I9" s="5">
        <v>2</v>
      </c>
    </row>
    <row r="10" spans="1:9" x14ac:dyDescent="0.25">
      <c r="A10" s="4" t="s">
        <v>1443</v>
      </c>
      <c r="B10" s="5">
        <v>1</v>
      </c>
      <c r="C10" s="5">
        <v>0</v>
      </c>
      <c r="D10" s="5">
        <v>0</v>
      </c>
      <c r="E10" s="5">
        <v>0</v>
      </c>
      <c r="F10" s="5">
        <v>0</v>
      </c>
      <c r="G10" s="5">
        <v>1</v>
      </c>
      <c r="H10" s="5">
        <v>5</v>
      </c>
      <c r="I10" s="5">
        <v>0</v>
      </c>
    </row>
    <row r="11" spans="1:9" x14ac:dyDescent="0.25">
      <c r="A11" s="4" t="s">
        <v>1475</v>
      </c>
      <c r="B11" s="5">
        <v>0</v>
      </c>
      <c r="C11" s="5">
        <v>3</v>
      </c>
      <c r="D11" s="5">
        <v>0</v>
      </c>
      <c r="E11" s="5">
        <v>0</v>
      </c>
      <c r="F11" s="5">
        <v>2</v>
      </c>
      <c r="G11" s="5">
        <v>1</v>
      </c>
      <c r="H11" s="5">
        <v>5</v>
      </c>
      <c r="I11" s="5">
        <v>0</v>
      </c>
    </row>
    <row r="12" spans="1:9" x14ac:dyDescent="0.25">
      <c r="A12" s="4" t="s">
        <v>1463</v>
      </c>
      <c r="B12" s="5">
        <v>0</v>
      </c>
      <c r="C12" s="5">
        <v>1</v>
      </c>
      <c r="D12" s="5">
        <v>0</v>
      </c>
      <c r="E12" s="5">
        <v>0</v>
      </c>
      <c r="F12" s="5">
        <v>3</v>
      </c>
      <c r="G12" s="5">
        <v>3</v>
      </c>
      <c r="H12" s="5">
        <v>5</v>
      </c>
      <c r="I12" s="5">
        <v>0</v>
      </c>
    </row>
    <row r="13" spans="1:9" x14ac:dyDescent="0.25">
      <c r="A13" s="4" t="s">
        <v>1464</v>
      </c>
      <c r="B13" s="5">
        <v>2</v>
      </c>
      <c r="C13" s="5">
        <v>1</v>
      </c>
      <c r="D13" s="5">
        <v>0</v>
      </c>
      <c r="E13" s="5">
        <v>0</v>
      </c>
      <c r="F13" s="5">
        <v>1</v>
      </c>
      <c r="G13" s="5">
        <v>2</v>
      </c>
      <c r="H13" s="5">
        <v>5</v>
      </c>
      <c r="I13" s="5">
        <v>0</v>
      </c>
    </row>
    <row r="14" spans="1:9" x14ac:dyDescent="0.25">
      <c r="A14" s="4" t="s">
        <v>1500</v>
      </c>
      <c r="B14" s="5">
        <v>1</v>
      </c>
      <c r="C14" s="5">
        <v>3</v>
      </c>
      <c r="D14" s="5">
        <v>0</v>
      </c>
      <c r="E14" s="5">
        <v>0</v>
      </c>
      <c r="F14" s="5">
        <v>1</v>
      </c>
      <c r="G14" s="5">
        <v>2</v>
      </c>
      <c r="H14" s="5">
        <v>5</v>
      </c>
      <c r="I14" s="5">
        <v>0</v>
      </c>
    </row>
    <row r="15" spans="1:9" x14ac:dyDescent="0.25">
      <c r="A15" s="4" t="s">
        <v>1481</v>
      </c>
      <c r="B15" s="5">
        <v>0</v>
      </c>
      <c r="C15" s="5">
        <v>1</v>
      </c>
      <c r="D15" s="5">
        <v>0</v>
      </c>
      <c r="E15" s="5">
        <v>0</v>
      </c>
      <c r="F15" s="5">
        <v>1</v>
      </c>
      <c r="G15" s="5">
        <v>0</v>
      </c>
      <c r="H15" s="5">
        <v>5</v>
      </c>
      <c r="I15" s="5">
        <v>2</v>
      </c>
    </row>
    <row r="16" spans="1:9" x14ac:dyDescent="0.25">
      <c r="A16" s="4" t="s">
        <v>1484</v>
      </c>
      <c r="B16" s="5">
        <v>0</v>
      </c>
      <c r="C16" s="5">
        <v>1</v>
      </c>
      <c r="D16" s="5">
        <v>0</v>
      </c>
      <c r="E16" s="5">
        <v>0</v>
      </c>
      <c r="F16" s="5">
        <v>2</v>
      </c>
      <c r="G16" s="5">
        <v>1</v>
      </c>
      <c r="H16" s="5">
        <v>5</v>
      </c>
      <c r="I16" s="5">
        <v>0</v>
      </c>
    </row>
    <row r="17" spans="1:9" x14ac:dyDescent="0.25">
      <c r="A17" s="4" t="s">
        <v>1466</v>
      </c>
      <c r="B17" s="5">
        <v>3</v>
      </c>
      <c r="C17" s="5">
        <v>0</v>
      </c>
      <c r="D17" s="5">
        <v>0</v>
      </c>
      <c r="E17" s="5">
        <v>0</v>
      </c>
      <c r="F17" s="5">
        <v>0</v>
      </c>
      <c r="G17" s="5">
        <v>2</v>
      </c>
      <c r="H17" s="5">
        <v>6</v>
      </c>
      <c r="I17" s="5">
        <v>2</v>
      </c>
    </row>
    <row r="18" spans="1:9" x14ac:dyDescent="0.25">
      <c r="A18" s="4" t="s">
        <v>1489</v>
      </c>
      <c r="B18" s="5">
        <v>3</v>
      </c>
      <c r="C18" s="5">
        <v>1</v>
      </c>
      <c r="D18" s="5">
        <v>0</v>
      </c>
      <c r="E18" s="5">
        <v>0</v>
      </c>
      <c r="F18" s="5">
        <v>0</v>
      </c>
      <c r="G18" s="5">
        <v>1</v>
      </c>
      <c r="H18" s="5">
        <v>6</v>
      </c>
      <c r="I18" s="5">
        <v>0</v>
      </c>
    </row>
    <row r="19" spans="1:9" x14ac:dyDescent="0.25">
      <c r="A19" s="4" t="s">
        <v>1509</v>
      </c>
      <c r="B19" s="5">
        <v>0</v>
      </c>
      <c r="C19" s="5">
        <v>4</v>
      </c>
      <c r="D19" s="5">
        <v>0</v>
      </c>
      <c r="E19" s="5">
        <v>0</v>
      </c>
      <c r="F19" s="5">
        <v>1</v>
      </c>
      <c r="G19" s="5">
        <v>0</v>
      </c>
      <c r="H19" s="5">
        <v>6</v>
      </c>
      <c r="I19" s="5">
        <v>2</v>
      </c>
    </row>
    <row r="20" spans="1:9" x14ac:dyDescent="0.25">
      <c r="A20" s="4" t="s">
        <v>1498</v>
      </c>
      <c r="B20" s="5">
        <v>0</v>
      </c>
      <c r="C20" s="5">
        <v>2</v>
      </c>
      <c r="D20" s="5">
        <v>0</v>
      </c>
      <c r="E20" s="5">
        <v>0</v>
      </c>
      <c r="F20" s="5">
        <v>3</v>
      </c>
      <c r="G20" s="5">
        <v>2</v>
      </c>
      <c r="H20" s="5">
        <v>6</v>
      </c>
      <c r="I20" s="5">
        <v>0</v>
      </c>
    </row>
    <row r="21" spans="1:9" x14ac:dyDescent="0.25">
      <c r="A21" s="4" t="s">
        <v>1473</v>
      </c>
      <c r="B21" s="5">
        <v>0</v>
      </c>
      <c r="C21" s="5">
        <v>1</v>
      </c>
      <c r="D21" s="5">
        <v>0</v>
      </c>
      <c r="E21" s="5">
        <v>0</v>
      </c>
      <c r="F21" s="5">
        <v>1</v>
      </c>
      <c r="G21" s="5">
        <v>2</v>
      </c>
      <c r="H21" s="5">
        <v>6</v>
      </c>
      <c r="I21" s="5">
        <v>0</v>
      </c>
    </row>
    <row r="22" spans="1:9" x14ac:dyDescent="0.25">
      <c r="A22" s="4" t="s">
        <v>1461</v>
      </c>
      <c r="B22" s="5">
        <v>1</v>
      </c>
      <c r="C22" s="5">
        <v>1</v>
      </c>
      <c r="D22" s="5">
        <v>0</v>
      </c>
      <c r="E22" s="5">
        <v>0</v>
      </c>
      <c r="F22" s="5">
        <v>1</v>
      </c>
      <c r="G22" s="5">
        <v>2</v>
      </c>
      <c r="H22" s="5">
        <v>6</v>
      </c>
      <c r="I22" s="5">
        <v>0</v>
      </c>
    </row>
    <row r="23" spans="1:9" x14ac:dyDescent="0.25">
      <c r="A23" s="4" t="s">
        <v>1454</v>
      </c>
      <c r="B23" s="5">
        <v>0</v>
      </c>
      <c r="C23" s="5">
        <v>1</v>
      </c>
      <c r="D23" s="5">
        <v>0</v>
      </c>
      <c r="E23" s="5">
        <v>0</v>
      </c>
      <c r="F23" s="5">
        <v>0</v>
      </c>
      <c r="G23" s="5">
        <v>1</v>
      </c>
      <c r="H23" s="5">
        <v>6</v>
      </c>
      <c r="I23" s="5">
        <v>0</v>
      </c>
    </row>
    <row r="24" spans="1:9" x14ac:dyDescent="0.25">
      <c r="A24" s="4" t="s">
        <v>1508</v>
      </c>
      <c r="B24" s="5">
        <v>0</v>
      </c>
      <c r="C24" s="5">
        <v>0</v>
      </c>
      <c r="D24" s="5">
        <v>0</v>
      </c>
      <c r="E24" s="5">
        <v>0</v>
      </c>
      <c r="F24" s="5">
        <v>1</v>
      </c>
      <c r="G24" s="5">
        <v>0</v>
      </c>
      <c r="H24" s="5">
        <v>6</v>
      </c>
      <c r="I24" s="5">
        <v>0</v>
      </c>
    </row>
    <row r="25" spans="1:9" x14ac:dyDescent="0.25">
      <c r="A25" s="4" t="s">
        <v>1479</v>
      </c>
      <c r="B25" s="5">
        <v>0</v>
      </c>
      <c r="C25" s="5">
        <v>2</v>
      </c>
      <c r="D25" s="5">
        <v>0</v>
      </c>
      <c r="E25" s="5">
        <v>0</v>
      </c>
      <c r="F25" s="5">
        <v>1</v>
      </c>
      <c r="G25" s="5">
        <v>0</v>
      </c>
      <c r="H25" s="5">
        <v>6</v>
      </c>
      <c r="I25" s="5">
        <v>0</v>
      </c>
    </row>
    <row r="26" spans="1:9" x14ac:dyDescent="0.25">
      <c r="A26" s="4" t="s">
        <v>1503</v>
      </c>
      <c r="B26" s="5">
        <v>0</v>
      </c>
      <c r="C26" s="5">
        <v>1</v>
      </c>
      <c r="D26" s="5">
        <v>0</v>
      </c>
      <c r="E26" s="5">
        <v>0</v>
      </c>
      <c r="F26" s="5">
        <v>0</v>
      </c>
      <c r="G26" s="5">
        <v>2</v>
      </c>
      <c r="H26" s="5">
        <v>6</v>
      </c>
      <c r="I26" s="5">
        <v>2</v>
      </c>
    </row>
    <row r="27" spans="1:9" x14ac:dyDescent="0.25">
      <c r="A27" s="4" t="s">
        <v>1506</v>
      </c>
      <c r="B27" s="5">
        <v>1</v>
      </c>
      <c r="C27" s="5">
        <v>0</v>
      </c>
      <c r="D27" s="5">
        <v>0</v>
      </c>
      <c r="E27" s="5">
        <v>0</v>
      </c>
      <c r="F27" s="5">
        <v>1</v>
      </c>
      <c r="G27" s="5">
        <v>1</v>
      </c>
      <c r="H27" s="5">
        <v>7</v>
      </c>
      <c r="I27" s="5">
        <v>0</v>
      </c>
    </row>
    <row r="28" spans="1:9" x14ac:dyDescent="0.25">
      <c r="A28" s="4" t="s">
        <v>1497</v>
      </c>
      <c r="B28" s="5">
        <v>1</v>
      </c>
      <c r="C28" s="5">
        <v>0</v>
      </c>
      <c r="D28" s="5">
        <v>0</v>
      </c>
      <c r="E28" s="5">
        <v>0</v>
      </c>
      <c r="F28" s="5">
        <v>0</v>
      </c>
      <c r="G28" s="5">
        <v>1</v>
      </c>
      <c r="H28" s="5">
        <v>7</v>
      </c>
      <c r="I28" s="5">
        <v>0</v>
      </c>
    </row>
    <row r="29" spans="1:9" x14ac:dyDescent="0.25">
      <c r="A29" s="4" t="s">
        <v>1449</v>
      </c>
      <c r="B29" s="5">
        <v>1</v>
      </c>
      <c r="C29" s="5">
        <v>4</v>
      </c>
      <c r="D29" s="5">
        <v>0</v>
      </c>
      <c r="E29" s="5">
        <v>0</v>
      </c>
      <c r="F29" s="5">
        <v>3</v>
      </c>
      <c r="G29" s="5">
        <v>1</v>
      </c>
      <c r="H29" s="5">
        <v>7</v>
      </c>
      <c r="I29" s="5">
        <v>4</v>
      </c>
    </row>
    <row r="30" spans="1:9" x14ac:dyDescent="0.25">
      <c r="A30" s="4" t="s">
        <v>1468</v>
      </c>
      <c r="B30" s="5">
        <v>0</v>
      </c>
      <c r="C30" s="5">
        <v>0</v>
      </c>
      <c r="D30" s="5">
        <v>0</v>
      </c>
      <c r="E30" s="5">
        <v>0</v>
      </c>
      <c r="F30" s="5">
        <v>0</v>
      </c>
      <c r="G30" s="5">
        <v>2</v>
      </c>
      <c r="H30" s="5">
        <v>7</v>
      </c>
      <c r="I30" s="5">
        <v>0</v>
      </c>
    </row>
    <row r="31" spans="1:9" x14ac:dyDescent="0.25">
      <c r="A31" s="4" t="s">
        <v>1486</v>
      </c>
      <c r="B31" s="5">
        <v>0</v>
      </c>
      <c r="C31" s="5">
        <v>2</v>
      </c>
      <c r="D31" s="5">
        <v>0</v>
      </c>
      <c r="E31" s="5">
        <v>0</v>
      </c>
      <c r="F31" s="5">
        <v>1</v>
      </c>
      <c r="G31" s="5">
        <v>0</v>
      </c>
      <c r="H31" s="5">
        <v>7</v>
      </c>
      <c r="I31" s="5">
        <v>0</v>
      </c>
    </row>
    <row r="32" spans="1:9" x14ac:dyDescent="0.25">
      <c r="A32" s="4" t="s">
        <v>1488</v>
      </c>
      <c r="B32" s="5">
        <v>0</v>
      </c>
      <c r="C32" s="5">
        <v>1</v>
      </c>
      <c r="D32" s="5">
        <v>0</v>
      </c>
      <c r="E32" s="5">
        <v>0</v>
      </c>
      <c r="F32" s="5">
        <v>3</v>
      </c>
      <c r="G32" s="5">
        <v>1</v>
      </c>
      <c r="H32" s="5">
        <v>7</v>
      </c>
      <c r="I32" s="5">
        <v>0</v>
      </c>
    </row>
    <row r="33" spans="1:9" x14ac:dyDescent="0.25">
      <c r="A33" s="4" t="s">
        <v>1471</v>
      </c>
      <c r="B33" s="5">
        <v>1</v>
      </c>
      <c r="C33" s="5">
        <v>3</v>
      </c>
      <c r="D33" s="5">
        <v>0</v>
      </c>
      <c r="E33" s="5">
        <v>0</v>
      </c>
      <c r="F33" s="5">
        <v>1</v>
      </c>
      <c r="G33" s="5">
        <v>1</v>
      </c>
      <c r="H33" s="5">
        <v>8</v>
      </c>
      <c r="I33" s="5">
        <v>2</v>
      </c>
    </row>
    <row r="34" spans="1:9" x14ac:dyDescent="0.25">
      <c r="A34" s="4" t="s">
        <v>1465</v>
      </c>
      <c r="B34" s="5">
        <v>0</v>
      </c>
      <c r="C34" s="5">
        <v>1</v>
      </c>
      <c r="D34" s="5">
        <v>0</v>
      </c>
      <c r="E34" s="5">
        <v>0</v>
      </c>
      <c r="F34" s="5">
        <v>0</v>
      </c>
      <c r="G34" s="5">
        <v>5</v>
      </c>
      <c r="H34" s="5">
        <v>8</v>
      </c>
      <c r="I34" s="5">
        <v>4</v>
      </c>
    </row>
    <row r="35" spans="1:9" x14ac:dyDescent="0.25">
      <c r="A35" s="4" t="s">
        <v>1511</v>
      </c>
      <c r="B35" s="5">
        <v>1</v>
      </c>
      <c r="C35" s="5">
        <v>0</v>
      </c>
      <c r="D35" s="5">
        <v>0</v>
      </c>
      <c r="E35" s="5">
        <v>0</v>
      </c>
      <c r="F35" s="5">
        <v>0</v>
      </c>
      <c r="G35" s="5">
        <v>2</v>
      </c>
      <c r="H35" s="5">
        <v>8</v>
      </c>
      <c r="I35" s="5">
        <v>0</v>
      </c>
    </row>
    <row r="36" spans="1:9" x14ac:dyDescent="0.25">
      <c r="A36" s="4" t="s">
        <v>1455</v>
      </c>
      <c r="B36" s="5">
        <v>1</v>
      </c>
      <c r="C36" s="5">
        <v>0</v>
      </c>
      <c r="D36" s="5">
        <v>0</v>
      </c>
      <c r="E36" s="5">
        <v>0</v>
      </c>
      <c r="F36" s="5">
        <v>0</v>
      </c>
      <c r="G36" s="5">
        <v>1</v>
      </c>
      <c r="H36" s="5">
        <v>8</v>
      </c>
      <c r="I36" s="5">
        <v>2</v>
      </c>
    </row>
    <row r="37" spans="1:9" x14ac:dyDescent="0.25">
      <c r="A37" s="4" t="s">
        <v>1492</v>
      </c>
      <c r="B37" s="5">
        <v>0</v>
      </c>
      <c r="C37" s="5">
        <v>0</v>
      </c>
      <c r="D37" s="5">
        <v>0</v>
      </c>
      <c r="E37" s="5">
        <v>0</v>
      </c>
      <c r="F37" s="5">
        <v>0</v>
      </c>
      <c r="G37" s="5">
        <v>0</v>
      </c>
      <c r="H37" s="5">
        <v>8</v>
      </c>
      <c r="I37" s="5">
        <v>2</v>
      </c>
    </row>
    <row r="38" spans="1:9" x14ac:dyDescent="0.25">
      <c r="A38" s="4" t="s">
        <v>1502</v>
      </c>
      <c r="B38" s="5">
        <v>1</v>
      </c>
      <c r="C38" s="5">
        <v>1</v>
      </c>
      <c r="D38" s="5">
        <v>0</v>
      </c>
      <c r="E38" s="5">
        <v>0</v>
      </c>
      <c r="F38" s="5">
        <v>2</v>
      </c>
      <c r="G38" s="5">
        <v>0</v>
      </c>
      <c r="H38" s="5">
        <v>9</v>
      </c>
      <c r="I38" s="5">
        <v>0</v>
      </c>
    </row>
    <row r="39" spans="1:9" x14ac:dyDescent="0.25">
      <c r="A39" s="4" t="s">
        <v>1477</v>
      </c>
      <c r="B39" s="5">
        <v>2</v>
      </c>
      <c r="C39" s="5">
        <v>0</v>
      </c>
      <c r="D39" s="5">
        <v>0</v>
      </c>
      <c r="E39" s="5">
        <v>0</v>
      </c>
      <c r="F39" s="5">
        <v>2</v>
      </c>
      <c r="G39" s="5">
        <v>0</v>
      </c>
      <c r="H39" s="5">
        <v>9</v>
      </c>
      <c r="I39" s="5">
        <v>2</v>
      </c>
    </row>
    <row r="40" spans="1:9" x14ac:dyDescent="0.25">
      <c r="A40" s="4" t="s">
        <v>1441</v>
      </c>
      <c r="B40" s="5">
        <v>1</v>
      </c>
      <c r="C40" s="5">
        <v>2</v>
      </c>
      <c r="D40" s="5">
        <v>0</v>
      </c>
      <c r="E40" s="5">
        <v>0</v>
      </c>
      <c r="F40" s="5">
        <v>1</v>
      </c>
      <c r="G40" s="5">
        <v>0</v>
      </c>
      <c r="H40" s="5">
        <v>9</v>
      </c>
      <c r="I40" s="5">
        <v>4</v>
      </c>
    </row>
    <row r="41" spans="1:9" x14ac:dyDescent="0.25">
      <c r="A41" s="4" t="s">
        <v>1470</v>
      </c>
      <c r="B41" s="5">
        <v>1</v>
      </c>
      <c r="C41" s="5">
        <v>3</v>
      </c>
      <c r="D41" s="5">
        <v>0</v>
      </c>
      <c r="E41" s="5">
        <v>0</v>
      </c>
      <c r="F41" s="5">
        <v>1</v>
      </c>
      <c r="G41" s="5">
        <v>4</v>
      </c>
      <c r="H41" s="5">
        <v>10</v>
      </c>
      <c r="I41" s="5">
        <v>4</v>
      </c>
    </row>
    <row r="42" spans="1:9" x14ac:dyDescent="0.25">
      <c r="A42" s="4" t="s">
        <v>1491</v>
      </c>
      <c r="B42" s="5">
        <v>4</v>
      </c>
      <c r="C42" s="5">
        <v>1</v>
      </c>
      <c r="D42" s="5">
        <v>0</v>
      </c>
      <c r="E42" s="5">
        <v>0</v>
      </c>
      <c r="F42" s="5">
        <v>1</v>
      </c>
      <c r="G42" s="5">
        <v>2</v>
      </c>
      <c r="H42" s="5">
        <v>10</v>
      </c>
      <c r="I42" s="5">
        <v>0</v>
      </c>
    </row>
    <row r="43" spans="1:9" x14ac:dyDescent="0.25">
      <c r="A43" s="4" t="s">
        <v>1478</v>
      </c>
      <c r="B43" s="5">
        <v>0</v>
      </c>
      <c r="C43" s="5">
        <v>2</v>
      </c>
      <c r="D43" s="5">
        <v>0</v>
      </c>
      <c r="E43" s="5">
        <v>0</v>
      </c>
      <c r="F43" s="5">
        <v>1</v>
      </c>
      <c r="G43" s="5">
        <v>1</v>
      </c>
      <c r="H43" s="5">
        <v>10</v>
      </c>
      <c r="I43" s="5">
        <v>0</v>
      </c>
    </row>
    <row r="44" spans="1:9" x14ac:dyDescent="0.25">
      <c r="A44" s="4" t="s">
        <v>1482</v>
      </c>
      <c r="B44" s="5">
        <v>0</v>
      </c>
      <c r="C44" s="5">
        <v>3</v>
      </c>
      <c r="D44" s="5">
        <v>0</v>
      </c>
      <c r="E44" s="5">
        <v>0</v>
      </c>
      <c r="F44" s="5">
        <v>2</v>
      </c>
      <c r="G44" s="5">
        <v>0</v>
      </c>
      <c r="H44" s="5">
        <v>10</v>
      </c>
      <c r="I44" s="5">
        <v>4</v>
      </c>
    </row>
    <row r="45" spans="1:9" x14ac:dyDescent="0.25">
      <c r="A45" s="4" t="s">
        <v>1457</v>
      </c>
      <c r="B45" s="5">
        <v>3</v>
      </c>
      <c r="C45" s="5">
        <v>2</v>
      </c>
      <c r="D45" s="5">
        <v>0</v>
      </c>
      <c r="E45" s="5">
        <v>0</v>
      </c>
      <c r="F45" s="5">
        <v>3</v>
      </c>
      <c r="G45" s="5">
        <v>1</v>
      </c>
      <c r="H45" s="5">
        <v>10</v>
      </c>
      <c r="I45" s="5">
        <v>0</v>
      </c>
    </row>
    <row r="46" spans="1:9" x14ac:dyDescent="0.25">
      <c r="A46" s="4" t="s">
        <v>1447</v>
      </c>
      <c r="B46" s="5">
        <v>1</v>
      </c>
      <c r="C46" s="5">
        <v>2</v>
      </c>
      <c r="D46" s="5">
        <v>0</v>
      </c>
      <c r="E46" s="5">
        <v>0</v>
      </c>
      <c r="F46" s="5">
        <v>1</v>
      </c>
      <c r="G46" s="5">
        <v>2</v>
      </c>
      <c r="H46" s="5">
        <v>10</v>
      </c>
      <c r="I46" s="5">
        <v>0</v>
      </c>
    </row>
    <row r="47" spans="1:9" x14ac:dyDescent="0.25">
      <c r="A47" s="4" t="s">
        <v>1512</v>
      </c>
      <c r="B47" s="5">
        <v>1</v>
      </c>
      <c r="C47" s="5">
        <v>1</v>
      </c>
      <c r="D47" s="5">
        <v>0</v>
      </c>
      <c r="E47" s="5">
        <v>0</v>
      </c>
      <c r="F47" s="5">
        <v>3</v>
      </c>
      <c r="G47" s="5">
        <v>1</v>
      </c>
      <c r="H47" s="5">
        <v>10</v>
      </c>
      <c r="I47" s="5">
        <v>2</v>
      </c>
    </row>
    <row r="48" spans="1:9" x14ac:dyDescent="0.25">
      <c r="A48" s="4" t="s">
        <v>1460</v>
      </c>
      <c r="B48" s="5">
        <v>0</v>
      </c>
      <c r="C48" s="5">
        <v>0</v>
      </c>
      <c r="D48" s="5">
        <v>0</v>
      </c>
      <c r="E48" s="5">
        <v>0</v>
      </c>
      <c r="F48" s="5">
        <v>0</v>
      </c>
      <c r="G48" s="5">
        <v>5</v>
      </c>
      <c r="H48" s="5">
        <v>11</v>
      </c>
      <c r="I48" s="5">
        <v>0</v>
      </c>
    </row>
    <row r="49" spans="1:9" x14ac:dyDescent="0.25">
      <c r="A49" s="4" t="s">
        <v>1439</v>
      </c>
      <c r="B49" s="5">
        <v>1</v>
      </c>
      <c r="C49" s="5">
        <v>1</v>
      </c>
      <c r="D49" s="5">
        <v>0</v>
      </c>
      <c r="E49" s="5">
        <v>0</v>
      </c>
      <c r="F49" s="5">
        <v>1</v>
      </c>
      <c r="G49" s="5">
        <v>3</v>
      </c>
      <c r="H49" s="5">
        <v>12</v>
      </c>
      <c r="I49" s="5">
        <v>0</v>
      </c>
    </row>
    <row r="50" spans="1:9" x14ac:dyDescent="0.25">
      <c r="A50" s="4" t="s">
        <v>1452</v>
      </c>
      <c r="B50" s="5">
        <v>0</v>
      </c>
      <c r="C50" s="5">
        <v>0</v>
      </c>
      <c r="D50" s="5">
        <v>0</v>
      </c>
      <c r="E50" s="5">
        <v>0</v>
      </c>
      <c r="F50" s="5">
        <v>2</v>
      </c>
      <c r="G50" s="5">
        <v>3</v>
      </c>
      <c r="H50" s="5">
        <v>14</v>
      </c>
      <c r="I50" s="5">
        <v>2</v>
      </c>
    </row>
    <row r="51" spans="1:9" x14ac:dyDescent="0.25">
      <c r="A51" s="4" t="s">
        <v>1493</v>
      </c>
      <c r="B51" s="5">
        <v>1</v>
      </c>
      <c r="C51" s="5">
        <v>0</v>
      </c>
      <c r="D51" s="5">
        <v>0</v>
      </c>
      <c r="E51" s="5">
        <v>0</v>
      </c>
      <c r="F51" s="5">
        <v>3</v>
      </c>
      <c r="G51" s="5">
        <v>6</v>
      </c>
      <c r="H51" s="5">
        <v>14</v>
      </c>
      <c r="I51" s="5">
        <v>8</v>
      </c>
    </row>
    <row r="52" spans="1:9" x14ac:dyDescent="0.25">
      <c r="A52" s="4" t="s">
        <v>1527</v>
      </c>
      <c r="B52" s="5">
        <v>39</v>
      </c>
      <c r="C52" s="5">
        <v>58</v>
      </c>
      <c r="D52" s="5">
        <v>0</v>
      </c>
      <c r="E52" s="5">
        <v>0</v>
      </c>
      <c r="F52" s="5">
        <v>57</v>
      </c>
      <c r="G52" s="5">
        <v>73</v>
      </c>
      <c r="H52" s="5">
        <v>343</v>
      </c>
      <c r="I52" s="5">
        <v>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23132-330D-4863-944E-896FEB5A945F}">
  <dimension ref="A1:AD727"/>
  <sheetViews>
    <sheetView topLeftCell="A2" workbookViewId="0">
      <selection activeCell="AD3" sqref="AD3"/>
    </sheetView>
  </sheetViews>
  <sheetFormatPr defaultRowHeight="15" x14ac:dyDescent="0.25"/>
  <cols>
    <col min="1" max="1" width="13.5703125" bestFit="1" customWidth="1"/>
    <col min="2" max="2" width="23.42578125" bestFit="1" customWidth="1"/>
    <col min="3" max="3" width="13.140625" bestFit="1" customWidth="1"/>
    <col min="4" max="4" width="14" bestFit="1" customWidth="1"/>
    <col min="5" max="5" width="15" bestFit="1" customWidth="1"/>
    <col min="6" max="6" width="17.85546875" bestFit="1" customWidth="1"/>
    <col min="7" max="7" width="24.28515625" bestFit="1" customWidth="1"/>
    <col min="8" max="8" width="14.140625" bestFit="1" customWidth="1"/>
    <col min="9" max="9" width="21.85546875" bestFit="1" customWidth="1"/>
    <col min="10" max="10" width="17.7109375" bestFit="1" customWidth="1"/>
    <col min="11" max="11" width="18.140625" bestFit="1" customWidth="1"/>
    <col min="12" max="12" width="19.140625" bestFit="1" customWidth="1"/>
    <col min="13" max="13" width="14.5703125" bestFit="1" customWidth="1"/>
    <col min="14" max="14" width="18.5703125" bestFit="1" customWidth="1"/>
    <col min="15" max="15" width="19.85546875" bestFit="1" customWidth="1"/>
    <col min="16" max="16" width="13.7109375" bestFit="1" customWidth="1"/>
    <col min="18" max="18" width="18.7109375" bestFit="1" customWidth="1"/>
    <col min="19" max="19" width="20.28515625" bestFit="1" customWidth="1"/>
    <col min="20" max="20" width="19.28515625" bestFit="1" customWidth="1"/>
    <col min="21" max="21" width="23.28515625" bestFit="1" customWidth="1"/>
    <col min="22" max="22" width="20" bestFit="1" customWidth="1"/>
    <col min="23" max="23" width="10" bestFit="1" customWidth="1"/>
  </cols>
  <sheetData>
    <row r="1" spans="1:30" x14ac:dyDescent="0.25">
      <c r="A1" t="s">
        <v>0</v>
      </c>
      <c r="B1" t="s">
        <v>1433</v>
      </c>
      <c r="C1" t="s">
        <v>1434</v>
      </c>
      <c r="D1" t="s">
        <v>1435</v>
      </c>
      <c r="E1" t="s">
        <v>1436</v>
      </c>
      <c r="F1" t="s">
        <v>1437</v>
      </c>
      <c r="G1" t="s">
        <v>1438</v>
      </c>
      <c r="H1" t="s">
        <v>1</v>
      </c>
      <c r="I1" t="s">
        <v>2</v>
      </c>
      <c r="J1" t="s">
        <v>647</v>
      </c>
      <c r="K1" t="s">
        <v>648</v>
      </c>
      <c r="L1" t="s">
        <v>649</v>
      </c>
      <c r="M1" t="s">
        <v>650</v>
      </c>
      <c r="N1" t="s">
        <v>1513</v>
      </c>
      <c r="O1" t="s">
        <v>1514</v>
      </c>
      <c r="P1" t="s">
        <v>1515</v>
      </c>
      <c r="Q1" t="s">
        <v>1519</v>
      </c>
      <c r="R1" t="s">
        <v>1522</v>
      </c>
      <c r="S1" t="s">
        <v>1523</v>
      </c>
      <c r="T1" t="s">
        <v>1524</v>
      </c>
      <c r="U1" t="s">
        <v>1525</v>
      </c>
      <c r="V1" t="s">
        <v>1528</v>
      </c>
      <c r="W1" t="s">
        <v>1529</v>
      </c>
      <c r="X1" t="s">
        <v>1530</v>
      </c>
      <c r="Y1" t="s">
        <v>1531</v>
      </c>
      <c r="Z1" t="s">
        <v>1532</v>
      </c>
      <c r="AA1" t="s">
        <v>1533</v>
      </c>
      <c r="AB1" t="s">
        <v>1534</v>
      </c>
      <c r="AC1" t="s">
        <v>1535</v>
      </c>
      <c r="AD1" t="s">
        <v>1544</v>
      </c>
    </row>
    <row r="2" spans="1:30" x14ac:dyDescent="0.25">
      <c r="A2" t="s">
        <v>3</v>
      </c>
      <c r="B2" t="s">
        <v>1439</v>
      </c>
      <c r="C2" s="1">
        <v>46051</v>
      </c>
      <c r="D2">
        <v>22</v>
      </c>
      <c r="E2">
        <v>149.6</v>
      </c>
      <c r="F2" t="s">
        <v>1440</v>
      </c>
      <c r="G2" s="1">
        <v>46063</v>
      </c>
      <c r="H2">
        <v>22</v>
      </c>
      <c r="I2" s="1">
        <v>46062</v>
      </c>
      <c r="J2" t="s">
        <v>651</v>
      </c>
      <c r="K2">
        <v>22</v>
      </c>
      <c r="L2">
        <v>149.6</v>
      </c>
      <c r="M2" s="1">
        <v>46073</v>
      </c>
      <c r="N2" t="str">
        <f>IF(po_master[[#This Row],[Approved By]]="", "Missing Approval", "OK")</f>
        <v>OK</v>
      </c>
      <c r="O2" t="str">
        <f>IF(ISBLANK(po_master[[#This Row],[GR Quantity]]), "No GR - Not received", "OK")</f>
        <v>OK</v>
      </c>
      <c r="P2" t="str">
        <f>IF(po_master[[#This Row],[Promised Delivey Date]]&lt;po_master[[#This Row],[Order Date]], "Invalid", "OK")</f>
        <v>OK</v>
      </c>
      <c r="Q2" t="str">
        <f>IF(ISBLANK(po_master[[#This Row],[Invoice Number]]), "No Invoice", "OK")</f>
        <v>OK</v>
      </c>
      <c r="R2" t="str">
        <f>IF(AND(NOT(ISBLANK(po_master[[#This Row],[GR Quantity]])), po_master[[#This Row],[GR Quantity]]&lt;&gt;po_master[[#This Row],[PO Quantity]]), "Qty Variance", "OK")</f>
        <v>OK</v>
      </c>
      <c r="S2" t="str">
        <f>IF(po_master[[#This Row],[Invoice Unit Price]]&gt;po_master[[#This Row],[PO Unit Price]]*1.01, "Price Variance", "OK")</f>
        <v>OK</v>
      </c>
      <c r="T2" t="str">
        <f>IF(po_master[[#This Row],[Actual Delivery Date]]&gt;po_master[[#This Row],[Promised Delivey Date]], "Late Delivery", "OK")</f>
        <v>OK</v>
      </c>
      <c r="U2" t="str">
        <f>IF(COUNTIF(po_master[PO Number],po_master[[#This Row],[PO Number]])&gt;1, "Duplicate Invoice", "OK")</f>
        <v>OK</v>
      </c>
      <c r="V2" s="5">
        <f>IF(po_master[[#This Row],[Missing Approval]]="Missing Approval", 1, 0)</f>
        <v>0</v>
      </c>
      <c r="W2" s="5">
        <f>IF(po_master[[#This Row],[GR Receipt Status]]="No GR - Not Received", 1, 0)</f>
        <v>0</v>
      </c>
      <c r="X2" s="5">
        <f>IF(po_master[[#This Row],[No invoice]]="No Invoice", 1, 0)</f>
        <v>0</v>
      </c>
      <c r="Y2" s="5">
        <f>IF(po_master[[#This Row],[Date Check]]="Invalid Date", 1, 0)</f>
        <v>0</v>
      </c>
      <c r="Z2" s="5">
        <f>IF(po_master[[#This Row],[Qty Variance Flag]]="Qty Variance", 1, 0)</f>
        <v>0</v>
      </c>
      <c r="AA2" s="5">
        <f>IF(po_master[[#This Row],[Price Variance Flag]]="Price Variance", 1, 0)</f>
        <v>0</v>
      </c>
      <c r="AB2" s="5">
        <f>IF(po_master[[#This Row],[Late Delivery Flag]]="Late Delivery", 1, 0)</f>
        <v>0</v>
      </c>
      <c r="AC2" s="5">
        <f>IF(po_master[[#This Row],[Duplicate Invoice Flag]]="Duplicate Invoice", 1, 0)</f>
        <v>0</v>
      </c>
      <c r="AD2" s="5" t="str">
        <f>TEXT(po_master[[#This Row],[Order Date]],"YYYY-MM")</f>
        <v>2026-01</v>
      </c>
    </row>
    <row r="3" spans="1:30" x14ac:dyDescent="0.25">
      <c r="A3" t="s">
        <v>4</v>
      </c>
      <c r="B3" t="s">
        <v>1441</v>
      </c>
      <c r="C3" s="1">
        <v>46049</v>
      </c>
      <c r="D3">
        <v>356</v>
      </c>
      <c r="E3">
        <v>149.43</v>
      </c>
      <c r="F3" t="s">
        <v>1442</v>
      </c>
      <c r="G3" s="1">
        <v>46056</v>
      </c>
      <c r="H3">
        <v>356</v>
      </c>
      <c r="I3" s="1">
        <v>46054</v>
      </c>
      <c r="J3" t="s">
        <v>652</v>
      </c>
      <c r="K3">
        <v>356</v>
      </c>
      <c r="L3">
        <v>149.43</v>
      </c>
      <c r="M3" s="1">
        <v>46066</v>
      </c>
      <c r="N3" t="str">
        <f>IF(po_master[[#This Row],[Approved By]]="", "Missing Approval", "OK")</f>
        <v>OK</v>
      </c>
      <c r="O3" t="str">
        <f>IF(ISBLANK(po_master[[#This Row],[GR Quantity]]), "No GR - Not received", "OK")</f>
        <v>OK</v>
      </c>
      <c r="P3" t="str">
        <f>IF(po_master[[#This Row],[Promised Delivey Date]]&lt;po_master[[#This Row],[Order Date]], "Invalid", "OK")</f>
        <v>OK</v>
      </c>
      <c r="Q3" t="str">
        <f>IF(ISBLANK(po_master[[#This Row],[Invoice Number]]), "No Invoice", "OK")</f>
        <v>OK</v>
      </c>
      <c r="R3" t="str">
        <f>IF(AND(NOT(ISBLANK(po_master[[#This Row],[GR Quantity]])), po_master[[#This Row],[GR Quantity]]&lt;&gt;po_master[[#This Row],[PO Quantity]]), "Qty Variance", "OK")</f>
        <v>OK</v>
      </c>
      <c r="S3" t="str">
        <f>IF(po_master[[#This Row],[Invoice Unit Price]]&gt;po_master[[#This Row],[PO Unit Price]]*1.01, "Price Variance", "OK")</f>
        <v>OK</v>
      </c>
      <c r="T3" t="str">
        <f>IF(po_master[[#This Row],[Actual Delivery Date]]&gt;po_master[[#This Row],[Promised Delivey Date]], "Late Delivery", "OK")</f>
        <v>OK</v>
      </c>
      <c r="U3" t="str">
        <f>IF(COUNTIF(po_master[PO Number],po_master[[#This Row],[PO Number]])&gt;1, "Duplicate Invoice", "OK")</f>
        <v>OK</v>
      </c>
      <c r="V3" s="5">
        <f>IF(po_master[[#This Row],[Missing Approval]]="Missing Approval", 1, 0)</f>
        <v>0</v>
      </c>
      <c r="W3" s="5">
        <f>IF(po_master[[#This Row],[GR Receipt Status]]="No GR - Not Received", 1, 0)</f>
        <v>0</v>
      </c>
      <c r="X3" s="5">
        <f>IF(po_master[[#This Row],[No invoice]]="No Invoice", 1, 0)</f>
        <v>0</v>
      </c>
      <c r="Y3" s="5">
        <f>IF(po_master[[#This Row],[Date Check]]="Invalid Date", 1, 0)</f>
        <v>0</v>
      </c>
      <c r="Z3" s="5">
        <f>IF(po_master[[#This Row],[Qty Variance Flag]]="Qty Variance", 1, 0)</f>
        <v>0</v>
      </c>
      <c r="AA3" s="5">
        <f>IF(po_master[[#This Row],[Price Variance Flag]]="Price Variance", 1, 0)</f>
        <v>0</v>
      </c>
      <c r="AB3" s="5">
        <f>IF(po_master[[#This Row],[Late Delivery Flag]]="Late Delivery", 1, 0)</f>
        <v>0</v>
      </c>
      <c r="AC3" s="5">
        <f>IF(po_master[[#This Row],[Duplicate Invoice Flag]]="Duplicate Invoice", 1, 0)</f>
        <v>0</v>
      </c>
      <c r="AD3" s="5" t="str">
        <f>TEXT(po_master[[#This Row],[Order Date]],"YYYY-MM")</f>
        <v>2026-01</v>
      </c>
    </row>
    <row r="4" spans="1:30" x14ac:dyDescent="0.25">
      <c r="A4" t="s">
        <v>5</v>
      </c>
      <c r="B4" t="s">
        <v>1443</v>
      </c>
      <c r="C4" s="1">
        <v>46131</v>
      </c>
      <c r="D4">
        <v>26</v>
      </c>
      <c r="E4">
        <v>10.81</v>
      </c>
      <c r="F4" t="s">
        <v>1444</v>
      </c>
      <c r="G4" s="1">
        <v>46143</v>
      </c>
      <c r="H4">
        <v>26</v>
      </c>
      <c r="I4" s="1">
        <v>46141</v>
      </c>
      <c r="J4" t="s">
        <v>653</v>
      </c>
      <c r="K4">
        <v>26</v>
      </c>
      <c r="L4">
        <v>12.59</v>
      </c>
      <c r="M4" s="1">
        <v>46146</v>
      </c>
      <c r="N4" t="str">
        <f>IF(po_master[[#This Row],[Approved By]]="", "Missing Approval", "OK")</f>
        <v>OK</v>
      </c>
      <c r="O4" t="str">
        <f>IF(ISBLANK(po_master[[#This Row],[GR Quantity]]), "No GR - Not received", "OK")</f>
        <v>OK</v>
      </c>
      <c r="P4" t="str">
        <f>IF(po_master[[#This Row],[Promised Delivey Date]]&lt;po_master[[#This Row],[Order Date]], "Invalid", "OK")</f>
        <v>OK</v>
      </c>
      <c r="Q4" t="str">
        <f>IF(ISBLANK(po_master[[#This Row],[Invoice Number]]), "No Invoice", "OK")</f>
        <v>OK</v>
      </c>
      <c r="R4" t="str">
        <f>IF(AND(NOT(ISBLANK(po_master[[#This Row],[GR Quantity]])), po_master[[#This Row],[GR Quantity]]&lt;&gt;po_master[[#This Row],[PO Quantity]]), "Qty Variance", "OK")</f>
        <v>OK</v>
      </c>
      <c r="S4" t="str">
        <f>IF(po_master[[#This Row],[Invoice Unit Price]]&gt;po_master[[#This Row],[PO Unit Price]]*1.01, "Price Variance", "OK")</f>
        <v>Price Variance</v>
      </c>
      <c r="T4" t="str">
        <f>IF(po_master[[#This Row],[Actual Delivery Date]]&gt;po_master[[#This Row],[Promised Delivey Date]], "Late Delivery", "OK")</f>
        <v>OK</v>
      </c>
      <c r="U4" t="str">
        <f>IF(COUNTIF(po_master[PO Number],po_master[[#This Row],[PO Number]])&gt;1, "Duplicate Invoice", "OK")</f>
        <v>OK</v>
      </c>
      <c r="V4" s="5">
        <f>IF(po_master[[#This Row],[Missing Approval]]="Missing Approval", 1, 0)</f>
        <v>0</v>
      </c>
      <c r="W4" s="5">
        <f>IF(po_master[[#This Row],[GR Receipt Status]]="No GR - Not Received", 1, 0)</f>
        <v>0</v>
      </c>
      <c r="X4" s="5">
        <f>IF(po_master[[#This Row],[No invoice]]="No Invoice", 1, 0)</f>
        <v>0</v>
      </c>
      <c r="Y4" s="5">
        <f>IF(po_master[[#This Row],[Date Check]]="Invalid Date", 1, 0)</f>
        <v>0</v>
      </c>
      <c r="Z4" s="5">
        <f>IF(po_master[[#This Row],[Qty Variance Flag]]="Qty Variance", 1, 0)</f>
        <v>0</v>
      </c>
      <c r="AA4" s="5">
        <f>IF(po_master[[#This Row],[Price Variance Flag]]="Price Variance", 1, 0)</f>
        <v>1</v>
      </c>
      <c r="AB4" s="5">
        <f>IF(po_master[[#This Row],[Late Delivery Flag]]="Late Delivery", 1, 0)</f>
        <v>0</v>
      </c>
      <c r="AC4" s="5">
        <f>IF(po_master[[#This Row],[Duplicate Invoice Flag]]="Duplicate Invoice", 1, 0)</f>
        <v>0</v>
      </c>
      <c r="AD4" s="5" t="str">
        <f>TEXT(po_master[[#This Row],[Order Date]],"YYYY-MM")</f>
        <v>2026-04</v>
      </c>
    </row>
    <row r="5" spans="1:30" x14ac:dyDescent="0.25">
      <c r="A5" t="s">
        <v>6</v>
      </c>
      <c r="B5" t="s">
        <v>1445</v>
      </c>
      <c r="C5" s="1">
        <v>46029</v>
      </c>
      <c r="D5">
        <v>297</v>
      </c>
      <c r="E5">
        <v>43.77</v>
      </c>
      <c r="F5" t="s">
        <v>1446</v>
      </c>
      <c r="G5" s="1">
        <v>46047</v>
      </c>
      <c r="H5">
        <v>297</v>
      </c>
      <c r="I5" s="1">
        <v>46046</v>
      </c>
      <c r="J5" t="s">
        <v>654</v>
      </c>
      <c r="K5">
        <v>297</v>
      </c>
      <c r="L5">
        <v>51</v>
      </c>
      <c r="M5" s="1">
        <v>46049</v>
      </c>
      <c r="N5" t="str">
        <f>IF(po_master[[#This Row],[Approved By]]="", "Missing Approval", "OK")</f>
        <v>OK</v>
      </c>
      <c r="O5" t="str">
        <f>IF(ISBLANK(po_master[[#This Row],[GR Quantity]]), "No GR - Not received", "OK")</f>
        <v>OK</v>
      </c>
      <c r="P5" t="str">
        <f>IF(po_master[[#This Row],[Promised Delivey Date]]&lt;po_master[[#This Row],[Order Date]], "Invalid", "OK")</f>
        <v>OK</v>
      </c>
      <c r="Q5" t="str">
        <f>IF(ISBLANK(po_master[[#This Row],[Invoice Number]]), "No Invoice", "OK")</f>
        <v>OK</v>
      </c>
      <c r="R5" t="str">
        <f>IF(AND(NOT(ISBLANK(po_master[[#This Row],[GR Quantity]])), po_master[[#This Row],[GR Quantity]]&lt;&gt;po_master[[#This Row],[PO Quantity]]), "Qty Variance", "OK")</f>
        <v>OK</v>
      </c>
      <c r="S5" t="str">
        <f>IF(po_master[[#This Row],[Invoice Unit Price]]&gt;po_master[[#This Row],[PO Unit Price]]*1.01, "Price Variance", "OK")</f>
        <v>Price Variance</v>
      </c>
      <c r="T5" t="str">
        <f>IF(po_master[[#This Row],[Actual Delivery Date]]&gt;po_master[[#This Row],[Promised Delivey Date]], "Late Delivery", "OK")</f>
        <v>OK</v>
      </c>
      <c r="U5" t="str">
        <f>IF(COUNTIF(po_master[PO Number],po_master[[#This Row],[PO Number]])&gt;1, "Duplicate Invoice", "OK")</f>
        <v>OK</v>
      </c>
      <c r="V5" s="5">
        <f>IF(po_master[[#This Row],[Missing Approval]]="Missing Approval", 1, 0)</f>
        <v>0</v>
      </c>
      <c r="W5" s="5">
        <f>IF(po_master[[#This Row],[GR Receipt Status]]="No GR - Not Received", 1, 0)</f>
        <v>0</v>
      </c>
      <c r="X5" s="5">
        <f>IF(po_master[[#This Row],[No invoice]]="No Invoice", 1, 0)</f>
        <v>0</v>
      </c>
      <c r="Y5" s="5">
        <f>IF(po_master[[#This Row],[Date Check]]="Invalid Date", 1, 0)</f>
        <v>0</v>
      </c>
      <c r="Z5" s="5">
        <f>IF(po_master[[#This Row],[Qty Variance Flag]]="Qty Variance", 1, 0)</f>
        <v>0</v>
      </c>
      <c r="AA5" s="5">
        <f>IF(po_master[[#This Row],[Price Variance Flag]]="Price Variance", 1, 0)</f>
        <v>1</v>
      </c>
      <c r="AB5" s="5">
        <f>IF(po_master[[#This Row],[Late Delivery Flag]]="Late Delivery", 1, 0)</f>
        <v>0</v>
      </c>
      <c r="AC5" s="5">
        <f>IF(po_master[[#This Row],[Duplicate Invoice Flag]]="Duplicate Invoice", 1, 0)</f>
        <v>0</v>
      </c>
      <c r="AD5" s="5" t="str">
        <f>TEXT(po_master[[#This Row],[Order Date]],"YYYY-MM")</f>
        <v>2026-01</v>
      </c>
    </row>
    <row r="6" spans="1:30" x14ac:dyDescent="0.25">
      <c r="A6" t="s">
        <v>7</v>
      </c>
      <c r="B6" t="s">
        <v>1447</v>
      </c>
      <c r="C6" s="1">
        <v>46137</v>
      </c>
      <c r="D6">
        <v>311</v>
      </c>
      <c r="E6">
        <v>59.25</v>
      </c>
      <c r="F6" t="s">
        <v>1448</v>
      </c>
      <c r="G6" s="1">
        <v>46147</v>
      </c>
      <c r="H6">
        <v>311</v>
      </c>
      <c r="I6" s="1">
        <v>46146</v>
      </c>
      <c r="J6" t="s">
        <v>655</v>
      </c>
      <c r="K6">
        <v>311</v>
      </c>
      <c r="L6">
        <v>68.27</v>
      </c>
      <c r="M6" s="1">
        <v>46149</v>
      </c>
      <c r="N6" t="str">
        <f>IF(po_master[[#This Row],[Approved By]]="", "Missing Approval", "OK")</f>
        <v>OK</v>
      </c>
      <c r="O6" t="str">
        <f>IF(ISBLANK(po_master[[#This Row],[GR Quantity]]), "No GR - Not received", "OK")</f>
        <v>OK</v>
      </c>
      <c r="P6" t="str">
        <f>IF(po_master[[#This Row],[Promised Delivey Date]]&lt;po_master[[#This Row],[Order Date]], "Invalid", "OK")</f>
        <v>OK</v>
      </c>
      <c r="Q6" t="str">
        <f>IF(ISBLANK(po_master[[#This Row],[Invoice Number]]), "No Invoice", "OK")</f>
        <v>OK</v>
      </c>
      <c r="R6" t="str">
        <f>IF(AND(NOT(ISBLANK(po_master[[#This Row],[GR Quantity]])), po_master[[#This Row],[GR Quantity]]&lt;&gt;po_master[[#This Row],[PO Quantity]]), "Qty Variance", "OK")</f>
        <v>OK</v>
      </c>
      <c r="S6" t="str">
        <f>IF(po_master[[#This Row],[Invoice Unit Price]]&gt;po_master[[#This Row],[PO Unit Price]]*1.01, "Price Variance", "OK")</f>
        <v>Price Variance</v>
      </c>
      <c r="T6" t="str">
        <f>IF(po_master[[#This Row],[Actual Delivery Date]]&gt;po_master[[#This Row],[Promised Delivey Date]], "Late Delivery", "OK")</f>
        <v>OK</v>
      </c>
      <c r="U6" t="str">
        <f>IF(COUNTIF(po_master[PO Number],po_master[[#This Row],[PO Number]])&gt;1, "Duplicate Invoice", "OK")</f>
        <v>OK</v>
      </c>
      <c r="V6" s="5">
        <f>IF(po_master[[#This Row],[Missing Approval]]="Missing Approval", 1, 0)</f>
        <v>0</v>
      </c>
      <c r="W6" s="5">
        <f>IF(po_master[[#This Row],[GR Receipt Status]]="No GR - Not Received", 1, 0)</f>
        <v>0</v>
      </c>
      <c r="X6" s="5">
        <f>IF(po_master[[#This Row],[No invoice]]="No Invoice", 1, 0)</f>
        <v>0</v>
      </c>
      <c r="Y6" s="5">
        <f>IF(po_master[[#This Row],[Date Check]]="Invalid Date", 1, 0)</f>
        <v>0</v>
      </c>
      <c r="Z6" s="5">
        <f>IF(po_master[[#This Row],[Qty Variance Flag]]="Qty Variance", 1, 0)</f>
        <v>0</v>
      </c>
      <c r="AA6" s="5">
        <f>IF(po_master[[#This Row],[Price Variance Flag]]="Price Variance", 1, 0)</f>
        <v>1</v>
      </c>
      <c r="AB6" s="5">
        <f>IF(po_master[[#This Row],[Late Delivery Flag]]="Late Delivery", 1, 0)</f>
        <v>0</v>
      </c>
      <c r="AC6" s="5">
        <f>IF(po_master[[#This Row],[Duplicate Invoice Flag]]="Duplicate Invoice", 1, 0)</f>
        <v>0</v>
      </c>
      <c r="AD6" s="5" t="str">
        <f>TEXT(po_master[[#This Row],[Order Date]],"YYYY-MM")</f>
        <v>2026-04</v>
      </c>
    </row>
    <row r="7" spans="1:30" x14ac:dyDescent="0.25">
      <c r="A7" t="s">
        <v>8</v>
      </c>
      <c r="B7" t="s">
        <v>1449</v>
      </c>
      <c r="C7" s="1">
        <v>46131</v>
      </c>
      <c r="D7">
        <v>184</v>
      </c>
      <c r="E7">
        <v>59.18</v>
      </c>
      <c r="F7" t="s">
        <v>1444</v>
      </c>
      <c r="G7" s="1">
        <v>46146</v>
      </c>
      <c r="H7">
        <v>184</v>
      </c>
      <c r="I7" s="1">
        <v>46144</v>
      </c>
      <c r="J7" t="s">
        <v>656</v>
      </c>
      <c r="K7">
        <v>184</v>
      </c>
      <c r="L7">
        <v>59.18</v>
      </c>
      <c r="M7" s="1">
        <v>46148</v>
      </c>
      <c r="N7" t="str">
        <f>IF(po_master[[#This Row],[Approved By]]="", "Missing Approval", "OK")</f>
        <v>OK</v>
      </c>
      <c r="O7" t="str">
        <f>IF(ISBLANK(po_master[[#This Row],[GR Quantity]]), "No GR - Not received", "OK")</f>
        <v>OK</v>
      </c>
      <c r="P7" t="str">
        <f>IF(po_master[[#This Row],[Promised Delivey Date]]&lt;po_master[[#This Row],[Order Date]], "Invalid", "OK")</f>
        <v>OK</v>
      </c>
      <c r="Q7" t="str">
        <f>IF(ISBLANK(po_master[[#This Row],[Invoice Number]]), "No Invoice", "OK")</f>
        <v>OK</v>
      </c>
      <c r="R7" t="str">
        <f>IF(AND(NOT(ISBLANK(po_master[[#This Row],[GR Quantity]])), po_master[[#This Row],[GR Quantity]]&lt;&gt;po_master[[#This Row],[PO Quantity]]), "Qty Variance", "OK")</f>
        <v>OK</v>
      </c>
      <c r="S7" t="str">
        <f>IF(po_master[[#This Row],[Invoice Unit Price]]&gt;po_master[[#This Row],[PO Unit Price]]*1.01, "Price Variance", "OK")</f>
        <v>OK</v>
      </c>
      <c r="T7" t="str">
        <f>IF(po_master[[#This Row],[Actual Delivery Date]]&gt;po_master[[#This Row],[Promised Delivey Date]], "Late Delivery", "OK")</f>
        <v>OK</v>
      </c>
      <c r="U7" t="str">
        <f>IF(COUNTIF(po_master[PO Number],po_master[[#This Row],[PO Number]])&gt;1, "Duplicate Invoice", "OK")</f>
        <v>OK</v>
      </c>
      <c r="V7" s="5">
        <f>IF(po_master[[#This Row],[Missing Approval]]="Missing Approval", 1, 0)</f>
        <v>0</v>
      </c>
      <c r="W7" s="5">
        <f>IF(po_master[[#This Row],[GR Receipt Status]]="No GR - Not Received", 1, 0)</f>
        <v>0</v>
      </c>
      <c r="X7" s="5">
        <f>IF(po_master[[#This Row],[No invoice]]="No Invoice", 1, 0)</f>
        <v>0</v>
      </c>
      <c r="Y7" s="5">
        <f>IF(po_master[[#This Row],[Date Check]]="Invalid Date", 1, 0)</f>
        <v>0</v>
      </c>
      <c r="Z7" s="5">
        <f>IF(po_master[[#This Row],[Qty Variance Flag]]="Qty Variance", 1, 0)</f>
        <v>0</v>
      </c>
      <c r="AA7" s="5">
        <f>IF(po_master[[#This Row],[Price Variance Flag]]="Price Variance", 1, 0)</f>
        <v>0</v>
      </c>
      <c r="AB7" s="5">
        <f>IF(po_master[[#This Row],[Late Delivery Flag]]="Late Delivery", 1, 0)</f>
        <v>0</v>
      </c>
      <c r="AC7" s="5">
        <f>IF(po_master[[#This Row],[Duplicate Invoice Flag]]="Duplicate Invoice", 1, 0)</f>
        <v>0</v>
      </c>
      <c r="AD7" s="5" t="str">
        <f>TEXT(po_master[[#This Row],[Order Date]],"YYYY-MM")</f>
        <v>2026-04</v>
      </c>
    </row>
    <row r="8" spans="1:30" x14ac:dyDescent="0.25">
      <c r="A8" t="s">
        <v>9</v>
      </c>
      <c r="B8" t="s">
        <v>1450</v>
      </c>
      <c r="C8" s="1">
        <v>46046</v>
      </c>
      <c r="D8">
        <v>204</v>
      </c>
      <c r="E8">
        <v>23.86</v>
      </c>
      <c r="F8" t="s">
        <v>1451</v>
      </c>
      <c r="G8" s="1">
        <v>46059</v>
      </c>
      <c r="H8">
        <v>204</v>
      </c>
      <c r="I8" s="1">
        <v>46058</v>
      </c>
      <c r="J8" t="s">
        <v>657</v>
      </c>
      <c r="K8">
        <v>204</v>
      </c>
      <c r="L8">
        <v>23.86</v>
      </c>
      <c r="M8" s="1">
        <v>46061</v>
      </c>
      <c r="N8" t="str">
        <f>IF(po_master[[#This Row],[Approved By]]="", "Missing Approval", "OK")</f>
        <v>OK</v>
      </c>
      <c r="O8" t="str">
        <f>IF(ISBLANK(po_master[[#This Row],[GR Quantity]]), "No GR - Not received", "OK")</f>
        <v>OK</v>
      </c>
      <c r="P8" t="str">
        <f>IF(po_master[[#This Row],[Promised Delivey Date]]&lt;po_master[[#This Row],[Order Date]], "Invalid", "OK")</f>
        <v>OK</v>
      </c>
      <c r="Q8" t="str">
        <f>IF(ISBLANK(po_master[[#This Row],[Invoice Number]]), "No Invoice", "OK")</f>
        <v>OK</v>
      </c>
      <c r="R8" t="str">
        <f>IF(AND(NOT(ISBLANK(po_master[[#This Row],[GR Quantity]])), po_master[[#This Row],[GR Quantity]]&lt;&gt;po_master[[#This Row],[PO Quantity]]), "Qty Variance", "OK")</f>
        <v>OK</v>
      </c>
      <c r="S8" t="str">
        <f>IF(po_master[[#This Row],[Invoice Unit Price]]&gt;po_master[[#This Row],[PO Unit Price]]*1.01, "Price Variance", "OK")</f>
        <v>OK</v>
      </c>
      <c r="T8" t="str">
        <f>IF(po_master[[#This Row],[Actual Delivery Date]]&gt;po_master[[#This Row],[Promised Delivey Date]], "Late Delivery", "OK")</f>
        <v>OK</v>
      </c>
      <c r="U8" t="str">
        <f>IF(COUNTIF(po_master[PO Number],po_master[[#This Row],[PO Number]])&gt;1, "Duplicate Invoice", "OK")</f>
        <v>OK</v>
      </c>
      <c r="V8" s="5">
        <f>IF(po_master[[#This Row],[Missing Approval]]="Missing Approval", 1, 0)</f>
        <v>0</v>
      </c>
      <c r="W8" s="5">
        <f>IF(po_master[[#This Row],[GR Receipt Status]]="No GR - Not Received", 1, 0)</f>
        <v>0</v>
      </c>
      <c r="X8" s="5">
        <f>IF(po_master[[#This Row],[No invoice]]="No Invoice", 1, 0)</f>
        <v>0</v>
      </c>
      <c r="Y8" s="5">
        <f>IF(po_master[[#This Row],[Date Check]]="Invalid Date", 1, 0)</f>
        <v>0</v>
      </c>
      <c r="Z8" s="5">
        <f>IF(po_master[[#This Row],[Qty Variance Flag]]="Qty Variance", 1, 0)</f>
        <v>0</v>
      </c>
      <c r="AA8" s="5">
        <f>IF(po_master[[#This Row],[Price Variance Flag]]="Price Variance", 1, 0)</f>
        <v>0</v>
      </c>
      <c r="AB8" s="5">
        <f>IF(po_master[[#This Row],[Late Delivery Flag]]="Late Delivery", 1, 0)</f>
        <v>0</v>
      </c>
      <c r="AC8" s="5">
        <f>IF(po_master[[#This Row],[Duplicate Invoice Flag]]="Duplicate Invoice", 1, 0)</f>
        <v>0</v>
      </c>
      <c r="AD8" s="5" t="str">
        <f>TEXT(po_master[[#This Row],[Order Date]],"YYYY-MM")</f>
        <v>2026-01</v>
      </c>
    </row>
    <row r="9" spans="1:30" x14ac:dyDescent="0.25">
      <c r="A9" t="s">
        <v>10</v>
      </c>
      <c r="B9" t="s">
        <v>1452</v>
      </c>
      <c r="C9" s="1">
        <v>46140</v>
      </c>
      <c r="D9">
        <v>284</v>
      </c>
      <c r="E9">
        <v>29.34</v>
      </c>
      <c r="F9" t="s">
        <v>1453</v>
      </c>
      <c r="G9" s="1">
        <v>46147</v>
      </c>
      <c r="H9">
        <v>284</v>
      </c>
      <c r="I9" s="1">
        <v>46145</v>
      </c>
      <c r="J9" t="s">
        <v>658</v>
      </c>
      <c r="K9">
        <v>284</v>
      </c>
      <c r="L9">
        <v>29.34</v>
      </c>
      <c r="M9" s="1">
        <v>46155</v>
      </c>
      <c r="N9" t="str">
        <f>IF(po_master[[#This Row],[Approved By]]="", "Missing Approval", "OK")</f>
        <v>OK</v>
      </c>
      <c r="O9" t="str">
        <f>IF(ISBLANK(po_master[[#This Row],[GR Quantity]]), "No GR - Not received", "OK")</f>
        <v>OK</v>
      </c>
      <c r="P9" t="str">
        <f>IF(po_master[[#This Row],[Promised Delivey Date]]&lt;po_master[[#This Row],[Order Date]], "Invalid", "OK")</f>
        <v>OK</v>
      </c>
      <c r="Q9" t="str">
        <f>IF(ISBLANK(po_master[[#This Row],[Invoice Number]]), "No Invoice", "OK")</f>
        <v>OK</v>
      </c>
      <c r="R9" t="str">
        <f>IF(AND(NOT(ISBLANK(po_master[[#This Row],[GR Quantity]])), po_master[[#This Row],[GR Quantity]]&lt;&gt;po_master[[#This Row],[PO Quantity]]), "Qty Variance", "OK")</f>
        <v>OK</v>
      </c>
      <c r="S9" t="str">
        <f>IF(po_master[[#This Row],[Invoice Unit Price]]&gt;po_master[[#This Row],[PO Unit Price]]*1.01, "Price Variance", "OK")</f>
        <v>OK</v>
      </c>
      <c r="T9" t="str">
        <f>IF(po_master[[#This Row],[Actual Delivery Date]]&gt;po_master[[#This Row],[Promised Delivey Date]], "Late Delivery", "OK")</f>
        <v>OK</v>
      </c>
      <c r="U9" t="str">
        <f>IF(COUNTIF(po_master[PO Number],po_master[[#This Row],[PO Number]])&gt;1, "Duplicate Invoice", "OK")</f>
        <v>OK</v>
      </c>
      <c r="V9" s="5">
        <f>IF(po_master[[#This Row],[Missing Approval]]="Missing Approval", 1, 0)</f>
        <v>0</v>
      </c>
      <c r="W9" s="5">
        <f>IF(po_master[[#This Row],[GR Receipt Status]]="No GR - Not Received", 1, 0)</f>
        <v>0</v>
      </c>
      <c r="X9" s="5">
        <f>IF(po_master[[#This Row],[No invoice]]="No Invoice", 1, 0)</f>
        <v>0</v>
      </c>
      <c r="Y9" s="5">
        <f>IF(po_master[[#This Row],[Date Check]]="Invalid Date", 1, 0)</f>
        <v>0</v>
      </c>
      <c r="Z9" s="5">
        <f>IF(po_master[[#This Row],[Qty Variance Flag]]="Qty Variance", 1, 0)</f>
        <v>0</v>
      </c>
      <c r="AA9" s="5">
        <f>IF(po_master[[#This Row],[Price Variance Flag]]="Price Variance", 1, 0)</f>
        <v>0</v>
      </c>
      <c r="AB9" s="5">
        <f>IF(po_master[[#This Row],[Late Delivery Flag]]="Late Delivery", 1, 0)</f>
        <v>0</v>
      </c>
      <c r="AC9" s="5">
        <f>IF(po_master[[#This Row],[Duplicate Invoice Flag]]="Duplicate Invoice", 1, 0)</f>
        <v>0</v>
      </c>
      <c r="AD9" s="5" t="str">
        <f>TEXT(po_master[[#This Row],[Order Date]],"YYYY-MM")</f>
        <v>2026-04</v>
      </c>
    </row>
    <row r="10" spans="1:30" x14ac:dyDescent="0.25">
      <c r="A10" t="s">
        <v>11</v>
      </c>
      <c r="B10" t="s">
        <v>1454</v>
      </c>
      <c r="C10" s="1">
        <v>46098</v>
      </c>
      <c r="D10">
        <v>434</v>
      </c>
      <c r="E10">
        <v>127.58</v>
      </c>
      <c r="F10" t="s">
        <v>1451</v>
      </c>
      <c r="G10" s="1">
        <v>46109</v>
      </c>
      <c r="H10">
        <v>434</v>
      </c>
      <c r="I10" s="1">
        <v>46107</v>
      </c>
      <c r="J10" t="s">
        <v>659</v>
      </c>
      <c r="K10">
        <v>434</v>
      </c>
      <c r="L10">
        <v>127.58</v>
      </c>
      <c r="M10" s="1">
        <v>46119</v>
      </c>
      <c r="N10" t="str">
        <f>IF(po_master[[#This Row],[Approved By]]="", "Missing Approval", "OK")</f>
        <v>OK</v>
      </c>
      <c r="O10" t="str">
        <f>IF(ISBLANK(po_master[[#This Row],[GR Quantity]]), "No GR - Not received", "OK")</f>
        <v>OK</v>
      </c>
      <c r="P10" t="str">
        <f>IF(po_master[[#This Row],[Promised Delivey Date]]&lt;po_master[[#This Row],[Order Date]], "Invalid", "OK")</f>
        <v>OK</v>
      </c>
      <c r="Q10" t="str">
        <f>IF(ISBLANK(po_master[[#This Row],[Invoice Number]]), "No Invoice", "OK")</f>
        <v>OK</v>
      </c>
      <c r="R10" t="str">
        <f>IF(AND(NOT(ISBLANK(po_master[[#This Row],[GR Quantity]])), po_master[[#This Row],[GR Quantity]]&lt;&gt;po_master[[#This Row],[PO Quantity]]), "Qty Variance", "OK")</f>
        <v>OK</v>
      </c>
      <c r="S10" t="str">
        <f>IF(po_master[[#This Row],[Invoice Unit Price]]&gt;po_master[[#This Row],[PO Unit Price]]*1.01, "Price Variance", "OK")</f>
        <v>OK</v>
      </c>
      <c r="T10" t="str">
        <f>IF(po_master[[#This Row],[Actual Delivery Date]]&gt;po_master[[#This Row],[Promised Delivey Date]], "Late Delivery", "OK")</f>
        <v>OK</v>
      </c>
      <c r="U10" t="str">
        <f>IF(COUNTIF(po_master[PO Number],po_master[[#This Row],[PO Number]])&gt;1, "Duplicate Invoice", "OK")</f>
        <v>OK</v>
      </c>
      <c r="V10" s="5">
        <f>IF(po_master[[#This Row],[Missing Approval]]="Missing Approval", 1, 0)</f>
        <v>0</v>
      </c>
      <c r="W10" s="5">
        <f>IF(po_master[[#This Row],[GR Receipt Status]]="No GR - Not Received", 1, 0)</f>
        <v>0</v>
      </c>
      <c r="X10" s="5">
        <f>IF(po_master[[#This Row],[No invoice]]="No Invoice", 1, 0)</f>
        <v>0</v>
      </c>
      <c r="Y10" s="5">
        <f>IF(po_master[[#This Row],[Date Check]]="Invalid Date", 1, 0)</f>
        <v>0</v>
      </c>
      <c r="Z10" s="5">
        <f>IF(po_master[[#This Row],[Qty Variance Flag]]="Qty Variance", 1, 0)</f>
        <v>0</v>
      </c>
      <c r="AA10" s="5">
        <f>IF(po_master[[#This Row],[Price Variance Flag]]="Price Variance", 1, 0)</f>
        <v>0</v>
      </c>
      <c r="AB10" s="5">
        <f>IF(po_master[[#This Row],[Late Delivery Flag]]="Late Delivery", 1, 0)</f>
        <v>0</v>
      </c>
      <c r="AC10" s="5">
        <f>IF(po_master[[#This Row],[Duplicate Invoice Flag]]="Duplicate Invoice", 1, 0)</f>
        <v>0</v>
      </c>
      <c r="AD10" s="5" t="str">
        <f>TEXT(po_master[[#This Row],[Order Date]],"YYYY-MM")</f>
        <v>2026-03</v>
      </c>
    </row>
    <row r="11" spans="1:30" x14ac:dyDescent="0.25">
      <c r="A11" t="s">
        <v>12</v>
      </c>
      <c r="B11" t="s">
        <v>1455</v>
      </c>
      <c r="C11" s="1">
        <v>46040</v>
      </c>
      <c r="D11">
        <v>33</v>
      </c>
      <c r="E11">
        <v>133.94999999999999</v>
      </c>
      <c r="F11" t="s">
        <v>1456</v>
      </c>
      <c r="G11" s="1">
        <v>46054</v>
      </c>
      <c r="H11">
        <v>33</v>
      </c>
      <c r="I11" s="1">
        <v>46055</v>
      </c>
      <c r="J11" t="s">
        <v>660</v>
      </c>
      <c r="K11">
        <v>33</v>
      </c>
      <c r="L11">
        <v>133.94999999999999</v>
      </c>
      <c r="M11" s="1">
        <v>46055</v>
      </c>
      <c r="N11" t="str">
        <f>IF(po_master[[#This Row],[Approved By]]="", "Missing Approval", "OK")</f>
        <v>OK</v>
      </c>
      <c r="O11" t="str">
        <f>IF(ISBLANK(po_master[[#This Row],[GR Quantity]]), "No GR - Not received", "OK")</f>
        <v>OK</v>
      </c>
      <c r="P11" t="str">
        <f>IF(po_master[[#This Row],[Promised Delivey Date]]&lt;po_master[[#This Row],[Order Date]], "Invalid", "OK")</f>
        <v>OK</v>
      </c>
      <c r="Q11" t="str">
        <f>IF(ISBLANK(po_master[[#This Row],[Invoice Number]]), "No Invoice", "OK")</f>
        <v>OK</v>
      </c>
      <c r="R11" t="str">
        <f>IF(AND(NOT(ISBLANK(po_master[[#This Row],[GR Quantity]])), po_master[[#This Row],[GR Quantity]]&lt;&gt;po_master[[#This Row],[PO Quantity]]), "Qty Variance", "OK")</f>
        <v>OK</v>
      </c>
      <c r="S11" t="str">
        <f>IF(po_master[[#This Row],[Invoice Unit Price]]&gt;po_master[[#This Row],[PO Unit Price]]*1.01, "Price Variance", "OK")</f>
        <v>OK</v>
      </c>
      <c r="T11" t="str">
        <f>IF(po_master[[#This Row],[Actual Delivery Date]]&gt;po_master[[#This Row],[Promised Delivey Date]], "Late Delivery", "OK")</f>
        <v>Late Delivery</v>
      </c>
      <c r="U11" t="str">
        <f>IF(COUNTIF(po_master[PO Number],po_master[[#This Row],[PO Number]])&gt;1, "Duplicate Invoice", "OK")</f>
        <v>OK</v>
      </c>
      <c r="V11" s="5">
        <f>IF(po_master[[#This Row],[Missing Approval]]="Missing Approval", 1, 0)</f>
        <v>0</v>
      </c>
      <c r="W11" s="5">
        <f>IF(po_master[[#This Row],[GR Receipt Status]]="No GR - Not Received", 1, 0)</f>
        <v>0</v>
      </c>
      <c r="X11" s="5">
        <f>IF(po_master[[#This Row],[No invoice]]="No Invoice", 1, 0)</f>
        <v>0</v>
      </c>
      <c r="Y11" s="5">
        <f>IF(po_master[[#This Row],[Date Check]]="Invalid Date", 1, 0)</f>
        <v>0</v>
      </c>
      <c r="Z11" s="5">
        <f>IF(po_master[[#This Row],[Qty Variance Flag]]="Qty Variance", 1, 0)</f>
        <v>0</v>
      </c>
      <c r="AA11" s="5">
        <f>IF(po_master[[#This Row],[Price Variance Flag]]="Price Variance", 1, 0)</f>
        <v>0</v>
      </c>
      <c r="AB11" s="5">
        <f>IF(po_master[[#This Row],[Late Delivery Flag]]="Late Delivery", 1, 0)</f>
        <v>1</v>
      </c>
      <c r="AC11" s="5">
        <f>IF(po_master[[#This Row],[Duplicate Invoice Flag]]="Duplicate Invoice", 1, 0)</f>
        <v>0</v>
      </c>
      <c r="AD11" s="5" t="str">
        <f>TEXT(po_master[[#This Row],[Order Date]],"YYYY-MM")</f>
        <v>2026-01</v>
      </c>
    </row>
    <row r="12" spans="1:30" x14ac:dyDescent="0.25">
      <c r="A12" t="s">
        <v>13</v>
      </c>
      <c r="B12" t="s">
        <v>1457</v>
      </c>
      <c r="C12" s="1">
        <v>46082</v>
      </c>
      <c r="D12">
        <v>453</v>
      </c>
      <c r="E12">
        <v>24.7</v>
      </c>
      <c r="F12" t="s">
        <v>1458</v>
      </c>
      <c r="G12" s="1">
        <v>46101</v>
      </c>
      <c r="H12">
        <v>453</v>
      </c>
      <c r="I12" s="1">
        <v>46103</v>
      </c>
      <c r="J12" t="s">
        <v>661</v>
      </c>
      <c r="K12">
        <v>453</v>
      </c>
      <c r="L12">
        <v>24.7</v>
      </c>
      <c r="M12" s="1">
        <v>46107</v>
      </c>
      <c r="N12" t="str">
        <f>IF(po_master[[#This Row],[Approved By]]="", "Missing Approval", "OK")</f>
        <v>OK</v>
      </c>
      <c r="O12" t="str">
        <f>IF(ISBLANK(po_master[[#This Row],[GR Quantity]]), "No GR - Not received", "OK")</f>
        <v>OK</v>
      </c>
      <c r="P12" t="str">
        <f>IF(po_master[[#This Row],[Promised Delivey Date]]&lt;po_master[[#This Row],[Order Date]], "Invalid", "OK")</f>
        <v>OK</v>
      </c>
      <c r="Q12" t="str">
        <f>IF(ISBLANK(po_master[[#This Row],[Invoice Number]]), "No Invoice", "OK")</f>
        <v>OK</v>
      </c>
      <c r="R12" t="str">
        <f>IF(AND(NOT(ISBLANK(po_master[[#This Row],[GR Quantity]])), po_master[[#This Row],[GR Quantity]]&lt;&gt;po_master[[#This Row],[PO Quantity]]), "Qty Variance", "OK")</f>
        <v>OK</v>
      </c>
      <c r="S12" t="str">
        <f>IF(po_master[[#This Row],[Invoice Unit Price]]&gt;po_master[[#This Row],[PO Unit Price]]*1.01, "Price Variance", "OK")</f>
        <v>OK</v>
      </c>
      <c r="T12" t="str">
        <f>IF(po_master[[#This Row],[Actual Delivery Date]]&gt;po_master[[#This Row],[Promised Delivey Date]], "Late Delivery", "OK")</f>
        <v>Late Delivery</v>
      </c>
      <c r="U12" t="str">
        <f>IF(COUNTIF(po_master[PO Number],po_master[[#This Row],[PO Number]])&gt;1, "Duplicate Invoice", "OK")</f>
        <v>OK</v>
      </c>
      <c r="V12" s="5">
        <f>IF(po_master[[#This Row],[Missing Approval]]="Missing Approval", 1, 0)</f>
        <v>0</v>
      </c>
      <c r="W12" s="5">
        <f>IF(po_master[[#This Row],[GR Receipt Status]]="No GR - Not Received", 1, 0)</f>
        <v>0</v>
      </c>
      <c r="X12" s="5">
        <f>IF(po_master[[#This Row],[No invoice]]="No Invoice", 1, 0)</f>
        <v>0</v>
      </c>
      <c r="Y12" s="5">
        <f>IF(po_master[[#This Row],[Date Check]]="Invalid Date", 1, 0)</f>
        <v>0</v>
      </c>
      <c r="Z12" s="5">
        <f>IF(po_master[[#This Row],[Qty Variance Flag]]="Qty Variance", 1, 0)</f>
        <v>0</v>
      </c>
      <c r="AA12" s="5">
        <f>IF(po_master[[#This Row],[Price Variance Flag]]="Price Variance", 1, 0)</f>
        <v>0</v>
      </c>
      <c r="AB12" s="5">
        <f>IF(po_master[[#This Row],[Late Delivery Flag]]="Late Delivery", 1, 0)</f>
        <v>1</v>
      </c>
      <c r="AC12" s="5">
        <f>IF(po_master[[#This Row],[Duplicate Invoice Flag]]="Duplicate Invoice", 1, 0)</f>
        <v>0</v>
      </c>
      <c r="AD12" s="5" t="str">
        <f>TEXT(po_master[[#This Row],[Order Date]],"YYYY-MM")</f>
        <v>2026-03</v>
      </c>
    </row>
    <row r="13" spans="1:30" x14ac:dyDescent="0.25">
      <c r="A13" t="s">
        <v>14</v>
      </c>
      <c r="B13" t="s">
        <v>1439</v>
      </c>
      <c r="C13" s="1">
        <v>46116</v>
      </c>
      <c r="D13">
        <v>93</v>
      </c>
      <c r="E13">
        <v>77.19</v>
      </c>
      <c r="F13" t="s">
        <v>1444</v>
      </c>
      <c r="G13" s="1">
        <v>46129</v>
      </c>
      <c r="H13">
        <v>93</v>
      </c>
      <c r="I13" s="1">
        <v>46129</v>
      </c>
      <c r="J13" t="s">
        <v>662</v>
      </c>
      <c r="K13">
        <v>93</v>
      </c>
      <c r="L13">
        <v>77.19</v>
      </c>
      <c r="M13" s="1">
        <v>46139</v>
      </c>
      <c r="N13" t="str">
        <f>IF(po_master[[#This Row],[Approved By]]="", "Missing Approval", "OK")</f>
        <v>OK</v>
      </c>
      <c r="O13" t="str">
        <f>IF(ISBLANK(po_master[[#This Row],[GR Quantity]]), "No GR - Not received", "OK")</f>
        <v>OK</v>
      </c>
      <c r="P13" t="str">
        <f>IF(po_master[[#This Row],[Promised Delivey Date]]&lt;po_master[[#This Row],[Order Date]], "Invalid", "OK")</f>
        <v>OK</v>
      </c>
      <c r="Q13" t="str">
        <f>IF(ISBLANK(po_master[[#This Row],[Invoice Number]]), "No Invoice", "OK")</f>
        <v>OK</v>
      </c>
      <c r="R13" t="str">
        <f>IF(AND(NOT(ISBLANK(po_master[[#This Row],[GR Quantity]])), po_master[[#This Row],[GR Quantity]]&lt;&gt;po_master[[#This Row],[PO Quantity]]), "Qty Variance", "OK")</f>
        <v>OK</v>
      </c>
      <c r="S13" t="str">
        <f>IF(po_master[[#This Row],[Invoice Unit Price]]&gt;po_master[[#This Row],[PO Unit Price]]*1.01, "Price Variance", "OK")</f>
        <v>OK</v>
      </c>
      <c r="T13" t="str">
        <f>IF(po_master[[#This Row],[Actual Delivery Date]]&gt;po_master[[#This Row],[Promised Delivey Date]], "Late Delivery", "OK")</f>
        <v>OK</v>
      </c>
      <c r="U13" t="str">
        <f>IF(COUNTIF(po_master[PO Number],po_master[[#This Row],[PO Number]])&gt;1, "Duplicate Invoice", "OK")</f>
        <v>OK</v>
      </c>
      <c r="V13" s="5">
        <f>IF(po_master[[#This Row],[Missing Approval]]="Missing Approval", 1, 0)</f>
        <v>0</v>
      </c>
      <c r="W13" s="5">
        <f>IF(po_master[[#This Row],[GR Receipt Status]]="No GR - Not Received", 1, 0)</f>
        <v>0</v>
      </c>
      <c r="X13" s="5">
        <f>IF(po_master[[#This Row],[No invoice]]="No Invoice", 1, 0)</f>
        <v>0</v>
      </c>
      <c r="Y13" s="5">
        <f>IF(po_master[[#This Row],[Date Check]]="Invalid Date", 1, 0)</f>
        <v>0</v>
      </c>
      <c r="Z13" s="5">
        <f>IF(po_master[[#This Row],[Qty Variance Flag]]="Qty Variance", 1, 0)</f>
        <v>0</v>
      </c>
      <c r="AA13" s="5">
        <f>IF(po_master[[#This Row],[Price Variance Flag]]="Price Variance", 1, 0)</f>
        <v>0</v>
      </c>
      <c r="AB13" s="5">
        <f>IF(po_master[[#This Row],[Late Delivery Flag]]="Late Delivery", 1, 0)</f>
        <v>0</v>
      </c>
      <c r="AC13" s="5">
        <f>IF(po_master[[#This Row],[Duplicate Invoice Flag]]="Duplicate Invoice", 1, 0)</f>
        <v>0</v>
      </c>
      <c r="AD13" s="5" t="str">
        <f>TEXT(po_master[[#This Row],[Order Date]],"YYYY-MM")</f>
        <v>2026-04</v>
      </c>
    </row>
    <row r="14" spans="1:30" x14ac:dyDescent="0.25">
      <c r="A14" t="s">
        <v>15</v>
      </c>
      <c r="B14" t="s">
        <v>1449</v>
      </c>
      <c r="C14" s="1">
        <v>46041</v>
      </c>
      <c r="D14">
        <v>321</v>
      </c>
      <c r="E14">
        <v>128.82</v>
      </c>
      <c r="F14" t="s">
        <v>1459</v>
      </c>
      <c r="G14" s="1">
        <v>46053</v>
      </c>
      <c r="H14">
        <v>321</v>
      </c>
      <c r="I14" s="1">
        <v>46055</v>
      </c>
      <c r="J14" t="s">
        <v>663</v>
      </c>
      <c r="K14">
        <v>321</v>
      </c>
      <c r="L14">
        <v>128.82</v>
      </c>
      <c r="M14" s="1">
        <v>46058</v>
      </c>
      <c r="N14" t="str">
        <f>IF(po_master[[#This Row],[Approved By]]="", "Missing Approval", "OK")</f>
        <v>Missing Approval</v>
      </c>
      <c r="O14" t="str">
        <f>IF(ISBLANK(po_master[[#This Row],[GR Quantity]]), "No GR - Not received", "OK")</f>
        <v>OK</v>
      </c>
      <c r="P14" t="str">
        <f>IF(po_master[[#This Row],[Promised Delivey Date]]&lt;po_master[[#This Row],[Order Date]], "Invalid", "OK")</f>
        <v>OK</v>
      </c>
      <c r="Q14" t="str">
        <f>IF(ISBLANK(po_master[[#This Row],[Invoice Number]]), "No Invoice", "OK")</f>
        <v>OK</v>
      </c>
      <c r="R14" t="str">
        <f>IF(AND(NOT(ISBLANK(po_master[[#This Row],[GR Quantity]])), po_master[[#This Row],[GR Quantity]]&lt;&gt;po_master[[#This Row],[PO Quantity]]), "Qty Variance", "OK")</f>
        <v>OK</v>
      </c>
      <c r="S14" t="str">
        <f>IF(po_master[[#This Row],[Invoice Unit Price]]&gt;po_master[[#This Row],[PO Unit Price]]*1.01, "Price Variance", "OK")</f>
        <v>OK</v>
      </c>
      <c r="T14" t="str">
        <f>IF(po_master[[#This Row],[Actual Delivery Date]]&gt;po_master[[#This Row],[Promised Delivey Date]], "Late Delivery", "OK")</f>
        <v>Late Delivery</v>
      </c>
      <c r="U14" t="str">
        <f>IF(COUNTIF(po_master[PO Number],po_master[[#This Row],[PO Number]])&gt;1, "Duplicate Invoice", "OK")</f>
        <v>OK</v>
      </c>
      <c r="V14" s="5">
        <f>IF(po_master[[#This Row],[Missing Approval]]="Missing Approval", 1, 0)</f>
        <v>1</v>
      </c>
      <c r="W14" s="5">
        <f>IF(po_master[[#This Row],[GR Receipt Status]]="No GR - Not Received", 1, 0)</f>
        <v>0</v>
      </c>
      <c r="X14" s="5">
        <f>IF(po_master[[#This Row],[No invoice]]="No Invoice", 1, 0)</f>
        <v>0</v>
      </c>
      <c r="Y14" s="5">
        <f>IF(po_master[[#This Row],[Date Check]]="Invalid Date", 1, 0)</f>
        <v>0</v>
      </c>
      <c r="Z14" s="5">
        <f>IF(po_master[[#This Row],[Qty Variance Flag]]="Qty Variance", 1, 0)</f>
        <v>0</v>
      </c>
      <c r="AA14" s="5">
        <f>IF(po_master[[#This Row],[Price Variance Flag]]="Price Variance", 1, 0)</f>
        <v>0</v>
      </c>
      <c r="AB14" s="5">
        <f>IF(po_master[[#This Row],[Late Delivery Flag]]="Late Delivery", 1, 0)</f>
        <v>1</v>
      </c>
      <c r="AC14" s="5">
        <f>IF(po_master[[#This Row],[Duplicate Invoice Flag]]="Duplicate Invoice", 1, 0)</f>
        <v>0</v>
      </c>
      <c r="AD14" s="5" t="str">
        <f>TEXT(po_master[[#This Row],[Order Date]],"YYYY-MM")</f>
        <v>2026-01</v>
      </c>
    </row>
    <row r="15" spans="1:30" x14ac:dyDescent="0.25">
      <c r="A15" t="s">
        <v>16</v>
      </c>
      <c r="B15" t="s">
        <v>1460</v>
      </c>
      <c r="C15" s="1">
        <v>46141</v>
      </c>
      <c r="D15">
        <v>204</v>
      </c>
      <c r="E15">
        <v>57.64</v>
      </c>
      <c r="F15" t="s">
        <v>1446</v>
      </c>
      <c r="G15" s="1">
        <v>46153</v>
      </c>
      <c r="H15">
        <v>204</v>
      </c>
      <c r="I15" s="1">
        <v>46171</v>
      </c>
      <c r="J15" t="s">
        <v>664</v>
      </c>
      <c r="K15">
        <v>204</v>
      </c>
      <c r="L15">
        <v>61.13</v>
      </c>
      <c r="M15" s="1">
        <v>46163</v>
      </c>
      <c r="N15" t="str">
        <f>IF(po_master[[#This Row],[Approved By]]="", "Missing Approval", "OK")</f>
        <v>OK</v>
      </c>
      <c r="O15" t="str">
        <f>IF(ISBLANK(po_master[[#This Row],[GR Quantity]]), "No GR - Not received", "OK")</f>
        <v>OK</v>
      </c>
      <c r="P15" t="str">
        <f>IF(po_master[[#This Row],[Promised Delivey Date]]&lt;po_master[[#This Row],[Order Date]], "Invalid", "OK")</f>
        <v>OK</v>
      </c>
      <c r="Q15" t="str">
        <f>IF(ISBLANK(po_master[[#This Row],[Invoice Number]]), "No Invoice", "OK")</f>
        <v>OK</v>
      </c>
      <c r="R15" t="str">
        <f>IF(AND(NOT(ISBLANK(po_master[[#This Row],[GR Quantity]])), po_master[[#This Row],[GR Quantity]]&lt;&gt;po_master[[#This Row],[PO Quantity]]), "Qty Variance", "OK")</f>
        <v>OK</v>
      </c>
      <c r="S15" t="str">
        <f>IF(po_master[[#This Row],[Invoice Unit Price]]&gt;po_master[[#This Row],[PO Unit Price]]*1.01, "Price Variance", "OK")</f>
        <v>Price Variance</v>
      </c>
      <c r="T15" t="str">
        <f>IF(po_master[[#This Row],[Actual Delivery Date]]&gt;po_master[[#This Row],[Promised Delivey Date]], "Late Delivery", "OK")</f>
        <v>Late Delivery</v>
      </c>
      <c r="U15" t="str">
        <f>IF(COUNTIF(po_master[PO Number],po_master[[#This Row],[PO Number]])&gt;1, "Duplicate Invoice", "OK")</f>
        <v>OK</v>
      </c>
      <c r="V15" s="5">
        <f>IF(po_master[[#This Row],[Missing Approval]]="Missing Approval", 1, 0)</f>
        <v>0</v>
      </c>
      <c r="W15" s="5">
        <f>IF(po_master[[#This Row],[GR Receipt Status]]="No GR - Not Received", 1, 0)</f>
        <v>0</v>
      </c>
      <c r="X15" s="5">
        <f>IF(po_master[[#This Row],[No invoice]]="No Invoice", 1, 0)</f>
        <v>0</v>
      </c>
      <c r="Y15" s="5">
        <f>IF(po_master[[#This Row],[Date Check]]="Invalid Date", 1, 0)</f>
        <v>0</v>
      </c>
      <c r="Z15" s="5">
        <f>IF(po_master[[#This Row],[Qty Variance Flag]]="Qty Variance", 1, 0)</f>
        <v>0</v>
      </c>
      <c r="AA15" s="5">
        <f>IF(po_master[[#This Row],[Price Variance Flag]]="Price Variance", 1, 0)</f>
        <v>1</v>
      </c>
      <c r="AB15" s="5">
        <f>IF(po_master[[#This Row],[Late Delivery Flag]]="Late Delivery", 1, 0)</f>
        <v>1</v>
      </c>
      <c r="AC15" s="5">
        <f>IF(po_master[[#This Row],[Duplicate Invoice Flag]]="Duplicate Invoice", 1, 0)</f>
        <v>0</v>
      </c>
      <c r="AD15" s="5" t="str">
        <f>TEXT(po_master[[#This Row],[Order Date]],"YYYY-MM")</f>
        <v>2026-04</v>
      </c>
    </row>
    <row r="16" spans="1:30" x14ac:dyDescent="0.25">
      <c r="A16" t="s">
        <v>17</v>
      </c>
      <c r="B16" t="s">
        <v>1461</v>
      </c>
      <c r="C16" s="1">
        <v>46106</v>
      </c>
      <c r="D16">
        <v>441</v>
      </c>
      <c r="E16">
        <v>154.82</v>
      </c>
      <c r="F16" t="s">
        <v>1462</v>
      </c>
      <c r="G16" s="1">
        <v>46118</v>
      </c>
      <c r="H16">
        <v>441</v>
      </c>
      <c r="I16" s="1">
        <v>46117</v>
      </c>
      <c r="J16" t="s">
        <v>665</v>
      </c>
      <c r="K16">
        <v>441</v>
      </c>
      <c r="L16">
        <v>154.82</v>
      </c>
      <c r="M16" s="1">
        <v>46121</v>
      </c>
      <c r="N16" t="str">
        <f>IF(po_master[[#This Row],[Approved By]]="", "Missing Approval", "OK")</f>
        <v>OK</v>
      </c>
      <c r="O16" t="str">
        <f>IF(ISBLANK(po_master[[#This Row],[GR Quantity]]), "No GR - Not received", "OK")</f>
        <v>OK</v>
      </c>
      <c r="P16" t="str">
        <f>IF(po_master[[#This Row],[Promised Delivey Date]]&lt;po_master[[#This Row],[Order Date]], "Invalid", "OK")</f>
        <v>OK</v>
      </c>
      <c r="Q16" t="str">
        <f>IF(ISBLANK(po_master[[#This Row],[Invoice Number]]), "No Invoice", "OK")</f>
        <v>OK</v>
      </c>
      <c r="R16" t="str">
        <f>IF(AND(NOT(ISBLANK(po_master[[#This Row],[GR Quantity]])), po_master[[#This Row],[GR Quantity]]&lt;&gt;po_master[[#This Row],[PO Quantity]]), "Qty Variance", "OK")</f>
        <v>OK</v>
      </c>
      <c r="S16" t="str">
        <f>IF(po_master[[#This Row],[Invoice Unit Price]]&gt;po_master[[#This Row],[PO Unit Price]]*1.01, "Price Variance", "OK")</f>
        <v>OK</v>
      </c>
      <c r="T16" t="str">
        <f>IF(po_master[[#This Row],[Actual Delivery Date]]&gt;po_master[[#This Row],[Promised Delivey Date]], "Late Delivery", "OK")</f>
        <v>OK</v>
      </c>
      <c r="U16" t="str">
        <f>IF(COUNTIF(po_master[PO Number],po_master[[#This Row],[PO Number]])&gt;1, "Duplicate Invoice", "OK")</f>
        <v>OK</v>
      </c>
      <c r="V16" s="5">
        <f>IF(po_master[[#This Row],[Missing Approval]]="Missing Approval", 1, 0)</f>
        <v>0</v>
      </c>
      <c r="W16" s="5">
        <f>IF(po_master[[#This Row],[GR Receipt Status]]="No GR - Not Received", 1, 0)</f>
        <v>0</v>
      </c>
      <c r="X16" s="5">
        <f>IF(po_master[[#This Row],[No invoice]]="No Invoice", 1, 0)</f>
        <v>0</v>
      </c>
      <c r="Y16" s="5">
        <f>IF(po_master[[#This Row],[Date Check]]="Invalid Date", 1, 0)</f>
        <v>0</v>
      </c>
      <c r="Z16" s="5">
        <f>IF(po_master[[#This Row],[Qty Variance Flag]]="Qty Variance", 1, 0)</f>
        <v>0</v>
      </c>
      <c r="AA16" s="5">
        <f>IF(po_master[[#This Row],[Price Variance Flag]]="Price Variance", 1, 0)</f>
        <v>0</v>
      </c>
      <c r="AB16" s="5">
        <f>IF(po_master[[#This Row],[Late Delivery Flag]]="Late Delivery", 1, 0)</f>
        <v>0</v>
      </c>
      <c r="AC16" s="5">
        <f>IF(po_master[[#This Row],[Duplicate Invoice Flag]]="Duplicate Invoice", 1, 0)</f>
        <v>0</v>
      </c>
      <c r="AD16" s="5" t="str">
        <f>TEXT(po_master[[#This Row],[Order Date]],"YYYY-MM")</f>
        <v>2026-03</v>
      </c>
    </row>
    <row r="17" spans="1:30" x14ac:dyDescent="0.25">
      <c r="A17" t="s">
        <v>18</v>
      </c>
      <c r="B17" t="s">
        <v>1452</v>
      </c>
      <c r="C17" s="1">
        <v>46103</v>
      </c>
      <c r="D17">
        <v>215</v>
      </c>
      <c r="E17">
        <v>57.21</v>
      </c>
      <c r="F17" t="s">
        <v>1444</v>
      </c>
      <c r="G17" s="1">
        <v>46118</v>
      </c>
      <c r="H17">
        <v>212</v>
      </c>
      <c r="I17" s="1">
        <v>46119</v>
      </c>
      <c r="J17" t="s">
        <v>666</v>
      </c>
      <c r="K17">
        <v>215</v>
      </c>
      <c r="L17">
        <v>57.21</v>
      </c>
      <c r="M17" s="1">
        <v>46125</v>
      </c>
      <c r="N17" t="str">
        <f>IF(po_master[[#This Row],[Approved By]]="", "Missing Approval", "OK")</f>
        <v>OK</v>
      </c>
      <c r="O17" t="str">
        <f>IF(ISBLANK(po_master[[#This Row],[GR Quantity]]), "No GR - Not received", "OK")</f>
        <v>OK</v>
      </c>
      <c r="P17" t="str">
        <f>IF(po_master[[#This Row],[Promised Delivey Date]]&lt;po_master[[#This Row],[Order Date]], "Invalid", "OK")</f>
        <v>OK</v>
      </c>
      <c r="Q17" t="str">
        <f>IF(ISBLANK(po_master[[#This Row],[Invoice Number]]), "No Invoice", "OK")</f>
        <v>OK</v>
      </c>
      <c r="R17" t="str">
        <f>IF(AND(NOT(ISBLANK(po_master[[#This Row],[GR Quantity]])), po_master[[#This Row],[GR Quantity]]&lt;&gt;po_master[[#This Row],[PO Quantity]]), "Qty Variance", "OK")</f>
        <v>Qty Variance</v>
      </c>
      <c r="S17" t="str">
        <f>IF(po_master[[#This Row],[Invoice Unit Price]]&gt;po_master[[#This Row],[PO Unit Price]]*1.01, "Price Variance", "OK")</f>
        <v>OK</v>
      </c>
      <c r="T17" t="str">
        <f>IF(po_master[[#This Row],[Actual Delivery Date]]&gt;po_master[[#This Row],[Promised Delivey Date]], "Late Delivery", "OK")</f>
        <v>Late Delivery</v>
      </c>
      <c r="U17" t="str">
        <f>IF(COUNTIF(po_master[PO Number],po_master[[#This Row],[PO Number]])&gt;1, "Duplicate Invoice", "OK")</f>
        <v>OK</v>
      </c>
      <c r="V17" s="5">
        <f>IF(po_master[[#This Row],[Missing Approval]]="Missing Approval", 1, 0)</f>
        <v>0</v>
      </c>
      <c r="W17" s="5">
        <f>IF(po_master[[#This Row],[GR Receipt Status]]="No GR - Not Received", 1, 0)</f>
        <v>0</v>
      </c>
      <c r="X17" s="5">
        <f>IF(po_master[[#This Row],[No invoice]]="No Invoice", 1, 0)</f>
        <v>0</v>
      </c>
      <c r="Y17" s="5">
        <f>IF(po_master[[#This Row],[Date Check]]="Invalid Date", 1, 0)</f>
        <v>0</v>
      </c>
      <c r="Z17" s="5">
        <f>IF(po_master[[#This Row],[Qty Variance Flag]]="Qty Variance", 1, 0)</f>
        <v>1</v>
      </c>
      <c r="AA17" s="5">
        <f>IF(po_master[[#This Row],[Price Variance Flag]]="Price Variance", 1, 0)</f>
        <v>0</v>
      </c>
      <c r="AB17" s="5">
        <f>IF(po_master[[#This Row],[Late Delivery Flag]]="Late Delivery", 1, 0)</f>
        <v>1</v>
      </c>
      <c r="AC17" s="5">
        <f>IF(po_master[[#This Row],[Duplicate Invoice Flag]]="Duplicate Invoice", 1, 0)</f>
        <v>0</v>
      </c>
      <c r="AD17" s="5" t="str">
        <f>TEXT(po_master[[#This Row],[Order Date]],"YYYY-MM")</f>
        <v>2026-03</v>
      </c>
    </row>
    <row r="18" spans="1:30" x14ac:dyDescent="0.25">
      <c r="A18" t="s">
        <v>19</v>
      </c>
      <c r="B18" t="s">
        <v>1463</v>
      </c>
      <c r="C18" s="1">
        <v>46150</v>
      </c>
      <c r="D18">
        <v>212</v>
      </c>
      <c r="E18">
        <v>177.51</v>
      </c>
      <c r="F18" t="s">
        <v>1446</v>
      </c>
      <c r="G18" s="1">
        <v>46169</v>
      </c>
      <c r="H18">
        <v>212</v>
      </c>
      <c r="I18" s="1">
        <v>46167</v>
      </c>
      <c r="J18" t="s">
        <v>667</v>
      </c>
      <c r="K18">
        <v>212</v>
      </c>
      <c r="L18">
        <v>177.51</v>
      </c>
      <c r="M18" s="1">
        <v>46172</v>
      </c>
      <c r="N18" t="str">
        <f>IF(po_master[[#This Row],[Approved By]]="", "Missing Approval", "OK")</f>
        <v>OK</v>
      </c>
      <c r="O18" t="str">
        <f>IF(ISBLANK(po_master[[#This Row],[GR Quantity]]), "No GR - Not received", "OK")</f>
        <v>OK</v>
      </c>
      <c r="P18" t="str">
        <f>IF(po_master[[#This Row],[Promised Delivey Date]]&lt;po_master[[#This Row],[Order Date]], "Invalid", "OK")</f>
        <v>OK</v>
      </c>
      <c r="Q18" t="str">
        <f>IF(ISBLANK(po_master[[#This Row],[Invoice Number]]), "No Invoice", "OK")</f>
        <v>OK</v>
      </c>
      <c r="R18" t="str">
        <f>IF(AND(NOT(ISBLANK(po_master[[#This Row],[GR Quantity]])), po_master[[#This Row],[GR Quantity]]&lt;&gt;po_master[[#This Row],[PO Quantity]]), "Qty Variance", "OK")</f>
        <v>OK</v>
      </c>
      <c r="S18" t="str">
        <f>IF(po_master[[#This Row],[Invoice Unit Price]]&gt;po_master[[#This Row],[PO Unit Price]]*1.01, "Price Variance", "OK")</f>
        <v>OK</v>
      </c>
      <c r="T18" t="str">
        <f>IF(po_master[[#This Row],[Actual Delivery Date]]&gt;po_master[[#This Row],[Promised Delivey Date]], "Late Delivery", "OK")</f>
        <v>OK</v>
      </c>
      <c r="U18" t="str">
        <f>IF(COUNTIF(po_master[PO Number],po_master[[#This Row],[PO Number]])&gt;1, "Duplicate Invoice", "OK")</f>
        <v>OK</v>
      </c>
      <c r="V18" s="5">
        <f>IF(po_master[[#This Row],[Missing Approval]]="Missing Approval", 1, 0)</f>
        <v>0</v>
      </c>
      <c r="W18" s="5">
        <f>IF(po_master[[#This Row],[GR Receipt Status]]="No GR - Not Received", 1, 0)</f>
        <v>0</v>
      </c>
      <c r="X18" s="5">
        <f>IF(po_master[[#This Row],[No invoice]]="No Invoice", 1, 0)</f>
        <v>0</v>
      </c>
      <c r="Y18" s="5">
        <f>IF(po_master[[#This Row],[Date Check]]="Invalid Date", 1, 0)</f>
        <v>0</v>
      </c>
      <c r="Z18" s="5">
        <f>IF(po_master[[#This Row],[Qty Variance Flag]]="Qty Variance", 1, 0)</f>
        <v>0</v>
      </c>
      <c r="AA18" s="5">
        <f>IF(po_master[[#This Row],[Price Variance Flag]]="Price Variance", 1, 0)</f>
        <v>0</v>
      </c>
      <c r="AB18" s="5">
        <f>IF(po_master[[#This Row],[Late Delivery Flag]]="Late Delivery", 1, 0)</f>
        <v>0</v>
      </c>
      <c r="AC18" s="5">
        <f>IF(po_master[[#This Row],[Duplicate Invoice Flag]]="Duplicate Invoice", 1, 0)</f>
        <v>0</v>
      </c>
      <c r="AD18" s="5" t="str">
        <f>TEXT(po_master[[#This Row],[Order Date]],"YYYY-MM")</f>
        <v>2026-05</v>
      </c>
    </row>
    <row r="19" spans="1:30" x14ac:dyDescent="0.25">
      <c r="A19" t="s">
        <v>20</v>
      </c>
      <c r="B19" t="s">
        <v>1464</v>
      </c>
      <c r="C19" s="1">
        <v>46090</v>
      </c>
      <c r="D19">
        <v>81</v>
      </c>
      <c r="E19">
        <v>53.09</v>
      </c>
      <c r="F19" t="s">
        <v>1442</v>
      </c>
      <c r="G19" s="1">
        <v>46103</v>
      </c>
      <c r="H19">
        <v>81</v>
      </c>
      <c r="I19" s="1">
        <v>46105</v>
      </c>
      <c r="J19" t="s">
        <v>668</v>
      </c>
      <c r="K19">
        <v>81</v>
      </c>
      <c r="L19">
        <v>53.09</v>
      </c>
      <c r="M19" s="1">
        <v>46106</v>
      </c>
      <c r="N19" t="str">
        <f>IF(po_master[[#This Row],[Approved By]]="", "Missing Approval", "OK")</f>
        <v>OK</v>
      </c>
      <c r="O19" t="str">
        <f>IF(ISBLANK(po_master[[#This Row],[GR Quantity]]), "No GR - Not received", "OK")</f>
        <v>OK</v>
      </c>
      <c r="P19" t="str">
        <f>IF(po_master[[#This Row],[Promised Delivey Date]]&lt;po_master[[#This Row],[Order Date]], "Invalid", "OK")</f>
        <v>OK</v>
      </c>
      <c r="Q19" t="str">
        <f>IF(ISBLANK(po_master[[#This Row],[Invoice Number]]), "No Invoice", "OK")</f>
        <v>OK</v>
      </c>
      <c r="R19" t="str">
        <f>IF(AND(NOT(ISBLANK(po_master[[#This Row],[GR Quantity]])), po_master[[#This Row],[GR Quantity]]&lt;&gt;po_master[[#This Row],[PO Quantity]]), "Qty Variance", "OK")</f>
        <v>OK</v>
      </c>
      <c r="S19" t="str">
        <f>IF(po_master[[#This Row],[Invoice Unit Price]]&gt;po_master[[#This Row],[PO Unit Price]]*1.01, "Price Variance", "OK")</f>
        <v>OK</v>
      </c>
      <c r="T19" t="str">
        <f>IF(po_master[[#This Row],[Actual Delivery Date]]&gt;po_master[[#This Row],[Promised Delivey Date]], "Late Delivery", "OK")</f>
        <v>Late Delivery</v>
      </c>
      <c r="U19" t="str">
        <f>IF(COUNTIF(po_master[PO Number],po_master[[#This Row],[PO Number]])&gt;1, "Duplicate Invoice", "OK")</f>
        <v>OK</v>
      </c>
      <c r="V19" s="5">
        <f>IF(po_master[[#This Row],[Missing Approval]]="Missing Approval", 1, 0)</f>
        <v>0</v>
      </c>
      <c r="W19" s="5">
        <f>IF(po_master[[#This Row],[GR Receipt Status]]="No GR - Not Received", 1, 0)</f>
        <v>0</v>
      </c>
      <c r="X19" s="5">
        <f>IF(po_master[[#This Row],[No invoice]]="No Invoice", 1, 0)</f>
        <v>0</v>
      </c>
      <c r="Y19" s="5">
        <f>IF(po_master[[#This Row],[Date Check]]="Invalid Date", 1, 0)</f>
        <v>0</v>
      </c>
      <c r="Z19" s="5">
        <f>IF(po_master[[#This Row],[Qty Variance Flag]]="Qty Variance", 1, 0)</f>
        <v>0</v>
      </c>
      <c r="AA19" s="5">
        <f>IF(po_master[[#This Row],[Price Variance Flag]]="Price Variance", 1, 0)</f>
        <v>0</v>
      </c>
      <c r="AB19" s="5">
        <f>IF(po_master[[#This Row],[Late Delivery Flag]]="Late Delivery", 1, 0)</f>
        <v>1</v>
      </c>
      <c r="AC19" s="5">
        <f>IF(po_master[[#This Row],[Duplicate Invoice Flag]]="Duplicate Invoice", 1, 0)</f>
        <v>0</v>
      </c>
      <c r="AD19" s="5" t="str">
        <f>TEXT(po_master[[#This Row],[Order Date]],"YYYY-MM")</f>
        <v>2026-03</v>
      </c>
    </row>
    <row r="20" spans="1:30" x14ac:dyDescent="0.25">
      <c r="A20" t="s">
        <v>21</v>
      </c>
      <c r="B20" t="s">
        <v>1465</v>
      </c>
      <c r="C20" s="1">
        <v>46172</v>
      </c>
      <c r="D20">
        <v>229</v>
      </c>
      <c r="E20">
        <v>180.08</v>
      </c>
      <c r="F20" t="s">
        <v>1453</v>
      </c>
      <c r="G20" s="1">
        <v>46188</v>
      </c>
      <c r="H20">
        <v>229</v>
      </c>
      <c r="I20" s="1">
        <v>46189</v>
      </c>
      <c r="J20" t="s">
        <v>669</v>
      </c>
      <c r="K20">
        <v>229</v>
      </c>
      <c r="L20">
        <v>180.08</v>
      </c>
      <c r="M20" s="1">
        <v>46195</v>
      </c>
      <c r="N20" t="str">
        <f>IF(po_master[[#This Row],[Approved By]]="", "Missing Approval", "OK")</f>
        <v>OK</v>
      </c>
      <c r="O20" t="str">
        <f>IF(ISBLANK(po_master[[#This Row],[GR Quantity]]), "No GR - Not received", "OK")</f>
        <v>OK</v>
      </c>
      <c r="P20" t="str">
        <f>IF(po_master[[#This Row],[Promised Delivey Date]]&lt;po_master[[#This Row],[Order Date]], "Invalid", "OK")</f>
        <v>OK</v>
      </c>
      <c r="Q20" t="str">
        <f>IF(ISBLANK(po_master[[#This Row],[Invoice Number]]), "No Invoice", "OK")</f>
        <v>OK</v>
      </c>
      <c r="R20" t="str">
        <f>IF(AND(NOT(ISBLANK(po_master[[#This Row],[GR Quantity]])), po_master[[#This Row],[GR Quantity]]&lt;&gt;po_master[[#This Row],[PO Quantity]]), "Qty Variance", "OK")</f>
        <v>OK</v>
      </c>
      <c r="S20" t="str">
        <f>IF(po_master[[#This Row],[Invoice Unit Price]]&gt;po_master[[#This Row],[PO Unit Price]]*1.01, "Price Variance", "OK")</f>
        <v>OK</v>
      </c>
      <c r="T20" t="str">
        <f>IF(po_master[[#This Row],[Actual Delivery Date]]&gt;po_master[[#This Row],[Promised Delivey Date]], "Late Delivery", "OK")</f>
        <v>Late Delivery</v>
      </c>
      <c r="U20" t="str">
        <f>IF(COUNTIF(po_master[PO Number],po_master[[#This Row],[PO Number]])&gt;1, "Duplicate Invoice", "OK")</f>
        <v>OK</v>
      </c>
      <c r="V20" s="5">
        <f>IF(po_master[[#This Row],[Missing Approval]]="Missing Approval", 1, 0)</f>
        <v>0</v>
      </c>
      <c r="W20" s="5">
        <f>IF(po_master[[#This Row],[GR Receipt Status]]="No GR - Not Received", 1, 0)</f>
        <v>0</v>
      </c>
      <c r="X20" s="5">
        <f>IF(po_master[[#This Row],[No invoice]]="No Invoice", 1, 0)</f>
        <v>0</v>
      </c>
      <c r="Y20" s="5">
        <f>IF(po_master[[#This Row],[Date Check]]="Invalid Date", 1, 0)</f>
        <v>0</v>
      </c>
      <c r="Z20" s="5">
        <f>IF(po_master[[#This Row],[Qty Variance Flag]]="Qty Variance", 1, 0)</f>
        <v>0</v>
      </c>
      <c r="AA20" s="5">
        <f>IF(po_master[[#This Row],[Price Variance Flag]]="Price Variance", 1, 0)</f>
        <v>0</v>
      </c>
      <c r="AB20" s="5">
        <f>IF(po_master[[#This Row],[Late Delivery Flag]]="Late Delivery", 1, 0)</f>
        <v>1</v>
      </c>
      <c r="AC20" s="5">
        <f>IF(po_master[[#This Row],[Duplicate Invoice Flag]]="Duplicate Invoice", 1, 0)</f>
        <v>0</v>
      </c>
      <c r="AD20" s="5" t="str">
        <f>TEXT(po_master[[#This Row],[Order Date]],"YYYY-MM")</f>
        <v>2026-05</v>
      </c>
    </row>
    <row r="21" spans="1:30" x14ac:dyDescent="0.25">
      <c r="A21" t="s">
        <v>22</v>
      </c>
      <c r="B21" t="s">
        <v>1447</v>
      </c>
      <c r="C21" s="1">
        <v>46058</v>
      </c>
      <c r="D21">
        <v>270</v>
      </c>
      <c r="E21">
        <v>101.24</v>
      </c>
      <c r="F21" t="s">
        <v>1456</v>
      </c>
      <c r="G21" s="1">
        <v>46064</v>
      </c>
      <c r="H21">
        <v>270</v>
      </c>
      <c r="I21" s="1">
        <v>46065</v>
      </c>
      <c r="J21" t="s">
        <v>670</v>
      </c>
      <c r="K21">
        <v>270</v>
      </c>
      <c r="L21">
        <v>101.24</v>
      </c>
      <c r="M21" s="1">
        <v>46074</v>
      </c>
      <c r="N21" t="str">
        <f>IF(po_master[[#This Row],[Approved By]]="", "Missing Approval", "OK")</f>
        <v>OK</v>
      </c>
      <c r="O21" t="str">
        <f>IF(ISBLANK(po_master[[#This Row],[GR Quantity]]), "No GR - Not received", "OK")</f>
        <v>OK</v>
      </c>
      <c r="P21" t="str">
        <f>IF(po_master[[#This Row],[Promised Delivey Date]]&lt;po_master[[#This Row],[Order Date]], "Invalid", "OK")</f>
        <v>OK</v>
      </c>
      <c r="Q21" t="str">
        <f>IF(ISBLANK(po_master[[#This Row],[Invoice Number]]), "No Invoice", "OK")</f>
        <v>OK</v>
      </c>
      <c r="R21" t="str">
        <f>IF(AND(NOT(ISBLANK(po_master[[#This Row],[GR Quantity]])), po_master[[#This Row],[GR Quantity]]&lt;&gt;po_master[[#This Row],[PO Quantity]]), "Qty Variance", "OK")</f>
        <v>OK</v>
      </c>
      <c r="S21" t="str">
        <f>IF(po_master[[#This Row],[Invoice Unit Price]]&gt;po_master[[#This Row],[PO Unit Price]]*1.01, "Price Variance", "OK")</f>
        <v>OK</v>
      </c>
      <c r="T21" t="str">
        <f>IF(po_master[[#This Row],[Actual Delivery Date]]&gt;po_master[[#This Row],[Promised Delivey Date]], "Late Delivery", "OK")</f>
        <v>Late Delivery</v>
      </c>
      <c r="U21" t="str">
        <f>IF(COUNTIF(po_master[PO Number],po_master[[#This Row],[PO Number]])&gt;1, "Duplicate Invoice", "OK")</f>
        <v>OK</v>
      </c>
      <c r="V21" s="5">
        <f>IF(po_master[[#This Row],[Missing Approval]]="Missing Approval", 1, 0)</f>
        <v>0</v>
      </c>
      <c r="W21" s="5">
        <f>IF(po_master[[#This Row],[GR Receipt Status]]="No GR - Not Received", 1, 0)</f>
        <v>0</v>
      </c>
      <c r="X21" s="5">
        <f>IF(po_master[[#This Row],[No invoice]]="No Invoice", 1, 0)</f>
        <v>0</v>
      </c>
      <c r="Y21" s="5">
        <f>IF(po_master[[#This Row],[Date Check]]="Invalid Date", 1, 0)</f>
        <v>0</v>
      </c>
      <c r="Z21" s="5">
        <f>IF(po_master[[#This Row],[Qty Variance Flag]]="Qty Variance", 1, 0)</f>
        <v>0</v>
      </c>
      <c r="AA21" s="5">
        <f>IF(po_master[[#This Row],[Price Variance Flag]]="Price Variance", 1, 0)</f>
        <v>0</v>
      </c>
      <c r="AB21" s="5">
        <f>IF(po_master[[#This Row],[Late Delivery Flag]]="Late Delivery", 1, 0)</f>
        <v>1</v>
      </c>
      <c r="AC21" s="5">
        <f>IF(po_master[[#This Row],[Duplicate Invoice Flag]]="Duplicate Invoice", 1, 0)</f>
        <v>0</v>
      </c>
      <c r="AD21" s="5" t="str">
        <f>TEXT(po_master[[#This Row],[Order Date]],"YYYY-MM")</f>
        <v>2026-02</v>
      </c>
    </row>
    <row r="22" spans="1:30" x14ac:dyDescent="0.25">
      <c r="A22" t="s">
        <v>23</v>
      </c>
      <c r="B22" t="s">
        <v>1466</v>
      </c>
      <c r="C22" s="1">
        <v>46062</v>
      </c>
      <c r="D22">
        <v>331</v>
      </c>
      <c r="E22">
        <v>36.200000000000003</v>
      </c>
      <c r="F22" t="s">
        <v>1467</v>
      </c>
      <c r="G22" s="1">
        <v>46080</v>
      </c>
      <c r="H22">
        <v>331</v>
      </c>
      <c r="I22" s="1">
        <v>46089</v>
      </c>
      <c r="J22" t="s">
        <v>671</v>
      </c>
      <c r="K22">
        <v>331</v>
      </c>
      <c r="L22">
        <v>36.200000000000003</v>
      </c>
      <c r="M22" s="1">
        <v>46086</v>
      </c>
      <c r="N22" t="str">
        <f>IF(po_master[[#This Row],[Approved By]]="", "Missing Approval", "OK")</f>
        <v>OK</v>
      </c>
      <c r="O22" t="str">
        <f>IF(ISBLANK(po_master[[#This Row],[GR Quantity]]), "No GR - Not received", "OK")</f>
        <v>OK</v>
      </c>
      <c r="P22" t="str">
        <f>IF(po_master[[#This Row],[Promised Delivey Date]]&lt;po_master[[#This Row],[Order Date]], "Invalid", "OK")</f>
        <v>OK</v>
      </c>
      <c r="Q22" t="str">
        <f>IF(ISBLANK(po_master[[#This Row],[Invoice Number]]), "No Invoice", "OK")</f>
        <v>OK</v>
      </c>
      <c r="R22" t="str">
        <f>IF(AND(NOT(ISBLANK(po_master[[#This Row],[GR Quantity]])), po_master[[#This Row],[GR Quantity]]&lt;&gt;po_master[[#This Row],[PO Quantity]]), "Qty Variance", "OK")</f>
        <v>OK</v>
      </c>
      <c r="S22" t="str">
        <f>IF(po_master[[#This Row],[Invoice Unit Price]]&gt;po_master[[#This Row],[PO Unit Price]]*1.01, "Price Variance", "OK")</f>
        <v>OK</v>
      </c>
      <c r="T22" t="str">
        <f>IF(po_master[[#This Row],[Actual Delivery Date]]&gt;po_master[[#This Row],[Promised Delivey Date]], "Late Delivery", "OK")</f>
        <v>Late Delivery</v>
      </c>
      <c r="U22" t="str">
        <f>IF(COUNTIF(po_master[PO Number],po_master[[#This Row],[PO Number]])&gt;1, "Duplicate Invoice", "OK")</f>
        <v>OK</v>
      </c>
      <c r="V22" s="5">
        <f>IF(po_master[[#This Row],[Missing Approval]]="Missing Approval", 1, 0)</f>
        <v>0</v>
      </c>
      <c r="W22" s="5">
        <f>IF(po_master[[#This Row],[GR Receipt Status]]="No GR - Not Received", 1, 0)</f>
        <v>0</v>
      </c>
      <c r="X22" s="5">
        <f>IF(po_master[[#This Row],[No invoice]]="No Invoice", 1, 0)</f>
        <v>0</v>
      </c>
      <c r="Y22" s="5">
        <f>IF(po_master[[#This Row],[Date Check]]="Invalid Date", 1, 0)</f>
        <v>0</v>
      </c>
      <c r="Z22" s="5">
        <f>IF(po_master[[#This Row],[Qty Variance Flag]]="Qty Variance", 1, 0)</f>
        <v>0</v>
      </c>
      <c r="AA22" s="5">
        <f>IF(po_master[[#This Row],[Price Variance Flag]]="Price Variance", 1, 0)</f>
        <v>0</v>
      </c>
      <c r="AB22" s="5">
        <f>IF(po_master[[#This Row],[Late Delivery Flag]]="Late Delivery", 1, 0)</f>
        <v>1</v>
      </c>
      <c r="AC22" s="5">
        <f>IF(po_master[[#This Row],[Duplicate Invoice Flag]]="Duplicate Invoice", 1, 0)</f>
        <v>0</v>
      </c>
      <c r="AD22" s="5" t="str">
        <f>TEXT(po_master[[#This Row],[Order Date]],"YYYY-MM")</f>
        <v>2026-02</v>
      </c>
    </row>
    <row r="23" spans="1:30" x14ac:dyDescent="0.25">
      <c r="A23" t="s">
        <v>24</v>
      </c>
      <c r="B23" t="s">
        <v>1468</v>
      </c>
      <c r="C23" s="1">
        <v>46039</v>
      </c>
      <c r="D23">
        <v>207</v>
      </c>
      <c r="E23">
        <v>79.42</v>
      </c>
      <c r="F23" t="s">
        <v>1469</v>
      </c>
      <c r="G23" s="1">
        <v>46060</v>
      </c>
      <c r="H23">
        <v>207</v>
      </c>
      <c r="I23" s="1">
        <v>46058</v>
      </c>
      <c r="J23" t="s">
        <v>672</v>
      </c>
      <c r="K23">
        <v>207</v>
      </c>
      <c r="L23">
        <v>79.42</v>
      </c>
      <c r="M23" s="1">
        <v>46067</v>
      </c>
      <c r="N23" t="str">
        <f>IF(po_master[[#This Row],[Approved By]]="", "Missing Approval", "OK")</f>
        <v>OK</v>
      </c>
      <c r="O23" t="str">
        <f>IF(ISBLANK(po_master[[#This Row],[GR Quantity]]), "No GR - Not received", "OK")</f>
        <v>OK</v>
      </c>
      <c r="P23" t="str">
        <f>IF(po_master[[#This Row],[Promised Delivey Date]]&lt;po_master[[#This Row],[Order Date]], "Invalid", "OK")</f>
        <v>OK</v>
      </c>
      <c r="Q23" t="str">
        <f>IF(ISBLANK(po_master[[#This Row],[Invoice Number]]), "No Invoice", "OK")</f>
        <v>OK</v>
      </c>
      <c r="R23" t="str">
        <f>IF(AND(NOT(ISBLANK(po_master[[#This Row],[GR Quantity]])), po_master[[#This Row],[GR Quantity]]&lt;&gt;po_master[[#This Row],[PO Quantity]]), "Qty Variance", "OK")</f>
        <v>OK</v>
      </c>
      <c r="S23" t="str">
        <f>IF(po_master[[#This Row],[Invoice Unit Price]]&gt;po_master[[#This Row],[PO Unit Price]]*1.01, "Price Variance", "OK")</f>
        <v>OK</v>
      </c>
      <c r="T23" t="str">
        <f>IF(po_master[[#This Row],[Actual Delivery Date]]&gt;po_master[[#This Row],[Promised Delivey Date]], "Late Delivery", "OK")</f>
        <v>OK</v>
      </c>
      <c r="U23" t="str">
        <f>IF(COUNTIF(po_master[PO Number],po_master[[#This Row],[PO Number]])&gt;1, "Duplicate Invoice", "OK")</f>
        <v>OK</v>
      </c>
      <c r="V23" s="5">
        <f>IF(po_master[[#This Row],[Missing Approval]]="Missing Approval", 1, 0)</f>
        <v>0</v>
      </c>
      <c r="W23" s="5">
        <f>IF(po_master[[#This Row],[GR Receipt Status]]="No GR - Not Received", 1, 0)</f>
        <v>0</v>
      </c>
      <c r="X23" s="5">
        <f>IF(po_master[[#This Row],[No invoice]]="No Invoice", 1, 0)</f>
        <v>0</v>
      </c>
      <c r="Y23" s="5">
        <f>IF(po_master[[#This Row],[Date Check]]="Invalid Date", 1, 0)</f>
        <v>0</v>
      </c>
      <c r="Z23" s="5">
        <f>IF(po_master[[#This Row],[Qty Variance Flag]]="Qty Variance", 1, 0)</f>
        <v>0</v>
      </c>
      <c r="AA23" s="5">
        <f>IF(po_master[[#This Row],[Price Variance Flag]]="Price Variance", 1, 0)</f>
        <v>0</v>
      </c>
      <c r="AB23" s="5">
        <f>IF(po_master[[#This Row],[Late Delivery Flag]]="Late Delivery", 1, 0)</f>
        <v>0</v>
      </c>
      <c r="AC23" s="5">
        <f>IF(po_master[[#This Row],[Duplicate Invoice Flag]]="Duplicate Invoice", 1, 0)</f>
        <v>0</v>
      </c>
      <c r="AD23" s="5" t="str">
        <f>TEXT(po_master[[#This Row],[Order Date]],"YYYY-MM")</f>
        <v>2026-01</v>
      </c>
    </row>
    <row r="24" spans="1:30" x14ac:dyDescent="0.25">
      <c r="A24" t="s">
        <v>25</v>
      </c>
      <c r="B24" t="s">
        <v>1470</v>
      </c>
      <c r="C24" s="1">
        <v>46164</v>
      </c>
      <c r="D24">
        <v>450</v>
      </c>
      <c r="E24">
        <v>188.77</v>
      </c>
      <c r="F24" t="s">
        <v>1467</v>
      </c>
      <c r="G24" s="1">
        <v>46172</v>
      </c>
      <c r="H24">
        <v>450</v>
      </c>
      <c r="I24" s="1">
        <v>46177</v>
      </c>
      <c r="J24" t="s">
        <v>673</v>
      </c>
      <c r="K24">
        <v>450</v>
      </c>
      <c r="L24">
        <v>188.77</v>
      </c>
      <c r="M24" s="1">
        <v>46179</v>
      </c>
      <c r="N24" t="str">
        <f>IF(po_master[[#This Row],[Approved By]]="", "Missing Approval", "OK")</f>
        <v>OK</v>
      </c>
      <c r="O24" t="str">
        <f>IF(ISBLANK(po_master[[#This Row],[GR Quantity]]), "No GR - Not received", "OK")</f>
        <v>OK</v>
      </c>
      <c r="P24" t="str">
        <f>IF(po_master[[#This Row],[Promised Delivey Date]]&lt;po_master[[#This Row],[Order Date]], "Invalid", "OK")</f>
        <v>OK</v>
      </c>
      <c r="Q24" t="str">
        <f>IF(ISBLANK(po_master[[#This Row],[Invoice Number]]), "No Invoice", "OK")</f>
        <v>OK</v>
      </c>
      <c r="R24" t="str">
        <f>IF(AND(NOT(ISBLANK(po_master[[#This Row],[GR Quantity]])), po_master[[#This Row],[GR Quantity]]&lt;&gt;po_master[[#This Row],[PO Quantity]]), "Qty Variance", "OK")</f>
        <v>OK</v>
      </c>
      <c r="S24" t="str">
        <f>IF(po_master[[#This Row],[Invoice Unit Price]]&gt;po_master[[#This Row],[PO Unit Price]]*1.01, "Price Variance", "OK")</f>
        <v>OK</v>
      </c>
      <c r="T24" t="str">
        <f>IF(po_master[[#This Row],[Actual Delivery Date]]&gt;po_master[[#This Row],[Promised Delivey Date]], "Late Delivery", "OK")</f>
        <v>Late Delivery</v>
      </c>
      <c r="U24" t="str">
        <f>IF(COUNTIF(po_master[PO Number],po_master[[#This Row],[PO Number]])&gt;1, "Duplicate Invoice", "OK")</f>
        <v>OK</v>
      </c>
      <c r="V24" s="5">
        <f>IF(po_master[[#This Row],[Missing Approval]]="Missing Approval", 1, 0)</f>
        <v>0</v>
      </c>
      <c r="W24" s="5">
        <f>IF(po_master[[#This Row],[GR Receipt Status]]="No GR - Not Received", 1, 0)</f>
        <v>0</v>
      </c>
      <c r="X24" s="5">
        <f>IF(po_master[[#This Row],[No invoice]]="No Invoice", 1, 0)</f>
        <v>0</v>
      </c>
      <c r="Y24" s="5">
        <f>IF(po_master[[#This Row],[Date Check]]="Invalid Date", 1, 0)</f>
        <v>0</v>
      </c>
      <c r="Z24" s="5">
        <f>IF(po_master[[#This Row],[Qty Variance Flag]]="Qty Variance", 1, 0)</f>
        <v>0</v>
      </c>
      <c r="AA24" s="5">
        <f>IF(po_master[[#This Row],[Price Variance Flag]]="Price Variance", 1, 0)</f>
        <v>0</v>
      </c>
      <c r="AB24" s="5">
        <f>IF(po_master[[#This Row],[Late Delivery Flag]]="Late Delivery", 1, 0)</f>
        <v>1</v>
      </c>
      <c r="AC24" s="5">
        <f>IF(po_master[[#This Row],[Duplicate Invoice Flag]]="Duplicate Invoice", 1, 0)</f>
        <v>0</v>
      </c>
      <c r="AD24" s="5" t="str">
        <f>TEXT(po_master[[#This Row],[Order Date]],"YYYY-MM")</f>
        <v>2026-05</v>
      </c>
    </row>
    <row r="25" spans="1:30" x14ac:dyDescent="0.25">
      <c r="A25" t="s">
        <v>26</v>
      </c>
      <c r="B25" t="s">
        <v>1461</v>
      </c>
      <c r="C25" s="1">
        <v>46160</v>
      </c>
      <c r="D25">
        <v>394</v>
      </c>
      <c r="E25">
        <v>57.03</v>
      </c>
      <c r="F25" t="s">
        <v>1446</v>
      </c>
      <c r="G25" s="1">
        <v>46175</v>
      </c>
      <c r="H25">
        <v>394</v>
      </c>
      <c r="I25" s="1">
        <v>46173</v>
      </c>
      <c r="J25" t="s">
        <v>674</v>
      </c>
      <c r="K25">
        <v>394</v>
      </c>
      <c r="L25">
        <v>57.03</v>
      </c>
      <c r="M25" s="1">
        <v>46181</v>
      </c>
      <c r="N25" t="str">
        <f>IF(po_master[[#This Row],[Approved By]]="", "Missing Approval", "OK")</f>
        <v>OK</v>
      </c>
      <c r="O25" t="str">
        <f>IF(ISBLANK(po_master[[#This Row],[GR Quantity]]), "No GR - Not received", "OK")</f>
        <v>OK</v>
      </c>
      <c r="P25" t="str">
        <f>IF(po_master[[#This Row],[Promised Delivey Date]]&lt;po_master[[#This Row],[Order Date]], "Invalid", "OK")</f>
        <v>OK</v>
      </c>
      <c r="Q25" t="str">
        <f>IF(ISBLANK(po_master[[#This Row],[Invoice Number]]), "No Invoice", "OK")</f>
        <v>OK</v>
      </c>
      <c r="R25" t="str">
        <f>IF(AND(NOT(ISBLANK(po_master[[#This Row],[GR Quantity]])), po_master[[#This Row],[GR Quantity]]&lt;&gt;po_master[[#This Row],[PO Quantity]]), "Qty Variance", "OK")</f>
        <v>OK</v>
      </c>
      <c r="S25" t="str">
        <f>IF(po_master[[#This Row],[Invoice Unit Price]]&gt;po_master[[#This Row],[PO Unit Price]]*1.01, "Price Variance", "OK")</f>
        <v>OK</v>
      </c>
      <c r="T25" t="str">
        <f>IF(po_master[[#This Row],[Actual Delivery Date]]&gt;po_master[[#This Row],[Promised Delivey Date]], "Late Delivery", "OK")</f>
        <v>OK</v>
      </c>
      <c r="U25" t="str">
        <f>IF(COUNTIF(po_master[PO Number],po_master[[#This Row],[PO Number]])&gt;1, "Duplicate Invoice", "OK")</f>
        <v>OK</v>
      </c>
      <c r="V25" s="5">
        <f>IF(po_master[[#This Row],[Missing Approval]]="Missing Approval", 1, 0)</f>
        <v>0</v>
      </c>
      <c r="W25" s="5">
        <f>IF(po_master[[#This Row],[GR Receipt Status]]="No GR - Not Received", 1, 0)</f>
        <v>0</v>
      </c>
      <c r="X25" s="5">
        <f>IF(po_master[[#This Row],[No invoice]]="No Invoice", 1, 0)</f>
        <v>0</v>
      </c>
      <c r="Y25" s="5">
        <f>IF(po_master[[#This Row],[Date Check]]="Invalid Date", 1, 0)</f>
        <v>0</v>
      </c>
      <c r="Z25" s="5">
        <f>IF(po_master[[#This Row],[Qty Variance Flag]]="Qty Variance", 1, 0)</f>
        <v>0</v>
      </c>
      <c r="AA25" s="5">
        <f>IF(po_master[[#This Row],[Price Variance Flag]]="Price Variance", 1, 0)</f>
        <v>0</v>
      </c>
      <c r="AB25" s="5">
        <f>IF(po_master[[#This Row],[Late Delivery Flag]]="Late Delivery", 1, 0)</f>
        <v>0</v>
      </c>
      <c r="AC25" s="5">
        <f>IF(po_master[[#This Row],[Duplicate Invoice Flag]]="Duplicate Invoice", 1, 0)</f>
        <v>0</v>
      </c>
      <c r="AD25" s="5" t="str">
        <f>TEXT(po_master[[#This Row],[Order Date]],"YYYY-MM")</f>
        <v>2026-05</v>
      </c>
    </row>
    <row r="26" spans="1:30" x14ac:dyDescent="0.25">
      <c r="A26" t="s">
        <v>27</v>
      </c>
      <c r="B26" t="s">
        <v>1466</v>
      </c>
      <c r="C26" s="1">
        <v>46098</v>
      </c>
      <c r="D26">
        <v>232</v>
      </c>
      <c r="E26">
        <v>35.840000000000003</v>
      </c>
      <c r="F26" t="s">
        <v>1448</v>
      </c>
      <c r="G26" s="1">
        <v>46111</v>
      </c>
      <c r="H26">
        <v>232</v>
      </c>
      <c r="I26" s="1">
        <v>46112</v>
      </c>
      <c r="J26" t="s">
        <v>675</v>
      </c>
      <c r="K26">
        <v>232</v>
      </c>
      <c r="L26">
        <v>35.840000000000003</v>
      </c>
      <c r="M26" s="1">
        <v>46118</v>
      </c>
      <c r="N26" t="str">
        <f>IF(po_master[[#This Row],[Approved By]]="", "Missing Approval", "OK")</f>
        <v>OK</v>
      </c>
      <c r="O26" t="str">
        <f>IF(ISBLANK(po_master[[#This Row],[GR Quantity]]), "No GR - Not received", "OK")</f>
        <v>OK</v>
      </c>
      <c r="P26" t="str">
        <f>IF(po_master[[#This Row],[Promised Delivey Date]]&lt;po_master[[#This Row],[Order Date]], "Invalid", "OK")</f>
        <v>OK</v>
      </c>
      <c r="Q26" t="str">
        <f>IF(ISBLANK(po_master[[#This Row],[Invoice Number]]), "No Invoice", "OK")</f>
        <v>OK</v>
      </c>
      <c r="R26" t="str">
        <f>IF(AND(NOT(ISBLANK(po_master[[#This Row],[GR Quantity]])), po_master[[#This Row],[GR Quantity]]&lt;&gt;po_master[[#This Row],[PO Quantity]]), "Qty Variance", "OK")</f>
        <v>OK</v>
      </c>
      <c r="S26" t="str">
        <f>IF(po_master[[#This Row],[Invoice Unit Price]]&gt;po_master[[#This Row],[PO Unit Price]]*1.01, "Price Variance", "OK")</f>
        <v>OK</v>
      </c>
      <c r="T26" t="str">
        <f>IF(po_master[[#This Row],[Actual Delivery Date]]&gt;po_master[[#This Row],[Promised Delivey Date]], "Late Delivery", "OK")</f>
        <v>Late Delivery</v>
      </c>
      <c r="U26" t="str">
        <f>IF(COUNTIF(po_master[PO Number],po_master[[#This Row],[PO Number]])&gt;1, "Duplicate Invoice", "OK")</f>
        <v>OK</v>
      </c>
      <c r="V26" s="5">
        <f>IF(po_master[[#This Row],[Missing Approval]]="Missing Approval", 1, 0)</f>
        <v>0</v>
      </c>
      <c r="W26" s="5">
        <f>IF(po_master[[#This Row],[GR Receipt Status]]="No GR - Not Received", 1, 0)</f>
        <v>0</v>
      </c>
      <c r="X26" s="5">
        <f>IF(po_master[[#This Row],[No invoice]]="No Invoice", 1, 0)</f>
        <v>0</v>
      </c>
      <c r="Y26" s="5">
        <f>IF(po_master[[#This Row],[Date Check]]="Invalid Date", 1, 0)</f>
        <v>0</v>
      </c>
      <c r="Z26" s="5">
        <f>IF(po_master[[#This Row],[Qty Variance Flag]]="Qty Variance", 1, 0)</f>
        <v>0</v>
      </c>
      <c r="AA26" s="5">
        <f>IF(po_master[[#This Row],[Price Variance Flag]]="Price Variance", 1, 0)</f>
        <v>0</v>
      </c>
      <c r="AB26" s="5">
        <f>IF(po_master[[#This Row],[Late Delivery Flag]]="Late Delivery", 1, 0)</f>
        <v>1</v>
      </c>
      <c r="AC26" s="5">
        <f>IF(po_master[[#This Row],[Duplicate Invoice Flag]]="Duplicate Invoice", 1, 0)</f>
        <v>0</v>
      </c>
      <c r="AD26" s="5" t="str">
        <f>TEXT(po_master[[#This Row],[Order Date]],"YYYY-MM")</f>
        <v>2026-03</v>
      </c>
    </row>
    <row r="27" spans="1:30" x14ac:dyDescent="0.25">
      <c r="A27" t="s">
        <v>28</v>
      </c>
      <c r="B27" t="s">
        <v>1445</v>
      </c>
      <c r="C27" s="1">
        <v>46068</v>
      </c>
      <c r="D27">
        <v>269</v>
      </c>
      <c r="E27">
        <v>182.96</v>
      </c>
      <c r="F27" t="s">
        <v>1446</v>
      </c>
      <c r="G27" s="1">
        <v>46082</v>
      </c>
      <c r="H27">
        <v>269</v>
      </c>
      <c r="I27" s="1">
        <v>46082</v>
      </c>
      <c r="J27" t="s">
        <v>676</v>
      </c>
      <c r="K27">
        <v>269</v>
      </c>
      <c r="L27">
        <v>182.96</v>
      </c>
      <c r="M27" s="1">
        <v>46090</v>
      </c>
      <c r="N27" t="str">
        <f>IF(po_master[[#This Row],[Approved By]]="", "Missing Approval", "OK")</f>
        <v>OK</v>
      </c>
      <c r="O27" t="str">
        <f>IF(ISBLANK(po_master[[#This Row],[GR Quantity]]), "No GR - Not received", "OK")</f>
        <v>OK</v>
      </c>
      <c r="P27" t="str">
        <f>IF(po_master[[#This Row],[Promised Delivey Date]]&lt;po_master[[#This Row],[Order Date]], "Invalid", "OK")</f>
        <v>OK</v>
      </c>
      <c r="Q27" t="str">
        <f>IF(ISBLANK(po_master[[#This Row],[Invoice Number]]), "No Invoice", "OK")</f>
        <v>OK</v>
      </c>
      <c r="R27" t="str">
        <f>IF(AND(NOT(ISBLANK(po_master[[#This Row],[GR Quantity]])), po_master[[#This Row],[GR Quantity]]&lt;&gt;po_master[[#This Row],[PO Quantity]]), "Qty Variance", "OK")</f>
        <v>OK</v>
      </c>
      <c r="S27" t="str">
        <f>IF(po_master[[#This Row],[Invoice Unit Price]]&gt;po_master[[#This Row],[PO Unit Price]]*1.01, "Price Variance", "OK")</f>
        <v>OK</v>
      </c>
      <c r="T27" t="str">
        <f>IF(po_master[[#This Row],[Actual Delivery Date]]&gt;po_master[[#This Row],[Promised Delivey Date]], "Late Delivery", "OK")</f>
        <v>OK</v>
      </c>
      <c r="U27" t="str">
        <f>IF(COUNTIF(po_master[PO Number],po_master[[#This Row],[PO Number]])&gt;1, "Duplicate Invoice", "OK")</f>
        <v>OK</v>
      </c>
      <c r="V27" s="5">
        <f>IF(po_master[[#This Row],[Missing Approval]]="Missing Approval", 1, 0)</f>
        <v>0</v>
      </c>
      <c r="W27" s="5">
        <f>IF(po_master[[#This Row],[GR Receipt Status]]="No GR - Not Received", 1, 0)</f>
        <v>0</v>
      </c>
      <c r="X27" s="5">
        <f>IF(po_master[[#This Row],[No invoice]]="No Invoice", 1, 0)</f>
        <v>0</v>
      </c>
      <c r="Y27" s="5">
        <f>IF(po_master[[#This Row],[Date Check]]="Invalid Date", 1, 0)</f>
        <v>0</v>
      </c>
      <c r="Z27" s="5">
        <f>IF(po_master[[#This Row],[Qty Variance Flag]]="Qty Variance", 1, 0)</f>
        <v>0</v>
      </c>
      <c r="AA27" s="5">
        <f>IF(po_master[[#This Row],[Price Variance Flag]]="Price Variance", 1, 0)</f>
        <v>0</v>
      </c>
      <c r="AB27" s="5">
        <f>IF(po_master[[#This Row],[Late Delivery Flag]]="Late Delivery", 1, 0)</f>
        <v>0</v>
      </c>
      <c r="AC27" s="5">
        <f>IF(po_master[[#This Row],[Duplicate Invoice Flag]]="Duplicate Invoice", 1, 0)</f>
        <v>0</v>
      </c>
      <c r="AD27" s="5" t="str">
        <f>TEXT(po_master[[#This Row],[Order Date]],"YYYY-MM")</f>
        <v>2026-02</v>
      </c>
    </row>
    <row r="28" spans="1:30" x14ac:dyDescent="0.25">
      <c r="A28" t="s">
        <v>29</v>
      </c>
      <c r="B28" t="s">
        <v>1439</v>
      </c>
      <c r="C28" s="1">
        <v>46152</v>
      </c>
      <c r="D28">
        <v>321</v>
      </c>
      <c r="E28">
        <v>43.79</v>
      </c>
      <c r="F28" t="s">
        <v>1451</v>
      </c>
      <c r="G28" s="1">
        <v>46162</v>
      </c>
      <c r="H28">
        <v>321</v>
      </c>
      <c r="I28" s="1">
        <v>46164</v>
      </c>
      <c r="J28" t="s">
        <v>677</v>
      </c>
      <c r="K28">
        <v>321</v>
      </c>
      <c r="L28">
        <v>43.79</v>
      </c>
      <c r="M28" s="1">
        <v>46165</v>
      </c>
      <c r="N28" t="str">
        <f>IF(po_master[[#This Row],[Approved By]]="", "Missing Approval", "OK")</f>
        <v>OK</v>
      </c>
      <c r="O28" t="str">
        <f>IF(ISBLANK(po_master[[#This Row],[GR Quantity]]), "No GR - Not received", "OK")</f>
        <v>OK</v>
      </c>
      <c r="P28" t="str">
        <f>IF(po_master[[#This Row],[Promised Delivey Date]]&lt;po_master[[#This Row],[Order Date]], "Invalid", "OK")</f>
        <v>OK</v>
      </c>
      <c r="Q28" t="str">
        <f>IF(ISBLANK(po_master[[#This Row],[Invoice Number]]), "No Invoice", "OK")</f>
        <v>OK</v>
      </c>
      <c r="R28" t="str">
        <f>IF(AND(NOT(ISBLANK(po_master[[#This Row],[GR Quantity]])), po_master[[#This Row],[GR Quantity]]&lt;&gt;po_master[[#This Row],[PO Quantity]]), "Qty Variance", "OK")</f>
        <v>OK</v>
      </c>
      <c r="S28" t="str">
        <f>IF(po_master[[#This Row],[Invoice Unit Price]]&gt;po_master[[#This Row],[PO Unit Price]]*1.01, "Price Variance", "OK")</f>
        <v>OK</v>
      </c>
      <c r="T28" t="str">
        <f>IF(po_master[[#This Row],[Actual Delivery Date]]&gt;po_master[[#This Row],[Promised Delivey Date]], "Late Delivery", "OK")</f>
        <v>Late Delivery</v>
      </c>
      <c r="U28" t="str">
        <f>IF(COUNTIF(po_master[PO Number],po_master[[#This Row],[PO Number]])&gt;1, "Duplicate Invoice", "OK")</f>
        <v>OK</v>
      </c>
      <c r="V28" s="5">
        <f>IF(po_master[[#This Row],[Missing Approval]]="Missing Approval", 1, 0)</f>
        <v>0</v>
      </c>
      <c r="W28" s="5">
        <f>IF(po_master[[#This Row],[GR Receipt Status]]="No GR - Not Received", 1, 0)</f>
        <v>0</v>
      </c>
      <c r="X28" s="5">
        <f>IF(po_master[[#This Row],[No invoice]]="No Invoice", 1, 0)</f>
        <v>0</v>
      </c>
      <c r="Y28" s="5">
        <f>IF(po_master[[#This Row],[Date Check]]="Invalid Date", 1, 0)</f>
        <v>0</v>
      </c>
      <c r="Z28" s="5">
        <f>IF(po_master[[#This Row],[Qty Variance Flag]]="Qty Variance", 1, 0)</f>
        <v>0</v>
      </c>
      <c r="AA28" s="5">
        <f>IF(po_master[[#This Row],[Price Variance Flag]]="Price Variance", 1, 0)</f>
        <v>0</v>
      </c>
      <c r="AB28" s="5">
        <f>IF(po_master[[#This Row],[Late Delivery Flag]]="Late Delivery", 1, 0)</f>
        <v>1</v>
      </c>
      <c r="AC28" s="5">
        <f>IF(po_master[[#This Row],[Duplicate Invoice Flag]]="Duplicate Invoice", 1, 0)</f>
        <v>0</v>
      </c>
      <c r="AD28" s="5" t="str">
        <f>TEXT(po_master[[#This Row],[Order Date]],"YYYY-MM")</f>
        <v>2026-05</v>
      </c>
    </row>
    <row r="29" spans="1:30" x14ac:dyDescent="0.25">
      <c r="A29" t="s">
        <v>30</v>
      </c>
      <c r="B29" t="s">
        <v>1471</v>
      </c>
      <c r="C29" s="1">
        <v>46158</v>
      </c>
      <c r="D29">
        <v>480</v>
      </c>
      <c r="E29">
        <v>5.1100000000000003</v>
      </c>
      <c r="F29" t="s">
        <v>1472</v>
      </c>
      <c r="G29" s="1">
        <v>46178</v>
      </c>
      <c r="H29">
        <v>480</v>
      </c>
      <c r="I29" s="1">
        <v>46179</v>
      </c>
      <c r="J29" t="s">
        <v>678</v>
      </c>
      <c r="K29">
        <v>480</v>
      </c>
      <c r="L29">
        <v>5.1100000000000003</v>
      </c>
      <c r="M29" s="1">
        <v>46187</v>
      </c>
      <c r="N29" t="str">
        <f>IF(po_master[[#This Row],[Approved By]]="", "Missing Approval", "OK")</f>
        <v>OK</v>
      </c>
      <c r="O29" t="str">
        <f>IF(ISBLANK(po_master[[#This Row],[GR Quantity]]), "No GR - Not received", "OK")</f>
        <v>OK</v>
      </c>
      <c r="P29" t="str">
        <f>IF(po_master[[#This Row],[Promised Delivey Date]]&lt;po_master[[#This Row],[Order Date]], "Invalid", "OK")</f>
        <v>OK</v>
      </c>
      <c r="Q29" t="str">
        <f>IF(ISBLANK(po_master[[#This Row],[Invoice Number]]), "No Invoice", "OK")</f>
        <v>OK</v>
      </c>
      <c r="R29" t="str">
        <f>IF(AND(NOT(ISBLANK(po_master[[#This Row],[GR Quantity]])), po_master[[#This Row],[GR Quantity]]&lt;&gt;po_master[[#This Row],[PO Quantity]]), "Qty Variance", "OK")</f>
        <v>OK</v>
      </c>
      <c r="S29" t="str">
        <f>IF(po_master[[#This Row],[Invoice Unit Price]]&gt;po_master[[#This Row],[PO Unit Price]]*1.01, "Price Variance", "OK")</f>
        <v>OK</v>
      </c>
      <c r="T29" t="str">
        <f>IF(po_master[[#This Row],[Actual Delivery Date]]&gt;po_master[[#This Row],[Promised Delivey Date]], "Late Delivery", "OK")</f>
        <v>Late Delivery</v>
      </c>
      <c r="U29" t="str">
        <f>IF(COUNTIF(po_master[PO Number],po_master[[#This Row],[PO Number]])&gt;1, "Duplicate Invoice", "OK")</f>
        <v>OK</v>
      </c>
      <c r="V29" s="5">
        <f>IF(po_master[[#This Row],[Missing Approval]]="Missing Approval", 1, 0)</f>
        <v>0</v>
      </c>
      <c r="W29" s="5">
        <f>IF(po_master[[#This Row],[GR Receipt Status]]="No GR - Not Received", 1, 0)</f>
        <v>0</v>
      </c>
      <c r="X29" s="5">
        <f>IF(po_master[[#This Row],[No invoice]]="No Invoice", 1, 0)</f>
        <v>0</v>
      </c>
      <c r="Y29" s="5">
        <f>IF(po_master[[#This Row],[Date Check]]="Invalid Date", 1, 0)</f>
        <v>0</v>
      </c>
      <c r="Z29" s="5">
        <f>IF(po_master[[#This Row],[Qty Variance Flag]]="Qty Variance", 1, 0)</f>
        <v>0</v>
      </c>
      <c r="AA29" s="5">
        <f>IF(po_master[[#This Row],[Price Variance Flag]]="Price Variance", 1, 0)</f>
        <v>0</v>
      </c>
      <c r="AB29" s="5">
        <f>IF(po_master[[#This Row],[Late Delivery Flag]]="Late Delivery", 1, 0)</f>
        <v>1</v>
      </c>
      <c r="AC29" s="5">
        <f>IF(po_master[[#This Row],[Duplicate Invoice Flag]]="Duplicate Invoice", 1, 0)</f>
        <v>0</v>
      </c>
      <c r="AD29" s="5" t="str">
        <f>TEXT(po_master[[#This Row],[Order Date]],"YYYY-MM")</f>
        <v>2026-05</v>
      </c>
    </row>
    <row r="30" spans="1:30" x14ac:dyDescent="0.25">
      <c r="A30" t="s">
        <v>31</v>
      </c>
      <c r="B30" t="s">
        <v>1473</v>
      </c>
      <c r="C30" s="1">
        <v>46051</v>
      </c>
      <c r="D30">
        <v>485</v>
      </c>
      <c r="E30">
        <v>75.78</v>
      </c>
      <c r="F30" t="s">
        <v>1474</v>
      </c>
      <c r="G30" s="1">
        <v>46063</v>
      </c>
      <c r="H30">
        <v>485</v>
      </c>
      <c r="I30" s="1">
        <v>46065</v>
      </c>
      <c r="J30" t="s">
        <v>679</v>
      </c>
      <c r="K30">
        <v>485</v>
      </c>
      <c r="L30">
        <v>75.78</v>
      </c>
      <c r="M30" s="1">
        <v>46065</v>
      </c>
      <c r="N30" t="str">
        <f>IF(po_master[[#This Row],[Approved By]]="", "Missing Approval", "OK")</f>
        <v>OK</v>
      </c>
      <c r="O30" t="str">
        <f>IF(ISBLANK(po_master[[#This Row],[GR Quantity]]), "No GR - Not received", "OK")</f>
        <v>OK</v>
      </c>
      <c r="P30" t="str">
        <f>IF(po_master[[#This Row],[Promised Delivey Date]]&lt;po_master[[#This Row],[Order Date]], "Invalid", "OK")</f>
        <v>OK</v>
      </c>
      <c r="Q30" t="str">
        <f>IF(ISBLANK(po_master[[#This Row],[Invoice Number]]), "No Invoice", "OK")</f>
        <v>OK</v>
      </c>
      <c r="R30" t="str">
        <f>IF(AND(NOT(ISBLANK(po_master[[#This Row],[GR Quantity]])), po_master[[#This Row],[GR Quantity]]&lt;&gt;po_master[[#This Row],[PO Quantity]]), "Qty Variance", "OK")</f>
        <v>OK</v>
      </c>
      <c r="S30" t="str">
        <f>IF(po_master[[#This Row],[Invoice Unit Price]]&gt;po_master[[#This Row],[PO Unit Price]]*1.01, "Price Variance", "OK")</f>
        <v>OK</v>
      </c>
      <c r="T30" t="str">
        <f>IF(po_master[[#This Row],[Actual Delivery Date]]&gt;po_master[[#This Row],[Promised Delivey Date]], "Late Delivery", "OK")</f>
        <v>Late Delivery</v>
      </c>
      <c r="U30" t="str">
        <f>IF(COUNTIF(po_master[PO Number],po_master[[#This Row],[PO Number]])&gt;1, "Duplicate Invoice", "OK")</f>
        <v>OK</v>
      </c>
      <c r="V30" s="5">
        <f>IF(po_master[[#This Row],[Missing Approval]]="Missing Approval", 1, 0)</f>
        <v>0</v>
      </c>
      <c r="W30" s="5">
        <f>IF(po_master[[#This Row],[GR Receipt Status]]="No GR - Not Received", 1, 0)</f>
        <v>0</v>
      </c>
      <c r="X30" s="5">
        <f>IF(po_master[[#This Row],[No invoice]]="No Invoice", 1, 0)</f>
        <v>0</v>
      </c>
      <c r="Y30" s="5">
        <f>IF(po_master[[#This Row],[Date Check]]="Invalid Date", 1, 0)</f>
        <v>0</v>
      </c>
      <c r="Z30" s="5">
        <f>IF(po_master[[#This Row],[Qty Variance Flag]]="Qty Variance", 1, 0)</f>
        <v>0</v>
      </c>
      <c r="AA30" s="5">
        <f>IF(po_master[[#This Row],[Price Variance Flag]]="Price Variance", 1, 0)</f>
        <v>0</v>
      </c>
      <c r="AB30" s="5">
        <f>IF(po_master[[#This Row],[Late Delivery Flag]]="Late Delivery", 1, 0)</f>
        <v>1</v>
      </c>
      <c r="AC30" s="5">
        <f>IF(po_master[[#This Row],[Duplicate Invoice Flag]]="Duplicate Invoice", 1, 0)</f>
        <v>0</v>
      </c>
      <c r="AD30" s="5" t="str">
        <f>TEXT(po_master[[#This Row],[Order Date]],"YYYY-MM")</f>
        <v>2026-01</v>
      </c>
    </row>
    <row r="31" spans="1:30" x14ac:dyDescent="0.25">
      <c r="A31" t="s">
        <v>32</v>
      </c>
      <c r="B31" t="s">
        <v>1475</v>
      </c>
      <c r="C31" s="1">
        <v>46084</v>
      </c>
      <c r="D31">
        <v>459</v>
      </c>
      <c r="E31">
        <v>115.63</v>
      </c>
      <c r="F31" t="s">
        <v>1476</v>
      </c>
      <c r="G31" s="1">
        <v>46091</v>
      </c>
      <c r="H31">
        <v>459</v>
      </c>
      <c r="I31" s="1">
        <v>46091</v>
      </c>
      <c r="J31" t="s">
        <v>680</v>
      </c>
      <c r="K31">
        <v>459</v>
      </c>
      <c r="L31">
        <v>115.63</v>
      </c>
      <c r="M31" s="1">
        <v>46094</v>
      </c>
      <c r="N31" t="str">
        <f>IF(po_master[[#This Row],[Approved By]]="", "Missing Approval", "OK")</f>
        <v>OK</v>
      </c>
      <c r="O31" t="str">
        <f>IF(ISBLANK(po_master[[#This Row],[GR Quantity]]), "No GR - Not received", "OK")</f>
        <v>OK</v>
      </c>
      <c r="P31" t="str">
        <f>IF(po_master[[#This Row],[Promised Delivey Date]]&lt;po_master[[#This Row],[Order Date]], "Invalid", "OK")</f>
        <v>OK</v>
      </c>
      <c r="Q31" t="str">
        <f>IF(ISBLANK(po_master[[#This Row],[Invoice Number]]), "No Invoice", "OK")</f>
        <v>OK</v>
      </c>
      <c r="R31" t="str">
        <f>IF(AND(NOT(ISBLANK(po_master[[#This Row],[GR Quantity]])), po_master[[#This Row],[GR Quantity]]&lt;&gt;po_master[[#This Row],[PO Quantity]]), "Qty Variance", "OK")</f>
        <v>OK</v>
      </c>
      <c r="S31" t="str">
        <f>IF(po_master[[#This Row],[Invoice Unit Price]]&gt;po_master[[#This Row],[PO Unit Price]]*1.01, "Price Variance", "OK")</f>
        <v>OK</v>
      </c>
      <c r="T31" t="str">
        <f>IF(po_master[[#This Row],[Actual Delivery Date]]&gt;po_master[[#This Row],[Promised Delivey Date]], "Late Delivery", "OK")</f>
        <v>OK</v>
      </c>
      <c r="U31" t="str">
        <f>IF(COUNTIF(po_master[PO Number],po_master[[#This Row],[PO Number]])&gt;1, "Duplicate Invoice", "OK")</f>
        <v>OK</v>
      </c>
      <c r="V31" s="5">
        <f>IF(po_master[[#This Row],[Missing Approval]]="Missing Approval", 1, 0)</f>
        <v>0</v>
      </c>
      <c r="W31" s="5">
        <f>IF(po_master[[#This Row],[GR Receipt Status]]="No GR - Not Received", 1, 0)</f>
        <v>0</v>
      </c>
      <c r="X31" s="5">
        <f>IF(po_master[[#This Row],[No invoice]]="No Invoice", 1, 0)</f>
        <v>0</v>
      </c>
      <c r="Y31" s="5">
        <f>IF(po_master[[#This Row],[Date Check]]="Invalid Date", 1, 0)</f>
        <v>0</v>
      </c>
      <c r="Z31" s="5">
        <f>IF(po_master[[#This Row],[Qty Variance Flag]]="Qty Variance", 1, 0)</f>
        <v>0</v>
      </c>
      <c r="AA31" s="5">
        <f>IF(po_master[[#This Row],[Price Variance Flag]]="Price Variance", 1, 0)</f>
        <v>0</v>
      </c>
      <c r="AB31" s="5">
        <f>IF(po_master[[#This Row],[Late Delivery Flag]]="Late Delivery", 1, 0)</f>
        <v>0</v>
      </c>
      <c r="AC31" s="5">
        <f>IF(po_master[[#This Row],[Duplicate Invoice Flag]]="Duplicate Invoice", 1, 0)</f>
        <v>0</v>
      </c>
      <c r="AD31" s="5" t="str">
        <f>TEXT(po_master[[#This Row],[Order Date]],"YYYY-MM")</f>
        <v>2026-03</v>
      </c>
    </row>
    <row r="32" spans="1:30" x14ac:dyDescent="0.25">
      <c r="A32" t="s">
        <v>33</v>
      </c>
      <c r="B32" t="s">
        <v>1477</v>
      </c>
      <c r="C32" s="1">
        <v>46147</v>
      </c>
      <c r="D32">
        <v>427</v>
      </c>
      <c r="E32">
        <v>18.5</v>
      </c>
      <c r="F32" t="s">
        <v>1456</v>
      </c>
      <c r="G32" s="1">
        <v>46156</v>
      </c>
      <c r="H32">
        <v>427</v>
      </c>
      <c r="I32" s="1">
        <v>46154</v>
      </c>
      <c r="J32" t="s">
        <v>681</v>
      </c>
      <c r="K32">
        <v>427</v>
      </c>
      <c r="L32">
        <v>18.5</v>
      </c>
      <c r="M32" s="1">
        <v>46161</v>
      </c>
      <c r="N32" t="str">
        <f>IF(po_master[[#This Row],[Approved By]]="", "Missing Approval", "OK")</f>
        <v>OK</v>
      </c>
      <c r="O32" t="str">
        <f>IF(ISBLANK(po_master[[#This Row],[GR Quantity]]), "No GR - Not received", "OK")</f>
        <v>OK</v>
      </c>
      <c r="P32" t="str">
        <f>IF(po_master[[#This Row],[Promised Delivey Date]]&lt;po_master[[#This Row],[Order Date]], "Invalid", "OK")</f>
        <v>OK</v>
      </c>
      <c r="Q32" t="str">
        <f>IF(ISBLANK(po_master[[#This Row],[Invoice Number]]), "No Invoice", "OK")</f>
        <v>OK</v>
      </c>
      <c r="R32" t="str">
        <f>IF(AND(NOT(ISBLANK(po_master[[#This Row],[GR Quantity]])), po_master[[#This Row],[GR Quantity]]&lt;&gt;po_master[[#This Row],[PO Quantity]]), "Qty Variance", "OK")</f>
        <v>OK</v>
      </c>
      <c r="S32" t="str">
        <f>IF(po_master[[#This Row],[Invoice Unit Price]]&gt;po_master[[#This Row],[PO Unit Price]]*1.01, "Price Variance", "OK")</f>
        <v>OK</v>
      </c>
      <c r="T32" t="str">
        <f>IF(po_master[[#This Row],[Actual Delivery Date]]&gt;po_master[[#This Row],[Promised Delivey Date]], "Late Delivery", "OK")</f>
        <v>OK</v>
      </c>
      <c r="U32" t="str">
        <f>IF(COUNTIF(po_master[PO Number],po_master[[#This Row],[PO Number]])&gt;1, "Duplicate Invoice", "OK")</f>
        <v>OK</v>
      </c>
      <c r="V32" s="5">
        <f>IF(po_master[[#This Row],[Missing Approval]]="Missing Approval", 1, 0)</f>
        <v>0</v>
      </c>
      <c r="W32" s="5">
        <f>IF(po_master[[#This Row],[GR Receipt Status]]="No GR - Not Received", 1, 0)</f>
        <v>0</v>
      </c>
      <c r="X32" s="5">
        <f>IF(po_master[[#This Row],[No invoice]]="No Invoice", 1, 0)</f>
        <v>0</v>
      </c>
      <c r="Y32" s="5">
        <f>IF(po_master[[#This Row],[Date Check]]="Invalid Date", 1, 0)</f>
        <v>0</v>
      </c>
      <c r="Z32" s="5">
        <f>IF(po_master[[#This Row],[Qty Variance Flag]]="Qty Variance", 1, 0)</f>
        <v>0</v>
      </c>
      <c r="AA32" s="5">
        <f>IF(po_master[[#This Row],[Price Variance Flag]]="Price Variance", 1, 0)</f>
        <v>0</v>
      </c>
      <c r="AB32" s="5">
        <f>IF(po_master[[#This Row],[Late Delivery Flag]]="Late Delivery", 1, 0)</f>
        <v>0</v>
      </c>
      <c r="AC32" s="5">
        <f>IF(po_master[[#This Row],[Duplicate Invoice Flag]]="Duplicate Invoice", 1, 0)</f>
        <v>0</v>
      </c>
      <c r="AD32" s="5" t="str">
        <f>TEXT(po_master[[#This Row],[Order Date]],"YYYY-MM")</f>
        <v>2026-05</v>
      </c>
    </row>
    <row r="33" spans="1:30" x14ac:dyDescent="0.25">
      <c r="A33" t="s">
        <v>34</v>
      </c>
      <c r="B33" t="s">
        <v>1441</v>
      </c>
      <c r="C33" s="1">
        <v>46144</v>
      </c>
      <c r="D33">
        <v>494</v>
      </c>
      <c r="E33">
        <v>112.21</v>
      </c>
      <c r="F33" t="s">
        <v>1458</v>
      </c>
      <c r="G33" s="1">
        <v>46165</v>
      </c>
      <c r="H33">
        <v>494</v>
      </c>
      <c r="I33" s="1">
        <v>46182</v>
      </c>
      <c r="J33" t="s">
        <v>682</v>
      </c>
      <c r="K33">
        <v>494</v>
      </c>
      <c r="L33">
        <v>112.21</v>
      </c>
      <c r="M33" s="1">
        <v>46170</v>
      </c>
      <c r="N33" t="str">
        <f>IF(po_master[[#This Row],[Approved By]]="", "Missing Approval", "OK")</f>
        <v>OK</v>
      </c>
      <c r="O33" t="str">
        <f>IF(ISBLANK(po_master[[#This Row],[GR Quantity]]), "No GR - Not received", "OK")</f>
        <v>OK</v>
      </c>
      <c r="P33" t="str">
        <f>IF(po_master[[#This Row],[Promised Delivey Date]]&lt;po_master[[#This Row],[Order Date]], "Invalid", "OK")</f>
        <v>OK</v>
      </c>
      <c r="Q33" t="str">
        <f>IF(ISBLANK(po_master[[#This Row],[Invoice Number]]), "No Invoice", "OK")</f>
        <v>OK</v>
      </c>
      <c r="R33" t="str">
        <f>IF(AND(NOT(ISBLANK(po_master[[#This Row],[GR Quantity]])), po_master[[#This Row],[GR Quantity]]&lt;&gt;po_master[[#This Row],[PO Quantity]]), "Qty Variance", "OK")</f>
        <v>OK</v>
      </c>
      <c r="S33" t="str">
        <f>IF(po_master[[#This Row],[Invoice Unit Price]]&gt;po_master[[#This Row],[PO Unit Price]]*1.01, "Price Variance", "OK")</f>
        <v>OK</v>
      </c>
      <c r="T33" t="str">
        <f>IF(po_master[[#This Row],[Actual Delivery Date]]&gt;po_master[[#This Row],[Promised Delivey Date]], "Late Delivery", "OK")</f>
        <v>Late Delivery</v>
      </c>
      <c r="U33" t="str">
        <f>IF(COUNTIF(po_master[PO Number],po_master[[#This Row],[PO Number]])&gt;1, "Duplicate Invoice", "OK")</f>
        <v>OK</v>
      </c>
      <c r="V33" s="5">
        <f>IF(po_master[[#This Row],[Missing Approval]]="Missing Approval", 1, 0)</f>
        <v>0</v>
      </c>
      <c r="W33" s="5">
        <f>IF(po_master[[#This Row],[GR Receipt Status]]="No GR - Not Received", 1, 0)</f>
        <v>0</v>
      </c>
      <c r="X33" s="5">
        <f>IF(po_master[[#This Row],[No invoice]]="No Invoice", 1, 0)</f>
        <v>0</v>
      </c>
      <c r="Y33" s="5">
        <f>IF(po_master[[#This Row],[Date Check]]="Invalid Date", 1, 0)</f>
        <v>0</v>
      </c>
      <c r="Z33" s="5">
        <f>IF(po_master[[#This Row],[Qty Variance Flag]]="Qty Variance", 1, 0)</f>
        <v>0</v>
      </c>
      <c r="AA33" s="5">
        <f>IF(po_master[[#This Row],[Price Variance Flag]]="Price Variance", 1, 0)</f>
        <v>0</v>
      </c>
      <c r="AB33" s="5">
        <f>IF(po_master[[#This Row],[Late Delivery Flag]]="Late Delivery", 1, 0)</f>
        <v>1</v>
      </c>
      <c r="AC33" s="5">
        <f>IF(po_master[[#This Row],[Duplicate Invoice Flag]]="Duplicate Invoice", 1, 0)</f>
        <v>0</v>
      </c>
      <c r="AD33" s="5" t="str">
        <f>TEXT(po_master[[#This Row],[Order Date]],"YYYY-MM")</f>
        <v>2026-05</v>
      </c>
    </row>
    <row r="34" spans="1:30" x14ac:dyDescent="0.25">
      <c r="A34" t="s">
        <v>35</v>
      </c>
      <c r="B34" t="s">
        <v>1468</v>
      </c>
      <c r="C34" s="1">
        <v>46131</v>
      </c>
      <c r="D34">
        <v>118</v>
      </c>
      <c r="E34">
        <v>186.14</v>
      </c>
      <c r="F34" t="s">
        <v>1456</v>
      </c>
      <c r="G34" s="1">
        <v>46142</v>
      </c>
      <c r="H34">
        <v>118</v>
      </c>
      <c r="I34" s="1">
        <v>46144</v>
      </c>
      <c r="J34" t="s">
        <v>683</v>
      </c>
      <c r="K34">
        <v>118</v>
      </c>
      <c r="L34">
        <v>186.14</v>
      </c>
      <c r="M34" s="1">
        <v>46143</v>
      </c>
      <c r="N34" t="str">
        <f>IF(po_master[[#This Row],[Approved By]]="", "Missing Approval", "OK")</f>
        <v>OK</v>
      </c>
      <c r="O34" t="str">
        <f>IF(ISBLANK(po_master[[#This Row],[GR Quantity]]), "No GR - Not received", "OK")</f>
        <v>OK</v>
      </c>
      <c r="P34" t="str">
        <f>IF(po_master[[#This Row],[Promised Delivey Date]]&lt;po_master[[#This Row],[Order Date]], "Invalid", "OK")</f>
        <v>OK</v>
      </c>
      <c r="Q34" t="str">
        <f>IF(ISBLANK(po_master[[#This Row],[Invoice Number]]), "No Invoice", "OK")</f>
        <v>OK</v>
      </c>
      <c r="R34" t="str">
        <f>IF(AND(NOT(ISBLANK(po_master[[#This Row],[GR Quantity]])), po_master[[#This Row],[GR Quantity]]&lt;&gt;po_master[[#This Row],[PO Quantity]]), "Qty Variance", "OK")</f>
        <v>OK</v>
      </c>
      <c r="S34" t="str">
        <f>IF(po_master[[#This Row],[Invoice Unit Price]]&gt;po_master[[#This Row],[PO Unit Price]]*1.01, "Price Variance", "OK")</f>
        <v>OK</v>
      </c>
      <c r="T34" t="str">
        <f>IF(po_master[[#This Row],[Actual Delivery Date]]&gt;po_master[[#This Row],[Promised Delivey Date]], "Late Delivery", "OK")</f>
        <v>Late Delivery</v>
      </c>
      <c r="U34" t="str">
        <f>IF(COUNTIF(po_master[PO Number],po_master[[#This Row],[PO Number]])&gt;1, "Duplicate Invoice", "OK")</f>
        <v>OK</v>
      </c>
      <c r="V34" s="5">
        <f>IF(po_master[[#This Row],[Missing Approval]]="Missing Approval", 1, 0)</f>
        <v>0</v>
      </c>
      <c r="W34" s="5">
        <f>IF(po_master[[#This Row],[GR Receipt Status]]="No GR - Not Received", 1, 0)</f>
        <v>0</v>
      </c>
      <c r="X34" s="5">
        <f>IF(po_master[[#This Row],[No invoice]]="No Invoice", 1, 0)</f>
        <v>0</v>
      </c>
      <c r="Y34" s="5">
        <f>IF(po_master[[#This Row],[Date Check]]="Invalid Date", 1, 0)</f>
        <v>0</v>
      </c>
      <c r="Z34" s="5">
        <f>IF(po_master[[#This Row],[Qty Variance Flag]]="Qty Variance", 1, 0)</f>
        <v>0</v>
      </c>
      <c r="AA34" s="5">
        <f>IF(po_master[[#This Row],[Price Variance Flag]]="Price Variance", 1, 0)</f>
        <v>0</v>
      </c>
      <c r="AB34" s="5">
        <f>IF(po_master[[#This Row],[Late Delivery Flag]]="Late Delivery", 1, 0)</f>
        <v>1</v>
      </c>
      <c r="AC34" s="5">
        <f>IF(po_master[[#This Row],[Duplicate Invoice Flag]]="Duplicate Invoice", 1, 0)</f>
        <v>0</v>
      </c>
      <c r="AD34" s="5" t="str">
        <f>TEXT(po_master[[#This Row],[Order Date]],"YYYY-MM")</f>
        <v>2026-04</v>
      </c>
    </row>
    <row r="35" spans="1:30" x14ac:dyDescent="0.25">
      <c r="A35" t="s">
        <v>36</v>
      </c>
      <c r="B35" t="s">
        <v>1455</v>
      </c>
      <c r="C35" s="1">
        <v>46102</v>
      </c>
      <c r="D35">
        <v>214</v>
      </c>
      <c r="E35">
        <v>199.05</v>
      </c>
      <c r="F35" t="s">
        <v>1446</v>
      </c>
      <c r="G35" s="1">
        <v>46118</v>
      </c>
      <c r="H35">
        <v>214</v>
      </c>
      <c r="I35" s="1">
        <v>46116</v>
      </c>
      <c r="J35" t="s">
        <v>684</v>
      </c>
      <c r="K35">
        <v>214</v>
      </c>
      <c r="L35">
        <v>199.05</v>
      </c>
      <c r="M35" s="1">
        <v>46125</v>
      </c>
      <c r="N35" t="str">
        <f>IF(po_master[[#This Row],[Approved By]]="", "Missing Approval", "OK")</f>
        <v>OK</v>
      </c>
      <c r="O35" t="str">
        <f>IF(ISBLANK(po_master[[#This Row],[GR Quantity]]), "No GR - Not received", "OK")</f>
        <v>OK</v>
      </c>
      <c r="P35" t="str">
        <f>IF(po_master[[#This Row],[Promised Delivey Date]]&lt;po_master[[#This Row],[Order Date]], "Invalid", "OK")</f>
        <v>OK</v>
      </c>
      <c r="Q35" t="str">
        <f>IF(ISBLANK(po_master[[#This Row],[Invoice Number]]), "No Invoice", "OK")</f>
        <v>OK</v>
      </c>
      <c r="R35" t="str">
        <f>IF(AND(NOT(ISBLANK(po_master[[#This Row],[GR Quantity]])), po_master[[#This Row],[GR Quantity]]&lt;&gt;po_master[[#This Row],[PO Quantity]]), "Qty Variance", "OK")</f>
        <v>OK</v>
      </c>
      <c r="S35" t="str">
        <f>IF(po_master[[#This Row],[Invoice Unit Price]]&gt;po_master[[#This Row],[PO Unit Price]]*1.01, "Price Variance", "OK")</f>
        <v>OK</v>
      </c>
      <c r="T35" t="str">
        <f>IF(po_master[[#This Row],[Actual Delivery Date]]&gt;po_master[[#This Row],[Promised Delivey Date]], "Late Delivery", "OK")</f>
        <v>OK</v>
      </c>
      <c r="U35" t="str">
        <f>IF(COUNTIF(po_master[PO Number],po_master[[#This Row],[PO Number]])&gt;1, "Duplicate Invoice", "OK")</f>
        <v>OK</v>
      </c>
      <c r="V35" s="5">
        <f>IF(po_master[[#This Row],[Missing Approval]]="Missing Approval", 1, 0)</f>
        <v>0</v>
      </c>
      <c r="W35" s="5">
        <f>IF(po_master[[#This Row],[GR Receipt Status]]="No GR - Not Received", 1, 0)</f>
        <v>0</v>
      </c>
      <c r="X35" s="5">
        <f>IF(po_master[[#This Row],[No invoice]]="No Invoice", 1, 0)</f>
        <v>0</v>
      </c>
      <c r="Y35" s="5">
        <f>IF(po_master[[#This Row],[Date Check]]="Invalid Date", 1, 0)</f>
        <v>0</v>
      </c>
      <c r="Z35" s="5">
        <f>IF(po_master[[#This Row],[Qty Variance Flag]]="Qty Variance", 1, 0)</f>
        <v>0</v>
      </c>
      <c r="AA35" s="5">
        <f>IF(po_master[[#This Row],[Price Variance Flag]]="Price Variance", 1, 0)</f>
        <v>0</v>
      </c>
      <c r="AB35" s="5">
        <f>IF(po_master[[#This Row],[Late Delivery Flag]]="Late Delivery", 1, 0)</f>
        <v>0</v>
      </c>
      <c r="AC35" s="5">
        <f>IF(po_master[[#This Row],[Duplicate Invoice Flag]]="Duplicate Invoice", 1, 0)</f>
        <v>0</v>
      </c>
      <c r="AD35" s="5" t="str">
        <f>TEXT(po_master[[#This Row],[Order Date]],"YYYY-MM")</f>
        <v>2026-03</v>
      </c>
    </row>
    <row r="36" spans="1:30" x14ac:dyDescent="0.25">
      <c r="A36" t="s">
        <v>37</v>
      </c>
      <c r="B36" t="s">
        <v>1478</v>
      </c>
      <c r="C36" s="1">
        <v>46155</v>
      </c>
      <c r="D36">
        <v>241</v>
      </c>
      <c r="E36">
        <v>28.6</v>
      </c>
      <c r="F36" t="s">
        <v>1440</v>
      </c>
      <c r="G36" s="1">
        <v>46162</v>
      </c>
      <c r="H36">
        <v>241</v>
      </c>
      <c r="I36" s="1">
        <v>46164</v>
      </c>
      <c r="J36" t="s">
        <v>685</v>
      </c>
      <c r="K36">
        <v>241</v>
      </c>
      <c r="L36">
        <v>28.6</v>
      </c>
      <c r="M36" s="1">
        <v>46172</v>
      </c>
      <c r="N36" t="str">
        <f>IF(po_master[[#This Row],[Approved By]]="", "Missing Approval", "OK")</f>
        <v>OK</v>
      </c>
      <c r="O36" t="str">
        <f>IF(ISBLANK(po_master[[#This Row],[GR Quantity]]), "No GR - Not received", "OK")</f>
        <v>OK</v>
      </c>
      <c r="P36" t="str">
        <f>IF(po_master[[#This Row],[Promised Delivey Date]]&lt;po_master[[#This Row],[Order Date]], "Invalid", "OK")</f>
        <v>OK</v>
      </c>
      <c r="Q36" t="str">
        <f>IF(ISBLANK(po_master[[#This Row],[Invoice Number]]), "No Invoice", "OK")</f>
        <v>OK</v>
      </c>
      <c r="R36" t="str">
        <f>IF(AND(NOT(ISBLANK(po_master[[#This Row],[GR Quantity]])), po_master[[#This Row],[GR Quantity]]&lt;&gt;po_master[[#This Row],[PO Quantity]]), "Qty Variance", "OK")</f>
        <v>OK</v>
      </c>
      <c r="S36" t="str">
        <f>IF(po_master[[#This Row],[Invoice Unit Price]]&gt;po_master[[#This Row],[PO Unit Price]]*1.01, "Price Variance", "OK")</f>
        <v>OK</v>
      </c>
      <c r="T36" t="str">
        <f>IF(po_master[[#This Row],[Actual Delivery Date]]&gt;po_master[[#This Row],[Promised Delivey Date]], "Late Delivery", "OK")</f>
        <v>Late Delivery</v>
      </c>
      <c r="U36" t="str">
        <f>IF(COUNTIF(po_master[PO Number],po_master[[#This Row],[PO Number]])&gt;1, "Duplicate Invoice", "OK")</f>
        <v>OK</v>
      </c>
      <c r="V36" s="5">
        <f>IF(po_master[[#This Row],[Missing Approval]]="Missing Approval", 1, 0)</f>
        <v>0</v>
      </c>
      <c r="W36" s="5">
        <f>IF(po_master[[#This Row],[GR Receipt Status]]="No GR - Not Received", 1, 0)</f>
        <v>0</v>
      </c>
      <c r="X36" s="5">
        <f>IF(po_master[[#This Row],[No invoice]]="No Invoice", 1, 0)</f>
        <v>0</v>
      </c>
      <c r="Y36" s="5">
        <f>IF(po_master[[#This Row],[Date Check]]="Invalid Date", 1, 0)</f>
        <v>0</v>
      </c>
      <c r="Z36" s="5">
        <f>IF(po_master[[#This Row],[Qty Variance Flag]]="Qty Variance", 1, 0)</f>
        <v>0</v>
      </c>
      <c r="AA36" s="5">
        <f>IF(po_master[[#This Row],[Price Variance Flag]]="Price Variance", 1, 0)</f>
        <v>0</v>
      </c>
      <c r="AB36" s="5">
        <f>IF(po_master[[#This Row],[Late Delivery Flag]]="Late Delivery", 1, 0)</f>
        <v>1</v>
      </c>
      <c r="AC36" s="5">
        <f>IF(po_master[[#This Row],[Duplicate Invoice Flag]]="Duplicate Invoice", 1, 0)</f>
        <v>0</v>
      </c>
      <c r="AD36" s="5" t="str">
        <f>TEXT(po_master[[#This Row],[Order Date]],"YYYY-MM")</f>
        <v>2026-05</v>
      </c>
    </row>
    <row r="37" spans="1:30" x14ac:dyDescent="0.25">
      <c r="A37" t="s">
        <v>686</v>
      </c>
      <c r="B37" t="s">
        <v>1479</v>
      </c>
      <c r="C37" s="1">
        <v>46028</v>
      </c>
      <c r="D37">
        <v>311</v>
      </c>
      <c r="E37">
        <v>113.01</v>
      </c>
      <c r="F37" t="s">
        <v>1480</v>
      </c>
      <c r="G37" s="1">
        <v>46040</v>
      </c>
      <c r="I37" s="1"/>
      <c r="J37" t="s">
        <v>687</v>
      </c>
      <c r="K37">
        <v>311</v>
      </c>
      <c r="L37">
        <v>113.01</v>
      </c>
      <c r="M37" s="1">
        <v>46050</v>
      </c>
      <c r="N37" t="str">
        <f>IF(po_master[[#This Row],[Approved By]]="", "Missing Approval", "OK")</f>
        <v>OK</v>
      </c>
      <c r="O37" t="str">
        <f>IF(ISBLANK(po_master[[#This Row],[GR Quantity]]), "No GR - Not received", "OK")</f>
        <v>No GR - Not received</v>
      </c>
      <c r="P37" t="str">
        <f>IF(po_master[[#This Row],[Promised Delivey Date]]&lt;po_master[[#This Row],[Order Date]], "Invalid", "OK")</f>
        <v>OK</v>
      </c>
      <c r="Q37" t="str">
        <f>IF(ISBLANK(po_master[[#This Row],[Invoice Number]]), "No Invoice", "OK")</f>
        <v>OK</v>
      </c>
      <c r="R37" t="str">
        <f>IF(AND(NOT(ISBLANK(po_master[[#This Row],[GR Quantity]])), po_master[[#This Row],[GR Quantity]]&lt;&gt;po_master[[#This Row],[PO Quantity]]), "Qty Variance", "OK")</f>
        <v>OK</v>
      </c>
      <c r="S37" t="str">
        <f>IF(po_master[[#This Row],[Invoice Unit Price]]&gt;po_master[[#This Row],[PO Unit Price]]*1.01, "Price Variance", "OK")</f>
        <v>OK</v>
      </c>
      <c r="T37" t="str">
        <f>IF(po_master[[#This Row],[Actual Delivery Date]]&gt;po_master[[#This Row],[Promised Delivey Date]], "Late Delivery", "OK")</f>
        <v>OK</v>
      </c>
      <c r="U37" t="str">
        <f>IF(COUNTIF(po_master[PO Number],po_master[[#This Row],[PO Number]])&gt;1, "Duplicate Invoice", "OK")</f>
        <v>OK</v>
      </c>
      <c r="V37" s="5">
        <f>IF(po_master[[#This Row],[Missing Approval]]="Missing Approval", 1, 0)</f>
        <v>0</v>
      </c>
      <c r="W37" s="5">
        <f>IF(po_master[[#This Row],[GR Receipt Status]]="No GR - Not Received", 1, 0)</f>
        <v>1</v>
      </c>
      <c r="X37" s="5">
        <f>IF(po_master[[#This Row],[No invoice]]="No Invoice", 1, 0)</f>
        <v>0</v>
      </c>
      <c r="Y37" s="5">
        <f>IF(po_master[[#This Row],[Date Check]]="Invalid Date", 1, 0)</f>
        <v>0</v>
      </c>
      <c r="Z37" s="5">
        <f>IF(po_master[[#This Row],[Qty Variance Flag]]="Qty Variance", 1, 0)</f>
        <v>0</v>
      </c>
      <c r="AA37" s="5">
        <f>IF(po_master[[#This Row],[Price Variance Flag]]="Price Variance", 1, 0)</f>
        <v>0</v>
      </c>
      <c r="AB37" s="5">
        <f>IF(po_master[[#This Row],[Late Delivery Flag]]="Late Delivery", 1, 0)</f>
        <v>0</v>
      </c>
      <c r="AC37" s="5">
        <f>IF(po_master[[#This Row],[Duplicate Invoice Flag]]="Duplicate Invoice", 1, 0)</f>
        <v>0</v>
      </c>
      <c r="AD37" s="5" t="str">
        <f>TEXT(po_master[[#This Row],[Order Date]],"YYYY-MM")</f>
        <v>2026-01</v>
      </c>
    </row>
    <row r="38" spans="1:30" x14ac:dyDescent="0.25">
      <c r="A38" t="s">
        <v>38</v>
      </c>
      <c r="B38" t="s">
        <v>1481</v>
      </c>
      <c r="C38" s="1">
        <v>46041</v>
      </c>
      <c r="D38">
        <v>372</v>
      </c>
      <c r="E38">
        <v>128.07</v>
      </c>
      <c r="F38" t="s">
        <v>1440</v>
      </c>
      <c r="G38" s="1">
        <v>46048</v>
      </c>
      <c r="H38">
        <v>372</v>
      </c>
      <c r="I38" s="1">
        <v>46046</v>
      </c>
      <c r="J38" t="s">
        <v>688</v>
      </c>
      <c r="K38">
        <v>372</v>
      </c>
      <c r="L38">
        <v>128.07</v>
      </c>
      <c r="M38" s="1">
        <v>46050</v>
      </c>
      <c r="N38" t="str">
        <f>IF(po_master[[#This Row],[Approved By]]="", "Missing Approval", "OK")</f>
        <v>OK</v>
      </c>
      <c r="O38" t="str">
        <f>IF(ISBLANK(po_master[[#This Row],[GR Quantity]]), "No GR - Not received", "OK")</f>
        <v>OK</v>
      </c>
      <c r="P38" t="str">
        <f>IF(po_master[[#This Row],[Promised Delivey Date]]&lt;po_master[[#This Row],[Order Date]], "Invalid", "OK")</f>
        <v>OK</v>
      </c>
      <c r="Q38" t="str">
        <f>IF(ISBLANK(po_master[[#This Row],[Invoice Number]]), "No Invoice", "OK")</f>
        <v>OK</v>
      </c>
      <c r="R38" t="str">
        <f>IF(AND(NOT(ISBLANK(po_master[[#This Row],[GR Quantity]])), po_master[[#This Row],[GR Quantity]]&lt;&gt;po_master[[#This Row],[PO Quantity]]), "Qty Variance", "OK")</f>
        <v>OK</v>
      </c>
      <c r="S38" t="str">
        <f>IF(po_master[[#This Row],[Invoice Unit Price]]&gt;po_master[[#This Row],[PO Unit Price]]*1.01, "Price Variance", "OK")</f>
        <v>OK</v>
      </c>
      <c r="T38" t="str">
        <f>IF(po_master[[#This Row],[Actual Delivery Date]]&gt;po_master[[#This Row],[Promised Delivey Date]], "Late Delivery", "OK")</f>
        <v>OK</v>
      </c>
      <c r="U38" t="str">
        <f>IF(COUNTIF(po_master[PO Number],po_master[[#This Row],[PO Number]])&gt;1, "Duplicate Invoice", "OK")</f>
        <v>OK</v>
      </c>
      <c r="V38" s="5">
        <f>IF(po_master[[#This Row],[Missing Approval]]="Missing Approval", 1, 0)</f>
        <v>0</v>
      </c>
      <c r="W38" s="5">
        <f>IF(po_master[[#This Row],[GR Receipt Status]]="No GR - Not Received", 1, 0)</f>
        <v>0</v>
      </c>
      <c r="X38" s="5">
        <f>IF(po_master[[#This Row],[No invoice]]="No Invoice", 1, 0)</f>
        <v>0</v>
      </c>
      <c r="Y38" s="5">
        <f>IF(po_master[[#This Row],[Date Check]]="Invalid Date", 1, 0)</f>
        <v>0</v>
      </c>
      <c r="Z38" s="5">
        <f>IF(po_master[[#This Row],[Qty Variance Flag]]="Qty Variance", 1, 0)</f>
        <v>0</v>
      </c>
      <c r="AA38" s="5">
        <f>IF(po_master[[#This Row],[Price Variance Flag]]="Price Variance", 1, 0)</f>
        <v>0</v>
      </c>
      <c r="AB38" s="5">
        <f>IF(po_master[[#This Row],[Late Delivery Flag]]="Late Delivery", 1, 0)</f>
        <v>0</v>
      </c>
      <c r="AC38" s="5">
        <f>IF(po_master[[#This Row],[Duplicate Invoice Flag]]="Duplicate Invoice", 1, 0)</f>
        <v>0</v>
      </c>
      <c r="AD38" s="5" t="str">
        <f>TEXT(po_master[[#This Row],[Order Date]],"YYYY-MM")</f>
        <v>2026-01</v>
      </c>
    </row>
    <row r="39" spans="1:30" x14ac:dyDescent="0.25">
      <c r="A39" t="s">
        <v>39</v>
      </c>
      <c r="B39" t="s">
        <v>1452</v>
      </c>
      <c r="C39" s="1">
        <v>46107</v>
      </c>
      <c r="D39">
        <v>46</v>
      </c>
      <c r="E39">
        <v>105.26</v>
      </c>
      <c r="F39" t="s">
        <v>1458</v>
      </c>
      <c r="G39" s="1">
        <v>46127</v>
      </c>
      <c r="H39">
        <v>46</v>
      </c>
      <c r="I39" s="1">
        <v>46129</v>
      </c>
      <c r="J39" t="s">
        <v>689</v>
      </c>
      <c r="K39">
        <v>46</v>
      </c>
      <c r="L39">
        <v>105.26</v>
      </c>
      <c r="M39" s="1">
        <v>46130</v>
      </c>
      <c r="N39" t="str">
        <f>IF(po_master[[#This Row],[Approved By]]="", "Missing Approval", "OK")</f>
        <v>OK</v>
      </c>
      <c r="O39" t="str">
        <f>IF(ISBLANK(po_master[[#This Row],[GR Quantity]]), "No GR - Not received", "OK")</f>
        <v>OK</v>
      </c>
      <c r="P39" t="str">
        <f>IF(po_master[[#This Row],[Promised Delivey Date]]&lt;po_master[[#This Row],[Order Date]], "Invalid", "OK")</f>
        <v>OK</v>
      </c>
      <c r="Q39" t="str">
        <f>IF(ISBLANK(po_master[[#This Row],[Invoice Number]]), "No Invoice", "OK")</f>
        <v>OK</v>
      </c>
      <c r="R39" t="str">
        <f>IF(AND(NOT(ISBLANK(po_master[[#This Row],[GR Quantity]])), po_master[[#This Row],[GR Quantity]]&lt;&gt;po_master[[#This Row],[PO Quantity]]), "Qty Variance", "OK")</f>
        <v>OK</v>
      </c>
      <c r="S39" t="str">
        <f>IF(po_master[[#This Row],[Invoice Unit Price]]&gt;po_master[[#This Row],[PO Unit Price]]*1.01, "Price Variance", "OK")</f>
        <v>OK</v>
      </c>
      <c r="T39" t="str">
        <f>IF(po_master[[#This Row],[Actual Delivery Date]]&gt;po_master[[#This Row],[Promised Delivey Date]], "Late Delivery", "OK")</f>
        <v>Late Delivery</v>
      </c>
      <c r="U39" t="str">
        <f>IF(COUNTIF(po_master[PO Number],po_master[[#This Row],[PO Number]])&gt;1, "Duplicate Invoice", "OK")</f>
        <v>OK</v>
      </c>
      <c r="V39" s="5">
        <f>IF(po_master[[#This Row],[Missing Approval]]="Missing Approval", 1, 0)</f>
        <v>0</v>
      </c>
      <c r="W39" s="5">
        <f>IF(po_master[[#This Row],[GR Receipt Status]]="No GR - Not Received", 1, 0)</f>
        <v>0</v>
      </c>
      <c r="X39" s="5">
        <f>IF(po_master[[#This Row],[No invoice]]="No Invoice", 1, 0)</f>
        <v>0</v>
      </c>
      <c r="Y39" s="5">
        <f>IF(po_master[[#This Row],[Date Check]]="Invalid Date", 1, 0)</f>
        <v>0</v>
      </c>
      <c r="Z39" s="5">
        <f>IF(po_master[[#This Row],[Qty Variance Flag]]="Qty Variance", 1, 0)</f>
        <v>0</v>
      </c>
      <c r="AA39" s="5">
        <f>IF(po_master[[#This Row],[Price Variance Flag]]="Price Variance", 1, 0)</f>
        <v>0</v>
      </c>
      <c r="AB39" s="5">
        <f>IF(po_master[[#This Row],[Late Delivery Flag]]="Late Delivery", 1, 0)</f>
        <v>1</v>
      </c>
      <c r="AC39" s="5">
        <f>IF(po_master[[#This Row],[Duplicate Invoice Flag]]="Duplicate Invoice", 1, 0)</f>
        <v>0</v>
      </c>
      <c r="AD39" s="5" t="str">
        <f>TEXT(po_master[[#This Row],[Order Date]],"YYYY-MM")</f>
        <v>2026-03</v>
      </c>
    </row>
    <row r="40" spans="1:30" x14ac:dyDescent="0.25">
      <c r="A40" t="s">
        <v>40</v>
      </c>
      <c r="B40" t="s">
        <v>1463</v>
      </c>
      <c r="C40" s="1">
        <v>46161</v>
      </c>
      <c r="D40">
        <v>77</v>
      </c>
      <c r="E40">
        <v>146.05000000000001</v>
      </c>
      <c r="F40" t="s">
        <v>1480</v>
      </c>
      <c r="G40" s="1">
        <v>46181</v>
      </c>
      <c r="H40">
        <v>61</v>
      </c>
      <c r="I40" s="1">
        <v>46195</v>
      </c>
      <c r="J40" t="s">
        <v>690</v>
      </c>
      <c r="K40">
        <v>77</v>
      </c>
      <c r="L40">
        <v>162.47</v>
      </c>
      <c r="M40" s="1">
        <v>46186</v>
      </c>
      <c r="N40" t="str">
        <f>IF(po_master[[#This Row],[Approved By]]="", "Missing Approval", "OK")</f>
        <v>OK</v>
      </c>
      <c r="O40" t="str">
        <f>IF(ISBLANK(po_master[[#This Row],[GR Quantity]]), "No GR - Not received", "OK")</f>
        <v>OK</v>
      </c>
      <c r="P40" t="str">
        <f>IF(po_master[[#This Row],[Promised Delivey Date]]&lt;po_master[[#This Row],[Order Date]], "Invalid", "OK")</f>
        <v>OK</v>
      </c>
      <c r="Q40" t="str">
        <f>IF(ISBLANK(po_master[[#This Row],[Invoice Number]]), "No Invoice", "OK")</f>
        <v>OK</v>
      </c>
      <c r="R40" t="str">
        <f>IF(AND(NOT(ISBLANK(po_master[[#This Row],[GR Quantity]])), po_master[[#This Row],[GR Quantity]]&lt;&gt;po_master[[#This Row],[PO Quantity]]), "Qty Variance", "OK")</f>
        <v>Qty Variance</v>
      </c>
      <c r="S40" t="str">
        <f>IF(po_master[[#This Row],[Invoice Unit Price]]&gt;po_master[[#This Row],[PO Unit Price]]*1.01, "Price Variance", "OK")</f>
        <v>Price Variance</v>
      </c>
      <c r="T40" t="str">
        <f>IF(po_master[[#This Row],[Actual Delivery Date]]&gt;po_master[[#This Row],[Promised Delivey Date]], "Late Delivery", "OK")</f>
        <v>Late Delivery</v>
      </c>
      <c r="U40" t="str">
        <f>IF(COUNTIF(po_master[PO Number],po_master[[#This Row],[PO Number]])&gt;1, "Duplicate Invoice", "OK")</f>
        <v>OK</v>
      </c>
      <c r="V40" s="5">
        <f>IF(po_master[[#This Row],[Missing Approval]]="Missing Approval", 1, 0)</f>
        <v>0</v>
      </c>
      <c r="W40" s="5">
        <f>IF(po_master[[#This Row],[GR Receipt Status]]="No GR - Not Received", 1, 0)</f>
        <v>0</v>
      </c>
      <c r="X40" s="5">
        <f>IF(po_master[[#This Row],[No invoice]]="No Invoice", 1, 0)</f>
        <v>0</v>
      </c>
      <c r="Y40" s="5">
        <f>IF(po_master[[#This Row],[Date Check]]="Invalid Date", 1, 0)</f>
        <v>0</v>
      </c>
      <c r="Z40" s="5">
        <f>IF(po_master[[#This Row],[Qty Variance Flag]]="Qty Variance", 1, 0)</f>
        <v>1</v>
      </c>
      <c r="AA40" s="5">
        <f>IF(po_master[[#This Row],[Price Variance Flag]]="Price Variance", 1, 0)</f>
        <v>1</v>
      </c>
      <c r="AB40" s="5">
        <f>IF(po_master[[#This Row],[Late Delivery Flag]]="Late Delivery", 1, 0)</f>
        <v>1</v>
      </c>
      <c r="AC40" s="5">
        <f>IF(po_master[[#This Row],[Duplicate Invoice Flag]]="Duplicate Invoice", 1, 0)</f>
        <v>0</v>
      </c>
      <c r="AD40" s="5" t="str">
        <f>TEXT(po_master[[#This Row],[Order Date]],"YYYY-MM")</f>
        <v>2026-05</v>
      </c>
    </row>
    <row r="41" spans="1:30" x14ac:dyDescent="0.25">
      <c r="A41" t="s">
        <v>41</v>
      </c>
      <c r="B41" t="s">
        <v>1482</v>
      </c>
      <c r="C41" s="1">
        <v>46144</v>
      </c>
      <c r="D41">
        <v>423</v>
      </c>
      <c r="E41">
        <v>84.38</v>
      </c>
      <c r="F41" t="s">
        <v>1483</v>
      </c>
      <c r="G41" s="1">
        <v>46152</v>
      </c>
      <c r="H41">
        <v>423</v>
      </c>
      <c r="I41" s="1">
        <v>46154</v>
      </c>
      <c r="J41" t="s">
        <v>691</v>
      </c>
      <c r="K41">
        <v>423</v>
      </c>
      <c r="L41">
        <v>84.38</v>
      </c>
      <c r="M41" s="1">
        <v>46160</v>
      </c>
      <c r="N41" t="str">
        <f>IF(po_master[[#This Row],[Approved By]]="", "Missing Approval", "OK")</f>
        <v>OK</v>
      </c>
      <c r="O41" t="str">
        <f>IF(ISBLANK(po_master[[#This Row],[GR Quantity]]), "No GR - Not received", "OK")</f>
        <v>OK</v>
      </c>
      <c r="P41" t="str">
        <f>IF(po_master[[#This Row],[Promised Delivey Date]]&lt;po_master[[#This Row],[Order Date]], "Invalid", "OK")</f>
        <v>OK</v>
      </c>
      <c r="Q41" t="str">
        <f>IF(ISBLANK(po_master[[#This Row],[Invoice Number]]), "No Invoice", "OK")</f>
        <v>OK</v>
      </c>
      <c r="R41" t="str">
        <f>IF(AND(NOT(ISBLANK(po_master[[#This Row],[GR Quantity]])), po_master[[#This Row],[GR Quantity]]&lt;&gt;po_master[[#This Row],[PO Quantity]]), "Qty Variance", "OK")</f>
        <v>OK</v>
      </c>
      <c r="S41" t="str">
        <f>IF(po_master[[#This Row],[Invoice Unit Price]]&gt;po_master[[#This Row],[PO Unit Price]]*1.01, "Price Variance", "OK")</f>
        <v>OK</v>
      </c>
      <c r="T41" t="str">
        <f>IF(po_master[[#This Row],[Actual Delivery Date]]&gt;po_master[[#This Row],[Promised Delivey Date]], "Late Delivery", "OK")</f>
        <v>Late Delivery</v>
      </c>
      <c r="U41" t="str">
        <f>IF(COUNTIF(po_master[PO Number],po_master[[#This Row],[PO Number]])&gt;1, "Duplicate Invoice", "OK")</f>
        <v>OK</v>
      </c>
      <c r="V41" s="5">
        <f>IF(po_master[[#This Row],[Missing Approval]]="Missing Approval", 1, 0)</f>
        <v>0</v>
      </c>
      <c r="W41" s="5">
        <f>IF(po_master[[#This Row],[GR Receipt Status]]="No GR - Not Received", 1, 0)</f>
        <v>0</v>
      </c>
      <c r="X41" s="5">
        <f>IF(po_master[[#This Row],[No invoice]]="No Invoice", 1, 0)</f>
        <v>0</v>
      </c>
      <c r="Y41" s="5">
        <f>IF(po_master[[#This Row],[Date Check]]="Invalid Date", 1, 0)</f>
        <v>0</v>
      </c>
      <c r="Z41" s="5">
        <f>IF(po_master[[#This Row],[Qty Variance Flag]]="Qty Variance", 1, 0)</f>
        <v>0</v>
      </c>
      <c r="AA41" s="5">
        <f>IF(po_master[[#This Row],[Price Variance Flag]]="Price Variance", 1, 0)</f>
        <v>0</v>
      </c>
      <c r="AB41" s="5">
        <f>IF(po_master[[#This Row],[Late Delivery Flag]]="Late Delivery", 1, 0)</f>
        <v>1</v>
      </c>
      <c r="AC41" s="5">
        <f>IF(po_master[[#This Row],[Duplicate Invoice Flag]]="Duplicate Invoice", 1, 0)</f>
        <v>0</v>
      </c>
      <c r="AD41" s="5" t="str">
        <f>TEXT(po_master[[#This Row],[Order Date]],"YYYY-MM")</f>
        <v>2026-05</v>
      </c>
    </row>
    <row r="42" spans="1:30" x14ac:dyDescent="0.25">
      <c r="A42" t="s">
        <v>42</v>
      </c>
      <c r="B42" t="s">
        <v>1484</v>
      </c>
      <c r="C42" s="1">
        <v>46133</v>
      </c>
      <c r="D42">
        <v>191</v>
      </c>
      <c r="E42">
        <v>87.6</v>
      </c>
      <c r="F42" t="s">
        <v>1469</v>
      </c>
      <c r="G42" s="1">
        <v>46139</v>
      </c>
      <c r="H42">
        <v>191</v>
      </c>
      <c r="I42" s="1">
        <v>46137</v>
      </c>
      <c r="J42" t="s">
        <v>692</v>
      </c>
      <c r="K42">
        <v>191</v>
      </c>
      <c r="L42">
        <v>87.6</v>
      </c>
      <c r="M42" s="1">
        <v>46142</v>
      </c>
      <c r="N42" t="str">
        <f>IF(po_master[[#This Row],[Approved By]]="", "Missing Approval", "OK")</f>
        <v>OK</v>
      </c>
      <c r="O42" t="str">
        <f>IF(ISBLANK(po_master[[#This Row],[GR Quantity]]), "No GR - Not received", "OK")</f>
        <v>OK</v>
      </c>
      <c r="P42" t="str">
        <f>IF(po_master[[#This Row],[Promised Delivey Date]]&lt;po_master[[#This Row],[Order Date]], "Invalid", "OK")</f>
        <v>OK</v>
      </c>
      <c r="Q42" t="str">
        <f>IF(ISBLANK(po_master[[#This Row],[Invoice Number]]), "No Invoice", "OK")</f>
        <v>OK</v>
      </c>
      <c r="R42" t="str">
        <f>IF(AND(NOT(ISBLANK(po_master[[#This Row],[GR Quantity]])), po_master[[#This Row],[GR Quantity]]&lt;&gt;po_master[[#This Row],[PO Quantity]]), "Qty Variance", "OK")</f>
        <v>OK</v>
      </c>
      <c r="S42" t="str">
        <f>IF(po_master[[#This Row],[Invoice Unit Price]]&gt;po_master[[#This Row],[PO Unit Price]]*1.01, "Price Variance", "OK")</f>
        <v>OK</v>
      </c>
      <c r="T42" t="str">
        <f>IF(po_master[[#This Row],[Actual Delivery Date]]&gt;po_master[[#This Row],[Promised Delivey Date]], "Late Delivery", "OK")</f>
        <v>OK</v>
      </c>
      <c r="U42" t="str">
        <f>IF(COUNTIF(po_master[PO Number],po_master[[#This Row],[PO Number]])&gt;1, "Duplicate Invoice", "OK")</f>
        <v>OK</v>
      </c>
      <c r="V42" s="5">
        <f>IF(po_master[[#This Row],[Missing Approval]]="Missing Approval", 1, 0)</f>
        <v>0</v>
      </c>
      <c r="W42" s="5">
        <f>IF(po_master[[#This Row],[GR Receipt Status]]="No GR - Not Received", 1, 0)</f>
        <v>0</v>
      </c>
      <c r="X42" s="5">
        <f>IF(po_master[[#This Row],[No invoice]]="No Invoice", 1, 0)</f>
        <v>0</v>
      </c>
      <c r="Y42" s="5">
        <f>IF(po_master[[#This Row],[Date Check]]="Invalid Date", 1, 0)</f>
        <v>0</v>
      </c>
      <c r="Z42" s="5">
        <f>IF(po_master[[#This Row],[Qty Variance Flag]]="Qty Variance", 1, 0)</f>
        <v>0</v>
      </c>
      <c r="AA42" s="5">
        <f>IF(po_master[[#This Row],[Price Variance Flag]]="Price Variance", 1, 0)</f>
        <v>0</v>
      </c>
      <c r="AB42" s="5">
        <f>IF(po_master[[#This Row],[Late Delivery Flag]]="Late Delivery", 1, 0)</f>
        <v>0</v>
      </c>
      <c r="AC42" s="5">
        <f>IF(po_master[[#This Row],[Duplicate Invoice Flag]]="Duplicate Invoice", 1, 0)</f>
        <v>0</v>
      </c>
      <c r="AD42" s="5" t="str">
        <f>TEXT(po_master[[#This Row],[Order Date]],"YYYY-MM")</f>
        <v>2026-04</v>
      </c>
    </row>
    <row r="43" spans="1:30" x14ac:dyDescent="0.25">
      <c r="A43" t="s">
        <v>43</v>
      </c>
      <c r="B43" t="s">
        <v>1461</v>
      </c>
      <c r="C43" s="1">
        <v>46048</v>
      </c>
      <c r="D43">
        <v>41</v>
      </c>
      <c r="E43">
        <v>83.51</v>
      </c>
      <c r="F43" t="s">
        <v>1472</v>
      </c>
      <c r="G43" s="1">
        <v>46056</v>
      </c>
      <c r="H43">
        <v>41</v>
      </c>
      <c r="I43" s="1">
        <v>46054</v>
      </c>
      <c r="J43" t="s">
        <v>693</v>
      </c>
      <c r="K43">
        <v>41</v>
      </c>
      <c r="L43">
        <v>99.99</v>
      </c>
      <c r="M43" s="1">
        <v>46061</v>
      </c>
      <c r="N43" t="str">
        <f>IF(po_master[[#This Row],[Approved By]]="", "Missing Approval", "OK")</f>
        <v>OK</v>
      </c>
      <c r="O43" t="str">
        <f>IF(ISBLANK(po_master[[#This Row],[GR Quantity]]), "No GR - Not received", "OK")</f>
        <v>OK</v>
      </c>
      <c r="P43" t="str">
        <f>IF(po_master[[#This Row],[Promised Delivey Date]]&lt;po_master[[#This Row],[Order Date]], "Invalid", "OK")</f>
        <v>OK</v>
      </c>
      <c r="Q43" t="str">
        <f>IF(ISBLANK(po_master[[#This Row],[Invoice Number]]), "No Invoice", "OK")</f>
        <v>OK</v>
      </c>
      <c r="R43" t="str">
        <f>IF(AND(NOT(ISBLANK(po_master[[#This Row],[GR Quantity]])), po_master[[#This Row],[GR Quantity]]&lt;&gt;po_master[[#This Row],[PO Quantity]]), "Qty Variance", "OK")</f>
        <v>OK</v>
      </c>
      <c r="S43" t="str">
        <f>IF(po_master[[#This Row],[Invoice Unit Price]]&gt;po_master[[#This Row],[PO Unit Price]]*1.01, "Price Variance", "OK")</f>
        <v>Price Variance</v>
      </c>
      <c r="T43" t="str">
        <f>IF(po_master[[#This Row],[Actual Delivery Date]]&gt;po_master[[#This Row],[Promised Delivey Date]], "Late Delivery", "OK")</f>
        <v>OK</v>
      </c>
      <c r="U43" t="str">
        <f>IF(COUNTIF(po_master[PO Number],po_master[[#This Row],[PO Number]])&gt;1, "Duplicate Invoice", "OK")</f>
        <v>OK</v>
      </c>
      <c r="V43" s="5">
        <f>IF(po_master[[#This Row],[Missing Approval]]="Missing Approval", 1, 0)</f>
        <v>0</v>
      </c>
      <c r="W43" s="5">
        <f>IF(po_master[[#This Row],[GR Receipt Status]]="No GR - Not Received", 1, 0)</f>
        <v>0</v>
      </c>
      <c r="X43" s="5">
        <f>IF(po_master[[#This Row],[No invoice]]="No Invoice", 1, 0)</f>
        <v>0</v>
      </c>
      <c r="Y43" s="5">
        <f>IF(po_master[[#This Row],[Date Check]]="Invalid Date", 1, 0)</f>
        <v>0</v>
      </c>
      <c r="Z43" s="5">
        <f>IF(po_master[[#This Row],[Qty Variance Flag]]="Qty Variance", 1, 0)</f>
        <v>0</v>
      </c>
      <c r="AA43" s="5">
        <f>IF(po_master[[#This Row],[Price Variance Flag]]="Price Variance", 1, 0)</f>
        <v>1</v>
      </c>
      <c r="AB43" s="5">
        <f>IF(po_master[[#This Row],[Late Delivery Flag]]="Late Delivery", 1, 0)</f>
        <v>0</v>
      </c>
      <c r="AC43" s="5">
        <f>IF(po_master[[#This Row],[Duplicate Invoice Flag]]="Duplicate Invoice", 1, 0)</f>
        <v>0</v>
      </c>
      <c r="AD43" s="5" t="str">
        <f>TEXT(po_master[[#This Row],[Order Date]],"YYYY-MM")</f>
        <v>2026-01</v>
      </c>
    </row>
    <row r="44" spans="1:30" x14ac:dyDescent="0.25">
      <c r="A44" t="s">
        <v>44</v>
      </c>
      <c r="B44" t="s">
        <v>1482</v>
      </c>
      <c r="C44" s="1">
        <v>46072</v>
      </c>
      <c r="D44">
        <v>107</v>
      </c>
      <c r="E44">
        <v>109.58</v>
      </c>
      <c r="F44" t="s">
        <v>1485</v>
      </c>
      <c r="G44" s="1">
        <v>46090</v>
      </c>
      <c r="H44">
        <v>107</v>
      </c>
      <c r="I44" s="1">
        <v>46091</v>
      </c>
      <c r="J44" t="s">
        <v>694</v>
      </c>
      <c r="K44">
        <v>107</v>
      </c>
      <c r="L44">
        <v>109.58</v>
      </c>
      <c r="M44" s="1">
        <v>46099</v>
      </c>
      <c r="N44" t="str">
        <f>IF(po_master[[#This Row],[Approved By]]="", "Missing Approval", "OK")</f>
        <v>OK</v>
      </c>
      <c r="O44" t="str">
        <f>IF(ISBLANK(po_master[[#This Row],[GR Quantity]]), "No GR - Not received", "OK")</f>
        <v>OK</v>
      </c>
      <c r="P44" t="str">
        <f>IF(po_master[[#This Row],[Promised Delivey Date]]&lt;po_master[[#This Row],[Order Date]], "Invalid", "OK")</f>
        <v>OK</v>
      </c>
      <c r="Q44" t="str">
        <f>IF(ISBLANK(po_master[[#This Row],[Invoice Number]]), "No Invoice", "OK")</f>
        <v>OK</v>
      </c>
      <c r="R44" t="str">
        <f>IF(AND(NOT(ISBLANK(po_master[[#This Row],[GR Quantity]])), po_master[[#This Row],[GR Quantity]]&lt;&gt;po_master[[#This Row],[PO Quantity]]), "Qty Variance", "OK")</f>
        <v>OK</v>
      </c>
      <c r="S44" t="str">
        <f>IF(po_master[[#This Row],[Invoice Unit Price]]&gt;po_master[[#This Row],[PO Unit Price]]*1.01, "Price Variance", "OK")</f>
        <v>OK</v>
      </c>
      <c r="T44" t="str">
        <f>IF(po_master[[#This Row],[Actual Delivery Date]]&gt;po_master[[#This Row],[Promised Delivey Date]], "Late Delivery", "OK")</f>
        <v>Late Delivery</v>
      </c>
      <c r="U44" t="str">
        <f>IF(COUNTIF(po_master[PO Number],po_master[[#This Row],[PO Number]])&gt;1, "Duplicate Invoice", "OK")</f>
        <v>Duplicate Invoice</v>
      </c>
      <c r="V44" s="5">
        <f>IF(po_master[[#This Row],[Missing Approval]]="Missing Approval", 1, 0)</f>
        <v>0</v>
      </c>
      <c r="W44" s="5">
        <f>IF(po_master[[#This Row],[GR Receipt Status]]="No GR - Not Received", 1, 0)</f>
        <v>0</v>
      </c>
      <c r="X44" s="5">
        <f>IF(po_master[[#This Row],[No invoice]]="No Invoice", 1, 0)</f>
        <v>0</v>
      </c>
      <c r="Y44" s="5">
        <f>IF(po_master[[#This Row],[Date Check]]="Invalid Date", 1, 0)</f>
        <v>0</v>
      </c>
      <c r="Z44" s="5">
        <f>IF(po_master[[#This Row],[Qty Variance Flag]]="Qty Variance", 1, 0)</f>
        <v>0</v>
      </c>
      <c r="AA44" s="5">
        <f>IF(po_master[[#This Row],[Price Variance Flag]]="Price Variance", 1, 0)</f>
        <v>0</v>
      </c>
      <c r="AB44" s="5">
        <f>IF(po_master[[#This Row],[Late Delivery Flag]]="Late Delivery", 1, 0)</f>
        <v>1</v>
      </c>
      <c r="AC44" s="5">
        <f>IF(po_master[[#This Row],[Duplicate Invoice Flag]]="Duplicate Invoice", 1, 0)</f>
        <v>1</v>
      </c>
      <c r="AD44" s="5" t="str">
        <f>TEXT(po_master[[#This Row],[Order Date]],"YYYY-MM")</f>
        <v>2026-02</v>
      </c>
    </row>
    <row r="45" spans="1:30" x14ac:dyDescent="0.25">
      <c r="A45" t="s">
        <v>44</v>
      </c>
      <c r="B45" t="s">
        <v>1482</v>
      </c>
      <c r="C45" s="1">
        <v>46072</v>
      </c>
      <c r="D45">
        <v>107</v>
      </c>
      <c r="E45">
        <v>109.58</v>
      </c>
      <c r="F45" t="s">
        <v>1485</v>
      </c>
      <c r="G45" s="1">
        <v>46090</v>
      </c>
      <c r="H45">
        <v>107</v>
      </c>
      <c r="I45" s="1">
        <v>46091</v>
      </c>
      <c r="J45" t="s">
        <v>695</v>
      </c>
      <c r="K45">
        <v>107</v>
      </c>
      <c r="L45">
        <v>109.58</v>
      </c>
      <c r="M45" s="1">
        <v>46103</v>
      </c>
      <c r="N45" t="str">
        <f>IF(po_master[[#This Row],[Approved By]]="", "Missing Approval", "OK")</f>
        <v>OK</v>
      </c>
      <c r="O45" t="str">
        <f>IF(ISBLANK(po_master[[#This Row],[GR Quantity]]), "No GR - Not received", "OK")</f>
        <v>OK</v>
      </c>
      <c r="P45" t="str">
        <f>IF(po_master[[#This Row],[Promised Delivey Date]]&lt;po_master[[#This Row],[Order Date]], "Invalid", "OK")</f>
        <v>OK</v>
      </c>
      <c r="Q45" t="str">
        <f>IF(ISBLANK(po_master[[#This Row],[Invoice Number]]), "No Invoice", "OK")</f>
        <v>OK</v>
      </c>
      <c r="R45" t="str">
        <f>IF(AND(NOT(ISBLANK(po_master[[#This Row],[GR Quantity]])), po_master[[#This Row],[GR Quantity]]&lt;&gt;po_master[[#This Row],[PO Quantity]]), "Qty Variance", "OK")</f>
        <v>OK</v>
      </c>
      <c r="S45" t="str">
        <f>IF(po_master[[#This Row],[Invoice Unit Price]]&gt;po_master[[#This Row],[PO Unit Price]]*1.01, "Price Variance", "OK")</f>
        <v>OK</v>
      </c>
      <c r="T45" t="str">
        <f>IF(po_master[[#This Row],[Actual Delivery Date]]&gt;po_master[[#This Row],[Promised Delivey Date]], "Late Delivery", "OK")</f>
        <v>Late Delivery</v>
      </c>
      <c r="U45" t="str">
        <f>IF(COUNTIF(po_master[PO Number],po_master[[#This Row],[PO Number]])&gt;1, "Duplicate Invoice", "OK")</f>
        <v>Duplicate Invoice</v>
      </c>
      <c r="V45" s="5">
        <f>IF(po_master[[#This Row],[Missing Approval]]="Missing Approval", 1, 0)</f>
        <v>0</v>
      </c>
      <c r="W45" s="5">
        <f>IF(po_master[[#This Row],[GR Receipt Status]]="No GR - Not Received", 1, 0)</f>
        <v>0</v>
      </c>
      <c r="X45" s="5">
        <f>IF(po_master[[#This Row],[No invoice]]="No Invoice", 1, 0)</f>
        <v>0</v>
      </c>
      <c r="Y45" s="5">
        <f>IF(po_master[[#This Row],[Date Check]]="Invalid Date", 1, 0)</f>
        <v>0</v>
      </c>
      <c r="Z45" s="5">
        <f>IF(po_master[[#This Row],[Qty Variance Flag]]="Qty Variance", 1, 0)</f>
        <v>0</v>
      </c>
      <c r="AA45" s="5">
        <f>IF(po_master[[#This Row],[Price Variance Flag]]="Price Variance", 1, 0)</f>
        <v>0</v>
      </c>
      <c r="AB45" s="5">
        <f>IF(po_master[[#This Row],[Late Delivery Flag]]="Late Delivery", 1, 0)</f>
        <v>1</v>
      </c>
      <c r="AC45" s="5">
        <f>IF(po_master[[#This Row],[Duplicate Invoice Flag]]="Duplicate Invoice", 1, 0)</f>
        <v>1</v>
      </c>
      <c r="AD45" s="5" t="str">
        <f>TEXT(po_master[[#This Row],[Order Date]],"YYYY-MM")</f>
        <v>2026-02</v>
      </c>
    </row>
    <row r="46" spans="1:30" x14ac:dyDescent="0.25">
      <c r="A46" t="s">
        <v>45</v>
      </c>
      <c r="B46" t="s">
        <v>1486</v>
      </c>
      <c r="C46" s="1">
        <v>46094</v>
      </c>
      <c r="D46">
        <v>246</v>
      </c>
      <c r="E46">
        <v>53.71</v>
      </c>
      <c r="F46" t="s">
        <v>1476</v>
      </c>
      <c r="G46" s="1">
        <v>46113</v>
      </c>
      <c r="H46">
        <v>243</v>
      </c>
      <c r="I46" s="1">
        <v>46115</v>
      </c>
      <c r="J46" t="s">
        <v>696</v>
      </c>
      <c r="K46">
        <v>246</v>
      </c>
      <c r="L46">
        <v>53.71</v>
      </c>
      <c r="M46" s="1">
        <v>46116</v>
      </c>
      <c r="N46" t="str">
        <f>IF(po_master[[#This Row],[Approved By]]="", "Missing Approval", "OK")</f>
        <v>OK</v>
      </c>
      <c r="O46" t="str">
        <f>IF(ISBLANK(po_master[[#This Row],[GR Quantity]]), "No GR - Not received", "OK")</f>
        <v>OK</v>
      </c>
      <c r="P46" t="str">
        <f>IF(po_master[[#This Row],[Promised Delivey Date]]&lt;po_master[[#This Row],[Order Date]], "Invalid", "OK")</f>
        <v>OK</v>
      </c>
      <c r="Q46" t="str">
        <f>IF(ISBLANK(po_master[[#This Row],[Invoice Number]]), "No Invoice", "OK")</f>
        <v>OK</v>
      </c>
      <c r="R46" t="str">
        <f>IF(AND(NOT(ISBLANK(po_master[[#This Row],[GR Quantity]])), po_master[[#This Row],[GR Quantity]]&lt;&gt;po_master[[#This Row],[PO Quantity]]), "Qty Variance", "OK")</f>
        <v>Qty Variance</v>
      </c>
      <c r="S46" t="str">
        <f>IF(po_master[[#This Row],[Invoice Unit Price]]&gt;po_master[[#This Row],[PO Unit Price]]*1.01, "Price Variance", "OK")</f>
        <v>OK</v>
      </c>
      <c r="T46" t="str">
        <f>IF(po_master[[#This Row],[Actual Delivery Date]]&gt;po_master[[#This Row],[Promised Delivey Date]], "Late Delivery", "OK")</f>
        <v>Late Delivery</v>
      </c>
      <c r="U46" t="str">
        <f>IF(COUNTIF(po_master[PO Number],po_master[[#This Row],[PO Number]])&gt;1, "Duplicate Invoice", "OK")</f>
        <v>OK</v>
      </c>
      <c r="V46" s="5">
        <f>IF(po_master[[#This Row],[Missing Approval]]="Missing Approval", 1, 0)</f>
        <v>0</v>
      </c>
      <c r="W46" s="5">
        <f>IF(po_master[[#This Row],[GR Receipt Status]]="No GR - Not Received", 1, 0)</f>
        <v>0</v>
      </c>
      <c r="X46" s="5">
        <f>IF(po_master[[#This Row],[No invoice]]="No Invoice", 1, 0)</f>
        <v>0</v>
      </c>
      <c r="Y46" s="5">
        <f>IF(po_master[[#This Row],[Date Check]]="Invalid Date", 1, 0)</f>
        <v>0</v>
      </c>
      <c r="Z46" s="5">
        <f>IF(po_master[[#This Row],[Qty Variance Flag]]="Qty Variance", 1, 0)</f>
        <v>1</v>
      </c>
      <c r="AA46" s="5">
        <f>IF(po_master[[#This Row],[Price Variance Flag]]="Price Variance", 1, 0)</f>
        <v>0</v>
      </c>
      <c r="AB46" s="5">
        <f>IF(po_master[[#This Row],[Late Delivery Flag]]="Late Delivery", 1, 0)</f>
        <v>1</v>
      </c>
      <c r="AC46" s="5">
        <f>IF(po_master[[#This Row],[Duplicate Invoice Flag]]="Duplicate Invoice", 1, 0)</f>
        <v>0</v>
      </c>
      <c r="AD46" s="5" t="str">
        <f>TEXT(po_master[[#This Row],[Order Date]],"YYYY-MM")</f>
        <v>2026-03</v>
      </c>
    </row>
    <row r="47" spans="1:30" x14ac:dyDescent="0.25">
      <c r="A47" t="s">
        <v>46</v>
      </c>
      <c r="B47" t="s">
        <v>1454</v>
      </c>
      <c r="C47" s="1">
        <v>46048</v>
      </c>
      <c r="D47">
        <v>35</v>
      </c>
      <c r="E47">
        <v>132.16999999999999</v>
      </c>
      <c r="F47" t="s">
        <v>1442</v>
      </c>
      <c r="G47" s="1">
        <v>46053</v>
      </c>
      <c r="H47">
        <v>35</v>
      </c>
      <c r="I47" s="1">
        <v>46053</v>
      </c>
      <c r="J47" t="s">
        <v>697</v>
      </c>
      <c r="K47">
        <v>35</v>
      </c>
      <c r="L47">
        <v>132.16999999999999</v>
      </c>
      <c r="M47" s="1">
        <v>46060</v>
      </c>
      <c r="N47" t="str">
        <f>IF(po_master[[#This Row],[Approved By]]="", "Missing Approval", "OK")</f>
        <v>OK</v>
      </c>
      <c r="O47" t="str">
        <f>IF(ISBLANK(po_master[[#This Row],[GR Quantity]]), "No GR - Not received", "OK")</f>
        <v>OK</v>
      </c>
      <c r="P47" t="str">
        <f>IF(po_master[[#This Row],[Promised Delivey Date]]&lt;po_master[[#This Row],[Order Date]], "Invalid", "OK")</f>
        <v>OK</v>
      </c>
      <c r="Q47" t="str">
        <f>IF(ISBLANK(po_master[[#This Row],[Invoice Number]]), "No Invoice", "OK")</f>
        <v>OK</v>
      </c>
      <c r="R47" t="str">
        <f>IF(AND(NOT(ISBLANK(po_master[[#This Row],[GR Quantity]])), po_master[[#This Row],[GR Quantity]]&lt;&gt;po_master[[#This Row],[PO Quantity]]), "Qty Variance", "OK")</f>
        <v>OK</v>
      </c>
      <c r="S47" t="str">
        <f>IF(po_master[[#This Row],[Invoice Unit Price]]&gt;po_master[[#This Row],[PO Unit Price]]*1.01, "Price Variance", "OK")</f>
        <v>OK</v>
      </c>
      <c r="T47" t="str">
        <f>IF(po_master[[#This Row],[Actual Delivery Date]]&gt;po_master[[#This Row],[Promised Delivey Date]], "Late Delivery", "OK")</f>
        <v>OK</v>
      </c>
      <c r="U47" t="str">
        <f>IF(COUNTIF(po_master[PO Number],po_master[[#This Row],[PO Number]])&gt;1, "Duplicate Invoice", "OK")</f>
        <v>OK</v>
      </c>
      <c r="V47" s="5">
        <f>IF(po_master[[#This Row],[Missing Approval]]="Missing Approval", 1, 0)</f>
        <v>0</v>
      </c>
      <c r="W47" s="5">
        <f>IF(po_master[[#This Row],[GR Receipt Status]]="No GR - Not Received", 1, 0)</f>
        <v>0</v>
      </c>
      <c r="X47" s="5">
        <f>IF(po_master[[#This Row],[No invoice]]="No Invoice", 1, 0)</f>
        <v>0</v>
      </c>
      <c r="Y47" s="5">
        <f>IF(po_master[[#This Row],[Date Check]]="Invalid Date", 1, 0)</f>
        <v>0</v>
      </c>
      <c r="Z47" s="5">
        <f>IF(po_master[[#This Row],[Qty Variance Flag]]="Qty Variance", 1, 0)</f>
        <v>0</v>
      </c>
      <c r="AA47" s="5">
        <f>IF(po_master[[#This Row],[Price Variance Flag]]="Price Variance", 1, 0)</f>
        <v>0</v>
      </c>
      <c r="AB47" s="5">
        <f>IF(po_master[[#This Row],[Late Delivery Flag]]="Late Delivery", 1, 0)</f>
        <v>0</v>
      </c>
      <c r="AC47" s="5">
        <f>IF(po_master[[#This Row],[Duplicate Invoice Flag]]="Duplicate Invoice", 1, 0)</f>
        <v>0</v>
      </c>
      <c r="AD47" s="5" t="str">
        <f>TEXT(po_master[[#This Row],[Order Date]],"YYYY-MM")</f>
        <v>2026-01</v>
      </c>
    </row>
    <row r="48" spans="1:30" x14ac:dyDescent="0.25">
      <c r="A48" t="s">
        <v>47</v>
      </c>
      <c r="B48" t="s">
        <v>1457</v>
      </c>
      <c r="C48" s="1">
        <v>46083</v>
      </c>
      <c r="D48">
        <v>95</v>
      </c>
      <c r="E48">
        <v>84.25</v>
      </c>
      <c r="F48" t="s">
        <v>1487</v>
      </c>
      <c r="G48" s="1">
        <v>46094</v>
      </c>
      <c r="H48">
        <v>95</v>
      </c>
      <c r="I48" s="1">
        <v>46093</v>
      </c>
      <c r="J48" t="s">
        <v>698</v>
      </c>
      <c r="K48">
        <v>95</v>
      </c>
      <c r="L48">
        <v>84.25</v>
      </c>
      <c r="M48" s="1">
        <v>46104</v>
      </c>
      <c r="N48" t="str">
        <f>IF(po_master[[#This Row],[Approved By]]="", "Missing Approval", "OK")</f>
        <v>OK</v>
      </c>
      <c r="O48" t="str">
        <f>IF(ISBLANK(po_master[[#This Row],[GR Quantity]]), "No GR - Not received", "OK")</f>
        <v>OK</v>
      </c>
      <c r="P48" t="str">
        <f>IF(po_master[[#This Row],[Promised Delivey Date]]&lt;po_master[[#This Row],[Order Date]], "Invalid", "OK")</f>
        <v>OK</v>
      </c>
      <c r="Q48" t="str">
        <f>IF(ISBLANK(po_master[[#This Row],[Invoice Number]]), "No Invoice", "OK")</f>
        <v>OK</v>
      </c>
      <c r="R48" t="str">
        <f>IF(AND(NOT(ISBLANK(po_master[[#This Row],[GR Quantity]])), po_master[[#This Row],[GR Quantity]]&lt;&gt;po_master[[#This Row],[PO Quantity]]), "Qty Variance", "OK")</f>
        <v>OK</v>
      </c>
      <c r="S48" t="str">
        <f>IF(po_master[[#This Row],[Invoice Unit Price]]&gt;po_master[[#This Row],[PO Unit Price]]*1.01, "Price Variance", "OK")</f>
        <v>OK</v>
      </c>
      <c r="T48" t="str">
        <f>IF(po_master[[#This Row],[Actual Delivery Date]]&gt;po_master[[#This Row],[Promised Delivey Date]], "Late Delivery", "OK")</f>
        <v>OK</v>
      </c>
      <c r="U48" t="str">
        <f>IF(COUNTIF(po_master[PO Number],po_master[[#This Row],[PO Number]])&gt;1, "Duplicate Invoice", "OK")</f>
        <v>OK</v>
      </c>
      <c r="V48" s="5">
        <f>IF(po_master[[#This Row],[Missing Approval]]="Missing Approval", 1, 0)</f>
        <v>0</v>
      </c>
      <c r="W48" s="5">
        <f>IF(po_master[[#This Row],[GR Receipt Status]]="No GR - Not Received", 1, 0)</f>
        <v>0</v>
      </c>
      <c r="X48" s="5">
        <f>IF(po_master[[#This Row],[No invoice]]="No Invoice", 1, 0)</f>
        <v>0</v>
      </c>
      <c r="Y48" s="5">
        <f>IF(po_master[[#This Row],[Date Check]]="Invalid Date", 1, 0)</f>
        <v>0</v>
      </c>
      <c r="Z48" s="5">
        <f>IF(po_master[[#This Row],[Qty Variance Flag]]="Qty Variance", 1, 0)</f>
        <v>0</v>
      </c>
      <c r="AA48" s="5">
        <f>IF(po_master[[#This Row],[Price Variance Flag]]="Price Variance", 1, 0)</f>
        <v>0</v>
      </c>
      <c r="AB48" s="5">
        <f>IF(po_master[[#This Row],[Late Delivery Flag]]="Late Delivery", 1, 0)</f>
        <v>0</v>
      </c>
      <c r="AC48" s="5">
        <f>IF(po_master[[#This Row],[Duplicate Invoice Flag]]="Duplicate Invoice", 1, 0)</f>
        <v>0</v>
      </c>
      <c r="AD48" s="5" t="str">
        <f>TEXT(po_master[[#This Row],[Order Date]],"YYYY-MM")</f>
        <v>2026-03</v>
      </c>
    </row>
    <row r="49" spans="1:30" x14ac:dyDescent="0.25">
      <c r="A49" t="s">
        <v>48</v>
      </c>
      <c r="B49" t="s">
        <v>1488</v>
      </c>
      <c r="C49" s="1">
        <v>46038</v>
      </c>
      <c r="D49">
        <v>94</v>
      </c>
      <c r="E49">
        <v>78.900000000000006</v>
      </c>
      <c r="F49" t="s">
        <v>1453</v>
      </c>
      <c r="G49" s="1">
        <v>46051</v>
      </c>
      <c r="H49">
        <v>80</v>
      </c>
      <c r="I49" s="1">
        <v>46058</v>
      </c>
      <c r="J49" t="s">
        <v>699</v>
      </c>
      <c r="K49">
        <v>94</v>
      </c>
      <c r="L49">
        <v>78.900000000000006</v>
      </c>
      <c r="M49" s="1">
        <v>46061</v>
      </c>
      <c r="N49" t="str">
        <f>IF(po_master[[#This Row],[Approved By]]="", "Missing Approval", "OK")</f>
        <v>OK</v>
      </c>
      <c r="O49" t="str">
        <f>IF(ISBLANK(po_master[[#This Row],[GR Quantity]]), "No GR - Not received", "OK")</f>
        <v>OK</v>
      </c>
      <c r="P49" t="str">
        <f>IF(po_master[[#This Row],[Promised Delivey Date]]&lt;po_master[[#This Row],[Order Date]], "Invalid", "OK")</f>
        <v>OK</v>
      </c>
      <c r="Q49" t="str">
        <f>IF(ISBLANK(po_master[[#This Row],[Invoice Number]]), "No Invoice", "OK")</f>
        <v>OK</v>
      </c>
      <c r="R49" t="str">
        <f>IF(AND(NOT(ISBLANK(po_master[[#This Row],[GR Quantity]])), po_master[[#This Row],[GR Quantity]]&lt;&gt;po_master[[#This Row],[PO Quantity]]), "Qty Variance", "OK")</f>
        <v>Qty Variance</v>
      </c>
      <c r="S49" t="str">
        <f>IF(po_master[[#This Row],[Invoice Unit Price]]&gt;po_master[[#This Row],[PO Unit Price]]*1.01, "Price Variance", "OK")</f>
        <v>OK</v>
      </c>
      <c r="T49" t="str">
        <f>IF(po_master[[#This Row],[Actual Delivery Date]]&gt;po_master[[#This Row],[Promised Delivey Date]], "Late Delivery", "OK")</f>
        <v>Late Delivery</v>
      </c>
      <c r="U49" t="str">
        <f>IF(COUNTIF(po_master[PO Number],po_master[[#This Row],[PO Number]])&gt;1, "Duplicate Invoice", "OK")</f>
        <v>OK</v>
      </c>
      <c r="V49" s="5">
        <f>IF(po_master[[#This Row],[Missing Approval]]="Missing Approval", 1, 0)</f>
        <v>0</v>
      </c>
      <c r="W49" s="5">
        <f>IF(po_master[[#This Row],[GR Receipt Status]]="No GR - Not Received", 1, 0)</f>
        <v>0</v>
      </c>
      <c r="X49" s="5">
        <f>IF(po_master[[#This Row],[No invoice]]="No Invoice", 1, 0)</f>
        <v>0</v>
      </c>
      <c r="Y49" s="5">
        <f>IF(po_master[[#This Row],[Date Check]]="Invalid Date", 1, 0)</f>
        <v>0</v>
      </c>
      <c r="Z49" s="5">
        <f>IF(po_master[[#This Row],[Qty Variance Flag]]="Qty Variance", 1, 0)</f>
        <v>1</v>
      </c>
      <c r="AA49" s="5">
        <f>IF(po_master[[#This Row],[Price Variance Flag]]="Price Variance", 1, 0)</f>
        <v>0</v>
      </c>
      <c r="AB49" s="5">
        <f>IF(po_master[[#This Row],[Late Delivery Flag]]="Late Delivery", 1, 0)</f>
        <v>1</v>
      </c>
      <c r="AC49" s="5">
        <f>IF(po_master[[#This Row],[Duplicate Invoice Flag]]="Duplicate Invoice", 1, 0)</f>
        <v>0</v>
      </c>
      <c r="AD49" s="5" t="str">
        <f>TEXT(po_master[[#This Row],[Order Date]],"YYYY-MM")</f>
        <v>2026-01</v>
      </c>
    </row>
    <row r="50" spans="1:30" x14ac:dyDescent="0.25">
      <c r="A50" t="s">
        <v>49</v>
      </c>
      <c r="B50" t="s">
        <v>1489</v>
      </c>
      <c r="C50" s="1">
        <v>46096</v>
      </c>
      <c r="D50">
        <v>226</v>
      </c>
      <c r="E50">
        <v>140.84</v>
      </c>
      <c r="F50" t="s">
        <v>1490</v>
      </c>
      <c r="G50" s="1">
        <v>46116</v>
      </c>
      <c r="H50">
        <v>226</v>
      </c>
      <c r="I50" s="1">
        <v>46114</v>
      </c>
      <c r="J50" t="s">
        <v>700</v>
      </c>
      <c r="K50">
        <v>226</v>
      </c>
      <c r="L50">
        <v>140.84</v>
      </c>
      <c r="M50" s="1">
        <v>46123</v>
      </c>
      <c r="N50" t="str">
        <f>IF(po_master[[#This Row],[Approved By]]="", "Missing Approval", "OK")</f>
        <v>OK</v>
      </c>
      <c r="O50" t="str">
        <f>IF(ISBLANK(po_master[[#This Row],[GR Quantity]]), "No GR - Not received", "OK")</f>
        <v>OK</v>
      </c>
      <c r="P50" t="str">
        <f>IF(po_master[[#This Row],[Promised Delivey Date]]&lt;po_master[[#This Row],[Order Date]], "Invalid", "OK")</f>
        <v>OK</v>
      </c>
      <c r="Q50" t="str">
        <f>IF(ISBLANK(po_master[[#This Row],[Invoice Number]]), "No Invoice", "OK")</f>
        <v>OK</v>
      </c>
      <c r="R50" t="str">
        <f>IF(AND(NOT(ISBLANK(po_master[[#This Row],[GR Quantity]])), po_master[[#This Row],[GR Quantity]]&lt;&gt;po_master[[#This Row],[PO Quantity]]), "Qty Variance", "OK")</f>
        <v>OK</v>
      </c>
      <c r="S50" t="str">
        <f>IF(po_master[[#This Row],[Invoice Unit Price]]&gt;po_master[[#This Row],[PO Unit Price]]*1.01, "Price Variance", "OK")</f>
        <v>OK</v>
      </c>
      <c r="T50" t="str">
        <f>IF(po_master[[#This Row],[Actual Delivery Date]]&gt;po_master[[#This Row],[Promised Delivey Date]], "Late Delivery", "OK")</f>
        <v>OK</v>
      </c>
      <c r="U50" t="str">
        <f>IF(COUNTIF(po_master[PO Number],po_master[[#This Row],[PO Number]])&gt;1, "Duplicate Invoice", "OK")</f>
        <v>OK</v>
      </c>
      <c r="V50" s="5">
        <f>IF(po_master[[#This Row],[Missing Approval]]="Missing Approval", 1, 0)</f>
        <v>0</v>
      </c>
      <c r="W50" s="5">
        <f>IF(po_master[[#This Row],[GR Receipt Status]]="No GR - Not Received", 1, 0)</f>
        <v>0</v>
      </c>
      <c r="X50" s="5">
        <f>IF(po_master[[#This Row],[No invoice]]="No Invoice", 1, 0)</f>
        <v>0</v>
      </c>
      <c r="Y50" s="5">
        <f>IF(po_master[[#This Row],[Date Check]]="Invalid Date", 1, 0)</f>
        <v>0</v>
      </c>
      <c r="Z50" s="5">
        <f>IF(po_master[[#This Row],[Qty Variance Flag]]="Qty Variance", 1, 0)</f>
        <v>0</v>
      </c>
      <c r="AA50" s="5">
        <f>IF(po_master[[#This Row],[Price Variance Flag]]="Price Variance", 1, 0)</f>
        <v>0</v>
      </c>
      <c r="AB50" s="5">
        <f>IF(po_master[[#This Row],[Late Delivery Flag]]="Late Delivery", 1, 0)</f>
        <v>0</v>
      </c>
      <c r="AC50" s="5">
        <f>IF(po_master[[#This Row],[Duplicate Invoice Flag]]="Duplicate Invoice", 1, 0)</f>
        <v>0</v>
      </c>
      <c r="AD50" s="5" t="str">
        <f>TEXT(po_master[[#This Row],[Order Date]],"YYYY-MM")</f>
        <v>2026-03</v>
      </c>
    </row>
    <row r="51" spans="1:30" x14ac:dyDescent="0.25">
      <c r="A51" t="s">
        <v>50</v>
      </c>
      <c r="B51" t="s">
        <v>1464</v>
      </c>
      <c r="C51" s="1">
        <v>46071</v>
      </c>
      <c r="D51">
        <v>161</v>
      </c>
      <c r="E51">
        <v>47.45</v>
      </c>
      <c r="F51" t="s">
        <v>1462</v>
      </c>
      <c r="G51" s="1">
        <v>46077</v>
      </c>
      <c r="H51">
        <v>161</v>
      </c>
      <c r="I51" s="1">
        <v>46079</v>
      </c>
      <c r="J51" t="s">
        <v>701</v>
      </c>
      <c r="K51">
        <v>161</v>
      </c>
      <c r="L51">
        <v>50.78</v>
      </c>
      <c r="M51" s="1">
        <v>46081</v>
      </c>
      <c r="N51" t="str">
        <f>IF(po_master[[#This Row],[Approved By]]="", "Missing Approval", "OK")</f>
        <v>OK</v>
      </c>
      <c r="O51" t="str">
        <f>IF(ISBLANK(po_master[[#This Row],[GR Quantity]]), "No GR - Not received", "OK")</f>
        <v>OK</v>
      </c>
      <c r="P51" t="str">
        <f>IF(po_master[[#This Row],[Promised Delivey Date]]&lt;po_master[[#This Row],[Order Date]], "Invalid", "OK")</f>
        <v>OK</v>
      </c>
      <c r="Q51" t="str">
        <f>IF(ISBLANK(po_master[[#This Row],[Invoice Number]]), "No Invoice", "OK")</f>
        <v>OK</v>
      </c>
      <c r="R51" t="str">
        <f>IF(AND(NOT(ISBLANK(po_master[[#This Row],[GR Quantity]])), po_master[[#This Row],[GR Quantity]]&lt;&gt;po_master[[#This Row],[PO Quantity]]), "Qty Variance", "OK")</f>
        <v>OK</v>
      </c>
      <c r="S51" t="str">
        <f>IF(po_master[[#This Row],[Invoice Unit Price]]&gt;po_master[[#This Row],[PO Unit Price]]*1.01, "Price Variance", "OK")</f>
        <v>Price Variance</v>
      </c>
      <c r="T51" t="str">
        <f>IF(po_master[[#This Row],[Actual Delivery Date]]&gt;po_master[[#This Row],[Promised Delivey Date]], "Late Delivery", "OK")</f>
        <v>Late Delivery</v>
      </c>
      <c r="U51" t="str">
        <f>IF(COUNTIF(po_master[PO Number],po_master[[#This Row],[PO Number]])&gt;1, "Duplicate Invoice", "OK")</f>
        <v>OK</v>
      </c>
      <c r="V51" s="5">
        <f>IF(po_master[[#This Row],[Missing Approval]]="Missing Approval", 1, 0)</f>
        <v>0</v>
      </c>
      <c r="W51" s="5">
        <f>IF(po_master[[#This Row],[GR Receipt Status]]="No GR - Not Received", 1, 0)</f>
        <v>0</v>
      </c>
      <c r="X51" s="5">
        <f>IF(po_master[[#This Row],[No invoice]]="No Invoice", 1, 0)</f>
        <v>0</v>
      </c>
      <c r="Y51" s="5">
        <f>IF(po_master[[#This Row],[Date Check]]="Invalid Date", 1, 0)</f>
        <v>0</v>
      </c>
      <c r="Z51" s="5">
        <f>IF(po_master[[#This Row],[Qty Variance Flag]]="Qty Variance", 1, 0)</f>
        <v>0</v>
      </c>
      <c r="AA51" s="5">
        <f>IF(po_master[[#This Row],[Price Variance Flag]]="Price Variance", 1, 0)</f>
        <v>1</v>
      </c>
      <c r="AB51" s="5">
        <f>IF(po_master[[#This Row],[Late Delivery Flag]]="Late Delivery", 1, 0)</f>
        <v>1</v>
      </c>
      <c r="AC51" s="5">
        <f>IF(po_master[[#This Row],[Duplicate Invoice Flag]]="Duplicate Invoice", 1, 0)</f>
        <v>0</v>
      </c>
      <c r="AD51" s="5" t="str">
        <f>TEXT(po_master[[#This Row],[Order Date]],"YYYY-MM")</f>
        <v>2026-02</v>
      </c>
    </row>
    <row r="52" spans="1:30" x14ac:dyDescent="0.25">
      <c r="A52" t="s">
        <v>51</v>
      </c>
      <c r="B52" t="s">
        <v>1465</v>
      </c>
      <c r="C52" s="1">
        <v>46103</v>
      </c>
      <c r="D52">
        <v>39</v>
      </c>
      <c r="E52">
        <v>14.78</v>
      </c>
      <c r="F52" t="s">
        <v>1487</v>
      </c>
      <c r="G52" s="1">
        <v>46124</v>
      </c>
      <c r="H52">
        <v>39</v>
      </c>
      <c r="I52" s="1">
        <v>46125</v>
      </c>
      <c r="J52" t="s">
        <v>702</v>
      </c>
      <c r="K52">
        <v>39</v>
      </c>
      <c r="L52">
        <v>17.670000000000002</v>
      </c>
      <c r="M52" s="1">
        <v>46125</v>
      </c>
      <c r="N52" t="str">
        <f>IF(po_master[[#This Row],[Approved By]]="", "Missing Approval", "OK")</f>
        <v>OK</v>
      </c>
      <c r="O52" t="str">
        <f>IF(ISBLANK(po_master[[#This Row],[GR Quantity]]), "No GR - Not received", "OK")</f>
        <v>OK</v>
      </c>
      <c r="P52" t="str">
        <f>IF(po_master[[#This Row],[Promised Delivey Date]]&lt;po_master[[#This Row],[Order Date]], "Invalid", "OK")</f>
        <v>OK</v>
      </c>
      <c r="Q52" t="str">
        <f>IF(ISBLANK(po_master[[#This Row],[Invoice Number]]), "No Invoice", "OK")</f>
        <v>OK</v>
      </c>
      <c r="R52" t="str">
        <f>IF(AND(NOT(ISBLANK(po_master[[#This Row],[GR Quantity]])), po_master[[#This Row],[GR Quantity]]&lt;&gt;po_master[[#This Row],[PO Quantity]]), "Qty Variance", "OK")</f>
        <v>OK</v>
      </c>
      <c r="S52" t="str">
        <f>IF(po_master[[#This Row],[Invoice Unit Price]]&gt;po_master[[#This Row],[PO Unit Price]]*1.01, "Price Variance", "OK")</f>
        <v>Price Variance</v>
      </c>
      <c r="T52" t="str">
        <f>IF(po_master[[#This Row],[Actual Delivery Date]]&gt;po_master[[#This Row],[Promised Delivey Date]], "Late Delivery", "OK")</f>
        <v>Late Delivery</v>
      </c>
      <c r="U52" t="str">
        <f>IF(COUNTIF(po_master[PO Number],po_master[[#This Row],[PO Number]])&gt;1, "Duplicate Invoice", "OK")</f>
        <v>OK</v>
      </c>
      <c r="V52" s="5">
        <f>IF(po_master[[#This Row],[Missing Approval]]="Missing Approval", 1, 0)</f>
        <v>0</v>
      </c>
      <c r="W52" s="5">
        <f>IF(po_master[[#This Row],[GR Receipt Status]]="No GR - Not Received", 1, 0)</f>
        <v>0</v>
      </c>
      <c r="X52" s="5">
        <f>IF(po_master[[#This Row],[No invoice]]="No Invoice", 1, 0)</f>
        <v>0</v>
      </c>
      <c r="Y52" s="5">
        <f>IF(po_master[[#This Row],[Date Check]]="Invalid Date", 1, 0)</f>
        <v>0</v>
      </c>
      <c r="Z52" s="5">
        <f>IF(po_master[[#This Row],[Qty Variance Flag]]="Qty Variance", 1, 0)</f>
        <v>0</v>
      </c>
      <c r="AA52" s="5">
        <f>IF(po_master[[#This Row],[Price Variance Flag]]="Price Variance", 1, 0)</f>
        <v>1</v>
      </c>
      <c r="AB52" s="5">
        <f>IF(po_master[[#This Row],[Late Delivery Flag]]="Late Delivery", 1, 0)</f>
        <v>1</v>
      </c>
      <c r="AC52" s="5">
        <f>IF(po_master[[#This Row],[Duplicate Invoice Flag]]="Duplicate Invoice", 1, 0)</f>
        <v>0</v>
      </c>
      <c r="AD52" s="5" t="str">
        <f>TEXT(po_master[[#This Row],[Order Date]],"YYYY-MM")</f>
        <v>2026-03</v>
      </c>
    </row>
    <row r="53" spans="1:30" x14ac:dyDescent="0.25">
      <c r="A53" t="s">
        <v>52</v>
      </c>
      <c r="B53" t="s">
        <v>1491</v>
      </c>
      <c r="C53" s="1">
        <v>46063</v>
      </c>
      <c r="D53">
        <v>39</v>
      </c>
      <c r="E53">
        <v>192.35</v>
      </c>
      <c r="F53" t="s">
        <v>1476</v>
      </c>
      <c r="G53" s="1">
        <v>46073</v>
      </c>
      <c r="H53">
        <v>39</v>
      </c>
      <c r="I53" s="1">
        <v>46074</v>
      </c>
      <c r="J53" t="s">
        <v>703</v>
      </c>
      <c r="K53">
        <v>39</v>
      </c>
      <c r="L53">
        <v>192.35</v>
      </c>
      <c r="M53" s="1">
        <v>46077</v>
      </c>
      <c r="N53" t="str">
        <f>IF(po_master[[#This Row],[Approved By]]="", "Missing Approval", "OK")</f>
        <v>OK</v>
      </c>
      <c r="O53" t="str">
        <f>IF(ISBLANK(po_master[[#This Row],[GR Quantity]]), "No GR - Not received", "OK")</f>
        <v>OK</v>
      </c>
      <c r="P53" t="str">
        <f>IF(po_master[[#This Row],[Promised Delivey Date]]&lt;po_master[[#This Row],[Order Date]], "Invalid", "OK")</f>
        <v>OK</v>
      </c>
      <c r="Q53" t="str">
        <f>IF(ISBLANK(po_master[[#This Row],[Invoice Number]]), "No Invoice", "OK")</f>
        <v>OK</v>
      </c>
      <c r="R53" t="str">
        <f>IF(AND(NOT(ISBLANK(po_master[[#This Row],[GR Quantity]])), po_master[[#This Row],[GR Quantity]]&lt;&gt;po_master[[#This Row],[PO Quantity]]), "Qty Variance", "OK")</f>
        <v>OK</v>
      </c>
      <c r="S53" t="str">
        <f>IF(po_master[[#This Row],[Invoice Unit Price]]&gt;po_master[[#This Row],[PO Unit Price]]*1.01, "Price Variance", "OK")</f>
        <v>OK</v>
      </c>
      <c r="T53" t="str">
        <f>IF(po_master[[#This Row],[Actual Delivery Date]]&gt;po_master[[#This Row],[Promised Delivey Date]], "Late Delivery", "OK")</f>
        <v>Late Delivery</v>
      </c>
      <c r="U53" t="str">
        <f>IF(COUNTIF(po_master[PO Number],po_master[[#This Row],[PO Number]])&gt;1, "Duplicate Invoice", "OK")</f>
        <v>OK</v>
      </c>
      <c r="V53" s="5">
        <f>IF(po_master[[#This Row],[Missing Approval]]="Missing Approval", 1, 0)</f>
        <v>0</v>
      </c>
      <c r="W53" s="5">
        <f>IF(po_master[[#This Row],[GR Receipt Status]]="No GR - Not Received", 1, 0)</f>
        <v>0</v>
      </c>
      <c r="X53" s="5">
        <f>IF(po_master[[#This Row],[No invoice]]="No Invoice", 1, 0)</f>
        <v>0</v>
      </c>
      <c r="Y53" s="5">
        <f>IF(po_master[[#This Row],[Date Check]]="Invalid Date", 1, 0)</f>
        <v>0</v>
      </c>
      <c r="Z53" s="5">
        <f>IF(po_master[[#This Row],[Qty Variance Flag]]="Qty Variance", 1, 0)</f>
        <v>0</v>
      </c>
      <c r="AA53" s="5">
        <f>IF(po_master[[#This Row],[Price Variance Flag]]="Price Variance", 1, 0)</f>
        <v>0</v>
      </c>
      <c r="AB53" s="5">
        <f>IF(po_master[[#This Row],[Late Delivery Flag]]="Late Delivery", 1, 0)</f>
        <v>1</v>
      </c>
      <c r="AC53" s="5">
        <f>IF(po_master[[#This Row],[Duplicate Invoice Flag]]="Duplicate Invoice", 1, 0)</f>
        <v>0</v>
      </c>
      <c r="AD53" s="5" t="str">
        <f>TEXT(po_master[[#This Row],[Order Date]],"YYYY-MM")</f>
        <v>2026-02</v>
      </c>
    </row>
    <row r="54" spans="1:30" x14ac:dyDescent="0.25">
      <c r="A54" t="s">
        <v>53</v>
      </c>
      <c r="B54" t="s">
        <v>1492</v>
      </c>
      <c r="C54" s="1">
        <v>46040</v>
      </c>
      <c r="D54">
        <v>355</v>
      </c>
      <c r="E54">
        <v>173.05</v>
      </c>
      <c r="F54" t="s">
        <v>1453</v>
      </c>
      <c r="G54" s="1">
        <v>46048</v>
      </c>
      <c r="H54">
        <v>355</v>
      </c>
      <c r="I54" s="1">
        <v>46055</v>
      </c>
      <c r="J54" t="s">
        <v>704</v>
      </c>
      <c r="K54">
        <v>355</v>
      </c>
      <c r="L54">
        <v>173.05</v>
      </c>
      <c r="M54" s="1">
        <v>46057</v>
      </c>
      <c r="N54" t="str">
        <f>IF(po_master[[#This Row],[Approved By]]="", "Missing Approval", "OK")</f>
        <v>OK</v>
      </c>
      <c r="O54" t="str">
        <f>IF(ISBLANK(po_master[[#This Row],[GR Quantity]]), "No GR - Not received", "OK")</f>
        <v>OK</v>
      </c>
      <c r="P54" t="str">
        <f>IF(po_master[[#This Row],[Promised Delivey Date]]&lt;po_master[[#This Row],[Order Date]], "Invalid", "OK")</f>
        <v>OK</v>
      </c>
      <c r="Q54" t="str">
        <f>IF(ISBLANK(po_master[[#This Row],[Invoice Number]]), "No Invoice", "OK")</f>
        <v>OK</v>
      </c>
      <c r="R54" t="str">
        <f>IF(AND(NOT(ISBLANK(po_master[[#This Row],[GR Quantity]])), po_master[[#This Row],[GR Quantity]]&lt;&gt;po_master[[#This Row],[PO Quantity]]), "Qty Variance", "OK")</f>
        <v>OK</v>
      </c>
      <c r="S54" t="str">
        <f>IF(po_master[[#This Row],[Invoice Unit Price]]&gt;po_master[[#This Row],[PO Unit Price]]*1.01, "Price Variance", "OK")</f>
        <v>OK</v>
      </c>
      <c r="T54" t="str">
        <f>IF(po_master[[#This Row],[Actual Delivery Date]]&gt;po_master[[#This Row],[Promised Delivey Date]], "Late Delivery", "OK")</f>
        <v>Late Delivery</v>
      </c>
      <c r="U54" t="str">
        <f>IF(COUNTIF(po_master[PO Number],po_master[[#This Row],[PO Number]])&gt;1, "Duplicate Invoice", "OK")</f>
        <v>OK</v>
      </c>
      <c r="V54" s="5">
        <f>IF(po_master[[#This Row],[Missing Approval]]="Missing Approval", 1, 0)</f>
        <v>0</v>
      </c>
      <c r="W54" s="5">
        <f>IF(po_master[[#This Row],[GR Receipt Status]]="No GR - Not Received", 1, 0)</f>
        <v>0</v>
      </c>
      <c r="X54" s="5">
        <f>IF(po_master[[#This Row],[No invoice]]="No Invoice", 1, 0)</f>
        <v>0</v>
      </c>
      <c r="Y54" s="5">
        <f>IF(po_master[[#This Row],[Date Check]]="Invalid Date", 1, 0)</f>
        <v>0</v>
      </c>
      <c r="Z54" s="5">
        <f>IF(po_master[[#This Row],[Qty Variance Flag]]="Qty Variance", 1, 0)</f>
        <v>0</v>
      </c>
      <c r="AA54" s="5">
        <f>IF(po_master[[#This Row],[Price Variance Flag]]="Price Variance", 1, 0)</f>
        <v>0</v>
      </c>
      <c r="AB54" s="5">
        <f>IF(po_master[[#This Row],[Late Delivery Flag]]="Late Delivery", 1, 0)</f>
        <v>1</v>
      </c>
      <c r="AC54" s="5">
        <f>IF(po_master[[#This Row],[Duplicate Invoice Flag]]="Duplicate Invoice", 1, 0)</f>
        <v>0</v>
      </c>
      <c r="AD54" s="5" t="str">
        <f>TEXT(po_master[[#This Row],[Order Date]],"YYYY-MM")</f>
        <v>2026-01</v>
      </c>
    </row>
    <row r="55" spans="1:30" x14ac:dyDescent="0.25">
      <c r="A55" t="s">
        <v>54</v>
      </c>
      <c r="B55" t="s">
        <v>1493</v>
      </c>
      <c r="C55" s="1">
        <v>46086</v>
      </c>
      <c r="D55">
        <v>306</v>
      </c>
      <c r="E55">
        <v>120.93</v>
      </c>
      <c r="F55" t="s">
        <v>1494</v>
      </c>
      <c r="G55" s="1">
        <v>46093</v>
      </c>
      <c r="H55">
        <v>306</v>
      </c>
      <c r="I55" s="1">
        <v>46092</v>
      </c>
      <c r="J55" t="s">
        <v>705</v>
      </c>
      <c r="K55">
        <v>306</v>
      </c>
      <c r="L55">
        <v>120.93</v>
      </c>
      <c r="M55" s="1">
        <v>46101</v>
      </c>
      <c r="N55" t="str">
        <f>IF(po_master[[#This Row],[Approved By]]="", "Missing Approval", "OK")</f>
        <v>OK</v>
      </c>
      <c r="O55" t="str">
        <f>IF(ISBLANK(po_master[[#This Row],[GR Quantity]]), "No GR - Not received", "OK")</f>
        <v>OK</v>
      </c>
      <c r="P55" t="str">
        <f>IF(po_master[[#This Row],[Promised Delivey Date]]&lt;po_master[[#This Row],[Order Date]], "Invalid", "OK")</f>
        <v>OK</v>
      </c>
      <c r="Q55" t="str">
        <f>IF(ISBLANK(po_master[[#This Row],[Invoice Number]]), "No Invoice", "OK")</f>
        <v>OK</v>
      </c>
      <c r="R55" t="str">
        <f>IF(AND(NOT(ISBLANK(po_master[[#This Row],[GR Quantity]])), po_master[[#This Row],[GR Quantity]]&lt;&gt;po_master[[#This Row],[PO Quantity]]), "Qty Variance", "OK")</f>
        <v>OK</v>
      </c>
      <c r="S55" t="str">
        <f>IF(po_master[[#This Row],[Invoice Unit Price]]&gt;po_master[[#This Row],[PO Unit Price]]*1.01, "Price Variance", "OK")</f>
        <v>OK</v>
      </c>
      <c r="T55" t="str">
        <f>IF(po_master[[#This Row],[Actual Delivery Date]]&gt;po_master[[#This Row],[Promised Delivey Date]], "Late Delivery", "OK")</f>
        <v>OK</v>
      </c>
      <c r="U55" t="str">
        <f>IF(COUNTIF(po_master[PO Number],po_master[[#This Row],[PO Number]])&gt;1, "Duplicate Invoice", "OK")</f>
        <v>OK</v>
      </c>
      <c r="V55" s="5">
        <f>IF(po_master[[#This Row],[Missing Approval]]="Missing Approval", 1, 0)</f>
        <v>0</v>
      </c>
      <c r="W55" s="5">
        <f>IF(po_master[[#This Row],[GR Receipt Status]]="No GR - Not Received", 1, 0)</f>
        <v>0</v>
      </c>
      <c r="X55" s="5">
        <f>IF(po_master[[#This Row],[No invoice]]="No Invoice", 1, 0)</f>
        <v>0</v>
      </c>
      <c r="Y55" s="5">
        <f>IF(po_master[[#This Row],[Date Check]]="Invalid Date", 1, 0)</f>
        <v>0</v>
      </c>
      <c r="Z55" s="5">
        <f>IF(po_master[[#This Row],[Qty Variance Flag]]="Qty Variance", 1, 0)</f>
        <v>0</v>
      </c>
      <c r="AA55" s="5">
        <f>IF(po_master[[#This Row],[Price Variance Flag]]="Price Variance", 1, 0)</f>
        <v>0</v>
      </c>
      <c r="AB55" s="5">
        <f>IF(po_master[[#This Row],[Late Delivery Flag]]="Late Delivery", 1, 0)</f>
        <v>0</v>
      </c>
      <c r="AC55" s="5">
        <f>IF(po_master[[#This Row],[Duplicate Invoice Flag]]="Duplicate Invoice", 1, 0)</f>
        <v>0</v>
      </c>
      <c r="AD55" s="5" t="str">
        <f>TEXT(po_master[[#This Row],[Order Date]],"YYYY-MM")</f>
        <v>2026-03</v>
      </c>
    </row>
    <row r="56" spans="1:30" x14ac:dyDescent="0.25">
      <c r="A56" t="s">
        <v>55</v>
      </c>
      <c r="B56" t="s">
        <v>1495</v>
      </c>
      <c r="C56" s="1">
        <v>46172</v>
      </c>
      <c r="D56">
        <v>299</v>
      </c>
      <c r="E56">
        <v>106.94</v>
      </c>
      <c r="F56" t="s">
        <v>1458</v>
      </c>
      <c r="G56" s="1">
        <v>46183</v>
      </c>
      <c r="H56">
        <v>299</v>
      </c>
      <c r="I56" s="1">
        <v>46183</v>
      </c>
      <c r="J56" t="s">
        <v>706</v>
      </c>
      <c r="K56">
        <v>299</v>
      </c>
      <c r="L56">
        <v>106.94</v>
      </c>
      <c r="M56" s="1">
        <v>46185</v>
      </c>
      <c r="N56" t="str">
        <f>IF(po_master[[#This Row],[Approved By]]="", "Missing Approval", "OK")</f>
        <v>OK</v>
      </c>
      <c r="O56" t="str">
        <f>IF(ISBLANK(po_master[[#This Row],[GR Quantity]]), "No GR - Not received", "OK")</f>
        <v>OK</v>
      </c>
      <c r="P56" t="str">
        <f>IF(po_master[[#This Row],[Promised Delivey Date]]&lt;po_master[[#This Row],[Order Date]], "Invalid", "OK")</f>
        <v>OK</v>
      </c>
      <c r="Q56" t="str">
        <f>IF(ISBLANK(po_master[[#This Row],[Invoice Number]]), "No Invoice", "OK")</f>
        <v>OK</v>
      </c>
      <c r="R56" t="str">
        <f>IF(AND(NOT(ISBLANK(po_master[[#This Row],[GR Quantity]])), po_master[[#This Row],[GR Quantity]]&lt;&gt;po_master[[#This Row],[PO Quantity]]), "Qty Variance", "OK")</f>
        <v>OK</v>
      </c>
      <c r="S56" t="str">
        <f>IF(po_master[[#This Row],[Invoice Unit Price]]&gt;po_master[[#This Row],[PO Unit Price]]*1.01, "Price Variance", "OK")</f>
        <v>OK</v>
      </c>
      <c r="T56" t="str">
        <f>IF(po_master[[#This Row],[Actual Delivery Date]]&gt;po_master[[#This Row],[Promised Delivey Date]], "Late Delivery", "OK")</f>
        <v>OK</v>
      </c>
      <c r="U56" t="str">
        <f>IF(COUNTIF(po_master[PO Number],po_master[[#This Row],[PO Number]])&gt;1, "Duplicate Invoice", "OK")</f>
        <v>OK</v>
      </c>
      <c r="V56" s="5">
        <f>IF(po_master[[#This Row],[Missing Approval]]="Missing Approval", 1, 0)</f>
        <v>0</v>
      </c>
      <c r="W56" s="5">
        <f>IF(po_master[[#This Row],[GR Receipt Status]]="No GR - Not Received", 1, 0)</f>
        <v>0</v>
      </c>
      <c r="X56" s="5">
        <f>IF(po_master[[#This Row],[No invoice]]="No Invoice", 1, 0)</f>
        <v>0</v>
      </c>
      <c r="Y56" s="5">
        <f>IF(po_master[[#This Row],[Date Check]]="Invalid Date", 1, 0)</f>
        <v>0</v>
      </c>
      <c r="Z56" s="5">
        <f>IF(po_master[[#This Row],[Qty Variance Flag]]="Qty Variance", 1, 0)</f>
        <v>0</v>
      </c>
      <c r="AA56" s="5">
        <f>IF(po_master[[#This Row],[Price Variance Flag]]="Price Variance", 1, 0)</f>
        <v>0</v>
      </c>
      <c r="AB56" s="5">
        <f>IF(po_master[[#This Row],[Late Delivery Flag]]="Late Delivery", 1, 0)</f>
        <v>0</v>
      </c>
      <c r="AC56" s="5">
        <f>IF(po_master[[#This Row],[Duplicate Invoice Flag]]="Duplicate Invoice", 1, 0)</f>
        <v>0</v>
      </c>
      <c r="AD56" s="5" t="str">
        <f>TEXT(po_master[[#This Row],[Order Date]],"YYYY-MM")</f>
        <v>2026-05</v>
      </c>
    </row>
    <row r="57" spans="1:30" x14ac:dyDescent="0.25">
      <c r="A57" t="s">
        <v>56</v>
      </c>
      <c r="B57" t="s">
        <v>1489</v>
      </c>
      <c r="C57" s="1">
        <v>46103</v>
      </c>
      <c r="D57">
        <v>485</v>
      </c>
      <c r="E57">
        <v>151.61000000000001</v>
      </c>
      <c r="F57" t="s">
        <v>1476</v>
      </c>
      <c r="G57" s="1">
        <v>46108</v>
      </c>
      <c r="H57">
        <v>485</v>
      </c>
      <c r="I57" s="1">
        <v>46106</v>
      </c>
      <c r="J57" t="s">
        <v>709</v>
      </c>
      <c r="K57">
        <v>485</v>
      </c>
      <c r="L57">
        <v>151.61000000000001</v>
      </c>
      <c r="M57" s="1">
        <v>46116</v>
      </c>
      <c r="N57" t="str">
        <f>IF(po_master[[#This Row],[Approved By]]="", "Missing Approval", "OK")</f>
        <v>OK</v>
      </c>
      <c r="O57" t="str">
        <f>IF(ISBLANK(po_master[[#This Row],[GR Quantity]]), "No GR - Not received", "OK")</f>
        <v>OK</v>
      </c>
      <c r="P57" t="str">
        <f>IF(po_master[[#This Row],[Promised Delivey Date]]&lt;po_master[[#This Row],[Order Date]], "Invalid", "OK")</f>
        <v>OK</v>
      </c>
      <c r="Q57" t="str">
        <f>IF(ISBLANK(po_master[[#This Row],[Invoice Number]]), "No Invoice", "OK")</f>
        <v>OK</v>
      </c>
      <c r="R57" t="str">
        <f>IF(AND(NOT(ISBLANK(po_master[[#This Row],[GR Quantity]])), po_master[[#This Row],[GR Quantity]]&lt;&gt;po_master[[#This Row],[PO Quantity]]), "Qty Variance", "OK")</f>
        <v>OK</v>
      </c>
      <c r="S57" t="str">
        <f>IF(po_master[[#This Row],[Invoice Unit Price]]&gt;po_master[[#This Row],[PO Unit Price]]*1.01, "Price Variance", "OK")</f>
        <v>OK</v>
      </c>
      <c r="T57" t="str">
        <f>IF(po_master[[#This Row],[Actual Delivery Date]]&gt;po_master[[#This Row],[Promised Delivey Date]], "Late Delivery", "OK")</f>
        <v>OK</v>
      </c>
      <c r="U57" t="str">
        <f>IF(COUNTIF(po_master[PO Number],po_master[[#This Row],[PO Number]])&gt;1, "Duplicate Invoice", "OK")</f>
        <v>OK</v>
      </c>
      <c r="V57" s="5">
        <f>IF(po_master[[#This Row],[Missing Approval]]="Missing Approval", 1, 0)</f>
        <v>0</v>
      </c>
      <c r="W57" s="5">
        <f>IF(po_master[[#This Row],[GR Receipt Status]]="No GR - Not Received", 1, 0)</f>
        <v>0</v>
      </c>
      <c r="X57" s="5">
        <f>IF(po_master[[#This Row],[No invoice]]="No Invoice", 1, 0)</f>
        <v>0</v>
      </c>
      <c r="Y57" s="5">
        <f>IF(po_master[[#This Row],[Date Check]]="Invalid Date", 1, 0)</f>
        <v>0</v>
      </c>
      <c r="Z57" s="5">
        <f>IF(po_master[[#This Row],[Qty Variance Flag]]="Qty Variance", 1, 0)</f>
        <v>0</v>
      </c>
      <c r="AA57" s="5">
        <f>IF(po_master[[#This Row],[Price Variance Flag]]="Price Variance", 1, 0)</f>
        <v>0</v>
      </c>
      <c r="AB57" s="5">
        <f>IF(po_master[[#This Row],[Late Delivery Flag]]="Late Delivery", 1, 0)</f>
        <v>0</v>
      </c>
      <c r="AC57" s="5">
        <f>IF(po_master[[#This Row],[Duplicate Invoice Flag]]="Duplicate Invoice", 1, 0)</f>
        <v>0</v>
      </c>
      <c r="AD57" s="5" t="str">
        <f>TEXT(po_master[[#This Row],[Order Date]],"YYYY-MM")</f>
        <v>2026-03</v>
      </c>
    </row>
    <row r="58" spans="1:30" x14ac:dyDescent="0.25">
      <c r="A58" t="s">
        <v>707</v>
      </c>
      <c r="B58" t="s">
        <v>1484</v>
      </c>
      <c r="C58" s="1">
        <v>46103</v>
      </c>
      <c r="D58">
        <v>132</v>
      </c>
      <c r="E58">
        <v>56.79</v>
      </c>
      <c r="F58" t="s">
        <v>1485</v>
      </c>
      <c r="G58" s="1">
        <v>46117</v>
      </c>
      <c r="I58" s="1"/>
      <c r="J58" t="s">
        <v>708</v>
      </c>
      <c r="K58">
        <v>132</v>
      </c>
      <c r="L58">
        <v>56.79</v>
      </c>
      <c r="M58" s="1">
        <v>46125</v>
      </c>
      <c r="N58" t="str">
        <f>IF(po_master[[#This Row],[Approved By]]="", "Missing Approval", "OK")</f>
        <v>OK</v>
      </c>
      <c r="O58" t="str">
        <f>IF(ISBLANK(po_master[[#This Row],[GR Quantity]]), "No GR - Not received", "OK")</f>
        <v>No GR - Not received</v>
      </c>
      <c r="P58" t="str">
        <f>IF(po_master[[#This Row],[Promised Delivey Date]]&lt;po_master[[#This Row],[Order Date]], "Invalid", "OK")</f>
        <v>OK</v>
      </c>
      <c r="Q58" t="str">
        <f>IF(ISBLANK(po_master[[#This Row],[Invoice Number]]), "No Invoice", "OK")</f>
        <v>OK</v>
      </c>
      <c r="R58" t="str">
        <f>IF(AND(NOT(ISBLANK(po_master[[#This Row],[GR Quantity]])), po_master[[#This Row],[GR Quantity]]&lt;&gt;po_master[[#This Row],[PO Quantity]]), "Qty Variance", "OK")</f>
        <v>OK</v>
      </c>
      <c r="S58" t="str">
        <f>IF(po_master[[#This Row],[Invoice Unit Price]]&gt;po_master[[#This Row],[PO Unit Price]]*1.01, "Price Variance", "OK")</f>
        <v>OK</v>
      </c>
      <c r="T58" t="str">
        <f>IF(po_master[[#This Row],[Actual Delivery Date]]&gt;po_master[[#This Row],[Promised Delivey Date]], "Late Delivery", "OK")</f>
        <v>OK</v>
      </c>
      <c r="U58" t="str">
        <f>IF(COUNTIF(po_master[PO Number],po_master[[#This Row],[PO Number]])&gt;1, "Duplicate Invoice", "OK")</f>
        <v>OK</v>
      </c>
      <c r="V58" s="5">
        <f>IF(po_master[[#This Row],[Missing Approval]]="Missing Approval", 1, 0)</f>
        <v>0</v>
      </c>
      <c r="W58" s="5">
        <f>IF(po_master[[#This Row],[GR Receipt Status]]="No GR - Not Received", 1, 0)</f>
        <v>1</v>
      </c>
      <c r="X58" s="5">
        <f>IF(po_master[[#This Row],[No invoice]]="No Invoice", 1, 0)</f>
        <v>0</v>
      </c>
      <c r="Y58" s="5">
        <f>IF(po_master[[#This Row],[Date Check]]="Invalid Date", 1, 0)</f>
        <v>0</v>
      </c>
      <c r="Z58" s="5">
        <f>IF(po_master[[#This Row],[Qty Variance Flag]]="Qty Variance", 1, 0)</f>
        <v>0</v>
      </c>
      <c r="AA58" s="5">
        <f>IF(po_master[[#This Row],[Price Variance Flag]]="Price Variance", 1, 0)</f>
        <v>0</v>
      </c>
      <c r="AB58" s="5">
        <f>IF(po_master[[#This Row],[Late Delivery Flag]]="Late Delivery", 1, 0)</f>
        <v>0</v>
      </c>
      <c r="AC58" s="5">
        <f>IF(po_master[[#This Row],[Duplicate Invoice Flag]]="Duplicate Invoice", 1, 0)</f>
        <v>0</v>
      </c>
      <c r="AD58" s="5" t="str">
        <f>TEXT(po_master[[#This Row],[Order Date]],"YYYY-MM")</f>
        <v>2026-03</v>
      </c>
    </row>
    <row r="59" spans="1:30" x14ac:dyDescent="0.25">
      <c r="A59" t="s">
        <v>57</v>
      </c>
      <c r="B59" t="s">
        <v>1489</v>
      </c>
      <c r="C59" s="1">
        <v>46167</v>
      </c>
      <c r="D59">
        <v>61</v>
      </c>
      <c r="E59">
        <v>19.29</v>
      </c>
      <c r="F59" t="s">
        <v>1444</v>
      </c>
      <c r="G59" s="1">
        <v>46188</v>
      </c>
      <c r="H59">
        <v>61</v>
      </c>
      <c r="I59" s="1">
        <v>46190</v>
      </c>
      <c r="J59" t="s">
        <v>710</v>
      </c>
      <c r="K59">
        <v>61</v>
      </c>
      <c r="L59">
        <v>19.29</v>
      </c>
      <c r="M59" s="1">
        <v>46198</v>
      </c>
      <c r="N59" t="str">
        <f>IF(po_master[[#This Row],[Approved By]]="", "Missing Approval", "OK")</f>
        <v>OK</v>
      </c>
      <c r="O59" t="str">
        <f>IF(ISBLANK(po_master[[#This Row],[GR Quantity]]), "No GR - Not received", "OK")</f>
        <v>OK</v>
      </c>
      <c r="P59" t="str">
        <f>IF(po_master[[#This Row],[Promised Delivey Date]]&lt;po_master[[#This Row],[Order Date]], "Invalid", "OK")</f>
        <v>OK</v>
      </c>
      <c r="Q59" t="str">
        <f>IF(ISBLANK(po_master[[#This Row],[Invoice Number]]), "No Invoice", "OK")</f>
        <v>OK</v>
      </c>
      <c r="R59" t="str">
        <f>IF(AND(NOT(ISBLANK(po_master[[#This Row],[GR Quantity]])), po_master[[#This Row],[GR Quantity]]&lt;&gt;po_master[[#This Row],[PO Quantity]]), "Qty Variance", "OK")</f>
        <v>OK</v>
      </c>
      <c r="S59" t="str">
        <f>IF(po_master[[#This Row],[Invoice Unit Price]]&gt;po_master[[#This Row],[PO Unit Price]]*1.01, "Price Variance", "OK")</f>
        <v>OK</v>
      </c>
      <c r="T59" t="str">
        <f>IF(po_master[[#This Row],[Actual Delivery Date]]&gt;po_master[[#This Row],[Promised Delivey Date]], "Late Delivery", "OK")</f>
        <v>Late Delivery</v>
      </c>
      <c r="U59" t="str">
        <f>IF(COUNTIF(po_master[PO Number],po_master[[#This Row],[PO Number]])&gt;1, "Duplicate Invoice", "OK")</f>
        <v>OK</v>
      </c>
      <c r="V59" s="5">
        <f>IF(po_master[[#This Row],[Missing Approval]]="Missing Approval", 1, 0)</f>
        <v>0</v>
      </c>
      <c r="W59" s="5">
        <f>IF(po_master[[#This Row],[GR Receipt Status]]="No GR - Not Received", 1, 0)</f>
        <v>0</v>
      </c>
      <c r="X59" s="5">
        <f>IF(po_master[[#This Row],[No invoice]]="No Invoice", 1, 0)</f>
        <v>0</v>
      </c>
      <c r="Y59" s="5">
        <f>IF(po_master[[#This Row],[Date Check]]="Invalid Date", 1, 0)</f>
        <v>0</v>
      </c>
      <c r="Z59" s="5">
        <f>IF(po_master[[#This Row],[Qty Variance Flag]]="Qty Variance", 1, 0)</f>
        <v>0</v>
      </c>
      <c r="AA59" s="5">
        <f>IF(po_master[[#This Row],[Price Variance Flag]]="Price Variance", 1, 0)</f>
        <v>0</v>
      </c>
      <c r="AB59" s="5">
        <f>IF(po_master[[#This Row],[Late Delivery Flag]]="Late Delivery", 1, 0)</f>
        <v>1</v>
      </c>
      <c r="AC59" s="5">
        <f>IF(po_master[[#This Row],[Duplicate Invoice Flag]]="Duplicate Invoice", 1, 0)</f>
        <v>0</v>
      </c>
      <c r="AD59" s="5" t="str">
        <f>TEXT(po_master[[#This Row],[Order Date]],"YYYY-MM")</f>
        <v>2026-05</v>
      </c>
    </row>
    <row r="60" spans="1:30" x14ac:dyDescent="0.25">
      <c r="A60" t="s">
        <v>58</v>
      </c>
      <c r="B60" t="s">
        <v>1470</v>
      </c>
      <c r="C60" s="1">
        <v>46056</v>
      </c>
      <c r="D60">
        <v>487</v>
      </c>
      <c r="E60">
        <v>73.06</v>
      </c>
      <c r="F60" t="s">
        <v>1476</v>
      </c>
      <c r="G60" s="1">
        <v>46068</v>
      </c>
      <c r="H60">
        <v>487</v>
      </c>
      <c r="I60" s="1">
        <v>46070</v>
      </c>
      <c r="J60" t="s">
        <v>711</v>
      </c>
      <c r="K60">
        <v>487</v>
      </c>
      <c r="L60">
        <v>73.06</v>
      </c>
      <c r="M60" s="1">
        <v>46074</v>
      </c>
      <c r="N60" t="str">
        <f>IF(po_master[[#This Row],[Approved By]]="", "Missing Approval", "OK")</f>
        <v>OK</v>
      </c>
      <c r="O60" t="str">
        <f>IF(ISBLANK(po_master[[#This Row],[GR Quantity]]), "No GR - Not received", "OK")</f>
        <v>OK</v>
      </c>
      <c r="P60" t="str">
        <f>IF(po_master[[#This Row],[Promised Delivey Date]]&lt;po_master[[#This Row],[Order Date]], "Invalid", "OK")</f>
        <v>OK</v>
      </c>
      <c r="Q60" t="str">
        <f>IF(ISBLANK(po_master[[#This Row],[Invoice Number]]), "No Invoice", "OK")</f>
        <v>OK</v>
      </c>
      <c r="R60" t="str">
        <f>IF(AND(NOT(ISBLANK(po_master[[#This Row],[GR Quantity]])), po_master[[#This Row],[GR Quantity]]&lt;&gt;po_master[[#This Row],[PO Quantity]]), "Qty Variance", "OK")</f>
        <v>OK</v>
      </c>
      <c r="S60" t="str">
        <f>IF(po_master[[#This Row],[Invoice Unit Price]]&gt;po_master[[#This Row],[PO Unit Price]]*1.01, "Price Variance", "OK")</f>
        <v>OK</v>
      </c>
      <c r="T60" t="str">
        <f>IF(po_master[[#This Row],[Actual Delivery Date]]&gt;po_master[[#This Row],[Promised Delivey Date]], "Late Delivery", "OK")</f>
        <v>Late Delivery</v>
      </c>
      <c r="U60" t="str">
        <f>IF(COUNTIF(po_master[PO Number],po_master[[#This Row],[PO Number]])&gt;1, "Duplicate Invoice", "OK")</f>
        <v>Duplicate Invoice</v>
      </c>
      <c r="V60" s="5">
        <f>IF(po_master[[#This Row],[Missing Approval]]="Missing Approval", 1, 0)</f>
        <v>0</v>
      </c>
      <c r="W60" s="5">
        <f>IF(po_master[[#This Row],[GR Receipt Status]]="No GR - Not Received", 1, 0)</f>
        <v>0</v>
      </c>
      <c r="X60" s="5">
        <f>IF(po_master[[#This Row],[No invoice]]="No Invoice", 1, 0)</f>
        <v>0</v>
      </c>
      <c r="Y60" s="5">
        <f>IF(po_master[[#This Row],[Date Check]]="Invalid Date", 1, 0)</f>
        <v>0</v>
      </c>
      <c r="Z60" s="5">
        <f>IF(po_master[[#This Row],[Qty Variance Flag]]="Qty Variance", 1, 0)</f>
        <v>0</v>
      </c>
      <c r="AA60" s="5">
        <f>IF(po_master[[#This Row],[Price Variance Flag]]="Price Variance", 1, 0)</f>
        <v>0</v>
      </c>
      <c r="AB60" s="5">
        <f>IF(po_master[[#This Row],[Late Delivery Flag]]="Late Delivery", 1, 0)</f>
        <v>1</v>
      </c>
      <c r="AC60" s="5">
        <f>IF(po_master[[#This Row],[Duplicate Invoice Flag]]="Duplicate Invoice", 1, 0)</f>
        <v>1</v>
      </c>
      <c r="AD60" s="5" t="str">
        <f>TEXT(po_master[[#This Row],[Order Date]],"YYYY-MM")</f>
        <v>2026-02</v>
      </c>
    </row>
    <row r="61" spans="1:30" x14ac:dyDescent="0.25">
      <c r="A61" t="s">
        <v>58</v>
      </c>
      <c r="B61" t="s">
        <v>1470</v>
      </c>
      <c r="C61" s="1">
        <v>46056</v>
      </c>
      <c r="D61">
        <v>487</v>
      </c>
      <c r="E61">
        <v>73.06</v>
      </c>
      <c r="F61" t="s">
        <v>1476</v>
      </c>
      <c r="G61" s="1">
        <v>46068</v>
      </c>
      <c r="H61">
        <v>487</v>
      </c>
      <c r="I61" s="1">
        <v>46070</v>
      </c>
      <c r="J61" t="s">
        <v>712</v>
      </c>
      <c r="K61">
        <v>487</v>
      </c>
      <c r="L61">
        <v>73.06</v>
      </c>
      <c r="M61" s="1">
        <v>46078</v>
      </c>
      <c r="N61" t="str">
        <f>IF(po_master[[#This Row],[Approved By]]="", "Missing Approval", "OK")</f>
        <v>OK</v>
      </c>
      <c r="O61" t="str">
        <f>IF(ISBLANK(po_master[[#This Row],[GR Quantity]]), "No GR - Not received", "OK")</f>
        <v>OK</v>
      </c>
      <c r="P61" t="str">
        <f>IF(po_master[[#This Row],[Promised Delivey Date]]&lt;po_master[[#This Row],[Order Date]], "Invalid", "OK")</f>
        <v>OK</v>
      </c>
      <c r="Q61" t="str">
        <f>IF(ISBLANK(po_master[[#This Row],[Invoice Number]]), "No Invoice", "OK")</f>
        <v>OK</v>
      </c>
      <c r="R61" t="str">
        <f>IF(AND(NOT(ISBLANK(po_master[[#This Row],[GR Quantity]])), po_master[[#This Row],[GR Quantity]]&lt;&gt;po_master[[#This Row],[PO Quantity]]), "Qty Variance", "OK")</f>
        <v>OK</v>
      </c>
      <c r="S61" t="str">
        <f>IF(po_master[[#This Row],[Invoice Unit Price]]&gt;po_master[[#This Row],[PO Unit Price]]*1.01, "Price Variance", "OK")</f>
        <v>OK</v>
      </c>
      <c r="T61" t="str">
        <f>IF(po_master[[#This Row],[Actual Delivery Date]]&gt;po_master[[#This Row],[Promised Delivey Date]], "Late Delivery", "OK")</f>
        <v>Late Delivery</v>
      </c>
      <c r="U61" t="str">
        <f>IF(COUNTIF(po_master[PO Number],po_master[[#This Row],[PO Number]])&gt;1, "Duplicate Invoice", "OK")</f>
        <v>Duplicate Invoice</v>
      </c>
      <c r="V61" s="5">
        <f>IF(po_master[[#This Row],[Missing Approval]]="Missing Approval", 1, 0)</f>
        <v>0</v>
      </c>
      <c r="W61" s="5">
        <f>IF(po_master[[#This Row],[GR Receipt Status]]="No GR - Not Received", 1, 0)</f>
        <v>0</v>
      </c>
      <c r="X61" s="5">
        <f>IF(po_master[[#This Row],[No invoice]]="No Invoice", 1, 0)</f>
        <v>0</v>
      </c>
      <c r="Y61" s="5">
        <f>IF(po_master[[#This Row],[Date Check]]="Invalid Date", 1, 0)</f>
        <v>0</v>
      </c>
      <c r="Z61" s="5">
        <f>IF(po_master[[#This Row],[Qty Variance Flag]]="Qty Variance", 1, 0)</f>
        <v>0</v>
      </c>
      <c r="AA61" s="5">
        <f>IF(po_master[[#This Row],[Price Variance Flag]]="Price Variance", 1, 0)</f>
        <v>0</v>
      </c>
      <c r="AB61" s="5">
        <f>IF(po_master[[#This Row],[Late Delivery Flag]]="Late Delivery", 1, 0)</f>
        <v>1</v>
      </c>
      <c r="AC61" s="5">
        <f>IF(po_master[[#This Row],[Duplicate Invoice Flag]]="Duplicate Invoice", 1, 0)</f>
        <v>1</v>
      </c>
      <c r="AD61" s="5" t="str">
        <f>TEXT(po_master[[#This Row],[Order Date]],"YYYY-MM")</f>
        <v>2026-02</v>
      </c>
    </row>
    <row r="62" spans="1:30" x14ac:dyDescent="0.25">
      <c r="A62" t="s">
        <v>59</v>
      </c>
      <c r="B62" t="s">
        <v>1496</v>
      </c>
      <c r="C62" s="1">
        <v>46095</v>
      </c>
      <c r="D62">
        <v>90</v>
      </c>
      <c r="E62">
        <v>90.45</v>
      </c>
      <c r="F62" t="s">
        <v>1442</v>
      </c>
      <c r="G62" s="1">
        <v>46109</v>
      </c>
      <c r="H62">
        <v>90</v>
      </c>
      <c r="I62" s="1">
        <v>46108</v>
      </c>
      <c r="J62" t="s">
        <v>713</v>
      </c>
      <c r="K62">
        <v>90</v>
      </c>
      <c r="L62">
        <v>90.45</v>
      </c>
      <c r="M62" s="1">
        <v>46117</v>
      </c>
      <c r="N62" t="str">
        <f>IF(po_master[[#This Row],[Approved By]]="", "Missing Approval", "OK")</f>
        <v>OK</v>
      </c>
      <c r="O62" t="str">
        <f>IF(ISBLANK(po_master[[#This Row],[GR Quantity]]), "No GR - Not received", "OK")</f>
        <v>OK</v>
      </c>
      <c r="P62" t="str">
        <f>IF(po_master[[#This Row],[Promised Delivey Date]]&lt;po_master[[#This Row],[Order Date]], "Invalid", "OK")</f>
        <v>OK</v>
      </c>
      <c r="Q62" t="str">
        <f>IF(ISBLANK(po_master[[#This Row],[Invoice Number]]), "No Invoice", "OK")</f>
        <v>OK</v>
      </c>
      <c r="R62" t="str">
        <f>IF(AND(NOT(ISBLANK(po_master[[#This Row],[GR Quantity]])), po_master[[#This Row],[GR Quantity]]&lt;&gt;po_master[[#This Row],[PO Quantity]]), "Qty Variance", "OK")</f>
        <v>OK</v>
      </c>
      <c r="S62" t="str">
        <f>IF(po_master[[#This Row],[Invoice Unit Price]]&gt;po_master[[#This Row],[PO Unit Price]]*1.01, "Price Variance", "OK")</f>
        <v>OK</v>
      </c>
      <c r="T62" t="str">
        <f>IF(po_master[[#This Row],[Actual Delivery Date]]&gt;po_master[[#This Row],[Promised Delivey Date]], "Late Delivery", "OK")</f>
        <v>OK</v>
      </c>
      <c r="U62" t="str">
        <f>IF(COUNTIF(po_master[PO Number],po_master[[#This Row],[PO Number]])&gt;1, "Duplicate Invoice", "OK")</f>
        <v>OK</v>
      </c>
      <c r="V62" s="5">
        <f>IF(po_master[[#This Row],[Missing Approval]]="Missing Approval", 1, 0)</f>
        <v>0</v>
      </c>
      <c r="W62" s="5">
        <f>IF(po_master[[#This Row],[GR Receipt Status]]="No GR - Not Received", 1, 0)</f>
        <v>0</v>
      </c>
      <c r="X62" s="5">
        <f>IF(po_master[[#This Row],[No invoice]]="No Invoice", 1, 0)</f>
        <v>0</v>
      </c>
      <c r="Y62" s="5">
        <f>IF(po_master[[#This Row],[Date Check]]="Invalid Date", 1, 0)</f>
        <v>0</v>
      </c>
      <c r="Z62" s="5">
        <f>IF(po_master[[#This Row],[Qty Variance Flag]]="Qty Variance", 1, 0)</f>
        <v>0</v>
      </c>
      <c r="AA62" s="5">
        <f>IF(po_master[[#This Row],[Price Variance Flag]]="Price Variance", 1, 0)</f>
        <v>0</v>
      </c>
      <c r="AB62" s="5">
        <f>IF(po_master[[#This Row],[Late Delivery Flag]]="Late Delivery", 1, 0)</f>
        <v>0</v>
      </c>
      <c r="AC62" s="5">
        <f>IF(po_master[[#This Row],[Duplicate Invoice Flag]]="Duplicate Invoice", 1, 0)</f>
        <v>0</v>
      </c>
      <c r="AD62" s="5" t="str">
        <f>TEXT(po_master[[#This Row],[Order Date]],"YYYY-MM")</f>
        <v>2026-03</v>
      </c>
    </row>
    <row r="63" spans="1:30" x14ac:dyDescent="0.25">
      <c r="A63" t="s">
        <v>60</v>
      </c>
      <c r="B63" t="s">
        <v>1497</v>
      </c>
      <c r="C63" s="1">
        <v>46158</v>
      </c>
      <c r="D63">
        <v>14</v>
      </c>
      <c r="E63">
        <v>135.22999999999999</v>
      </c>
      <c r="F63" t="s">
        <v>1442</v>
      </c>
      <c r="G63" s="1">
        <v>46172</v>
      </c>
      <c r="H63">
        <v>14</v>
      </c>
      <c r="I63" s="1">
        <v>46172</v>
      </c>
      <c r="J63" t="s">
        <v>714</v>
      </c>
      <c r="K63">
        <v>14</v>
      </c>
      <c r="L63">
        <v>135.22999999999999</v>
      </c>
      <c r="M63" s="1">
        <v>46181</v>
      </c>
      <c r="N63" t="str">
        <f>IF(po_master[[#This Row],[Approved By]]="", "Missing Approval", "OK")</f>
        <v>OK</v>
      </c>
      <c r="O63" t="str">
        <f>IF(ISBLANK(po_master[[#This Row],[GR Quantity]]), "No GR - Not received", "OK")</f>
        <v>OK</v>
      </c>
      <c r="P63" t="str">
        <f>IF(po_master[[#This Row],[Promised Delivey Date]]&lt;po_master[[#This Row],[Order Date]], "Invalid", "OK")</f>
        <v>OK</v>
      </c>
      <c r="Q63" t="str">
        <f>IF(ISBLANK(po_master[[#This Row],[Invoice Number]]), "No Invoice", "OK")</f>
        <v>OK</v>
      </c>
      <c r="R63" t="str">
        <f>IF(AND(NOT(ISBLANK(po_master[[#This Row],[GR Quantity]])), po_master[[#This Row],[GR Quantity]]&lt;&gt;po_master[[#This Row],[PO Quantity]]), "Qty Variance", "OK")</f>
        <v>OK</v>
      </c>
      <c r="S63" t="str">
        <f>IF(po_master[[#This Row],[Invoice Unit Price]]&gt;po_master[[#This Row],[PO Unit Price]]*1.01, "Price Variance", "OK")</f>
        <v>OK</v>
      </c>
      <c r="T63" t="str">
        <f>IF(po_master[[#This Row],[Actual Delivery Date]]&gt;po_master[[#This Row],[Promised Delivey Date]], "Late Delivery", "OK")</f>
        <v>OK</v>
      </c>
      <c r="U63" t="str">
        <f>IF(COUNTIF(po_master[PO Number],po_master[[#This Row],[PO Number]])&gt;1, "Duplicate Invoice", "OK")</f>
        <v>OK</v>
      </c>
      <c r="V63" s="5">
        <f>IF(po_master[[#This Row],[Missing Approval]]="Missing Approval", 1, 0)</f>
        <v>0</v>
      </c>
      <c r="W63" s="5">
        <f>IF(po_master[[#This Row],[GR Receipt Status]]="No GR - Not Received", 1, 0)</f>
        <v>0</v>
      </c>
      <c r="X63" s="5">
        <f>IF(po_master[[#This Row],[No invoice]]="No Invoice", 1, 0)</f>
        <v>0</v>
      </c>
      <c r="Y63" s="5">
        <f>IF(po_master[[#This Row],[Date Check]]="Invalid Date", 1, 0)</f>
        <v>0</v>
      </c>
      <c r="Z63" s="5">
        <f>IF(po_master[[#This Row],[Qty Variance Flag]]="Qty Variance", 1, 0)</f>
        <v>0</v>
      </c>
      <c r="AA63" s="5">
        <f>IF(po_master[[#This Row],[Price Variance Flag]]="Price Variance", 1, 0)</f>
        <v>0</v>
      </c>
      <c r="AB63" s="5">
        <f>IF(po_master[[#This Row],[Late Delivery Flag]]="Late Delivery", 1, 0)</f>
        <v>0</v>
      </c>
      <c r="AC63" s="5">
        <f>IF(po_master[[#This Row],[Duplicate Invoice Flag]]="Duplicate Invoice", 1, 0)</f>
        <v>0</v>
      </c>
      <c r="AD63" s="5" t="str">
        <f>TEXT(po_master[[#This Row],[Order Date]],"YYYY-MM")</f>
        <v>2026-05</v>
      </c>
    </row>
    <row r="64" spans="1:30" x14ac:dyDescent="0.25">
      <c r="A64" t="s">
        <v>61</v>
      </c>
      <c r="B64" t="s">
        <v>1484</v>
      </c>
      <c r="C64" s="1">
        <v>46049</v>
      </c>
      <c r="D64">
        <v>490</v>
      </c>
      <c r="E64">
        <v>176.23</v>
      </c>
      <c r="F64" t="s">
        <v>1458</v>
      </c>
      <c r="G64" s="1">
        <v>46057</v>
      </c>
      <c r="H64">
        <v>490</v>
      </c>
      <c r="I64" s="1">
        <v>46059</v>
      </c>
      <c r="J64" t="s">
        <v>715</v>
      </c>
      <c r="K64">
        <v>490</v>
      </c>
      <c r="L64">
        <v>195.61</v>
      </c>
      <c r="M64" s="1">
        <v>46066</v>
      </c>
      <c r="N64" t="str">
        <f>IF(po_master[[#This Row],[Approved By]]="", "Missing Approval", "OK")</f>
        <v>OK</v>
      </c>
      <c r="O64" t="str">
        <f>IF(ISBLANK(po_master[[#This Row],[GR Quantity]]), "No GR - Not received", "OK")</f>
        <v>OK</v>
      </c>
      <c r="P64" t="str">
        <f>IF(po_master[[#This Row],[Promised Delivey Date]]&lt;po_master[[#This Row],[Order Date]], "Invalid", "OK")</f>
        <v>OK</v>
      </c>
      <c r="Q64" t="str">
        <f>IF(ISBLANK(po_master[[#This Row],[Invoice Number]]), "No Invoice", "OK")</f>
        <v>OK</v>
      </c>
      <c r="R64" t="str">
        <f>IF(AND(NOT(ISBLANK(po_master[[#This Row],[GR Quantity]])), po_master[[#This Row],[GR Quantity]]&lt;&gt;po_master[[#This Row],[PO Quantity]]), "Qty Variance", "OK")</f>
        <v>OK</v>
      </c>
      <c r="S64" t="str">
        <f>IF(po_master[[#This Row],[Invoice Unit Price]]&gt;po_master[[#This Row],[PO Unit Price]]*1.01, "Price Variance", "OK")</f>
        <v>Price Variance</v>
      </c>
      <c r="T64" t="str">
        <f>IF(po_master[[#This Row],[Actual Delivery Date]]&gt;po_master[[#This Row],[Promised Delivey Date]], "Late Delivery", "OK")</f>
        <v>Late Delivery</v>
      </c>
      <c r="U64" t="str">
        <f>IF(COUNTIF(po_master[PO Number],po_master[[#This Row],[PO Number]])&gt;1, "Duplicate Invoice", "OK")</f>
        <v>OK</v>
      </c>
      <c r="V64" s="5">
        <f>IF(po_master[[#This Row],[Missing Approval]]="Missing Approval", 1, 0)</f>
        <v>0</v>
      </c>
      <c r="W64" s="5">
        <f>IF(po_master[[#This Row],[GR Receipt Status]]="No GR - Not Received", 1, 0)</f>
        <v>0</v>
      </c>
      <c r="X64" s="5">
        <f>IF(po_master[[#This Row],[No invoice]]="No Invoice", 1, 0)</f>
        <v>0</v>
      </c>
      <c r="Y64" s="5">
        <f>IF(po_master[[#This Row],[Date Check]]="Invalid Date", 1, 0)</f>
        <v>0</v>
      </c>
      <c r="Z64" s="5">
        <f>IF(po_master[[#This Row],[Qty Variance Flag]]="Qty Variance", 1, 0)</f>
        <v>0</v>
      </c>
      <c r="AA64" s="5">
        <f>IF(po_master[[#This Row],[Price Variance Flag]]="Price Variance", 1, 0)</f>
        <v>1</v>
      </c>
      <c r="AB64" s="5">
        <f>IF(po_master[[#This Row],[Late Delivery Flag]]="Late Delivery", 1, 0)</f>
        <v>1</v>
      </c>
      <c r="AC64" s="5">
        <f>IF(po_master[[#This Row],[Duplicate Invoice Flag]]="Duplicate Invoice", 1, 0)</f>
        <v>0</v>
      </c>
      <c r="AD64" s="5" t="str">
        <f>TEXT(po_master[[#This Row],[Order Date]],"YYYY-MM")</f>
        <v>2026-01</v>
      </c>
    </row>
    <row r="65" spans="1:30" x14ac:dyDescent="0.25">
      <c r="A65" t="s">
        <v>62</v>
      </c>
      <c r="B65" t="s">
        <v>1450</v>
      </c>
      <c r="C65" s="1">
        <v>46164</v>
      </c>
      <c r="D65">
        <v>89</v>
      </c>
      <c r="E65">
        <v>58.11</v>
      </c>
      <c r="F65" t="s">
        <v>1494</v>
      </c>
      <c r="G65" s="1">
        <v>46175</v>
      </c>
      <c r="H65">
        <v>89</v>
      </c>
      <c r="I65" s="1">
        <v>46173</v>
      </c>
      <c r="J65" t="s">
        <v>716</v>
      </c>
      <c r="K65">
        <v>89</v>
      </c>
      <c r="L65">
        <v>58.11</v>
      </c>
      <c r="M65" s="1">
        <v>46183</v>
      </c>
      <c r="N65" t="str">
        <f>IF(po_master[[#This Row],[Approved By]]="", "Missing Approval", "OK")</f>
        <v>OK</v>
      </c>
      <c r="O65" t="str">
        <f>IF(ISBLANK(po_master[[#This Row],[GR Quantity]]), "No GR - Not received", "OK")</f>
        <v>OK</v>
      </c>
      <c r="P65" t="str">
        <f>IF(po_master[[#This Row],[Promised Delivey Date]]&lt;po_master[[#This Row],[Order Date]], "Invalid", "OK")</f>
        <v>OK</v>
      </c>
      <c r="Q65" t="str">
        <f>IF(ISBLANK(po_master[[#This Row],[Invoice Number]]), "No Invoice", "OK")</f>
        <v>OK</v>
      </c>
      <c r="R65" t="str">
        <f>IF(AND(NOT(ISBLANK(po_master[[#This Row],[GR Quantity]])), po_master[[#This Row],[GR Quantity]]&lt;&gt;po_master[[#This Row],[PO Quantity]]), "Qty Variance", "OK")</f>
        <v>OK</v>
      </c>
      <c r="S65" t="str">
        <f>IF(po_master[[#This Row],[Invoice Unit Price]]&gt;po_master[[#This Row],[PO Unit Price]]*1.01, "Price Variance", "OK")</f>
        <v>OK</v>
      </c>
      <c r="T65" t="str">
        <f>IF(po_master[[#This Row],[Actual Delivery Date]]&gt;po_master[[#This Row],[Promised Delivey Date]], "Late Delivery", "OK")</f>
        <v>OK</v>
      </c>
      <c r="U65" t="str">
        <f>IF(COUNTIF(po_master[PO Number],po_master[[#This Row],[PO Number]])&gt;1, "Duplicate Invoice", "OK")</f>
        <v>OK</v>
      </c>
      <c r="V65" s="5">
        <f>IF(po_master[[#This Row],[Missing Approval]]="Missing Approval", 1, 0)</f>
        <v>0</v>
      </c>
      <c r="W65" s="5">
        <f>IF(po_master[[#This Row],[GR Receipt Status]]="No GR - Not Received", 1, 0)</f>
        <v>0</v>
      </c>
      <c r="X65" s="5">
        <f>IF(po_master[[#This Row],[No invoice]]="No Invoice", 1, 0)</f>
        <v>0</v>
      </c>
      <c r="Y65" s="5">
        <f>IF(po_master[[#This Row],[Date Check]]="Invalid Date", 1, 0)</f>
        <v>0</v>
      </c>
      <c r="Z65" s="5">
        <f>IF(po_master[[#This Row],[Qty Variance Flag]]="Qty Variance", 1, 0)</f>
        <v>0</v>
      </c>
      <c r="AA65" s="5">
        <f>IF(po_master[[#This Row],[Price Variance Flag]]="Price Variance", 1, 0)</f>
        <v>0</v>
      </c>
      <c r="AB65" s="5">
        <f>IF(po_master[[#This Row],[Late Delivery Flag]]="Late Delivery", 1, 0)</f>
        <v>0</v>
      </c>
      <c r="AC65" s="5">
        <f>IF(po_master[[#This Row],[Duplicate Invoice Flag]]="Duplicate Invoice", 1, 0)</f>
        <v>0</v>
      </c>
      <c r="AD65" s="5" t="str">
        <f>TEXT(po_master[[#This Row],[Order Date]],"YYYY-MM")</f>
        <v>2026-05</v>
      </c>
    </row>
    <row r="66" spans="1:30" x14ac:dyDescent="0.25">
      <c r="A66" t="s">
        <v>63</v>
      </c>
      <c r="B66" t="s">
        <v>1455</v>
      </c>
      <c r="C66" s="1">
        <v>46110</v>
      </c>
      <c r="D66">
        <v>114</v>
      </c>
      <c r="E66">
        <v>139.06</v>
      </c>
      <c r="F66" t="s">
        <v>1458</v>
      </c>
      <c r="G66" s="1">
        <v>46131</v>
      </c>
      <c r="H66">
        <v>114</v>
      </c>
      <c r="I66" s="1">
        <v>46133</v>
      </c>
      <c r="J66" t="s">
        <v>717</v>
      </c>
      <c r="K66">
        <v>114</v>
      </c>
      <c r="L66">
        <v>146.41</v>
      </c>
      <c r="M66" s="1">
        <v>46141</v>
      </c>
      <c r="N66" t="str">
        <f>IF(po_master[[#This Row],[Approved By]]="", "Missing Approval", "OK")</f>
        <v>OK</v>
      </c>
      <c r="O66" t="str">
        <f>IF(ISBLANK(po_master[[#This Row],[GR Quantity]]), "No GR - Not received", "OK")</f>
        <v>OK</v>
      </c>
      <c r="P66" t="str">
        <f>IF(po_master[[#This Row],[Promised Delivey Date]]&lt;po_master[[#This Row],[Order Date]], "Invalid", "OK")</f>
        <v>OK</v>
      </c>
      <c r="Q66" t="str">
        <f>IF(ISBLANK(po_master[[#This Row],[Invoice Number]]), "No Invoice", "OK")</f>
        <v>OK</v>
      </c>
      <c r="R66" t="str">
        <f>IF(AND(NOT(ISBLANK(po_master[[#This Row],[GR Quantity]])), po_master[[#This Row],[GR Quantity]]&lt;&gt;po_master[[#This Row],[PO Quantity]]), "Qty Variance", "OK")</f>
        <v>OK</v>
      </c>
      <c r="S66" t="str">
        <f>IF(po_master[[#This Row],[Invoice Unit Price]]&gt;po_master[[#This Row],[PO Unit Price]]*1.01, "Price Variance", "OK")</f>
        <v>Price Variance</v>
      </c>
      <c r="T66" t="str">
        <f>IF(po_master[[#This Row],[Actual Delivery Date]]&gt;po_master[[#This Row],[Promised Delivey Date]], "Late Delivery", "OK")</f>
        <v>Late Delivery</v>
      </c>
      <c r="U66" t="str">
        <f>IF(COUNTIF(po_master[PO Number],po_master[[#This Row],[PO Number]])&gt;1, "Duplicate Invoice", "OK")</f>
        <v>OK</v>
      </c>
      <c r="V66" s="5">
        <f>IF(po_master[[#This Row],[Missing Approval]]="Missing Approval", 1, 0)</f>
        <v>0</v>
      </c>
      <c r="W66" s="5">
        <f>IF(po_master[[#This Row],[GR Receipt Status]]="No GR - Not Received", 1, 0)</f>
        <v>0</v>
      </c>
      <c r="X66" s="5">
        <f>IF(po_master[[#This Row],[No invoice]]="No Invoice", 1, 0)</f>
        <v>0</v>
      </c>
      <c r="Y66" s="5">
        <f>IF(po_master[[#This Row],[Date Check]]="Invalid Date", 1, 0)</f>
        <v>0</v>
      </c>
      <c r="Z66" s="5">
        <f>IF(po_master[[#This Row],[Qty Variance Flag]]="Qty Variance", 1, 0)</f>
        <v>0</v>
      </c>
      <c r="AA66" s="5">
        <f>IF(po_master[[#This Row],[Price Variance Flag]]="Price Variance", 1, 0)</f>
        <v>1</v>
      </c>
      <c r="AB66" s="5">
        <f>IF(po_master[[#This Row],[Late Delivery Flag]]="Late Delivery", 1, 0)</f>
        <v>1</v>
      </c>
      <c r="AC66" s="5">
        <f>IF(po_master[[#This Row],[Duplicate Invoice Flag]]="Duplicate Invoice", 1, 0)</f>
        <v>0</v>
      </c>
      <c r="AD66" s="5" t="str">
        <f>TEXT(po_master[[#This Row],[Order Date]],"YYYY-MM")</f>
        <v>2026-03</v>
      </c>
    </row>
    <row r="67" spans="1:30" x14ac:dyDescent="0.25">
      <c r="A67" t="s">
        <v>64</v>
      </c>
      <c r="B67" t="s">
        <v>1498</v>
      </c>
      <c r="C67" s="1">
        <v>46087</v>
      </c>
      <c r="D67">
        <v>473</v>
      </c>
      <c r="E67">
        <v>182.09</v>
      </c>
      <c r="F67" t="s">
        <v>1462</v>
      </c>
      <c r="G67" s="1">
        <v>46094</v>
      </c>
      <c r="H67">
        <v>473</v>
      </c>
      <c r="I67" s="1">
        <v>46094</v>
      </c>
      <c r="J67" t="s">
        <v>718</v>
      </c>
      <c r="K67">
        <v>473</v>
      </c>
      <c r="L67">
        <v>215.58</v>
      </c>
      <c r="M67" s="1">
        <v>46101</v>
      </c>
      <c r="N67" t="str">
        <f>IF(po_master[[#This Row],[Approved By]]="", "Missing Approval", "OK")</f>
        <v>OK</v>
      </c>
      <c r="O67" t="str">
        <f>IF(ISBLANK(po_master[[#This Row],[GR Quantity]]), "No GR - Not received", "OK")</f>
        <v>OK</v>
      </c>
      <c r="P67" t="str">
        <f>IF(po_master[[#This Row],[Promised Delivey Date]]&lt;po_master[[#This Row],[Order Date]], "Invalid", "OK")</f>
        <v>OK</v>
      </c>
      <c r="Q67" t="str">
        <f>IF(ISBLANK(po_master[[#This Row],[Invoice Number]]), "No Invoice", "OK")</f>
        <v>OK</v>
      </c>
      <c r="R67" t="str">
        <f>IF(AND(NOT(ISBLANK(po_master[[#This Row],[GR Quantity]])), po_master[[#This Row],[GR Quantity]]&lt;&gt;po_master[[#This Row],[PO Quantity]]), "Qty Variance", "OK")</f>
        <v>OK</v>
      </c>
      <c r="S67" t="str">
        <f>IF(po_master[[#This Row],[Invoice Unit Price]]&gt;po_master[[#This Row],[PO Unit Price]]*1.01, "Price Variance", "OK")</f>
        <v>Price Variance</v>
      </c>
      <c r="T67" t="str">
        <f>IF(po_master[[#This Row],[Actual Delivery Date]]&gt;po_master[[#This Row],[Promised Delivey Date]], "Late Delivery", "OK")</f>
        <v>OK</v>
      </c>
      <c r="U67" t="str">
        <f>IF(COUNTIF(po_master[PO Number],po_master[[#This Row],[PO Number]])&gt;1, "Duplicate Invoice", "OK")</f>
        <v>OK</v>
      </c>
      <c r="V67" s="5">
        <f>IF(po_master[[#This Row],[Missing Approval]]="Missing Approval", 1, 0)</f>
        <v>0</v>
      </c>
      <c r="W67" s="5">
        <f>IF(po_master[[#This Row],[GR Receipt Status]]="No GR - Not Received", 1, 0)</f>
        <v>0</v>
      </c>
      <c r="X67" s="5">
        <f>IF(po_master[[#This Row],[No invoice]]="No Invoice", 1, 0)</f>
        <v>0</v>
      </c>
      <c r="Y67" s="5">
        <f>IF(po_master[[#This Row],[Date Check]]="Invalid Date", 1, 0)</f>
        <v>0</v>
      </c>
      <c r="Z67" s="5">
        <f>IF(po_master[[#This Row],[Qty Variance Flag]]="Qty Variance", 1, 0)</f>
        <v>0</v>
      </c>
      <c r="AA67" s="5">
        <f>IF(po_master[[#This Row],[Price Variance Flag]]="Price Variance", 1, 0)</f>
        <v>1</v>
      </c>
      <c r="AB67" s="5">
        <f>IF(po_master[[#This Row],[Late Delivery Flag]]="Late Delivery", 1, 0)</f>
        <v>0</v>
      </c>
      <c r="AC67" s="5">
        <f>IF(po_master[[#This Row],[Duplicate Invoice Flag]]="Duplicate Invoice", 1, 0)</f>
        <v>0</v>
      </c>
      <c r="AD67" s="5" t="str">
        <f>TEXT(po_master[[#This Row],[Order Date]],"YYYY-MM")</f>
        <v>2026-03</v>
      </c>
    </row>
    <row r="68" spans="1:30" x14ac:dyDescent="0.25">
      <c r="A68" t="s">
        <v>65</v>
      </c>
      <c r="B68" t="s">
        <v>1439</v>
      </c>
      <c r="C68" s="1">
        <v>46131</v>
      </c>
      <c r="D68">
        <v>434</v>
      </c>
      <c r="E68">
        <v>58.95</v>
      </c>
      <c r="F68" t="s">
        <v>1448</v>
      </c>
      <c r="G68" s="1">
        <v>46146</v>
      </c>
      <c r="H68">
        <v>434</v>
      </c>
      <c r="I68" s="1">
        <v>46146</v>
      </c>
      <c r="J68" t="s">
        <v>719</v>
      </c>
      <c r="K68">
        <v>434</v>
      </c>
      <c r="L68">
        <v>58.95</v>
      </c>
      <c r="M68" s="1">
        <v>46156</v>
      </c>
      <c r="N68" t="str">
        <f>IF(po_master[[#This Row],[Approved By]]="", "Missing Approval", "OK")</f>
        <v>OK</v>
      </c>
      <c r="O68" t="str">
        <f>IF(ISBLANK(po_master[[#This Row],[GR Quantity]]), "No GR - Not received", "OK")</f>
        <v>OK</v>
      </c>
      <c r="P68" t="str">
        <f>IF(po_master[[#This Row],[Promised Delivey Date]]&lt;po_master[[#This Row],[Order Date]], "Invalid", "OK")</f>
        <v>OK</v>
      </c>
      <c r="Q68" t="str">
        <f>IF(ISBLANK(po_master[[#This Row],[Invoice Number]]), "No Invoice", "OK")</f>
        <v>OK</v>
      </c>
      <c r="R68" t="str">
        <f>IF(AND(NOT(ISBLANK(po_master[[#This Row],[GR Quantity]])), po_master[[#This Row],[GR Quantity]]&lt;&gt;po_master[[#This Row],[PO Quantity]]), "Qty Variance", "OK")</f>
        <v>OK</v>
      </c>
      <c r="S68" t="str">
        <f>IF(po_master[[#This Row],[Invoice Unit Price]]&gt;po_master[[#This Row],[PO Unit Price]]*1.01, "Price Variance", "OK")</f>
        <v>OK</v>
      </c>
      <c r="T68" t="str">
        <f>IF(po_master[[#This Row],[Actual Delivery Date]]&gt;po_master[[#This Row],[Promised Delivey Date]], "Late Delivery", "OK")</f>
        <v>OK</v>
      </c>
      <c r="U68" t="str">
        <f>IF(COUNTIF(po_master[PO Number],po_master[[#This Row],[PO Number]])&gt;1, "Duplicate Invoice", "OK")</f>
        <v>OK</v>
      </c>
      <c r="V68" s="5">
        <f>IF(po_master[[#This Row],[Missing Approval]]="Missing Approval", 1, 0)</f>
        <v>0</v>
      </c>
      <c r="W68" s="5">
        <f>IF(po_master[[#This Row],[GR Receipt Status]]="No GR - Not Received", 1, 0)</f>
        <v>0</v>
      </c>
      <c r="X68" s="5">
        <f>IF(po_master[[#This Row],[No invoice]]="No Invoice", 1, 0)</f>
        <v>0</v>
      </c>
      <c r="Y68" s="5">
        <f>IF(po_master[[#This Row],[Date Check]]="Invalid Date", 1, 0)</f>
        <v>0</v>
      </c>
      <c r="Z68" s="5">
        <f>IF(po_master[[#This Row],[Qty Variance Flag]]="Qty Variance", 1, 0)</f>
        <v>0</v>
      </c>
      <c r="AA68" s="5">
        <f>IF(po_master[[#This Row],[Price Variance Flag]]="Price Variance", 1, 0)</f>
        <v>0</v>
      </c>
      <c r="AB68" s="5">
        <f>IF(po_master[[#This Row],[Late Delivery Flag]]="Late Delivery", 1, 0)</f>
        <v>0</v>
      </c>
      <c r="AC68" s="5">
        <f>IF(po_master[[#This Row],[Duplicate Invoice Flag]]="Duplicate Invoice", 1, 0)</f>
        <v>0</v>
      </c>
      <c r="AD68" s="5" t="str">
        <f>TEXT(po_master[[#This Row],[Order Date]],"YYYY-MM")</f>
        <v>2026-04</v>
      </c>
    </row>
    <row r="69" spans="1:30" x14ac:dyDescent="0.25">
      <c r="A69" t="s">
        <v>66</v>
      </c>
      <c r="B69" t="s">
        <v>1441</v>
      </c>
      <c r="C69" s="1">
        <v>46090</v>
      </c>
      <c r="D69">
        <v>92</v>
      </c>
      <c r="E69">
        <v>149.54</v>
      </c>
      <c r="F69" t="s">
        <v>1442</v>
      </c>
      <c r="G69" s="1">
        <v>46108</v>
      </c>
      <c r="H69">
        <v>92</v>
      </c>
      <c r="I69" s="1">
        <v>46108</v>
      </c>
      <c r="J69" t="s">
        <v>720</v>
      </c>
      <c r="K69">
        <v>92</v>
      </c>
      <c r="L69">
        <v>149.54</v>
      </c>
      <c r="M69" s="1">
        <v>46115</v>
      </c>
      <c r="N69" t="str">
        <f>IF(po_master[[#This Row],[Approved By]]="", "Missing Approval", "OK")</f>
        <v>OK</v>
      </c>
      <c r="O69" t="str">
        <f>IF(ISBLANK(po_master[[#This Row],[GR Quantity]]), "No GR - Not received", "OK")</f>
        <v>OK</v>
      </c>
      <c r="P69" t="str">
        <f>IF(po_master[[#This Row],[Promised Delivey Date]]&lt;po_master[[#This Row],[Order Date]], "Invalid", "OK")</f>
        <v>OK</v>
      </c>
      <c r="Q69" t="str">
        <f>IF(ISBLANK(po_master[[#This Row],[Invoice Number]]), "No Invoice", "OK")</f>
        <v>OK</v>
      </c>
      <c r="R69" t="str">
        <f>IF(AND(NOT(ISBLANK(po_master[[#This Row],[GR Quantity]])), po_master[[#This Row],[GR Quantity]]&lt;&gt;po_master[[#This Row],[PO Quantity]]), "Qty Variance", "OK")</f>
        <v>OK</v>
      </c>
      <c r="S69" t="str">
        <f>IF(po_master[[#This Row],[Invoice Unit Price]]&gt;po_master[[#This Row],[PO Unit Price]]*1.01, "Price Variance", "OK")</f>
        <v>OK</v>
      </c>
      <c r="T69" t="str">
        <f>IF(po_master[[#This Row],[Actual Delivery Date]]&gt;po_master[[#This Row],[Promised Delivey Date]], "Late Delivery", "OK")</f>
        <v>OK</v>
      </c>
      <c r="U69" t="str">
        <f>IF(COUNTIF(po_master[PO Number],po_master[[#This Row],[PO Number]])&gt;1, "Duplicate Invoice", "OK")</f>
        <v>Duplicate Invoice</v>
      </c>
      <c r="V69" s="5">
        <f>IF(po_master[[#This Row],[Missing Approval]]="Missing Approval", 1, 0)</f>
        <v>0</v>
      </c>
      <c r="W69" s="5">
        <f>IF(po_master[[#This Row],[GR Receipt Status]]="No GR - Not Received", 1, 0)</f>
        <v>0</v>
      </c>
      <c r="X69" s="5">
        <f>IF(po_master[[#This Row],[No invoice]]="No Invoice", 1, 0)</f>
        <v>0</v>
      </c>
      <c r="Y69" s="5">
        <f>IF(po_master[[#This Row],[Date Check]]="Invalid Date", 1, 0)</f>
        <v>0</v>
      </c>
      <c r="Z69" s="5">
        <f>IF(po_master[[#This Row],[Qty Variance Flag]]="Qty Variance", 1, 0)</f>
        <v>0</v>
      </c>
      <c r="AA69" s="5">
        <f>IF(po_master[[#This Row],[Price Variance Flag]]="Price Variance", 1, 0)</f>
        <v>0</v>
      </c>
      <c r="AB69" s="5">
        <f>IF(po_master[[#This Row],[Late Delivery Flag]]="Late Delivery", 1, 0)</f>
        <v>0</v>
      </c>
      <c r="AC69" s="5">
        <f>IF(po_master[[#This Row],[Duplicate Invoice Flag]]="Duplicate Invoice", 1, 0)</f>
        <v>1</v>
      </c>
      <c r="AD69" s="5" t="str">
        <f>TEXT(po_master[[#This Row],[Order Date]],"YYYY-MM")</f>
        <v>2026-03</v>
      </c>
    </row>
    <row r="70" spans="1:30" x14ac:dyDescent="0.25">
      <c r="A70" t="s">
        <v>66</v>
      </c>
      <c r="B70" t="s">
        <v>1441</v>
      </c>
      <c r="C70" s="1">
        <v>46090</v>
      </c>
      <c r="D70">
        <v>92</v>
      </c>
      <c r="E70">
        <v>149.54</v>
      </c>
      <c r="F70" t="s">
        <v>1442</v>
      </c>
      <c r="G70" s="1">
        <v>46108</v>
      </c>
      <c r="H70">
        <v>92</v>
      </c>
      <c r="I70" s="1">
        <v>46108</v>
      </c>
      <c r="J70" t="s">
        <v>721</v>
      </c>
      <c r="K70">
        <v>92</v>
      </c>
      <c r="L70">
        <v>149.54</v>
      </c>
      <c r="M70" s="1">
        <v>46118</v>
      </c>
      <c r="N70" t="str">
        <f>IF(po_master[[#This Row],[Approved By]]="", "Missing Approval", "OK")</f>
        <v>OK</v>
      </c>
      <c r="O70" t="str">
        <f>IF(ISBLANK(po_master[[#This Row],[GR Quantity]]), "No GR - Not received", "OK")</f>
        <v>OK</v>
      </c>
      <c r="P70" t="str">
        <f>IF(po_master[[#This Row],[Promised Delivey Date]]&lt;po_master[[#This Row],[Order Date]], "Invalid", "OK")</f>
        <v>OK</v>
      </c>
      <c r="Q70" t="str">
        <f>IF(ISBLANK(po_master[[#This Row],[Invoice Number]]), "No Invoice", "OK")</f>
        <v>OK</v>
      </c>
      <c r="R70" t="str">
        <f>IF(AND(NOT(ISBLANK(po_master[[#This Row],[GR Quantity]])), po_master[[#This Row],[GR Quantity]]&lt;&gt;po_master[[#This Row],[PO Quantity]]), "Qty Variance", "OK")</f>
        <v>OK</v>
      </c>
      <c r="S70" t="str">
        <f>IF(po_master[[#This Row],[Invoice Unit Price]]&gt;po_master[[#This Row],[PO Unit Price]]*1.01, "Price Variance", "OK")</f>
        <v>OK</v>
      </c>
      <c r="T70" t="str">
        <f>IF(po_master[[#This Row],[Actual Delivery Date]]&gt;po_master[[#This Row],[Promised Delivey Date]], "Late Delivery", "OK")</f>
        <v>OK</v>
      </c>
      <c r="U70" t="str">
        <f>IF(COUNTIF(po_master[PO Number],po_master[[#This Row],[PO Number]])&gt;1, "Duplicate Invoice", "OK")</f>
        <v>Duplicate Invoice</v>
      </c>
      <c r="V70" s="5">
        <f>IF(po_master[[#This Row],[Missing Approval]]="Missing Approval", 1, 0)</f>
        <v>0</v>
      </c>
      <c r="W70" s="5">
        <f>IF(po_master[[#This Row],[GR Receipt Status]]="No GR - Not Received", 1, 0)</f>
        <v>0</v>
      </c>
      <c r="X70" s="5">
        <f>IF(po_master[[#This Row],[No invoice]]="No Invoice", 1, 0)</f>
        <v>0</v>
      </c>
      <c r="Y70" s="5">
        <f>IF(po_master[[#This Row],[Date Check]]="Invalid Date", 1, 0)</f>
        <v>0</v>
      </c>
      <c r="Z70" s="5">
        <f>IF(po_master[[#This Row],[Qty Variance Flag]]="Qty Variance", 1, 0)</f>
        <v>0</v>
      </c>
      <c r="AA70" s="5">
        <f>IF(po_master[[#This Row],[Price Variance Flag]]="Price Variance", 1, 0)</f>
        <v>0</v>
      </c>
      <c r="AB70" s="5">
        <f>IF(po_master[[#This Row],[Late Delivery Flag]]="Late Delivery", 1, 0)</f>
        <v>0</v>
      </c>
      <c r="AC70" s="5">
        <f>IF(po_master[[#This Row],[Duplicate Invoice Flag]]="Duplicate Invoice", 1, 0)</f>
        <v>1</v>
      </c>
      <c r="AD70" s="5" t="str">
        <f>TEXT(po_master[[#This Row],[Order Date]],"YYYY-MM")</f>
        <v>2026-03</v>
      </c>
    </row>
    <row r="71" spans="1:30" x14ac:dyDescent="0.25">
      <c r="A71" t="s">
        <v>67</v>
      </c>
      <c r="B71" t="s">
        <v>1454</v>
      </c>
      <c r="C71" s="1">
        <v>46025</v>
      </c>
      <c r="D71">
        <v>67</v>
      </c>
      <c r="E71">
        <v>19.670000000000002</v>
      </c>
      <c r="F71" t="s">
        <v>1499</v>
      </c>
      <c r="G71" s="1">
        <v>46034</v>
      </c>
      <c r="H71">
        <v>67</v>
      </c>
      <c r="I71" s="1">
        <v>46036</v>
      </c>
      <c r="J71" t="s">
        <v>722</v>
      </c>
      <c r="K71">
        <v>67</v>
      </c>
      <c r="L71">
        <v>19.670000000000002</v>
      </c>
      <c r="M71" s="1">
        <v>46042</v>
      </c>
      <c r="N71" t="str">
        <f>IF(po_master[[#This Row],[Approved By]]="", "Missing Approval", "OK")</f>
        <v>OK</v>
      </c>
      <c r="O71" t="str">
        <f>IF(ISBLANK(po_master[[#This Row],[GR Quantity]]), "No GR - Not received", "OK")</f>
        <v>OK</v>
      </c>
      <c r="P71" t="str">
        <f>IF(po_master[[#This Row],[Promised Delivey Date]]&lt;po_master[[#This Row],[Order Date]], "Invalid", "OK")</f>
        <v>OK</v>
      </c>
      <c r="Q71" t="str">
        <f>IF(ISBLANK(po_master[[#This Row],[Invoice Number]]), "No Invoice", "OK")</f>
        <v>OK</v>
      </c>
      <c r="R71" t="str">
        <f>IF(AND(NOT(ISBLANK(po_master[[#This Row],[GR Quantity]])), po_master[[#This Row],[GR Quantity]]&lt;&gt;po_master[[#This Row],[PO Quantity]]), "Qty Variance", "OK")</f>
        <v>OK</v>
      </c>
      <c r="S71" t="str">
        <f>IF(po_master[[#This Row],[Invoice Unit Price]]&gt;po_master[[#This Row],[PO Unit Price]]*1.01, "Price Variance", "OK")</f>
        <v>OK</v>
      </c>
      <c r="T71" t="str">
        <f>IF(po_master[[#This Row],[Actual Delivery Date]]&gt;po_master[[#This Row],[Promised Delivey Date]], "Late Delivery", "OK")</f>
        <v>Late Delivery</v>
      </c>
      <c r="U71" t="str">
        <f>IF(COUNTIF(po_master[PO Number],po_master[[#This Row],[PO Number]])&gt;1, "Duplicate Invoice", "OK")</f>
        <v>OK</v>
      </c>
      <c r="V71" s="5">
        <f>IF(po_master[[#This Row],[Missing Approval]]="Missing Approval", 1, 0)</f>
        <v>0</v>
      </c>
      <c r="W71" s="5">
        <f>IF(po_master[[#This Row],[GR Receipt Status]]="No GR - Not Received", 1, 0)</f>
        <v>0</v>
      </c>
      <c r="X71" s="5">
        <f>IF(po_master[[#This Row],[No invoice]]="No Invoice", 1, 0)</f>
        <v>0</v>
      </c>
      <c r="Y71" s="5">
        <f>IF(po_master[[#This Row],[Date Check]]="Invalid Date", 1, 0)</f>
        <v>0</v>
      </c>
      <c r="Z71" s="5">
        <f>IF(po_master[[#This Row],[Qty Variance Flag]]="Qty Variance", 1, 0)</f>
        <v>0</v>
      </c>
      <c r="AA71" s="5">
        <f>IF(po_master[[#This Row],[Price Variance Flag]]="Price Variance", 1, 0)</f>
        <v>0</v>
      </c>
      <c r="AB71" s="5">
        <f>IF(po_master[[#This Row],[Late Delivery Flag]]="Late Delivery", 1, 0)</f>
        <v>1</v>
      </c>
      <c r="AC71" s="5">
        <f>IF(po_master[[#This Row],[Duplicate Invoice Flag]]="Duplicate Invoice", 1, 0)</f>
        <v>0</v>
      </c>
      <c r="AD71" s="5" t="str">
        <f>TEXT(po_master[[#This Row],[Order Date]],"YYYY-MM")</f>
        <v>2026-01</v>
      </c>
    </row>
    <row r="72" spans="1:30" x14ac:dyDescent="0.25">
      <c r="A72" t="s">
        <v>68</v>
      </c>
      <c r="B72" t="s">
        <v>1471</v>
      </c>
      <c r="C72" s="1">
        <v>46032</v>
      </c>
      <c r="D72">
        <v>437</v>
      </c>
      <c r="E72">
        <v>77</v>
      </c>
      <c r="F72" t="s">
        <v>1442</v>
      </c>
      <c r="G72" s="1">
        <v>46041</v>
      </c>
      <c r="H72">
        <v>437</v>
      </c>
      <c r="I72" s="1">
        <v>46043</v>
      </c>
      <c r="J72" t="s">
        <v>723</v>
      </c>
      <c r="K72">
        <v>437</v>
      </c>
      <c r="L72">
        <v>77</v>
      </c>
      <c r="M72" s="1">
        <v>46045</v>
      </c>
      <c r="N72" t="str">
        <f>IF(po_master[[#This Row],[Approved By]]="", "Missing Approval", "OK")</f>
        <v>OK</v>
      </c>
      <c r="O72" t="str">
        <f>IF(ISBLANK(po_master[[#This Row],[GR Quantity]]), "No GR - Not received", "OK")</f>
        <v>OK</v>
      </c>
      <c r="P72" t="str">
        <f>IF(po_master[[#This Row],[Promised Delivey Date]]&lt;po_master[[#This Row],[Order Date]], "Invalid", "OK")</f>
        <v>OK</v>
      </c>
      <c r="Q72" t="str">
        <f>IF(ISBLANK(po_master[[#This Row],[Invoice Number]]), "No Invoice", "OK")</f>
        <v>OK</v>
      </c>
      <c r="R72" t="str">
        <f>IF(AND(NOT(ISBLANK(po_master[[#This Row],[GR Quantity]])), po_master[[#This Row],[GR Quantity]]&lt;&gt;po_master[[#This Row],[PO Quantity]]), "Qty Variance", "OK")</f>
        <v>OK</v>
      </c>
      <c r="S72" t="str">
        <f>IF(po_master[[#This Row],[Invoice Unit Price]]&gt;po_master[[#This Row],[PO Unit Price]]*1.01, "Price Variance", "OK")</f>
        <v>OK</v>
      </c>
      <c r="T72" t="str">
        <f>IF(po_master[[#This Row],[Actual Delivery Date]]&gt;po_master[[#This Row],[Promised Delivey Date]], "Late Delivery", "OK")</f>
        <v>Late Delivery</v>
      </c>
      <c r="U72" t="str">
        <f>IF(COUNTIF(po_master[PO Number],po_master[[#This Row],[PO Number]])&gt;1, "Duplicate Invoice", "OK")</f>
        <v>OK</v>
      </c>
      <c r="V72" s="5">
        <f>IF(po_master[[#This Row],[Missing Approval]]="Missing Approval", 1, 0)</f>
        <v>0</v>
      </c>
      <c r="W72" s="5">
        <f>IF(po_master[[#This Row],[GR Receipt Status]]="No GR - Not Received", 1, 0)</f>
        <v>0</v>
      </c>
      <c r="X72" s="5">
        <f>IF(po_master[[#This Row],[No invoice]]="No Invoice", 1, 0)</f>
        <v>0</v>
      </c>
      <c r="Y72" s="5">
        <f>IF(po_master[[#This Row],[Date Check]]="Invalid Date", 1, 0)</f>
        <v>0</v>
      </c>
      <c r="Z72" s="5">
        <f>IF(po_master[[#This Row],[Qty Variance Flag]]="Qty Variance", 1, 0)</f>
        <v>0</v>
      </c>
      <c r="AA72" s="5">
        <f>IF(po_master[[#This Row],[Price Variance Flag]]="Price Variance", 1, 0)</f>
        <v>0</v>
      </c>
      <c r="AB72" s="5">
        <f>IF(po_master[[#This Row],[Late Delivery Flag]]="Late Delivery", 1, 0)</f>
        <v>1</v>
      </c>
      <c r="AC72" s="5">
        <f>IF(po_master[[#This Row],[Duplicate Invoice Flag]]="Duplicate Invoice", 1, 0)</f>
        <v>0</v>
      </c>
      <c r="AD72" s="5" t="str">
        <f>TEXT(po_master[[#This Row],[Order Date]],"YYYY-MM")</f>
        <v>2026-01</v>
      </c>
    </row>
    <row r="73" spans="1:30" x14ac:dyDescent="0.25">
      <c r="A73" t="s">
        <v>69</v>
      </c>
      <c r="B73" t="s">
        <v>1500</v>
      </c>
      <c r="C73" s="1">
        <v>46055</v>
      </c>
      <c r="D73">
        <v>31</v>
      </c>
      <c r="E73">
        <v>65.11</v>
      </c>
      <c r="F73" t="s">
        <v>1462</v>
      </c>
      <c r="G73" s="1">
        <v>46071</v>
      </c>
      <c r="H73">
        <v>31</v>
      </c>
      <c r="I73" s="1">
        <v>46072</v>
      </c>
      <c r="J73" t="s">
        <v>724</v>
      </c>
      <c r="K73">
        <v>31</v>
      </c>
      <c r="L73">
        <v>65.11</v>
      </c>
      <c r="M73" s="1">
        <v>46081</v>
      </c>
      <c r="N73" t="str">
        <f>IF(po_master[[#This Row],[Approved By]]="", "Missing Approval", "OK")</f>
        <v>OK</v>
      </c>
      <c r="O73" t="str">
        <f>IF(ISBLANK(po_master[[#This Row],[GR Quantity]]), "No GR - Not received", "OK")</f>
        <v>OK</v>
      </c>
      <c r="P73" t="str">
        <f>IF(po_master[[#This Row],[Promised Delivey Date]]&lt;po_master[[#This Row],[Order Date]], "Invalid", "OK")</f>
        <v>OK</v>
      </c>
      <c r="Q73" t="str">
        <f>IF(ISBLANK(po_master[[#This Row],[Invoice Number]]), "No Invoice", "OK")</f>
        <v>OK</v>
      </c>
      <c r="R73" t="str">
        <f>IF(AND(NOT(ISBLANK(po_master[[#This Row],[GR Quantity]])), po_master[[#This Row],[GR Quantity]]&lt;&gt;po_master[[#This Row],[PO Quantity]]), "Qty Variance", "OK")</f>
        <v>OK</v>
      </c>
      <c r="S73" t="str">
        <f>IF(po_master[[#This Row],[Invoice Unit Price]]&gt;po_master[[#This Row],[PO Unit Price]]*1.01, "Price Variance", "OK")</f>
        <v>OK</v>
      </c>
      <c r="T73" t="str">
        <f>IF(po_master[[#This Row],[Actual Delivery Date]]&gt;po_master[[#This Row],[Promised Delivey Date]], "Late Delivery", "OK")</f>
        <v>Late Delivery</v>
      </c>
      <c r="U73" t="str">
        <f>IF(COUNTIF(po_master[PO Number],po_master[[#This Row],[PO Number]])&gt;1, "Duplicate Invoice", "OK")</f>
        <v>OK</v>
      </c>
      <c r="V73" s="5">
        <f>IF(po_master[[#This Row],[Missing Approval]]="Missing Approval", 1, 0)</f>
        <v>0</v>
      </c>
      <c r="W73" s="5">
        <f>IF(po_master[[#This Row],[GR Receipt Status]]="No GR - Not Received", 1, 0)</f>
        <v>0</v>
      </c>
      <c r="X73" s="5">
        <f>IF(po_master[[#This Row],[No invoice]]="No Invoice", 1, 0)</f>
        <v>0</v>
      </c>
      <c r="Y73" s="5">
        <f>IF(po_master[[#This Row],[Date Check]]="Invalid Date", 1, 0)</f>
        <v>0</v>
      </c>
      <c r="Z73" s="5">
        <f>IF(po_master[[#This Row],[Qty Variance Flag]]="Qty Variance", 1, 0)</f>
        <v>0</v>
      </c>
      <c r="AA73" s="5">
        <f>IF(po_master[[#This Row],[Price Variance Flag]]="Price Variance", 1, 0)</f>
        <v>0</v>
      </c>
      <c r="AB73" s="5">
        <f>IF(po_master[[#This Row],[Late Delivery Flag]]="Late Delivery", 1, 0)</f>
        <v>1</v>
      </c>
      <c r="AC73" s="5">
        <f>IF(po_master[[#This Row],[Duplicate Invoice Flag]]="Duplicate Invoice", 1, 0)</f>
        <v>0</v>
      </c>
      <c r="AD73" s="5" t="str">
        <f>TEXT(po_master[[#This Row],[Order Date]],"YYYY-MM")</f>
        <v>2026-02</v>
      </c>
    </row>
    <row r="74" spans="1:30" x14ac:dyDescent="0.25">
      <c r="A74" t="s">
        <v>70</v>
      </c>
      <c r="B74" t="s">
        <v>1463</v>
      </c>
      <c r="C74" s="1">
        <v>46086</v>
      </c>
      <c r="D74">
        <v>351</v>
      </c>
      <c r="E74">
        <v>25.04</v>
      </c>
      <c r="F74" t="s">
        <v>1456</v>
      </c>
      <c r="G74" s="1">
        <v>46104</v>
      </c>
      <c r="H74">
        <v>351</v>
      </c>
      <c r="I74" s="1">
        <v>46115</v>
      </c>
      <c r="J74" t="s">
        <v>725</v>
      </c>
      <c r="K74">
        <v>351</v>
      </c>
      <c r="L74">
        <v>25.04</v>
      </c>
      <c r="M74" s="1">
        <v>46112</v>
      </c>
      <c r="N74" t="str">
        <f>IF(po_master[[#This Row],[Approved By]]="", "Missing Approval", "OK")</f>
        <v>OK</v>
      </c>
      <c r="O74" t="str">
        <f>IF(ISBLANK(po_master[[#This Row],[GR Quantity]]), "No GR - Not received", "OK")</f>
        <v>OK</v>
      </c>
      <c r="P74" t="str">
        <f>IF(po_master[[#This Row],[Promised Delivey Date]]&lt;po_master[[#This Row],[Order Date]], "Invalid", "OK")</f>
        <v>OK</v>
      </c>
      <c r="Q74" t="str">
        <f>IF(ISBLANK(po_master[[#This Row],[Invoice Number]]), "No Invoice", "OK")</f>
        <v>OK</v>
      </c>
      <c r="R74" t="str">
        <f>IF(AND(NOT(ISBLANK(po_master[[#This Row],[GR Quantity]])), po_master[[#This Row],[GR Quantity]]&lt;&gt;po_master[[#This Row],[PO Quantity]]), "Qty Variance", "OK")</f>
        <v>OK</v>
      </c>
      <c r="S74" t="str">
        <f>IF(po_master[[#This Row],[Invoice Unit Price]]&gt;po_master[[#This Row],[PO Unit Price]]*1.01, "Price Variance", "OK")</f>
        <v>OK</v>
      </c>
      <c r="T74" t="str">
        <f>IF(po_master[[#This Row],[Actual Delivery Date]]&gt;po_master[[#This Row],[Promised Delivey Date]], "Late Delivery", "OK")</f>
        <v>Late Delivery</v>
      </c>
      <c r="U74" t="str">
        <f>IF(COUNTIF(po_master[PO Number],po_master[[#This Row],[PO Number]])&gt;1, "Duplicate Invoice", "OK")</f>
        <v>OK</v>
      </c>
      <c r="V74" s="5">
        <f>IF(po_master[[#This Row],[Missing Approval]]="Missing Approval", 1, 0)</f>
        <v>0</v>
      </c>
      <c r="W74" s="5">
        <f>IF(po_master[[#This Row],[GR Receipt Status]]="No GR - Not Received", 1, 0)</f>
        <v>0</v>
      </c>
      <c r="X74" s="5">
        <f>IF(po_master[[#This Row],[No invoice]]="No Invoice", 1, 0)</f>
        <v>0</v>
      </c>
      <c r="Y74" s="5">
        <f>IF(po_master[[#This Row],[Date Check]]="Invalid Date", 1, 0)</f>
        <v>0</v>
      </c>
      <c r="Z74" s="5">
        <f>IF(po_master[[#This Row],[Qty Variance Flag]]="Qty Variance", 1, 0)</f>
        <v>0</v>
      </c>
      <c r="AA74" s="5">
        <f>IF(po_master[[#This Row],[Price Variance Flag]]="Price Variance", 1, 0)</f>
        <v>0</v>
      </c>
      <c r="AB74" s="5">
        <f>IF(po_master[[#This Row],[Late Delivery Flag]]="Late Delivery", 1, 0)</f>
        <v>1</v>
      </c>
      <c r="AC74" s="5">
        <f>IF(po_master[[#This Row],[Duplicate Invoice Flag]]="Duplicate Invoice", 1, 0)</f>
        <v>0</v>
      </c>
      <c r="AD74" s="5" t="str">
        <f>TEXT(po_master[[#This Row],[Order Date]],"YYYY-MM")</f>
        <v>2026-03</v>
      </c>
    </row>
    <row r="75" spans="1:30" x14ac:dyDescent="0.25">
      <c r="A75" t="s">
        <v>71</v>
      </c>
      <c r="B75" t="s">
        <v>1497</v>
      </c>
      <c r="C75" s="1">
        <v>46062</v>
      </c>
      <c r="D75">
        <v>483</v>
      </c>
      <c r="E75">
        <v>186.33</v>
      </c>
      <c r="F75" t="s">
        <v>1501</v>
      </c>
      <c r="G75" s="1">
        <v>46072</v>
      </c>
      <c r="H75">
        <v>483</v>
      </c>
      <c r="I75" s="1">
        <v>46072</v>
      </c>
      <c r="J75" t="s">
        <v>726</v>
      </c>
      <c r="K75">
        <v>483</v>
      </c>
      <c r="L75">
        <v>186.33</v>
      </c>
      <c r="M75" s="1">
        <v>46079</v>
      </c>
      <c r="N75" t="str">
        <f>IF(po_master[[#This Row],[Approved By]]="", "Missing Approval", "OK")</f>
        <v>OK</v>
      </c>
      <c r="O75" t="str">
        <f>IF(ISBLANK(po_master[[#This Row],[GR Quantity]]), "No GR - Not received", "OK")</f>
        <v>OK</v>
      </c>
      <c r="P75" t="str">
        <f>IF(po_master[[#This Row],[Promised Delivey Date]]&lt;po_master[[#This Row],[Order Date]], "Invalid", "OK")</f>
        <v>OK</v>
      </c>
      <c r="Q75" t="str">
        <f>IF(ISBLANK(po_master[[#This Row],[Invoice Number]]), "No Invoice", "OK")</f>
        <v>OK</v>
      </c>
      <c r="R75" t="str">
        <f>IF(AND(NOT(ISBLANK(po_master[[#This Row],[GR Quantity]])), po_master[[#This Row],[GR Quantity]]&lt;&gt;po_master[[#This Row],[PO Quantity]]), "Qty Variance", "OK")</f>
        <v>OK</v>
      </c>
      <c r="S75" t="str">
        <f>IF(po_master[[#This Row],[Invoice Unit Price]]&gt;po_master[[#This Row],[PO Unit Price]]*1.01, "Price Variance", "OK")</f>
        <v>OK</v>
      </c>
      <c r="T75" t="str">
        <f>IF(po_master[[#This Row],[Actual Delivery Date]]&gt;po_master[[#This Row],[Promised Delivey Date]], "Late Delivery", "OK")</f>
        <v>OK</v>
      </c>
      <c r="U75" t="str">
        <f>IF(COUNTIF(po_master[PO Number],po_master[[#This Row],[PO Number]])&gt;1, "Duplicate Invoice", "OK")</f>
        <v>OK</v>
      </c>
      <c r="V75" s="5">
        <f>IF(po_master[[#This Row],[Missing Approval]]="Missing Approval", 1, 0)</f>
        <v>0</v>
      </c>
      <c r="W75" s="5">
        <f>IF(po_master[[#This Row],[GR Receipt Status]]="No GR - Not Received", 1, 0)</f>
        <v>0</v>
      </c>
      <c r="X75" s="5">
        <f>IF(po_master[[#This Row],[No invoice]]="No Invoice", 1, 0)</f>
        <v>0</v>
      </c>
      <c r="Y75" s="5">
        <f>IF(po_master[[#This Row],[Date Check]]="Invalid Date", 1, 0)</f>
        <v>0</v>
      </c>
      <c r="Z75" s="5">
        <f>IF(po_master[[#This Row],[Qty Variance Flag]]="Qty Variance", 1, 0)</f>
        <v>0</v>
      </c>
      <c r="AA75" s="5">
        <f>IF(po_master[[#This Row],[Price Variance Flag]]="Price Variance", 1, 0)</f>
        <v>0</v>
      </c>
      <c r="AB75" s="5">
        <f>IF(po_master[[#This Row],[Late Delivery Flag]]="Late Delivery", 1, 0)</f>
        <v>0</v>
      </c>
      <c r="AC75" s="5">
        <f>IF(po_master[[#This Row],[Duplicate Invoice Flag]]="Duplicate Invoice", 1, 0)</f>
        <v>0</v>
      </c>
      <c r="AD75" s="5" t="str">
        <f>TEXT(po_master[[#This Row],[Order Date]],"YYYY-MM")</f>
        <v>2026-02</v>
      </c>
    </row>
    <row r="76" spans="1:30" x14ac:dyDescent="0.25">
      <c r="A76" t="s">
        <v>72</v>
      </c>
      <c r="B76" t="s">
        <v>1495</v>
      </c>
      <c r="C76" s="1">
        <v>46029</v>
      </c>
      <c r="D76">
        <v>101</v>
      </c>
      <c r="E76">
        <v>148.63</v>
      </c>
      <c r="F76" t="s">
        <v>1472</v>
      </c>
      <c r="G76" s="1">
        <v>46047</v>
      </c>
      <c r="H76">
        <v>101</v>
      </c>
      <c r="I76" s="1">
        <v>46046</v>
      </c>
      <c r="J76" t="s">
        <v>727</v>
      </c>
      <c r="K76">
        <v>101</v>
      </c>
      <c r="L76">
        <v>148.63</v>
      </c>
      <c r="M76" s="1">
        <v>46053</v>
      </c>
      <c r="N76" t="str">
        <f>IF(po_master[[#This Row],[Approved By]]="", "Missing Approval", "OK")</f>
        <v>OK</v>
      </c>
      <c r="O76" t="str">
        <f>IF(ISBLANK(po_master[[#This Row],[GR Quantity]]), "No GR - Not received", "OK")</f>
        <v>OK</v>
      </c>
      <c r="P76" t="str">
        <f>IF(po_master[[#This Row],[Promised Delivey Date]]&lt;po_master[[#This Row],[Order Date]], "Invalid", "OK")</f>
        <v>OK</v>
      </c>
      <c r="Q76" t="str">
        <f>IF(ISBLANK(po_master[[#This Row],[Invoice Number]]), "No Invoice", "OK")</f>
        <v>OK</v>
      </c>
      <c r="R76" t="str">
        <f>IF(AND(NOT(ISBLANK(po_master[[#This Row],[GR Quantity]])), po_master[[#This Row],[GR Quantity]]&lt;&gt;po_master[[#This Row],[PO Quantity]]), "Qty Variance", "OK")</f>
        <v>OK</v>
      </c>
      <c r="S76" t="str">
        <f>IF(po_master[[#This Row],[Invoice Unit Price]]&gt;po_master[[#This Row],[PO Unit Price]]*1.01, "Price Variance", "OK")</f>
        <v>OK</v>
      </c>
      <c r="T76" t="str">
        <f>IF(po_master[[#This Row],[Actual Delivery Date]]&gt;po_master[[#This Row],[Promised Delivey Date]], "Late Delivery", "OK")</f>
        <v>OK</v>
      </c>
      <c r="U76" t="str">
        <f>IF(COUNTIF(po_master[PO Number],po_master[[#This Row],[PO Number]])&gt;1, "Duplicate Invoice", "OK")</f>
        <v>OK</v>
      </c>
      <c r="V76" s="5">
        <f>IF(po_master[[#This Row],[Missing Approval]]="Missing Approval", 1, 0)</f>
        <v>0</v>
      </c>
      <c r="W76" s="5">
        <f>IF(po_master[[#This Row],[GR Receipt Status]]="No GR - Not Received", 1, 0)</f>
        <v>0</v>
      </c>
      <c r="X76" s="5">
        <f>IF(po_master[[#This Row],[No invoice]]="No Invoice", 1, 0)</f>
        <v>0</v>
      </c>
      <c r="Y76" s="5">
        <f>IF(po_master[[#This Row],[Date Check]]="Invalid Date", 1, 0)</f>
        <v>0</v>
      </c>
      <c r="Z76" s="5">
        <f>IF(po_master[[#This Row],[Qty Variance Flag]]="Qty Variance", 1, 0)</f>
        <v>0</v>
      </c>
      <c r="AA76" s="5">
        <f>IF(po_master[[#This Row],[Price Variance Flag]]="Price Variance", 1, 0)</f>
        <v>0</v>
      </c>
      <c r="AB76" s="5">
        <f>IF(po_master[[#This Row],[Late Delivery Flag]]="Late Delivery", 1, 0)</f>
        <v>0</v>
      </c>
      <c r="AC76" s="5">
        <f>IF(po_master[[#This Row],[Duplicate Invoice Flag]]="Duplicate Invoice", 1, 0)</f>
        <v>0</v>
      </c>
      <c r="AD76" s="5" t="str">
        <f>TEXT(po_master[[#This Row],[Order Date]],"YYYY-MM")</f>
        <v>2026-01</v>
      </c>
    </row>
    <row r="77" spans="1:30" x14ac:dyDescent="0.25">
      <c r="A77" t="s">
        <v>73</v>
      </c>
      <c r="B77" t="s">
        <v>1484</v>
      </c>
      <c r="C77" s="1">
        <v>46086</v>
      </c>
      <c r="D77">
        <v>146</v>
      </c>
      <c r="E77">
        <v>36.04</v>
      </c>
      <c r="F77" t="s">
        <v>1499</v>
      </c>
      <c r="G77" s="1">
        <v>46094</v>
      </c>
      <c r="H77">
        <v>146</v>
      </c>
      <c r="I77" s="1">
        <v>46093</v>
      </c>
      <c r="J77" t="s">
        <v>728</v>
      </c>
      <c r="K77">
        <v>146</v>
      </c>
      <c r="L77">
        <v>36.04</v>
      </c>
      <c r="M77" s="1">
        <v>46097</v>
      </c>
      <c r="N77" t="str">
        <f>IF(po_master[[#This Row],[Approved By]]="", "Missing Approval", "OK")</f>
        <v>OK</v>
      </c>
      <c r="O77" t="str">
        <f>IF(ISBLANK(po_master[[#This Row],[GR Quantity]]), "No GR - Not received", "OK")</f>
        <v>OK</v>
      </c>
      <c r="P77" t="str">
        <f>IF(po_master[[#This Row],[Promised Delivey Date]]&lt;po_master[[#This Row],[Order Date]], "Invalid", "OK")</f>
        <v>OK</v>
      </c>
      <c r="Q77" t="str">
        <f>IF(ISBLANK(po_master[[#This Row],[Invoice Number]]), "No Invoice", "OK")</f>
        <v>OK</v>
      </c>
      <c r="R77" t="str">
        <f>IF(AND(NOT(ISBLANK(po_master[[#This Row],[GR Quantity]])), po_master[[#This Row],[GR Quantity]]&lt;&gt;po_master[[#This Row],[PO Quantity]]), "Qty Variance", "OK")</f>
        <v>OK</v>
      </c>
      <c r="S77" t="str">
        <f>IF(po_master[[#This Row],[Invoice Unit Price]]&gt;po_master[[#This Row],[PO Unit Price]]*1.01, "Price Variance", "OK")</f>
        <v>OK</v>
      </c>
      <c r="T77" t="str">
        <f>IF(po_master[[#This Row],[Actual Delivery Date]]&gt;po_master[[#This Row],[Promised Delivey Date]], "Late Delivery", "OK")</f>
        <v>OK</v>
      </c>
      <c r="U77" t="str">
        <f>IF(COUNTIF(po_master[PO Number],po_master[[#This Row],[PO Number]])&gt;1, "Duplicate Invoice", "OK")</f>
        <v>OK</v>
      </c>
      <c r="V77" s="5">
        <f>IF(po_master[[#This Row],[Missing Approval]]="Missing Approval", 1, 0)</f>
        <v>0</v>
      </c>
      <c r="W77" s="5">
        <f>IF(po_master[[#This Row],[GR Receipt Status]]="No GR - Not Received", 1, 0)</f>
        <v>0</v>
      </c>
      <c r="X77" s="5">
        <f>IF(po_master[[#This Row],[No invoice]]="No Invoice", 1, 0)</f>
        <v>0</v>
      </c>
      <c r="Y77" s="5">
        <f>IF(po_master[[#This Row],[Date Check]]="Invalid Date", 1, 0)</f>
        <v>0</v>
      </c>
      <c r="Z77" s="5">
        <f>IF(po_master[[#This Row],[Qty Variance Flag]]="Qty Variance", 1, 0)</f>
        <v>0</v>
      </c>
      <c r="AA77" s="5">
        <f>IF(po_master[[#This Row],[Price Variance Flag]]="Price Variance", 1, 0)</f>
        <v>0</v>
      </c>
      <c r="AB77" s="5">
        <f>IF(po_master[[#This Row],[Late Delivery Flag]]="Late Delivery", 1, 0)</f>
        <v>0</v>
      </c>
      <c r="AC77" s="5">
        <f>IF(po_master[[#This Row],[Duplicate Invoice Flag]]="Duplicate Invoice", 1, 0)</f>
        <v>0</v>
      </c>
      <c r="AD77" s="5" t="str">
        <f>TEXT(po_master[[#This Row],[Order Date]],"YYYY-MM")</f>
        <v>2026-03</v>
      </c>
    </row>
    <row r="78" spans="1:30" x14ac:dyDescent="0.25">
      <c r="A78" t="s">
        <v>74</v>
      </c>
      <c r="B78" t="s">
        <v>1502</v>
      </c>
      <c r="C78" s="1">
        <v>46032</v>
      </c>
      <c r="D78">
        <v>449</v>
      </c>
      <c r="E78">
        <v>96.78</v>
      </c>
      <c r="F78" t="s">
        <v>1444</v>
      </c>
      <c r="G78" s="1">
        <v>46051</v>
      </c>
      <c r="H78">
        <v>449</v>
      </c>
      <c r="I78" s="1">
        <v>46051</v>
      </c>
      <c r="J78" t="s">
        <v>729</v>
      </c>
      <c r="K78">
        <v>449</v>
      </c>
      <c r="L78">
        <v>96.78</v>
      </c>
      <c r="M78" s="1">
        <v>46053</v>
      </c>
      <c r="N78" t="str">
        <f>IF(po_master[[#This Row],[Approved By]]="", "Missing Approval", "OK")</f>
        <v>OK</v>
      </c>
      <c r="O78" t="str">
        <f>IF(ISBLANK(po_master[[#This Row],[GR Quantity]]), "No GR - Not received", "OK")</f>
        <v>OK</v>
      </c>
      <c r="P78" t="str">
        <f>IF(po_master[[#This Row],[Promised Delivey Date]]&lt;po_master[[#This Row],[Order Date]], "Invalid", "OK")</f>
        <v>OK</v>
      </c>
      <c r="Q78" t="str">
        <f>IF(ISBLANK(po_master[[#This Row],[Invoice Number]]), "No Invoice", "OK")</f>
        <v>OK</v>
      </c>
      <c r="R78" t="str">
        <f>IF(AND(NOT(ISBLANK(po_master[[#This Row],[GR Quantity]])), po_master[[#This Row],[GR Quantity]]&lt;&gt;po_master[[#This Row],[PO Quantity]]), "Qty Variance", "OK")</f>
        <v>OK</v>
      </c>
      <c r="S78" t="str">
        <f>IF(po_master[[#This Row],[Invoice Unit Price]]&gt;po_master[[#This Row],[PO Unit Price]]*1.01, "Price Variance", "OK")</f>
        <v>OK</v>
      </c>
      <c r="T78" t="str">
        <f>IF(po_master[[#This Row],[Actual Delivery Date]]&gt;po_master[[#This Row],[Promised Delivey Date]], "Late Delivery", "OK")</f>
        <v>OK</v>
      </c>
      <c r="U78" t="str">
        <f>IF(COUNTIF(po_master[PO Number],po_master[[#This Row],[PO Number]])&gt;1, "Duplicate Invoice", "OK")</f>
        <v>OK</v>
      </c>
      <c r="V78" s="5">
        <f>IF(po_master[[#This Row],[Missing Approval]]="Missing Approval", 1, 0)</f>
        <v>0</v>
      </c>
      <c r="W78" s="5">
        <f>IF(po_master[[#This Row],[GR Receipt Status]]="No GR - Not Received", 1, 0)</f>
        <v>0</v>
      </c>
      <c r="X78" s="5">
        <f>IF(po_master[[#This Row],[No invoice]]="No Invoice", 1, 0)</f>
        <v>0</v>
      </c>
      <c r="Y78" s="5">
        <f>IF(po_master[[#This Row],[Date Check]]="Invalid Date", 1, 0)</f>
        <v>0</v>
      </c>
      <c r="Z78" s="5">
        <f>IF(po_master[[#This Row],[Qty Variance Flag]]="Qty Variance", 1, 0)</f>
        <v>0</v>
      </c>
      <c r="AA78" s="5">
        <f>IF(po_master[[#This Row],[Price Variance Flag]]="Price Variance", 1, 0)</f>
        <v>0</v>
      </c>
      <c r="AB78" s="5">
        <f>IF(po_master[[#This Row],[Late Delivery Flag]]="Late Delivery", 1, 0)</f>
        <v>0</v>
      </c>
      <c r="AC78" s="5">
        <f>IF(po_master[[#This Row],[Duplicate Invoice Flag]]="Duplicate Invoice", 1, 0)</f>
        <v>0</v>
      </c>
      <c r="AD78" s="5" t="str">
        <f>TEXT(po_master[[#This Row],[Order Date]],"YYYY-MM")</f>
        <v>2026-01</v>
      </c>
    </row>
    <row r="79" spans="1:30" x14ac:dyDescent="0.25">
      <c r="A79" t="s">
        <v>75</v>
      </c>
      <c r="B79" t="s">
        <v>1503</v>
      </c>
      <c r="C79" s="1">
        <v>46101</v>
      </c>
      <c r="D79">
        <v>430</v>
      </c>
      <c r="E79">
        <v>160.09</v>
      </c>
      <c r="F79" t="s">
        <v>1440</v>
      </c>
      <c r="G79" s="1">
        <v>46113</v>
      </c>
      <c r="H79">
        <v>430</v>
      </c>
      <c r="I79" s="1">
        <v>46125</v>
      </c>
      <c r="J79" t="s">
        <v>730</v>
      </c>
      <c r="K79">
        <v>430</v>
      </c>
      <c r="L79">
        <v>160.09</v>
      </c>
      <c r="M79" s="1">
        <v>46117</v>
      </c>
      <c r="N79" t="str">
        <f>IF(po_master[[#This Row],[Approved By]]="", "Missing Approval", "OK")</f>
        <v>OK</v>
      </c>
      <c r="O79" t="str">
        <f>IF(ISBLANK(po_master[[#This Row],[GR Quantity]]), "No GR - Not received", "OK")</f>
        <v>OK</v>
      </c>
      <c r="P79" t="str">
        <f>IF(po_master[[#This Row],[Promised Delivey Date]]&lt;po_master[[#This Row],[Order Date]], "Invalid", "OK")</f>
        <v>OK</v>
      </c>
      <c r="Q79" t="str">
        <f>IF(ISBLANK(po_master[[#This Row],[Invoice Number]]), "No Invoice", "OK")</f>
        <v>OK</v>
      </c>
      <c r="R79" t="str">
        <f>IF(AND(NOT(ISBLANK(po_master[[#This Row],[GR Quantity]])), po_master[[#This Row],[GR Quantity]]&lt;&gt;po_master[[#This Row],[PO Quantity]]), "Qty Variance", "OK")</f>
        <v>OK</v>
      </c>
      <c r="S79" t="str">
        <f>IF(po_master[[#This Row],[Invoice Unit Price]]&gt;po_master[[#This Row],[PO Unit Price]]*1.01, "Price Variance", "OK")</f>
        <v>OK</v>
      </c>
      <c r="T79" t="str">
        <f>IF(po_master[[#This Row],[Actual Delivery Date]]&gt;po_master[[#This Row],[Promised Delivey Date]], "Late Delivery", "OK")</f>
        <v>Late Delivery</v>
      </c>
      <c r="U79" t="str">
        <f>IF(COUNTIF(po_master[PO Number],po_master[[#This Row],[PO Number]])&gt;1, "Duplicate Invoice", "OK")</f>
        <v>OK</v>
      </c>
      <c r="V79" s="5">
        <f>IF(po_master[[#This Row],[Missing Approval]]="Missing Approval", 1, 0)</f>
        <v>0</v>
      </c>
      <c r="W79" s="5">
        <f>IF(po_master[[#This Row],[GR Receipt Status]]="No GR - Not Received", 1, 0)</f>
        <v>0</v>
      </c>
      <c r="X79" s="5">
        <f>IF(po_master[[#This Row],[No invoice]]="No Invoice", 1, 0)</f>
        <v>0</v>
      </c>
      <c r="Y79" s="5">
        <f>IF(po_master[[#This Row],[Date Check]]="Invalid Date", 1, 0)</f>
        <v>0</v>
      </c>
      <c r="Z79" s="5">
        <f>IF(po_master[[#This Row],[Qty Variance Flag]]="Qty Variance", 1, 0)</f>
        <v>0</v>
      </c>
      <c r="AA79" s="5">
        <f>IF(po_master[[#This Row],[Price Variance Flag]]="Price Variance", 1, 0)</f>
        <v>0</v>
      </c>
      <c r="AB79" s="5">
        <f>IF(po_master[[#This Row],[Late Delivery Flag]]="Late Delivery", 1, 0)</f>
        <v>1</v>
      </c>
      <c r="AC79" s="5">
        <f>IF(po_master[[#This Row],[Duplicate Invoice Flag]]="Duplicate Invoice", 1, 0)</f>
        <v>0</v>
      </c>
      <c r="AD79" s="5" t="str">
        <f>TEXT(po_master[[#This Row],[Order Date]],"YYYY-MM")</f>
        <v>2026-03</v>
      </c>
    </row>
    <row r="80" spans="1:30" x14ac:dyDescent="0.25">
      <c r="A80" t="s">
        <v>76</v>
      </c>
      <c r="B80" t="s">
        <v>1473</v>
      </c>
      <c r="C80" s="1">
        <v>46072</v>
      </c>
      <c r="D80">
        <v>214</v>
      </c>
      <c r="E80">
        <v>69.010000000000005</v>
      </c>
      <c r="F80" t="s">
        <v>1476</v>
      </c>
      <c r="G80" s="1">
        <v>46085</v>
      </c>
      <c r="H80">
        <v>214</v>
      </c>
      <c r="I80" s="1">
        <v>46084</v>
      </c>
      <c r="J80" t="s">
        <v>731</v>
      </c>
      <c r="K80">
        <v>214</v>
      </c>
      <c r="L80">
        <v>69.010000000000005</v>
      </c>
      <c r="M80" s="1">
        <v>46092</v>
      </c>
      <c r="N80" t="str">
        <f>IF(po_master[[#This Row],[Approved By]]="", "Missing Approval", "OK")</f>
        <v>OK</v>
      </c>
      <c r="O80" t="str">
        <f>IF(ISBLANK(po_master[[#This Row],[GR Quantity]]), "No GR - Not received", "OK")</f>
        <v>OK</v>
      </c>
      <c r="P80" t="str">
        <f>IF(po_master[[#This Row],[Promised Delivey Date]]&lt;po_master[[#This Row],[Order Date]], "Invalid", "OK")</f>
        <v>OK</v>
      </c>
      <c r="Q80" t="str">
        <f>IF(ISBLANK(po_master[[#This Row],[Invoice Number]]), "No Invoice", "OK")</f>
        <v>OK</v>
      </c>
      <c r="R80" t="str">
        <f>IF(AND(NOT(ISBLANK(po_master[[#This Row],[GR Quantity]])), po_master[[#This Row],[GR Quantity]]&lt;&gt;po_master[[#This Row],[PO Quantity]]), "Qty Variance", "OK")</f>
        <v>OK</v>
      </c>
      <c r="S80" t="str">
        <f>IF(po_master[[#This Row],[Invoice Unit Price]]&gt;po_master[[#This Row],[PO Unit Price]]*1.01, "Price Variance", "OK")</f>
        <v>OK</v>
      </c>
      <c r="T80" t="str">
        <f>IF(po_master[[#This Row],[Actual Delivery Date]]&gt;po_master[[#This Row],[Promised Delivey Date]], "Late Delivery", "OK")</f>
        <v>OK</v>
      </c>
      <c r="U80" t="str">
        <f>IF(COUNTIF(po_master[PO Number],po_master[[#This Row],[PO Number]])&gt;1, "Duplicate Invoice", "OK")</f>
        <v>OK</v>
      </c>
      <c r="V80" s="5">
        <f>IF(po_master[[#This Row],[Missing Approval]]="Missing Approval", 1, 0)</f>
        <v>0</v>
      </c>
      <c r="W80" s="5">
        <f>IF(po_master[[#This Row],[GR Receipt Status]]="No GR - Not Received", 1, 0)</f>
        <v>0</v>
      </c>
      <c r="X80" s="5">
        <f>IF(po_master[[#This Row],[No invoice]]="No Invoice", 1, 0)</f>
        <v>0</v>
      </c>
      <c r="Y80" s="5">
        <f>IF(po_master[[#This Row],[Date Check]]="Invalid Date", 1, 0)</f>
        <v>0</v>
      </c>
      <c r="Z80" s="5">
        <f>IF(po_master[[#This Row],[Qty Variance Flag]]="Qty Variance", 1, 0)</f>
        <v>0</v>
      </c>
      <c r="AA80" s="5">
        <f>IF(po_master[[#This Row],[Price Variance Flag]]="Price Variance", 1, 0)</f>
        <v>0</v>
      </c>
      <c r="AB80" s="5">
        <f>IF(po_master[[#This Row],[Late Delivery Flag]]="Late Delivery", 1, 0)</f>
        <v>0</v>
      </c>
      <c r="AC80" s="5">
        <f>IF(po_master[[#This Row],[Duplicate Invoice Flag]]="Duplicate Invoice", 1, 0)</f>
        <v>0</v>
      </c>
      <c r="AD80" s="5" t="str">
        <f>TEXT(po_master[[#This Row],[Order Date]],"YYYY-MM")</f>
        <v>2026-02</v>
      </c>
    </row>
    <row r="81" spans="1:30" x14ac:dyDescent="0.25">
      <c r="A81" t="s">
        <v>77</v>
      </c>
      <c r="B81" t="s">
        <v>1503</v>
      </c>
      <c r="C81" s="1">
        <v>46153</v>
      </c>
      <c r="D81">
        <v>214</v>
      </c>
      <c r="E81">
        <v>137.51</v>
      </c>
      <c r="F81" t="s">
        <v>1442</v>
      </c>
      <c r="G81" s="1">
        <v>46168</v>
      </c>
      <c r="H81">
        <v>214</v>
      </c>
      <c r="I81" s="1">
        <v>46167</v>
      </c>
      <c r="J81" t="s">
        <v>732</v>
      </c>
      <c r="K81">
        <v>214</v>
      </c>
      <c r="L81">
        <v>137.51</v>
      </c>
      <c r="M81" s="1">
        <v>46172</v>
      </c>
      <c r="N81" t="str">
        <f>IF(po_master[[#This Row],[Approved By]]="", "Missing Approval", "OK")</f>
        <v>OK</v>
      </c>
      <c r="O81" t="str">
        <f>IF(ISBLANK(po_master[[#This Row],[GR Quantity]]), "No GR - Not received", "OK")</f>
        <v>OK</v>
      </c>
      <c r="P81" t="str">
        <f>IF(po_master[[#This Row],[Promised Delivey Date]]&lt;po_master[[#This Row],[Order Date]], "Invalid", "OK")</f>
        <v>OK</v>
      </c>
      <c r="Q81" t="str">
        <f>IF(ISBLANK(po_master[[#This Row],[Invoice Number]]), "No Invoice", "OK")</f>
        <v>OK</v>
      </c>
      <c r="R81" t="str">
        <f>IF(AND(NOT(ISBLANK(po_master[[#This Row],[GR Quantity]])), po_master[[#This Row],[GR Quantity]]&lt;&gt;po_master[[#This Row],[PO Quantity]]), "Qty Variance", "OK")</f>
        <v>OK</v>
      </c>
      <c r="S81" t="str">
        <f>IF(po_master[[#This Row],[Invoice Unit Price]]&gt;po_master[[#This Row],[PO Unit Price]]*1.01, "Price Variance", "OK")</f>
        <v>OK</v>
      </c>
      <c r="T81" t="str">
        <f>IF(po_master[[#This Row],[Actual Delivery Date]]&gt;po_master[[#This Row],[Promised Delivey Date]], "Late Delivery", "OK")</f>
        <v>OK</v>
      </c>
      <c r="U81" t="str">
        <f>IF(COUNTIF(po_master[PO Number],po_master[[#This Row],[PO Number]])&gt;1, "Duplicate Invoice", "OK")</f>
        <v>OK</v>
      </c>
      <c r="V81" s="5">
        <f>IF(po_master[[#This Row],[Missing Approval]]="Missing Approval", 1, 0)</f>
        <v>0</v>
      </c>
      <c r="W81" s="5">
        <f>IF(po_master[[#This Row],[GR Receipt Status]]="No GR - Not Received", 1, 0)</f>
        <v>0</v>
      </c>
      <c r="X81" s="5">
        <f>IF(po_master[[#This Row],[No invoice]]="No Invoice", 1, 0)</f>
        <v>0</v>
      </c>
      <c r="Y81" s="5">
        <f>IF(po_master[[#This Row],[Date Check]]="Invalid Date", 1, 0)</f>
        <v>0</v>
      </c>
      <c r="Z81" s="5">
        <f>IF(po_master[[#This Row],[Qty Variance Flag]]="Qty Variance", 1, 0)</f>
        <v>0</v>
      </c>
      <c r="AA81" s="5">
        <f>IF(po_master[[#This Row],[Price Variance Flag]]="Price Variance", 1, 0)</f>
        <v>0</v>
      </c>
      <c r="AB81" s="5">
        <f>IF(po_master[[#This Row],[Late Delivery Flag]]="Late Delivery", 1, 0)</f>
        <v>0</v>
      </c>
      <c r="AC81" s="5">
        <f>IF(po_master[[#This Row],[Duplicate Invoice Flag]]="Duplicate Invoice", 1, 0)</f>
        <v>0</v>
      </c>
      <c r="AD81" s="5" t="str">
        <f>TEXT(po_master[[#This Row],[Order Date]],"YYYY-MM")</f>
        <v>2026-05</v>
      </c>
    </row>
    <row r="82" spans="1:30" x14ac:dyDescent="0.25">
      <c r="A82" t="s">
        <v>78</v>
      </c>
      <c r="B82" t="s">
        <v>1452</v>
      </c>
      <c r="C82" s="1">
        <v>46050</v>
      </c>
      <c r="D82">
        <v>315</v>
      </c>
      <c r="E82">
        <v>89.74</v>
      </c>
      <c r="F82" t="s">
        <v>1490</v>
      </c>
      <c r="G82" s="1">
        <v>46065</v>
      </c>
      <c r="H82">
        <v>315</v>
      </c>
      <c r="I82" s="1">
        <v>46067</v>
      </c>
      <c r="J82" t="s">
        <v>735</v>
      </c>
      <c r="K82">
        <v>315</v>
      </c>
      <c r="L82">
        <v>89.74</v>
      </c>
      <c r="M82" s="1">
        <v>46074</v>
      </c>
      <c r="N82" t="str">
        <f>IF(po_master[[#This Row],[Approved By]]="", "Missing Approval", "OK")</f>
        <v>OK</v>
      </c>
      <c r="O82" t="str">
        <f>IF(ISBLANK(po_master[[#This Row],[GR Quantity]]), "No GR - Not received", "OK")</f>
        <v>OK</v>
      </c>
      <c r="P82" t="str">
        <f>IF(po_master[[#This Row],[Promised Delivey Date]]&lt;po_master[[#This Row],[Order Date]], "Invalid", "OK")</f>
        <v>OK</v>
      </c>
      <c r="Q82" t="str">
        <f>IF(ISBLANK(po_master[[#This Row],[Invoice Number]]), "No Invoice", "OK")</f>
        <v>OK</v>
      </c>
      <c r="R82" t="str">
        <f>IF(AND(NOT(ISBLANK(po_master[[#This Row],[GR Quantity]])), po_master[[#This Row],[GR Quantity]]&lt;&gt;po_master[[#This Row],[PO Quantity]]), "Qty Variance", "OK")</f>
        <v>OK</v>
      </c>
      <c r="S82" t="str">
        <f>IF(po_master[[#This Row],[Invoice Unit Price]]&gt;po_master[[#This Row],[PO Unit Price]]*1.01, "Price Variance", "OK")</f>
        <v>OK</v>
      </c>
      <c r="T82" t="str">
        <f>IF(po_master[[#This Row],[Actual Delivery Date]]&gt;po_master[[#This Row],[Promised Delivey Date]], "Late Delivery", "OK")</f>
        <v>Late Delivery</v>
      </c>
      <c r="U82" t="str">
        <f>IF(COUNTIF(po_master[PO Number],po_master[[#This Row],[PO Number]])&gt;1, "Duplicate Invoice", "OK")</f>
        <v>Duplicate Invoice</v>
      </c>
      <c r="V82" s="5">
        <f>IF(po_master[[#This Row],[Missing Approval]]="Missing Approval", 1, 0)</f>
        <v>0</v>
      </c>
      <c r="W82" s="5">
        <f>IF(po_master[[#This Row],[GR Receipt Status]]="No GR - Not Received", 1, 0)</f>
        <v>0</v>
      </c>
      <c r="X82" s="5">
        <f>IF(po_master[[#This Row],[No invoice]]="No Invoice", 1, 0)</f>
        <v>0</v>
      </c>
      <c r="Y82" s="5">
        <f>IF(po_master[[#This Row],[Date Check]]="Invalid Date", 1, 0)</f>
        <v>0</v>
      </c>
      <c r="Z82" s="5">
        <f>IF(po_master[[#This Row],[Qty Variance Flag]]="Qty Variance", 1, 0)</f>
        <v>0</v>
      </c>
      <c r="AA82" s="5">
        <f>IF(po_master[[#This Row],[Price Variance Flag]]="Price Variance", 1, 0)</f>
        <v>0</v>
      </c>
      <c r="AB82" s="5">
        <f>IF(po_master[[#This Row],[Late Delivery Flag]]="Late Delivery", 1, 0)</f>
        <v>1</v>
      </c>
      <c r="AC82" s="5">
        <f>IF(po_master[[#This Row],[Duplicate Invoice Flag]]="Duplicate Invoice", 1, 0)</f>
        <v>1</v>
      </c>
      <c r="AD82" s="5" t="str">
        <f>TEXT(po_master[[#This Row],[Order Date]],"YYYY-MM")</f>
        <v>2026-01</v>
      </c>
    </row>
    <row r="83" spans="1:30" x14ac:dyDescent="0.25">
      <c r="A83" t="s">
        <v>78</v>
      </c>
      <c r="B83" t="s">
        <v>1452</v>
      </c>
      <c r="C83" s="1">
        <v>46050</v>
      </c>
      <c r="D83">
        <v>315</v>
      </c>
      <c r="E83">
        <v>89.74</v>
      </c>
      <c r="F83" t="s">
        <v>1490</v>
      </c>
      <c r="G83" s="1">
        <v>46065</v>
      </c>
      <c r="H83">
        <v>315</v>
      </c>
      <c r="I83" s="1">
        <v>46067</v>
      </c>
      <c r="J83" t="s">
        <v>736</v>
      </c>
      <c r="K83">
        <v>315</v>
      </c>
      <c r="L83">
        <v>89.74</v>
      </c>
      <c r="M83" s="1">
        <v>46075</v>
      </c>
      <c r="N83" t="str">
        <f>IF(po_master[[#This Row],[Approved By]]="", "Missing Approval", "OK")</f>
        <v>OK</v>
      </c>
      <c r="O83" t="str">
        <f>IF(ISBLANK(po_master[[#This Row],[GR Quantity]]), "No GR - Not received", "OK")</f>
        <v>OK</v>
      </c>
      <c r="P83" t="str">
        <f>IF(po_master[[#This Row],[Promised Delivey Date]]&lt;po_master[[#This Row],[Order Date]], "Invalid", "OK")</f>
        <v>OK</v>
      </c>
      <c r="Q83" t="str">
        <f>IF(ISBLANK(po_master[[#This Row],[Invoice Number]]), "No Invoice", "OK")</f>
        <v>OK</v>
      </c>
      <c r="R83" t="str">
        <f>IF(AND(NOT(ISBLANK(po_master[[#This Row],[GR Quantity]])), po_master[[#This Row],[GR Quantity]]&lt;&gt;po_master[[#This Row],[PO Quantity]]), "Qty Variance", "OK")</f>
        <v>OK</v>
      </c>
      <c r="S83" t="str">
        <f>IF(po_master[[#This Row],[Invoice Unit Price]]&gt;po_master[[#This Row],[PO Unit Price]]*1.01, "Price Variance", "OK")</f>
        <v>OK</v>
      </c>
      <c r="T83" t="str">
        <f>IF(po_master[[#This Row],[Actual Delivery Date]]&gt;po_master[[#This Row],[Promised Delivey Date]], "Late Delivery", "OK")</f>
        <v>Late Delivery</v>
      </c>
      <c r="U83" t="str">
        <f>IF(COUNTIF(po_master[PO Number],po_master[[#This Row],[PO Number]])&gt;1, "Duplicate Invoice", "OK")</f>
        <v>Duplicate Invoice</v>
      </c>
      <c r="V83" s="5">
        <f>IF(po_master[[#This Row],[Missing Approval]]="Missing Approval", 1, 0)</f>
        <v>0</v>
      </c>
      <c r="W83" s="5">
        <f>IF(po_master[[#This Row],[GR Receipt Status]]="No GR - Not Received", 1, 0)</f>
        <v>0</v>
      </c>
      <c r="X83" s="5">
        <f>IF(po_master[[#This Row],[No invoice]]="No Invoice", 1, 0)</f>
        <v>0</v>
      </c>
      <c r="Y83" s="5">
        <f>IF(po_master[[#This Row],[Date Check]]="Invalid Date", 1, 0)</f>
        <v>0</v>
      </c>
      <c r="Z83" s="5">
        <f>IF(po_master[[#This Row],[Qty Variance Flag]]="Qty Variance", 1, 0)</f>
        <v>0</v>
      </c>
      <c r="AA83" s="5">
        <f>IF(po_master[[#This Row],[Price Variance Flag]]="Price Variance", 1, 0)</f>
        <v>0</v>
      </c>
      <c r="AB83" s="5">
        <f>IF(po_master[[#This Row],[Late Delivery Flag]]="Late Delivery", 1, 0)</f>
        <v>1</v>
      </c>
      <c r="AC83" s="5">
        <f>IF(po_master[[#This Row],[Duplicate Invoice Flag]]="Duplicate Invoice", 1, 0)</f>
        <v>1</v>
      </c>
      <c r="AD83" s="5" t="str">
        <f>TEXT(po_master[[#This Row],[Order Date]],"YYYY-MM")</f>
        <v>2026-01</v>
      </c>
    </row>
    <row r="84" spans="1:30" x14ac:dyDescent="0.25">
      <c r="A84" t="s">
        <v>79</v>
      </c>
      <c r="B84" t="s">
        <v>1500</v>
      </c>
      <c r="C84" s="1">
        <v>46153</v>
      </c>
      <c r="D84">
        <v>69</v>
      </c>
      <c r="E84">
        <v>80.11</v>
      </c>
      <c r="F84" t="s">
        <v>1480</v>
      </c>
      <c r="G84" s="1">
        <v>46164</v>
      </c>
      <c r="H84">
        <v>69</v>
      </c>
      <c r="I84" s="1">
        <v>46164</v>
      </c>
      <c r="J84" t="s">
        <v>737</v>
      </c>
      <c r="K84">
        <v>69</v>
      </c>
      <c r="L84">
        <v>80.11</v>
      </c>
      <c r="M84" s="1">
        <v>46166</v>
      </c>
      <c r="N84" t="str">
        <f>IF(po_master[[#This Row],[Approved By]]="", "Missing Approval", "OK")</f>
        <v>OK</v>
      </c>
      <c r="O84" t="str">
        <f>IF(ISBLANK(po_master[[#This Row],[GR Quantity]]), "No GR - Not received", "OK")</f>
        <v>OK</v>
      </c>
      <c r="P84" t="str">
        <f>IF(po_master[[#This Row],[Promised Delivey Date]]&lt;po_master[[#This Row],[Order Date]], "Invalid", "OK")</f>
        <v>OK</v>
      </c>
      <c r="Q84" t="str">
        <f>IF(ISBLANK(po_master[[#This Row],[Invoice Number]]), "No Invoice", "OK")</f>
        <v>OK</v>
      </c>
      <c r="R84" t="str">
        <f>IF(AND(NOT(ISBLANK(po_master[[#This Row],[GR Quantity]])), po_master[[#This Row],[GR Quantity]]&lt;&gt;po_master[[#This Row],[PO Quantity]]), "Qty Variance", "OK")</f>
        <v>OK</v>
      </c>
      <c r="S84" t="str">
        <f>IF(po_master[[#This Row],[Invoice Unit Price]]&gt;po_master[[#This Row],[PO Unit Price]]*1.01, "Price Variance", "OK")</f>
        <v>OK</v>
      </c>
      <c r="T84" t="str">
        <f>IF(po_master[[#This Row],[Actual Delivery Date]]&gt;po_master[[#This Row],[Promised Delivey Date]], "Late Delivery", "OK")</f>
        <v>OK</v>
      </c>
      <c r="U84" t="str">
        <f>IF(COUNTIF(po_master[PO Number],po_master[[#This Row],[PO Number]])&gt;1, "Duplicate Invoice", "OK")</f>
        <v>OK</v>
      </c>
      <c r="V84" s="5">
        <f>IF(po_master[[#This Row],[Missing Approval]]="Missing Approval", 1, 0)</f>
        <v>0</v>
      </c>
      <c r="W84" s="5">
        <f>IF(po_master[[#This Row],[GR Receipt Status]]="No GR - Not Received", 1, 0)</f>
        <v>0</v>
      </c>
      <c r="X84" s="5">
        <f>IF(po_master[[#This Row],[No invoice]]="No Invoice", 1, 0)</f>
        <v>0</v>
      </c>
      <c r="Y84" s="5">
        <f>IF(po_master[[#This Row],[Date Check]]="Invalid Date", 1, 0)</f>
        <v>0</v>
      </c>
      <c r="Z84" s="5">
        <f>IF(po_master[[#This Row],[Qty Variance Flag]]="Qty Variance", 1, 0)</f>
        <v>0</v>
      </c>
      <c r="AA84" s="5">
        <f>IF(po_master[[#This Row],[Price Variance Flag]]="Price Variance", 1, 0)</f>
        <v>0</v>
      </c>
      <c r="AB84" s="5">
        <f>IF(po_master[[#This Row],[Late Delivery Flag]]="Late Delivery", 1, 0)</f>
        <v>0</v>
      </c>
      <c r="AC84" s="5">
        <f>IF(po_master[[#This Row],[Duplicate Invoice Flag]]="Duplicate Invoice", 1, 0)</f>
        <v>0</v>
      </c>
      <c r="AD84" s="5" t="str">
        <f>TEXT(po_master[[#This Row],[Order Date]],"YYYY-MM")</f>
        <v>2026-05</v>
      </c>
    </row>
    <row r="85" spans="1:30" x14ac:dyDescent="0.25">
      <c r="A85" t="s">
        <v>733</v>
      </c>
      <c r="B85" t="s">
        <v>1473</v>
      </c>
      <c r="C85" s="1">
        <v>46052</v>
      </c>
      <c r="D85">
        <v>459</v>
      </c>
      <c r="E85">
        <v>194.23</v>
      </c>
      <c r="F85" t="s">
        <v>1501</v>
      </c>
      <c r="G85" s="1">
        <v>46065</v>
      </c>
      <c r="I85" s="1"/>
      <c r="J85" t="s">
        <v>734</v>
      </c>
      <c r="K85">
        <v>459</v>
      </c>
      <c r="L85">
        <v>204.47</v>
      </c>
      <c r="M85" s="1">
        <v>46070</v>
      </c>
      <c r="N85" t="str">
        <f>IF(po_master[[#This Row],[Approved By]]="", "Missing Approval", "OK")</f>
        <v>OK</v>
      </c>
      <c r="O85" t="str">
        <f>IF(ISBLANK(po_master[[#This Row],[GR Quantity]]), "No GR - Not received", "OK")</f>
        <v>No GR - Not received</v>
      </c>
      <c r="P85" t="str">
        <f>IF(po_master[[#This Row],[Promised Delivey Date]]&lt;po_master[[#This Row],[Order Date]], "Invalid", "OK")</f>
        <v>OK</v>
      </c>
      <c r="Q85" t="str">
        <f>IF(ISBLANK(po_master[[#This Row],[Invoice Number]]), "No Invoice", "OK")</f>
        <v>OK</v>
      </c>
      <c r="R85" t="str">
        <f>IF(AND(NOT(ISBLANK(po_master[[#This Row],[GR Quantity]])), po_master[[#This Row],[GR Quantity]]&lt;&gt;po_master[[#This Row],[PO Quantity]]), "Qty Variance", "OK")</f>
        <v>OK</v>
      </c>
      <c r="S85" t="str">
        <f>IF(po_master[[#This Row],[Invoice Unit Price]]&gt;po_master[[#This Row],[PO Unit Price]]*1.01, "Price Variance", "OK")</f>
        <v>Price Variance</v>
      </c>
      <c r="T85" t="str">
        <f>IF(po_master[[#This Row],[Actual Delivery Date]]&gt;po_master[[#This Row],[Promised Delivey Date]], "Late Delivery", "OK")</f>
        <v>OK</v>
      </c>
      <c r="U85" t="str">
        <f>IF(COUNTIF(po_master[PO Number],po_master[[#This Row],[PO Number]])&gt;1, "Duplicate Invoice", "OK")</f>
        <v>OK</v>
      </c>
      <c r="V85" s="5">
        <f>IF(po_master[[#This Row],[Missing Approval]]="Missing Approval", 1, 0)</f>
        <v>0</v>
      </c>
      <c r="W85" s="5">
        <f>IF(po_master[[#This Row],[GR Receipt Status]]="No GR - Not Received", 1, 0)</f>
        <v>1</v>
      </c>
      <c r="X85" s="5">
        <f>IF(po_master[[#This Row],[No invoice]]="No Invoice", 1, 0)</f>
        <v>0</v>
      </c>
      <c r="Y85" s="5">
        <f>IF(po_master[[#This Row],[Date Check]]="Invalid Date", 1, 0)</f>
        <v>0</v>
      </c>
      <c r="Z85" s="5">
        <f>IF(po_master[[#This Row],[Qty Variance Flag]]="Qty Variance", 1, 0)</f>
        <v>0</v>
      </c>
      <c r="AA85" s="5">
        <f>IF(po_master[[#This Row],[Price Variance Flag]]="Price Variance", 1, 0)</f>
        <v>1</v>
      </c>
      <c r="AB85" s="5">
        <f>IF(po_master[[#This Row],[Late Delivery Flag]]="Late Delivery", 1, 0)</f>
        <v>0</v>
      </c>
      <c r="AC85" s="5">
        <f>IF(po_master[[#This Row],[Duplicate Invoice Flag]]="Duplicate Invoice", 1, 0)</f>
        <v>0</v>
      </c>
      <c r="AD85" s="5" t="str">
        <f>TEXT(po_master[[#This Row],[Order Date]],"YYYY-MM")</f>
        <v>2026-01</v>
      </c>
    </row>
    <row r="86" spans="1:30" x14ac:dyDescent="0.25">
      <c r="A86" t="s">
        <v>80</v>
      </c>
      <c r="B86" t="s">
        <v>1470</v>
      </c>
      <c r="C86" s="1">
        <v>46034</v>
      </c>
      <c r="D86">
        <v>372</v>
      </c>
      <c r="E86">
        <v>90.03</v>
      </c>
      <c r="F86" t="s">
        <v>1504</v>
      </c>
      <c r="G86" s="1">
        <v>46045</v>
      </c>
      <c r="H86">
        <v>372</v>
      </c>
      <c r="I86" s="1">
        <v>46058</v>
      </c>
      <c r="J86" t="s">
        <v>738</v>
      </c>
      <c r="K86">
        <v>372</v>
      </c>
      <c r="L86">
        <v>90.03</v>
      </c>
      <c r="M86" s="1">
        <v>46049</v>
      </c>
      <c r="N86" t="str">
        <f>IF(po_master[[#This Row],[Approved By]]="", "Missing Approval", "OK")</f>
        <v>OK</v>
      </c>
      <c r="O86" t="str">
        <f>IF(ISBLANK(po_master[[#This Row],[GR Quantity]]), "No GR - Not received", "OK")</f>
        <v>OK</v>
      </c>
      <c r="P86" t="str">
        <f>IF(po_master[[#This Row],[Promised Delivey Date]]&lt;po_master[[#This Row],[Order Date]], "Invalid", "OK")</f>
        <v>OK</v>
      </c>
      <c r="Q86" t="str">
        <f>IF(ISBLANK(po_master[[#This Row],[Invoice Number]]), "No Invoice", "OK")</f>
        <v>OK</v>
      </c>
      <c r="R86" t="str">
        <f>IF(AND(NOT(ISBLANK(po_master[[#This Row],[GR Quantity]])), po_master[[#This Row],[GR Quantity]]&lt;&gt;po_master[[#This Row],[PO Quantity]]), "Qty Variance", "OK")</f>
        <v>OK</v>
      </c>
      <c r="S86" t="str">
        <f>IF(po_master[[#This Row],[Invoice Unit Price]]&gt;po_master[[#This Row],[PO Unit Price]]*1.01, "Price Variance", "OK")</f>
        <v>OK</v>
      </c>
      <c r="T86" t="str">
        <f>IF(po_master[[#This Row],[Actual Delivery Date]]&gt;po_master[[#This Row],[Promised Delivey Date]], "Late Delivery", "OK")</f>
        <v>Late Delivery</v>
      </c>
      <c r="U86" t="str">
        <f>IF(COUNTIF(po_master[PO Number],po_master[[#This Row],[PO Number]])&gt;1, "Duplicate Invoice", "OK")</f>
        <v>OK</v>
      </c>
      <c r="V86" s="5">
        <f>IF(po_master[[#This Row],[Missing Approval]]="Missing Approval", 1, 0)</f>
        <v>0</v>
      </c>
      <c r="W86" s="5">
        <f>IF(po_master[[#This Row],[GR Receipt Status]]="No GR - Not Received", 1, 0)</f>
        <v>0</v>
      </c>
      <c r="X86" s="5">
        <f>IF(po_master[[#This Row],[No invoice]]="No Invoice", 1, 0)</f>
        <v>0</v>
      </c>
      <c r="Y86" s="5">
        <f>IF(po_master[[#This Row],[Date Check]]="Invalid Date", 1, 0)</f>
        <v>0</v>
      </c>
      <c r="Z86" s="5">
        <f>IF(po_master[[#This Row],[Qty Variance Flag]]="Qty Variance", 1, 0)</f>
        <v>0</v>
      </c>
      <c r="AA86" s="5">
        <f>IF(po_master[[#This Row],[Price Variance Flag]]="Price Variance", 1, 0)</f>
        <v>0</v>
      </c>
      <c r="AB86" s="5">
        <f>IF(po_master[[#This Row],[Late Delivery Flag]]="Late Delivery", 1, 0)</f>
        <v>1</v>
      </c>
      <c r="AC86" s="5">
        <f>IF(po_master[[#This Row],[Duplicate Invoice Flag]]="Duplicate Invoice", 1, 0)</f>
        <v>0</v>
      </c>
      <c r="AD86" s="5" t="str">
        <f>TEXT(po_master[[#This Row],[Order Date]],"YYYY-MM")</f>
        <v>2026-01</v>
      </c>
    </row>
    <row r="87" spans="1:30" x14ac:dyDescent="0.25">
      <c r="A87" t="s">
        <v>81</v>
      </c>
      <c r="B87" t="s">
        <v>1496</v>
      </c>
      <c r="C87" s="1">
        <v>46133</v>
      </c>
      <c r="D87">
        <v>45</v>
      </c>
      <c r="E87">
        <v>190.03</v>
      </c>
      <c r="F87" t="s">
        <v>1472</v>
      </c>
      <c r="G87" s="1">
        <v>46148</v>
      </c>
      <c r="H87">
        <v>45</v>
      </c>
      <c r="I87" s="1">
        <v>46149</v>
      </c>
      <c r="J87" t="s">
        <v>739</v>
      </c>
      <c r="K87">
        <v>45</v>
      </c>
      <c r="L87">
        <v>190.03</v>
      </c>
      <c r="M87" s="1">
        <v>46154</v>
      </c>
      <c r="N87" t="str">
        <f>IF(po_master[[#This Row],[Approved By]]="", "Missing Approval", "OK")</f>
        <v>OK</v>
      </c>
      <c r="O87" t="str">
        <f>IF(ISBLANK(po_master[[#This Row],[GR Quantity]]), "No GR - Not received", "OK")</f>
        <v>OK</v>
      </c>
      <c r="P87" t="str">
        <f>IF(po_master[[#This Row],[Promised Delivey Date]]&lt;po_master[[#This Row],[Order Date]], "Invalid", "OK")</f>
        <v>OK</v>
      </c>
      <c r="Q87" t="str">
        <f>IF(ISBLANK(po_master[[#This Row],[Invoice Number]]), "No Invoice", "OK")</f>
        <v>OK</v>
      </c>
      <c r="R87" t="str">
        <f>IF(AND(NOT(ISBLANK(po_master[[#This Row],[GR Quantity]])), po_master[[#This Row],[GR Quantity]]&lt;&gt;po_master[[#This Row],[PO Quantity]]), "Qty Variance", "OK")</f>
        <v>OK</v>
      </c>
      <c r="S87" t="str">
        <f>IF(po_master[[#This Row],[Invoice Unit Price]]&gt;po_master[[#This Row],[PO Unit Price]]*1.01, "Price Variance", "OK")</f>
        <v>OK</v>
      </c>
      <c r="T87" t="str">
        <f>IF(po_master[[#This Row],[Actual Delivery Date]]&gt;po_master[[#This Row],[Promised Delivey Date]], "Late Delivery", "OK")</f>
        <v>Late Delivery</v>
      </c>
      <c r="U87" t="str">
        <f>IF(COUNTIF(po_master[PO Number],po_master[[#This Row],[PO Number]])&gt;1, "Duplicate Invoice", "OK")</f>
        <v>OK</v>
      </c>
      <c r="V87" s="5">
        <f>IF(po_master[[#This Row],[Missing Approval]]="Missing Approval", 1, 0)</f>
        <v>0</v>
      </c>
      <c r="W87" s="5">
        <f>IF(po_master[[#This Row],[GR Receipt Status]]="No GR - Not Received", 1, 0)</f>
        <v>0</v>
      </c>
      <c r="X87" s="5">
        <f>IF(po_master[[#This Row],[No invoice]]="No Invoice", 1, 0)</f>
        <v>0</v>
      </c>
      <c r="Y87" s="5">
        <f>IF(po_master[[#This Row],[Date Check]]="Invalid Date", 1, 0)</f>
        <v>0</v>
      </c>
      <c r="Z87" s="5">
        <f>IF(po_master[[#This Row],[Qty Variance Flag]]="Qty Variance", 1, 0)</f>
        <v>0</v>
      </c>
      <c r="AA87" s="5">
        <f>IF(po_master[[#This Row],[Price Variance Flag]]="Price Variance", 1, 0)</f>
        <v>0</v>
      </c>
      <c r="AB87" s="5">
        <f>IF(po_master[[#This Row],[Late Delivery Flag]]="Late Delivery", 1, 0)</f>
        <v>1</v>
      </c>
      <c r="AC87" s="5">
        <f>IF(po_master[[#This Row],[Duplicate Invoice Flag]]="Duplicate Invoice", 1, 0)</f>
        <v>0</v>
      </c>
      <c r="AD87" s="5" t="str">
        <f>TEXT(po_master[[#This Row],[Order Date]],"YYYY-MM")</f>
        <v>2026-04</v>
      </c>
    </row>
    <row r="88" spans="1:30" x14ac:dyDescent="0.25">
      <c r="A88" t="s">
        <v>82</v>
      </c>
      <c r="B88" t="s">
        <v>1484</v>
      </c>
      <c r="C88" s="1">
        <v>46054</v>
      </c>
      <c r="D88">
        <v>378</v>
      </c>
      <c r="E88">
        <v>180.51</v>
      </c>
      <c r="F88" t="s">
        <v>1504</v>
      </c>
      <c r="G88" s="1">
        <v>46068</v>
      </c>
      <c r="H88">
        <v>378</v>
      </c>
      <c r="I88" s="1">
        <v>46070</v>
      </c>
      <c r="J88" t="s">
        <v>740</v>
      </c>
      <c r="K88">
        <v>378</v>
      </c>
      <c r="L88">
        <v>180.51</v>
      </c>
      <c r="M88" s="1">
        <v>46077</v>
      </c>
      <c r="N88" t="str">
        <f>IF(po_master[[#This Row],[Approved By]]="", "Missing Approval", "OK")</f>
        <v>OK</v>
      </c>
      <c r="O88" t="str">
        <f>IF(ISBLANK(po_master[[#This Row],[GR Quantity]]), "No GR - Not received", "OK")</f>
        <v>OK</v>
      </c>
      <c r="P88" t="str">
        <f>IF(po_master[[#This Row],[Promised Delivey Date]]&lt;po_master[[#This Row],[Order Date]], "Invalid", "OK")</f>
        <v>OK</v>
      </c>
      <c r="Q88" t="str">
        <f>IF(ISBLANK(po_master[[#This Row],[Invoice Number]]), "No Invoice", "OK")</f>
        <v>OK</v>
      </c>
      <c r="R88" t="str">
        <f>IF(AND(NOT(ISBLANK(po_master[[#This Row],[GR Quantity]])), po_master[[#This Row],[GR Quantity]]&lt;&gt;po_master[[#This Row],[PO Quantity]]), "Qty Variance", "OK")</f>
        <v>OK</v>
      </c>
      <c r="S88" t="str">
        <f>IF(po_master[[#This Row],[Invoice Unit Price]]&gt;po_master[[#This Row],[PO Unit Price]]*1.01, "Price Variance", "OK")</f>
        <v>OK</v>
      </c>
      <c r="T88" t="str">
        <f>IF(po_master[[#This Row],[Actual Delivery Date]]&gt;po_master[[#This Row],[Promised Delivey Date]], "Late Delivery", "OK")</f>
        <v>Late Delivery</v>
      </c>
      <c r="U88" t="str">
        <f>IF(COUNTIF(po_master[PO Number],po_master[[#This Row],[PO Number]])&gt;1, "Duplicate Invoice", "OK")</f>
        <v>OK</v>
      </c>
      <c r="V88" s="5">
        <f>IF(po_master[[#This Row],[Missing Approval]]="Missing Approval", 1, 0)</f>
        <v>0</v>
      </c>
      <c r="W88" s="5">
        <f>IF(po_master[[#This Row],[GR Receipt Status]]="No GR - Not Received", 1, 0)</f>
        <v>0</v>
      </c>
      <c r="X88" s="5">
        <f>IF(po_master[[#This Row],[No invoice]]="No Invoice", 1, 0)</f>
        <v>0</v>
      </c>
      <c r="Y88" s="5">
        <f>IF(po_master[[#This Row],[Date Check]]="Invalid Date", 1, 0)</f>
        <v>0</v>
      </c>
      <c r="Z88" s="5">
        <f>IF(po_master[[#This Row],[Qty Variance Flag]]="Qty Variance", 1, 0)</f>
        <v>0</v>
      </c>
      <c r="AA88" s="5">
        <f>IF(po_master[[#This Row],[Price Variance Flag]]="Price Variance", 1, 0)</f>
        <v>0</v>
      </c>
      <c r="AB88" s="5">
        <f>IF(po_master[[#This Row],[Late Delivery Flag]]="Late Delivery", 1, 0)</f>
        <v>1</v>
      </c>
      <c r="AC88" s="5">
        <f>IF(po_master[[#This Row],[Duplicate Invoice Flag]]="Duplicate Invoice", 1, 0)</f>
        <v>0</v>
      </c>
      <c r="AD88" s="5" t="str">
        <f>TEXT(po_master[[#This Row],[Order Date]],"YYYY-MM")</f>
        <v>2026-02</v>
      </c>
    </row>
    <row r="89" spans="1:30" x14ac:dyDescent="0.25">
      <c r="A89" t="s">
        <v>83</v>
      </c>
      <c r="B89" t="s">
        <v>1484</v>
      </c>
      <c r="C89" s="1">
        <v>46127</v>
      </c>
      <c r="D89">
        <v>177</v>
      </c>
      <c r="E89">
        <v>83.47</v>
      </c>
      <c r="F89" t="s">
        <v>1474</v>
      </c>
      <c r="G89" s="1">
        <v>46136</v>
      </c>
      <c r="H89">
        <v>165</v>
      </c>
      <c r="I89" s="1">
        <v>46138</v>
      </c>
      <c r="J89" t="s">
        <v>741</v>
      </c>
      <c r="K89">
        <v>177</v>
      </c>
      <c r="L89">
        <v>83.47</v>
      </c>
      <c r="M89" s="1">
        <v>46145</v>
      </c>
      <c r="N89" t="str">
        <f>IF(po_master[[#This Row],[Approved By]]="", "Missing Approval", "OK")</f>
        <v>OK</v>
      </c>
      <c r="O89" t="str">
        <f>IF(ISBLANK(po_master[[#This Row],[GR Quantity]]), "No GR - Not received", "OK")</f>
        <v>OK</v>
      </c>
      <c r="P89" t="str">
        <f>IF(po_master[[#This Row],[Promised Delivey Date]]&lt;po_master[[#This Row],[Order Date]], "Invalid", "OK")</f>
        <v>OK</v>
      </c>
      <c r="Q89" t="str">
        <f>IF(ISBLANK(po_master[[#This Row],[Invoice Number]]), "No Invoice", "OK")</f>
        <v>OK</v>
      </c>
      <c r="R89" t="str">
        <f>IF(AND(NOT(ISBLANK(po_master[[#This Row],[GR Quantity]])), po_master[[#This Row],[GR Quantity]]&lt;&gt;po_master[[#This Row],[PO Quantity]]), "Qty Variance", "OK")</f>
        <v>Qty Variance</v>
      </c>
      <c r="S89" t="str">
        <f>IF(po_master[[#This Row],[Invoice Unit Price]]&gt;po_master[[#This Row],[PO Unit Price]]*1.01, "Price Variance", "OK")</f>
        <v>OK</v>
      </c>
      <c r="T89" t="str">
        <f>IF(po_master[[#This Row],[Actual Delivery Date]]&gt;po_master[[#This Row],[Promised Delivey Date]], "Late Delivery", "OK")</f>
        <v>Late Delivery</v>
      </c>
      <c r="U89" t="str">
        <f>IF(COUNTIF(po_master[PO Number],po_master[[#This Row],[PO Number]])&gt;1, "Duplicate Invoice", "OK")</f>
        <v>OK</v>
      </c>
      <c r="V89" s="5">
        <f>IF(po_master[[#This Row],[Missing Approval]]="Missing Approval", 1, 0)</f>
        <v>0</v>
      </c>
      <c r="W89" s="5">
        <f>IF(po_master[[#This Row],[GR Receipt Status]]="No GR - Not Received", 1, 0)</f>
        <v>0</v>
      </c>
      <c r="X89" s="5">
        <f>IF(po_master[[#This Row],[No invoice]]="No Invoice", 1, 0)</f>
        <v>0</v>
      </c>
      <c r="Y89" s="5">
        <f>IF(po_master[[#This Row],[Date Check]]="Invalid Date", 1, 0)</f>
        <v>0</v>
      </c>
      <c r="Z89" s="5">
        <f>IF(po_master[[#This Row],[Qty Variance Flag]]="Qty Variance", 1, 0)</f>
        <v>1</v>
      </c>
      <c r="AA89" s="5">
        <f>IF(po_master[[#This Row],[Price Variance Flag]]="Price Variance", 1, 0)</f>
        <v>0</v>
      </c>
      <c r="AB89" s="5">
        <f>IF(po_master[[#This Row],[Late Delivery Flag]]="Late Delivery", 1, 0)</f>
        <v>1</v>
      </c>
      <c r="AC89" s="5">
        <f>IF(po_master[[#This Row],[Duplicate Invoice Flag]]="Duplicate Invoice", 1, 0)</f>
        <v>0</v>
      </c>
      <c r="AD89" s="5" t="str">
        <f>TEXT(po_master[[#This Row],[Order Date]],"YYYY-MM")</f>
        <v>2026-04</v>
      </c>
    </row>
    <row r="90" spans="1:30" x14ac:dyDescent="0.25">
      <c r="A90" t="s">
        <v>84</v>
      </c>
      <c r="B90" t="s">
        <v>1505</v>
      </c>
      <c r="C90" s="1">
        <v>46130</v>
      </c>
      <c r="D90">
        <v>350</v>
      </c>
      <c r="E90">
        <v>188.37</v>
      </c>
      <c r="F90" t="s">
        <v>1467</v>
      </c>
      <c r="G90" s="1">
        <v>46140</v>
      </c>
      <c r="H90">
        <v>350</v>
      </c>
      <c r="I90" s="1">
        <v>46139</v>
      </c>
      <c r="J90" t="s">
        <v>742</v>
      </c>
      <c r="K90">
        <v>350</v>
      </c>
      <c r="L90">
        <v>188.37</v>
      </c>
      <c r="M90" s="1">
        <v>46141</v>
      </c>
      <c r="N90" t="str">
        <f>IF(po_master[[#This Row],[Approved By]]="", "Missing Approval", "OK")</f>
        <v>OK</v>
      </c>
      <c r="O90" t="str">
        <f>IF(ISBLANK(po_master[[#This Row],[GR Quantity]]), "No GR - Not received", "OK")</f>
        <v>OK</v>
      </c>
      <c r="P90" t="str">
        <f>IF(po_master[[#This Row],[Promised Delivey Date]]&lt;po_master[[#This Row],[Order Date]], "Invalid", "OK")</f>
        <v>OK</v>
      </c>
      <c r="Q90" t="str">
        <f>IF(ISBLANK(po_master[[#This Row],[Invoice Number]]), "No Invoice", "OK")</f>
        <v>OK</v>
      </c>
      <c r="R90" t="str">
        <f>IF(AND(NOT(ISBLANK(po_master[[#This Row],[GR Quantity]])), po_master[[#This Row],[GR Quantity]]&lt;&gt;po_master[[#This Row],[PO Quantity]]), "Qty Variance", "OK")</f>
        <v>OK</v>
      </c>
      <c r="S90" t="str">
        <f>IF(po_master[[#This Row],[Invoice Unit Price]]&gt;po_master[[#This Row],[PO Unit Price]]*1.01, "Price Variance", "OK")</f>
        <v>OK</v>
      </c>
      <c r="T90" t="str">
        <f>IF(po_master[[#This Row],[Actual Delivery Date]]&gt;po_master[[#This Row],[Promised Delivey Date]], "Late Delivery", "OK")</f>
        <v>OK</v>
      </c>
      <c r="U90" t="str">
        <f>IF(COUNTIF(po_master[PO Number],po_master[[#This Row],[PO Number]])&gt;1, "Duplicate Invoice", "OK")</f>
        <v>OK</v>
      </c>
      <c r="V90" s="5">
        <f>IF(po_master[[#This Row],[Missing Approval]]="Missing Approval", 1, 0)</f>
        <v>0</v>
      </c>
      <c r="W90" s="5">
        <f>IF(po_master[[#This Row],[GR Receipt Status]]="No GR - Not Received", 1, 0)</f>
        <v>0</v>
      </c>
      <c r="X90" s="5">
        <f>IF(po_master[[#This Row],[No invoice]]="No Invoice", 1, 0)</f>
        <v>0</v>
      </c>
      <c r="Y90" s="5">
        <f>IF(po_master[[#This Row],[Date Check]]="Invalid Date", 1, 0)</f>
        <v>0</v>
      </c>
      <c r="Z90" s="5">
        <f>IF(po_master[[#This Row],[Qty Variance Flag]]="Qty Variance", 1, 0)</f>
        <v>0</v>
      </c>
      <c r="AA90" s="5">
        <f>IF(po_master[[#This Row],[Price Variance Flag]]="Price Variance", 1, 0)</f>
        <v>0</v>
      </c>
      <c r="AB90" s="5">
        <f>IF(po_master[[#This Row],[Late Delivery Flag]]="Late Delivery", 1, 0)</f>
        <v>0</v>
      </c>
      <c r="AC90" s="5">
        <f>IF(po_master[[#This Row],[Duplicate Invoice Flag]]="Duplicate Invoice", 1, 0)</f>
        <v>0</v>
      </c>
      <c r="AD90" s="5" t="str">
        <f>TEXT(po_master[[#This Row],[Order Date]],"YYYY-MM")</f>
        <v>2026-04</v>
      </c>
    </row>
    <row r="91" spans="1:30" x14ac:dyDescent="0.25">
      <c r="A91" t="s">
        <v>85</v>
      </c>
      <c r="B91" t="s">
        <v>1497</v>
      </c>
      <c r="C91" s="1">
        <v>46168</v>
      </c>
      <c r="D91">
        <v>164</v>
      </c>
      <c r="E91">
        <v>84.18</v>
      </c>
      <c r="F91" t="s">
        <v>1448</v>
      </c>
      <c r="G91" s="1">
        <v>46182</v>
      </c>
      <c r="H91">
        <v>164</v>
      </c>
      <c r="I91" s="1">
        <v>46184</v>
      </c>
      <c r="J91" t="s">
        <v>743</v>
      </c>
      <c r="K91">
        <v>164</v>
      </c>
      <c r="L91">
        <v>84.18</v>
      </c>
      <c r="M91" s="1">
        <v>46190</v>
      </c>
      <c r="N91" t="str">
        <f>IF(po_master[[#This Row],[Approved By]]="", "Missing Approval", "OK")</f>
        <v>OK</v>
      </c>
      <c r="O91" t="str">
        <f>IF(ISBLANK(po_master[[#This Row],[GR Quantity]]), "No GR - Not received", "OK")</f>
        <v>OK</v>
      </c>
      <c r="P91" t="str">
        <f>IF(po_master[[#This Row],[Promised Delivey Date]]&lt;po_master[[#This Row],[Order Date]], "Invalid", "OK")</f>
        <v>OK</v>
      </c>
      <c r="Q91" t="str">
        <f>IF(ISBLANK(po_master[[#This Row],[Invoice Number]]), "No Invoice", "OK")</f>
        <v>OK</v>
      </c>
      <c r="R91" t="str">
        <f>IF(AND(NOT(ISBLANK(po_master[[#This Row],[GR Quantity]])), po_master[[#This Row],[GR Quantity]]&lt;&gt;po_master[[#This Row],[PO Quantity]]), "Qty Variance", "OK")</f>
        <v>OK</v>
      </c>
      <c r="S91" t="str">
        <f>IF(po_master[[#This Row],[Invoice Unit Price]]&gt;po_master[[#This Row],[PO Unit Price]]*1.01, "Price Variance", "OK")</f>
        <v>OK</v>
      </c>
      <c r="T91" t="str">
        <f>IF(po_master[[#This Row],[Actual Delivery Date]]&gt;po_master[[#This Row],[Promised Delivey Date]], "Late Delivery", "OK")</f>
        <v>Late Delivery</v>
      </c>
      <c r="U91" t="str">
        <f>IF(COUNTIF(po_master[PO Number],po_master[[#This Row],[PO Number]])&gt;1, "Duplicate Invoice", "OK")</f>
        <v>OK</v>
      </c>
      <c r="V91" s="5">
        <f>IF(po_master[[#This Row],[Missing Approval]]="Missing Approval", 1, 0)</f>
        <v>0</v>
      </c>
      <c r="W91" s="5">
        <f>IF(po_master[[#This Row],[GR Receipt Status]]="No GR - Not Received", 1, 0)</f>
        <v>0</v>
      </c>
      <c r="X91" s="5">
        <f>IF(po_master[[#This Row],[No invoice]]="No Invoice", 1, 0)</f>
        <v>0</v>
      </c>
      <c r="Y91" s="5">
        <f>IF(po_master[[#This Row],[Date Check]]="Invalid Date", 1, 0)</f>
        <v>0</v>
      </c>
      <c r="Z91" s="5">
        <f>IF(po_master[[#This Row],[Qty Variance Flag]]="Qty Variance", 1, 0)</f>
        <v>0</v>
      </c>
      <c r="AA91" s="5">
        <f>IF(po_master[[#This Row],[Price Variance Flag]]="Price Variance", 1, 0)</f>
        <v>0</v>
      </c>
      <c r="AB91" s="5">
        <f>IF(po_master[[#This Row],[Late Delivery Flag]]="Late Delivery", 1, 0)</f>
        <v>1</v>
      </c>
      <c r="AC91" s="5">
        <f>IF(po_master[[#This Row],[Duplicate Invoice Flag]]="Duplicate Invoice", 1, 0)</f>
        <v>0</v>
      </c>
      <c r="AD91" s="5" t="str">
        <f>TEXT(po_master[[#This Row],[Order Date]],"YYYY-MM")</f>
        <v>2026-05</v>
      </c>
    </row>
    <row r="92" spans="1:30" x14ac:dyDescent="0.25">
      <c r="A92" t="s">
        <v>86</v>
      </c>
      <c r="B92" t="s">
        <v>1506</v>
      </c>
      <c r="C92" s="1">
        <v>46076</v>
      </c>
      <c r="D92">
        <v>230</v>
      </c>
      <c r="E92">
        <v>158.22</v>
      </c>
      <c r="F92" t="s">
        <v>1494</v>
      </c>
      <c r="G92" s="1">
        <v>46091</v>
      </c>
      <c r="H92">
        <v>230</v>
      </c>
      <c r="I92" s="1">
        <v>46092</v>
      </c>
      <c r="J92" t="s">
        <v>744</v>
      </c>
      <c r="K92">
        <v>230</v>
      </c>
      <c r="L92">
        <v>158.22</v>
      </c>
      <c r="M92" s="1">
        <v>46093</v>
      </c>
      <c r="N92" t="str">
        <f>IF(po_master[[#This Row],[Approved By]]="", "Missing Approval", "OK")</f>
        <v>OK</v>
      </c>
      <c r="O92" t="str">
        <f>IF(ISBLANK(po_master[[#This Row],[GR Quantity]]), "No GR - Not received", "OK")</f>
        <v>OK</v>
      </c>
      <c r="P92" t="str">
        <f>IF(po_master[[#This Row],[Promised Delivey Date]]&lt;po_master[[#This Row],[Order Date]], "Invalid", "OK")</f>
        <v>OK</v>
      </c>
      <c r="Q92" t="str">
        <f>IF(ISBLANK(po_master[[#This Row],[Invoice Number]]), "No Invoice", "OK")</f>
        <v>OK</v>
      </c>
      <c r="R92" t="str">
        <f>IF(AND(NOT(ISBLANK(po_master[[#This Row],[GR Quantity]])), po_master[[#This Row],[GR Quantity]]&lt;&gt;po_master[[#This Row],[PO Quantity]]), "Qty Variance", "OK")</f>
        <v>OK</v>
      </c>
      <c r="S92" t="str">
        <f>IF(po_master[[#This Row],[Invoice Unit Price]]&gt;po_master[[#This Row],[PO Unit Price]]*1.01, "Price Variance", "OK")</f>
        <v>OK</v>
      </c>
      <c r="T92" t="str">
        <f>IF(po_master[[#This Row],[Actual Delivery Date]]&gt;po_master[[#This Row],[Promised Delivey Date]], "Late Delivery", "OK")</f>
        <v>Late Delivery</v>
      </c>
      <c r="U92" t="str">
        <f>IF(COUNTIF(po_master[PO Number],po_master[[#This Row],[PO Number]])&gt;1, "Duplicate Invoice", "OK")</f>
        <v>OK</v>
      </c>
      <c r="V92" s="5">
        <f>IF(po_master[[#This Row],[Missing Approval]]="Missing Approval", 1, 0)</f>
        <v>0</v>
      </c>
      <c r="W92" s="5">
        <f>IF(po_master[[#This Row],[GR Receipt Status]]="No GR - Not Received", 1, 0)</f>
        <v>0</v>
      </c>
      <c r="X92" s="5">
        <f>IF(po_master[[#This Row],[No invoice]]="No Invoice", 1, 0)</f>
        <v>0</v>
      </c>
      <c r="Y92" s="5">
        <f>IF(po_master[[#This Row],[Date Check]]="Invalid Date", 1, 0)</f>
        <v>0</v>
      </c>
      <c r="Z92" s="5">
        <f>IF(po_master[[#This Row],[Qty Variance Flag]]="Qty Variance", 1, 0)</f>
        <v>0</v>
      </c>
      <c r="AA92" s="5">
        <f>IF(po_master[[#This Row],[Price Variance Flag]]="Price Variance", 1, 0)</f>
        <v>0</v>
      </c>
      <c r="AB92" s="5">
        <f>IF(po_master[[#This Row],[Late Delivery Flag]]="Late Delivery", 1, 0)</f>
        <v>1</v>
      </c>
      <c r="AC92" s="5">
        <f>IF(po_master[[#This Row],[Duplicate Invoice Flag]]="Duplicate Invoice", 1, 0)</f>
        <v>0</v>
      </c>
      <c r="AD92" s="5" t="str">
        <f>TEXT(po_master[[#This Row],[Order Date]],"YYYY-MM")</f>
        <v>2026-02</v>
      </c>
    </row>
    <row r="93" spans="1:30" x14ac:dyDescent="0.25">
      <c r="A93" t="s">
        <v>87</v>
      </c>
      <c r="B93" t="s">
        <v>1489</v>
      </c>
      <c r="C93" s="1">
        <v>46136</v>
      </c>
      <c r="D93">
        <v>236</v>
      </c>
      <c r="E93">
        <v>136.75</v>
      </c>
      <c r="F93" t="s">
        <v>1459</v>
      </c>
      <c r="G93" s="1">
        <v>46156</v>
      </c>
      <c r="H93">
        <v>236</v>
      </c>
      <c r="I93" s="1">
        <v>46155</v>
      </c>
      <c r="J93" t="s">
        <v>745</v>
      </c>
      <c r="K93">
        <v>236</v>
      </c>
      <c r="L93">
        <v>136.75</v>
      </c>
      <c r="M93" s="1">
        <v>46158</v>
      </c>
      <c r="N93" t="str">
        <f>IF(po_master[[#This Row],[Approved By]]="", "Missing Approval", "OK")</f>
        <v>Missing Approval</v>
      </c>
      <c r="O93" t="str">
        <f>IF(ISBLANK(po_master[[#This Row],[GR Quantity]]), "No GR - Not received", "OK")</f>
        <v>OK</v>
      </c>
      <c r="P93" t="str">
        <f>IF(po_master[[#This Row],[Promised Delivey Date]]&lt;po_master[[#This Row],[Order Date]], "Invalid", "OK")</f>
        <v>OK</v>
      </c>
      <c r="Q93" t="str">
        <f>IF(ISBLANK(po_master[[#This Row],[Invoice Number]]), "No Invoice", "OK")</f>
        <v>OK</v>
      </c>
      <c r="R93" t="str">
        <f>IF(AND(NOT(ISBLANK(po_master[[#This Row],[GR Quantity]])), po_master[[#This Row],[GR Quantity]]&lt;&gt;po_master[[#This Row],[PO Quantity]]), "Qty Variance", "OK")</f>
        <v>OK</v>
      </c>
      <c r="S93" t="str">
        <f>IF(po_master[[#This Row],[Invoice Unit Price]]&gt;po_master[[#This Row],[PO Unit Price]]*1.01, "Price Variance", "OK")</f>
        <v>OK</v>
      </c>
      <c r="T93" t="str">
        <f>IF(po_master[[#This Row],[Actual Delivery Date]]&gt;po_master[[#This Row],[Promised Delivey Date]], "Late Delivery", "OK")</f>
        <v>OK</v>
      </c>
      <c r="U93" t="str">
        <f>IF(COUNTIF(po_master[PO Number],po_master[[#This Row],[PO Number]])&gt;1, "Duplicate Invoice", "OK")</f>
        <v>OK</v>
      </c>
      <c r="V93" s="5">
        <f>IF(po_master[[#This Row],[Missing Approval]]="Missing Approval", 1, 0)</f>
        <v>1</v>
      </c>
      <c r="W93" s="5">
        <f>IF(po_master[[#This Row],[GR Receipt Status]]="No GR - Not Received", 1, 0)</f>
        <v>0</v>
      </c>
      <c r="X93" s="5">
        <f>IF(po_master[[#This Row],[No invoice]]="No Invoice", 1, 0)</f>
        <v>0</v>
      </c>
      <c r="Y93" s="5">
        <f>IF(po_master[[#This Row],[Date Check]]="Invalid Date", 1, 0)</f>
        <v>0</v>
      </c>
      <c r="Z93" s="5">
        <f>IF(po_master[[#This Row],[Qty Variance Flag]]="Qty Variance", 1, 0)</f>
        <v>0</v>
      </c>
      <c r="AA93" s="5">
        <f>IF(po_master[[#This Row],[Price Variance Flag]]="Price Variance", 1, 0)</f>
        <v>0</v>
      </c>
      <c r="AB93" s="5">
        <f>IF(po_master[[#This Row],[Late Delivery Flag]]="Late Delivery", 1, 0)</f>
        <v>0</v>
      </c>
      <c r="AC93" s="5">
        <f>IF(po_master[[#This Row],[Duplicate Invoice Flag]]="Duplicate Invoice", 1, 0)</f>
        <v>0</v>
      </c>
      <c r="AD93" s="5" t="str">
        <f>TEXT(po_master[[#This Row],[Order Date]],"YYYY-MM")</f>
        <v>2026-04</v>
      </c>
    </row>
    <row r="94" spans="1:30" x14ac:dyDescent="0.25">
      <c r="A94" t="s">
        <v>88</v>
      </c>
      <c r="B94" t="s">
        <v>1465</v>
      </c>
      <c r="C94" s="1">
        <v>46066</v>
      </c>
      <c r="D94">
        <v>347</v>
      </c>
      <c r="E94">
        <v>21.54</v>
      </c>
      <c r="F94" t="s">
        <v>1504</v>
      </c>
      <c r="G94" s="1">
        <v>46081</v>
      </c>
      <c r="H94">
        <v>347</v>
      </c>
      <c r="I94" s="1">
        <v>46083</v>
      </c>
      <c r="J94" t="s">
        <v>746</v>
      </c>
      <c r="K94">
        <v>347</v>
      </c>
      <c r="L94">
        <v>22.96</v>
      </c>
      <c r="M94" s="1">
        <v>46083</v>
      </c>
      <c r="N94" t="str">
        <f>IF(po_master[[#This Row],[Approved By]]="", "Missing Approval", "OK")</f>
        <v>OK</v>
      </c>
      <c r="O94" t="str">
        <f>IF(ISBLANK(po_master[[#This Row],[GR Quantity]]), "No GR - Not received", "OK")</f>
        <v>OK</v>
      </c>
      <c r="P94" t="str">
        <f>IF(po_master[[#This Row],[Promised Delivey Date]]&lt;po_master[[#This Row],[Order Date]], "Invalid", "OK")</f>
        <v>OK</v>
      </c>
      <c r="Q94" t="str">
        <f>IF(ISBLANK(po_master[[#This Row],[Invoice Number]]), "No Invoice", "OK")</f>
        <v>OK</v>
      </c>
      <c r="R94" t="str">
        <f>IF(AND(NOT(ISBLANK(po_master[[#This Row],[GR Quantity]])), po_master[[#This Row],[GR Quantity]]&lt;&gt;po_master[[#This Row],[PO Quantity]]), "Qty Variance", "OK")</f>
        <v>OK</v>
      </c>
      <c r="S94" t="str">
        <f>IF(po_master[[#This Row],[Invoice Unit Price]]&gt;po_master[[#This Row],[PO Unit Price]]*1.01, "Price Variance", "OK")</f>
        <v>Price Variance</v>
      </c>
      <c r="T94" t="str">
        <f>IF(po_master[[#This Row],[Actual Delivery Date]]&gt;po_master[[#This Row],[Promised Delivey Date]], "Late Delivery", "OK")</f>
        <v>Late Delivery</v>
      </c>
      <c r="U94" t="str">
        <f>IF(COUNTIF(po_master[PO Number],po_master[[#This Row],[PO Number]])&gt;1, "Duplicate Invoice", "OK")</f>
        <v>OK</v>
      </c>
      <c r="V94" s="5">
        <f>IF(po_master[[#This Row],[Missing Approval]]="Missing Approval", 1, 0)</f>
        <v>0</v>
      </c>
      <c r="W94" s="5">
        <f>IF(po_master[[#This Row],[GR Receipt Status]]="No GR - Not Received", 1, 0)</f>
        <v>0</v>
      </c>
      <c r="X94" s="5">
        <f>IF(po_master[[#This Row],[No invoice]]="No Invoice", 1, 0)</f>
        <v>0</v>
      </c>
      <c r="Y94" s="5">
        <f>IF(po_master[[#This Row],[Date Check]]="Invalid Date", 1, 0)</f>
        <v>0</v>
      </c>
      <c r="Z94" s="5">
        <f>IF(po_master[[#This Row],[Qty Variance Flag]]="Qty Variance", 1, 0)</f>
        <v>0</v>
      </c>
      <c r="AA94" s="5">
        <f>IF(po_master[[#This Row],[Price Variance Flag]]="Price Variance", 1, 0)</f>
        <v>1</v>
      </c>
      <c r="AB94" s="5">
        <f>IF(po_master[[#This Row],[Late Delivery Flag]]="Late Delivery", 1, 0)</f>
        <v>1</v>
      </c>
      <c r="AC94" s="5">
        <f>IF(po_master[[#This Row],[Duplicate Invoice Flag]]="Duplicate Invoice", 1, 0)</f>
        <v>0</v>
      </c>
      <c r="AD94" s="5" t="str">
        <f>TEXT(po_master[[#This Row],[Order Date]],"YYYY-MM")</f>
        <v>2026-02</v>
      </c>
    </row>
    <row r="95" spans="1:30" x14ac:dyDescent="0.25">
      <c r="A95" t="s">
        <v>89</v>
      </c>
      <c r="B95" t="s">
        <v>1457</v>
      </c>
      <c r="C95" s="1">
        <v>46083</v>
      </c>
      <c r="D95">
        <v>354</v>
      </c>
      <c r="E95">
        <v>65.53</v>
      </c>
      <c r="F95" t="s">
        <v>1444</v>
      </c>
      <c r="G95" s="1">
        <v>46092</v>
      </c>
      <c r="H95">
        <v>343</v>
      </c>
      <c r="I95" s="1">
        <v>46091</v>
      </c>
      <c r="J95" t="s">
        <v>747</v>
      </c>
      <c r="K95">
        <v>354</v>
      </c>
      <c r="L95">
        <v>65.53</v>
      </c>
      <c r="M95" s="1">
        <v>46095</v>
      </c>
      <c r="N95" t="str">
        <f>IF(po_master[[#This Row],[Approved By]]="", "Missing Approval", "OK")</f>
        <v>OK</v>
      </c>
      <c r="O95" t="str">
        <f>IF(ISBLANK(po_master[[#This Row],[GR Quantity]]), "No GR - Not received", "OK")</f>
        <v>OK</v>
      </c>
      <c r="P95" t="str">
        <f>IF(po_master[[#This Row],[Promised Delivey Date]]&lt;po_master[[#This Row],[Order Date]], "Invalid", "OK")</f>
        <v>OK</v>
      </c>
      <c r="Q95" t="str">
        <f>IF(ISBLANK(po_master[[#This Row],[Invoice Number]]), "No Invoice", "OK")</f>
        <v>OK</v>
      </c>
      <c r="R95" t="str">
        <f>IF(AND(NOT(ISBLANK(po_master[[#This Row],[GR Quantity]])), po_master[[#This Row],[GR Quantity]]&lt;&gt;po_master[[#This Row],[PO Quantity]]), "Qty Variance", "OK")</f>
        <v>Qty Variance</v>
      </c>
      <c r="S95" t="str">
        <f>IF(po_master[[#This Row],[Invoice Unit Price]]&gt;po_master[[#This Row],[PO Unit Price]]*1.01, "Price Variance", "OK")</f>
        <v>OK</v>
      </c>
      <c r="T95" t="str">
        <f>IF(po_master[[#This Row],[Actual Delivery Date]]&gt;po_master[[#This Row],[Promised Delivey Date]], "Late Delivery", "OK")</f>
        <v>OK</v>
      </c>
      <c r="U95" t="str">
        <f>IF(COUNTIF(po_master[PO Number],po_master[[#This Row],[PO Number]])&gt;1, "Duplicate Invoice", "OK")</f>
        <v>OK</v>
      </c>
      <c r="V95" s="5">
        <f>IF(po_master[[#This Row],[Missing Approval]]="Missing Approval", 1, 0)</f>
        <v>0</v>
      </c>
      <c r="W95" s="5">
        <f>IF(po_master[[#This Row],[GR Receipt Status]]="No GR - Not Received", 1, 0)</f>
        <v>0</v>
      </c>
      <c r="X95" s="5">
        <f>IF(po_master[[#This Row],[No invoice]]="No Invoice", 1, 0)</f>
        <v>0</v>
      </c>
      <c r="Y95" s="5">
        <f>IF(po_master[[#This Row],[Date Check]]="Invalid Date", 1, 0)</f>
        <v>0</v>
      </c>
      <c r="Z95" s="5">
        <f>IF(po_master[[#This Row],[Qty Variance Flag]]="Qty Variance", 1, 0)</f>
        <v>1</v>
      </c>
      <c r="AA95" s="5">
        <f>IF(po_master[[#This Row],[Price Variance Flag]]="Price Variance", 1, 0)</f>
        <v>0</v>
      </c>
      <c r="AB95" s="5">
        <f>IF(po_master[[#This Row],[Late Delivery Flag]]="Late Delivery", 1, 0)</f>
        <v>0</v>
      </c>
      <c r="AC95" s="5">
        <f>IF(po_master[[#This Row],[Duplicate Invoice Flag]]="Duplicate Invoice", 1, 0)</f>
        <v>0</v>
      </c>
      <c r="AD95" s="5" t="str">
        <f>TEXT(po_master[[#This Row],[Order Date]],"YYYY-MM")</f>
        <v>2026-03</v>
      </c>
    </row>
    <row r="96" spans="1:30" x14ac:dyDescent="0.25">
      <c r="A96" t="s">
        <v>90</v>
      </c>
      <c r="B96" t="s">
        <v>1473</v>
      </c>
      <c r="C96" s="1">
        <v>46034</v>
      </c>
      <c r="D96">
        <v>135</v>
      </c>
      <c r="E96">
        <v>196.87</v>
      </c>
      <c r="F96" t="s">
        <v>1494</v>
      </c>
      <c r="G96" s="1">
        <v>46041</v>
      </c>
      <c r="H96">
        <v>135</v>
      </c>
      <c r="I96" s="1">
        <v>46043</v>
      </c>
      <c r="J96" t="s">
        <v>748</v>
      </c>
      <c r="K96">
        <v>135</v>
      </c>
      <c r="L96">
        <v>196.87</v>
      </c>
      <c r="M96" s="1">
        <v>46050</v>
      </c>
      <c r="N96" t="str">
        <f>IF(po_master[[#This Row],[Approved By]]="", "Missing Approval", "OK")</f>
        <v>OK</v>
      </c>
      <c r="O96" t="str">
        <f>IF(ISBLANK(po_master[[#This Row],[GR Quantity]]), "No GR - Not received", "OK")</f>
        <v>OK</v>
      </c>
      <c r="P96" t="str">
        <f>IF(po_master[[#This Row],[Promised Delivey Date]]&lt;po_master[[#This Row],[Order Date]], "Invalid", "OK")</f>
        <v>OK</v>
      </c>
      <c r="Q96" t="str">
        <f>IF(ISBLANK(po_master[[#This Row],[Invoice Number]]), "No Invoice", "OK")</f>
        <v>OK</v>
      </c>
      <c r="R96" t="str">
        <f>IF(AND(NOT(ISBLANK(po_master[[#This Row],[GR Quantity]])), po_master[[#This Row],[GR Quantity]]&lt;&gt;po_master[[#This Row],[PO Quantity]]), "Qty Variance", "OK")</f>
        <v>OK</v>
      </c>
      <c r="S96" t="str">
        <f>IF(po_master[[#This Row],[Invoice Unit Price]]&gt;po_master[[#This Row],[PO Unit Price]]*1.01, "Price Variance", "OK")</f>
        <v>OK</v>
      </c>
      <c r="T96" t="str">
        <f>IF(po_master[[#This Row],[Actual Delivery Date]]&gt;po_master[[#This Row],[Promised Delivey Date]], "Late Delivery", "OK")</f>
        <v>Late Delivery</v>
      </c>
      <c r="U96" t="str">
        <f>IF(COUNTIF(po_master[PO Number],po_master[[#This Row],[PO Number]])&gt;1, "Duplicate Invoice", "OK")</f>
        <v>OK</v>
      </c>
      <c r="V96" s="5">
        <f>IF(po_master[[#This Row],[Missing Approval]]="Missing Approval", 1, 0)</f>
        <v>0</v>
      </c>
      <c r="W96" s="5">
        <f>IF(po_master[[#This Row],[GR Receipt Status]]="No GR - Not Received", 1, 0)</f>
        <v>0</v>
      </c>
      <c r="X96" s="5">
        <f>IF(po_master[[#This Row],[No invoice]]="No Invoice", 1, 0)</f>
        <v>0</v>
      </c>
      <c r="Y96" s="5">
        <f>IF(po_master[[#This Row],[Date Check]]="Invalid Date", 1, 0)</f>
        <v>0</v>
      </c>
      <c r="Z96" s="5">
        <f>IF(po_master[[#This Row],[Qty Variance Flag]]="Qty Variance", 1, 0)</f>
        <v>0</v>
      </c>
      <c r="AA96" s="5">
        <f>IF(po_master[[#This Row],[Price Variance Flag]]="Price Variance", 1, 0)</f>
        <v>0</v>
      </c>
      <c r="AB96" s="5">
        <f>IF(po_master[[#This Row],[Late Delivery Flag]]="Late Delivery", 1, 0)</f>
        <v>1</v>
      </c>
      <c r="AC96" s="5">
        <f>IF(po_master[[#This Row],[Duplicate Invoice Flag]]="Duplicate Invoice", 1, 0)</f>
        <v>0</v>
      </c>
      <c r="AD96" s="5" t="str">
        <f>TEXT(po_master[[#This Row],[Order Date]],"YYYY-MM")</f>
        <v>2026-01</v>
      </c>
    </row>
    <row r="97" spans="1:30" x14ac:dyDescent="0.25">
      <c r="A97" t="s">
        <v>91</v>
      </c>
      <c r="B97" t="s">
        <v>1489</v>
      </c>
      <c r="C97" s="1">
        <v>46129</v>
      </c>
      <c r="D97">
        <v>463</v>
      </c>
      <c r="E97">
        <v>127.8</v>
      </c>
      <c r="F97" t="s">
        <v>1444</v>
      </c>
      <c r="G97" s="1">
        <v>46146</v>
      </c>
      <c r="H97">
        <v>463</v>
      </c>
      <c r="I97" s="1">
        <v>46146</v>
      </c>
      <c r="J97" t="s">
        <v>749</v>
      </c>
      <c r="K97">
        <v>463</v>
      </c>
      <c r="L97">
        <v>127.8</v>
      </c>
      <c r="M97" s="1">
        <v>46149</v>
      </c>
      <c r="N97" t="str">
        <f>IF(po_master[[#This Row],[Approved By]]="", "Missing Approval", "OK")</f>
        <v>OK</v>
      </c>
      <c r="O97" t="str">
        <f>IF(ISBLANK(po_master[[#This Row],[GR Quantity]]), "No GR - Not received", "OK")</f>
        <v>OK</v>
      </c>
      <c r="P97" t="str">
        <f>IF(po_master[[#This Row],[Promised Delivey Date]]&lt;po_master[[#This Row],[Order Date]], "Invalid", "OK")</f>
        <v>OK</v>
      </c>
      <c r="Q97" t="str">
        <f>IF(ISBLANK(po_master[[#This Row],[Invoice Number]]), "No Invoice", "OK")</f>
        <v>OK</v>
      </c>
      <c r="R97" t="str">
        <f>IF(AND(NOT(ISBLANK(po_master[[#This Row],[GR Quantity]])), po_master[[#This Row],[GR Quantity]]&lt;&gt;po_master[[#This Row],[PO Quantity]]), "Qty Variance", "OK")</f>
        <v>OK</v>
      </c>
      <c r="S97" t="str">
        <f>IF(po_master[[#This Row],[Invoice Unit Price]]&gt;po_master[[#This Row],[PO Unit Price]]*1.01, "Price Variance", "OK")</f>
        <v>OK</v>
      </c>
      <c r="T97" t="str">
        <f>IF(po_master[[#This Row],[Actual Delivery Date]]&gt;po_master[[#This Row],[Promised Delivey Date]], "Late Delivery", "OK")</f>
        <v>OK</v>
      </c>
      <c r="U97" t="str">
        <f>IF(COUNTIF(po_master[PO Number],po_master[[#This Row],[PO Number]])&gt;1, "Duplicate Invoice", "OK")</f>
        <v>OK</v>
      </c>
      <c r="V97" s="5">
        <f>IF(po_master[[#This Row],[Missing Approval]]="Missing Approval", 1, 0)</f>
        <v>0</v>
      </c>
      <c r="W97" s="5">
        <f>IF(po_master[[#This Row],[GR Receipt Status]]="No GR - Not Received", 1, 0)</f>
        <v>0</v>
      </c>
      <c r="X97" s="5">
        <f>IF(po_master[[#This Row],[No invoice]]="No Invoice", 1, 0)</f>
        <v>0</v>
      </c>
      <c r="Y97" s="5">
        <f>IF(po_master[[#This Row],[Date Check]]="Invalid Date", 1, 0)</f>
        <v>0</v>
      </c>
      <c r="Z97" s="5">
        <f>IF(po_master[[#This Row],[Qty Variance Flag]]="Qty Variance", 1, 0)</f>
        <v>0</v>
      </c>
      <c r="AA97" s="5">
        <f>IF(po_master[[#This Row],[Price Variance Flag]]="Price Variance", 1, 0)</f>
        <v>0</v>
      </c>
      <c r="AB97" s="5">
        <f>IF(po_master[[#This Row],[Late Delivery Flag]]="Late Delivery", 1, 0)</f>
        <v>0</v>
      </c>
      <c r="AC97" s="5">
        <f>IF(po_master[[#This Row],[Duplicate Invoice Flag]]="Duplicate Invoice", 1, 0)</f>
        <v>0</v>
      </c>
      <c r="AD97" s="5" t="str">
        <f>TEXT(po_master[[#This Row],[Order Date]],"YYYY-MM")</f>
        <v>2026-04</v>
      </c>
    </row>
    <row r="98" spans="1:30" x14ac:dyDescent="0.25">
      <c r="A98" t="s">
        <v>92</v>
      </c>
      <c r="B98" t="s">
        <v>1498</v>
      </c>
      <c r="C98" s="1">
        <v>46125</v>
      </c>
      <c r="D98">
        <v>134</v>
      </c>
      <c r="E98">
        <v>33.78</v>
      </c>
      <c r="F98" t="s">
        <v>1499</v>
      </c>
      <c r="G98" s="1">
        <v>46130</v>
      </c>
      <c r="H98">
        <v>134</v>
      </c>
      <c r="I98" s="1">
        <v>46129</v>
      </c>
      <c r="J98" t="s">
        <v>750</v>
      </c>
      <c r="K98">
        <v>134</v>
      </c>
      <c r="L98">
        <v>33.78</v>
      </c>
      <c r="M98" s="1">
        <v>46133</v>
      </c>
      <c r="N98" t="str">
        <f>IF(po_master[[#This Row],[Approved By]]="", "Missing Approval", "OK")</f>
        <v>OK</v>
      </c>
      <c r="O98" t="str">
        <f>IF(ISBLANK(po_master[[#This Row],[GR Quantity]]), "No GR - Not received", "OK")</f>
        <v>OK</v>
      </c>
      <c r="P98" t="str">
        <f>IF(po_master[[#This Row],[Promised Delivey Date]]&lt;po_master[[#This Row],[Order Date]], "Invalid", "OK")</f>
        <v>OK</v>
      </c>
      <c r="Q98" t="str">
        <f>IF(ISBLANK(po_master[[#This Row],[Invoice Number]]), "No Invoice", "OK")</f>
        <v>OK</v>
      </c>
      <c r="R98" t="str">
        <f>IF(AND(NOT(ISBLANK(po_master[[#This Row],[GR Quantity]])), po_master[[#This Row],[GR Quantity]]&lt;&gt;po_master[[#This Row],[PO Quantity]]), "Qty Variance", "OK")</f>
        <v>OK</v>
      </c>
      <c r="S98" t="str">
        <f>IF(po_master[[#This Row],[Invoice Unit Price]]&gt;po_master[[#This Row],[PO Unit Price]]*1.01, "Price Variance", "OK")</f>
        <v>OK</v>
      </c>
      <c r="T98" t="str">
        <f>IF(po_master[[#This Row],[Actual Delivery Date]]&gt;po_master[[#This Row],[Promised Delivey Date]], "Late Delivery", "OK")</f>
        <v>OK</v>
      </c>
      <c r="U98" t="str">
        <f>IF(COUNTIF(po_master[PO Number],po_master[[#This Row],[PO Number]])&gt;1, "Duplicate Invoice", "OK")</f>
        <v>OK</v>
      </c>
      <c r="V98" s="5">
        <f>IF(po_master[[#This Row],[Missing Approval]]="Missing Approval", 1, 0)</f>
        <v>0</v>
      </c>
      <c r="W98" s="5">
        <f>IF(po_master[[#This Row],[GR Receipt Status]]="No GR - Not Received", 1, 0)</f>
        <v>0</v>
      </c>
      <c r="X98" s="5">
        <f>IF(po_master[[#This Row],[No invoice]]="No Invoice", 1, 0)</f>
        <v>0</v>
      </c>
      <c r="Y98" s="5">
        <f>IF(po_master[[#This Row],[Date Check]]="Invalid Date", 1, 0)</f>
        <v>0</v>
      </c>
      <c r="Z98" s="5">
        <f>IF(po_master[[#This Row],[Qty Variance Flag]]="Qty Variance", 1, 0)</f>
        <v>0</v>
      </c>
      <c r="AA98" s="5">
        <f>IF(po_master[[#This Row],[Price Variance Flag]]="Price Variance", 1, 0)</f>
        <v>0</v>
      </c>
      <c r="AB98" s="5">
        <f>IF(po_master[[#This Row],[Late Delivery Flag]]="Late Delivery", 1, 0)</f>
        <v>0</v>
      </c>
      <c r="AC98" s="5">
        <f>IF(po_master[[#This Row],[Duplicate Invoice Flag]]="Duplicate Invoice", 1, 0)</f>
        <v>0</v>
      </c>
      <c r="AD98" s="5" t="str">
        <f>TEXT(po_master[[#This Row],[Order Date]],"YYYY-MM")</f>
        <v>2026-04</v>
      </c>
    </row>
    <row r="99" spans="1:30" x14ac:dyDescent="0.25">
      <c r="A99" t="s">
        <v>93</v>
      </c>
      <c r="B99" t="s">
        <v>1489</v>
      </c>
      <c r="C99" s="1">
        <v>46035</v>
      </c>
      <c r="D99">
        <v>295</v>
      </c>
      <c r="E99">
        <v>53.59</v>
      </c>
      <c r="F99" t="s">
        <v>1459</v>
      </c>
      <c r="G99" s="1">
        <v>46054</v>
      </c>
      <c r="H99">
        <v>295</v>
      </c>
      <c r="I99" s="1">
        <v>46052</v>
      </c>
      <c r="J99" t="s">
        <v>753</v>
      </c>
      <c r="K99">
        <v>295</v>
      </c>
      <c r="L99">
        <v>62.98</v>
      </c>
      <c r="M99" s="1">
        <v>46062</v>
      </c>
      <c r="N99" t="str">
        <f>IF(po_master[[#This Row],[Approved By]]="", "Missing Approval", "OK")</f>
        <v>Missing Approval</v>
      </c>
      <c r="O99" t="str">
        <f>IF(ISBLANK(po_master[[#This Row],[GR Quantity]]), "No GR - Not received", "OK")</f>
        <v>OK</v>
      </c>
      <c r="P99" t="str">
        <f>IF(po_master[[#This Row],[Promised Delivey Date]]&lt;po_master[[#This Row],[Order Date]], "Invalid", "OK")</f>
        <v>OK</v>
      </c>
      <c r="Q99" t="str">
        <f>IF(ISBLANK(po_master[[#This Row],[Invoice Number]]), "No Invoice", "OK")</f>
        <v>OK</v>
      </c>
      <c r="R99" t="str">
        <f>IF(AND(NOT(ISBLANK(po_master[[#This Row],[GR Quantity]])), po_master[[#This Row],[GR Quantity]]&lt;&gt;po_master[[#This Row],[PO Quantity]]), "Qty Variance", "OK")</f>
        <v>OK</v>
      </c>
      <c r="S99" t="str">
        <f>IF(po_master[[#This Row],[Invoice Unit Price]]&gt;po_master[[#This Row],[PO Unit Price]]*1.01, "Price Variance", "OK")</f>
        <v>Price Variance</v>
      </c>
      <c r="T99" t="str">
        <f>IF(po_master[[#This Row],[Actual Delivery Date]]&gt;po_master[[#This Row],[Promised Delivey Date]], "Late Delivery", "OK")</f>
        <v>OK</v>
      </c>
      <c r="U99" t="str">
        <f>IF(COUNTIF(po_master[PO Number],po_master[[#This Row],[PO Number]])&gt;1, "Duplicate Invoice", "OK")</f>
        <v>OK</v>
      </c>
      <c r="V99" s="5">
        <f>IF(po_master[[#This Row],[Missing Approval]]="Missing Approval", 1, 0)</f>
        <v>1</v>
      </c>
      <c r="W99" s="5">
        <f>IF(po_master[[#This Row],[GR Receipt Status]]="No GR - Not Received", 1, 0)</f>
        <v>0</v>
      </c>
      <c r="X99" s="5">
        <f>IF(po_master[[#This Row],[No invoice]]="No Invoice", 1, 0)</f>
        <v>0</v>
      </c>
      <c r="Y99" s="5">
        <f>IF(po_master[[#This Row],[Date Check]]="Invalid Date", 1, 0)</f>
        <v>0</v>
      </c>
      <c r="Z99" s="5">
        <f>IF(po_master[[#This Row],[Qty Variance Flag]]="Qty Variance", 1, 0)</f>
        <v>0</v>
      </c>
      <c r="AA99" s="5">
        <f>IF(po_master[[#This Row],[Price Variance Flag]]="Price Variance", 1, 0)</f>
        <v>1</v>
      </c>
      <c r="AB99" s="5">
        <f>IF(po_master[[#This Row],[Late Delivery Flag]]="Late Delivery", 1, 0)</f>
        <v>0</v>
      </c>
      <c r="AC99" s="5">
        <f>IF(po_master[[#This Row],[Duplicate Invoice Flag]]="Duplicate Invoice", 1, 0)</f>
        <v>0</v>
      </c>
      <c r="AD99" s="5" t="str">
        <f>TEXT(po_master[[#This Row],[Order Date]],"YYYY-MM")</f>
        <v>2026-01</v>
      </c>
    </row>
    <row r="100" spans="1:30" x14ac:dyDescent="0.25">
      <c r="A100" t="s">
        <v>94</v>
      </c>
      <c r="B100" t="s">
        <v>1441</v>
      </c>
      <c r="C100" s="1">
        <v>46141</v>
      </c>
      <c r="D100">
        <v>351</v>
      </c>
      <c r="E100">
        <v>108.57</v>
      </c>
      <c r="F100" t="s">
        <v>1459</v>
      </c>
      <c r="G100" s="1">
        <v>46156</v>
      </c>
      <c r="H100">
        <v>351</v>
      </c>
      <c r="I100" s="1">
        <v>46157</v>
      </c>
      <c r="J100" t="s">
        <v>754</v>
      </c>
      <c r="K100">
        <v>351</v>
      </c>
      <c r="L100">
        <v>108.57</v>
      </c>
      <c r="M100" s="1">
        <v>46158</v>
      </c>
      <c r="N100" t="str">
        <f>IF(po_master[[#This Row],[Approved By]]="", "Missing Approval", "OK")</f>
        <v>Missing Approval</v>
      </c>
      <c r="O100" t="str">
        <f>IF(ISBLANK(po_master[[#This Row],[GR Quantity]]), "No GR - Not received", "OK")</f>
        <v>OK</v>
      </c>
      <c r="P100" t="str">
        <f>IF(po_master[[#This Row],[Promised Delivey Date]]&lt;po_master[[#This Row],[Order Date]], "Invalid", "OK")</f>
        <v>OK</v>
      </c>
      <c r="Q100" t="str">
        <f>IF(ISBLANK(po_master[[#This Row],[Invoice Number]]), "No Invoice", "OK")</f>
        <v>OK</v>
      </c>
      <c r="R100" t="str">
        <f>IF(AND(NOT(ISBLANK(po_master[[#This Row],[GR Quantity]])), po_master[[#This Row],[GR Quantity]]&lt;&gt;po_master[[#This Row],[PO Quantity]]), "Qty Variance", "OK")</f>
        <v>OK</v>
      </c>
      <c r="S100" t="str">
        <f>IF(po_master[[#This Row],[Invoice Unit Price]]&gt;po_master[[#This Row],[PO Unit Price]]*1.01, "Price Variance", "OK")</f>
        <v>OK</v>
      </c>
      <c r="T100" t="str">
        <f>IF(po_master[[#This Row],[Actual Delivery Date]]&gt;po_master[[#This Row],[Promised Delivey Date]], "Late Delivery", "OK")</f>
        <v>Late Delivery</v>
      </c>
      <c r="U100" t="str">
        <f>IF(COUNTIF(po_master[PO Number],po_master[[#This Row],[PO Number]])&gt;1, "Duplicate Invoice", "OK")</f>
        <v>OK</v>
      </c>
      <c r="V100" s="5">
        <f>IF(po_master[[#This Row],[Missing Approval]]="Missing Approval", 1, 0)</f>
        <v>1</v>
      </c>
      <c r="W100" s="5">
        <f>IF(po_master[[#This Row],[GR Receipt Status]]="No GR - Not Received", 1, 0)</f>
        <v>0</v>
      </c>
      <c r="X100" s="5">
        <f>IF(po_master[[#This Row],[No invoice]]="No Invoice", 1, 0)</f>
        <v>0</v>
      </c>
      <c r="Y100" s="5">
        <f>IF(po_master[[#This Row],[Date Check]]="Invalid Date", 1, 0)</f>
        <v>0</v>
      </c>
      <c r="Z100" s="5">
        <f>IF(po_master[[#This Row],[Qty Variance Flag]]="Qty Variance", 1, 0)</f>
        <v>0</v>
      </c>
      <c r="AA100" s="5">
        <f>IF(po_master[[#This Row],[Price Variance Flag]]="Price Variance", 1, 0)</f>
        <v>0</v>
      </c>
      <c r="AB100" s="5">
        <f>IF(po_master[[#This Row],[Late Delivery Flag]]="Late Delivery", 1, 0)</f>
        <v>1</v>
      </c>
      <c r="AC100" s="5">
        <f>IF(po_master[[#This Row],[Duplicate Invoice Flag]]="Duplicate Invoice", 1, 0)</f>
        <v>0</v>
      </c>
      <c r="AD100" s="5" t="str">
        <f>TEXT(po_master[[#This Row],[Order Date]],"YYYY-MM")</f>
        <v>2026-04</v>
      </c>
    </row>
    <row r="101" spans="1:30" x14ac:dyDescent="0.25">
      <c r="A101" t="s">
        <v>95</v>
      </c>
      <c r="B101" t="s">
        <v>1460</v>
      </c>
      <c r="C101" s="1">
        <v>46144</v>
      </c>
      <c r="D101">
        <v>240</v>
      </c>
      <c r="E101">
        <v>55.54</v>
      </c>
      <c r="F101" t="s">
        <v>1440</v>
      </c>
      <c r="G101" s="1">
        <v>46157</v>
      </c>
      <c r="H101">
        <v>240</v>
      </c>
      <c r="I101" s="1">
        <v>46166</v>
      </c>
      <c r="J101" t="s">
        <v>757</v>
      </c>
      <c r="K101">
        <v>240</v>
      </c>
      <c r="L101">
        <v>55.54</v>
      </c>
      <c r="M101" s="1">
        <v>46160</v>
      </c>
      <c r="N101" t="str">
        <f>IF(po_master[[#This Row],[Approved By]]="", "Missing Approval", "OK")</f>
        <v>OK</v>
      </c>
      <c r="O101" t="str">
        <f>IF(ISBLANK(po_master[[#This Row],[GR Quantity]]), "No GR - Not received", "OK")</f>
        <v>OK</v>
      </c>
      <c r="P101" t="str">
        <f>IF(po_master[[#This Row],[Promised Delivey Date]]&lt;po_master[[#This Row],[Order Date]], "Invalid", "OK")</f>
        <v>OK</v>
      </c>
      <c r="Q101" t="str">
        <f>IF(ISBLANK(po_master[[#This Row],[Invoice Number]]), "No Invoice", "OK")</f>
        <v>OK</v>
      </c>
      <c r="R101" t="str">
        <f>IF(AND(NOT(ISBLANK(po_master[[#This Row],[GR Quantity]])), po_master[[#This Row],[GR Quantity]]&lt;&gt;po_master[[#This Row],[PO Quantity]]), "Qty Variance", "OK")</f>
        <v>OK</v>
      </c>
      <c r="S101" t="str">
        <f>IF(po_master[[#This Row],[Invoice Unit Price]]&gt;po_master[[#This Row],[PO Unit Price]]*1.01, "Price Variance", "OK")</f>
        <v>OK</v>
      </c>
      <c r="T101" t="str">
        <f>IF(po_master[[#This Row],[Actual Delivery Date]]&gt;po_master[[#This Row],[Promised Delivey Date]], "Late Delivery", "OK")</f>
        <v>Late Delivery</v>
      </c>
      <c r="U101" t="str">
        <f>IF(COUNTIF(po_master[PO Number],po_master[[#This Row],[PO Number]])&gt;1, "Duplicate Invoice", "OK")</f>
        <v>OK</v>
      </c>
      <c r="V101" s="5">
        <f>IF(po_master[[#This Row],[Missing Approval]]="Missing Approval", 1, 0)</f>
        <v>0</v>
      </c>
      <c r="W101" s="5">
        <f>IF(po_master[[#This Row],[GR Receipt Status]]="No GR - Not Received", 1, 0)</f>
        <v>0</v>
      </c>
      <c r="X101" s="5">
        <f>IF(po_master[[#This Row],[No invoice]]="No Invoice", 1, 0)</f>
        <v>0</v>
      </c>
      <c r="Y101" s="5">
        <f>IF(po_master[[#This Row],[Date Check]]="Invalid Date", 1, 0)</f>
        <v>0</v>
      </c>
      <c r="Z101" s="5">
        <f>IF(po_master[[#This Row],[Qty Variance Flag]]="Qty Variance", 1, 0)</f>
        <v>0</v>
      </c>
      <c r="AA101" s="5">
        <f>IF(po_master[[#This Row],[Price Variance Flag]]="Price Variance", 1, 0)</f>
        <v>0</v>
      </c>
      <c r="AB101" s="5">
        <f>IF(po_master[[#This Row],[Late Delivery Flag]]="Late Delivery", 1, 0)</f>
        <v>1</v>
      </c>
      <c r="AC101" s="5">
        <f>IF(po_master[[#This Row],[Duplicate Invoice Flag]]="Duplicate Invoice", 1, 0)</f>
        <v>0</v>
      </c>
      <c r="AD101" s="5" t="str">
        <f>TEXT(po_master[[#This Row],[Order Date]],"YYYY-MM")</f>
        <v>2026-05</v>
      </c>
    </row>
    <row r="102" spans="1:30" x14ac:dyDescent="0.25">
      <c r="A102" t="s">
        <v>751</v>
      </c>
      <c r="B102" t="s">
        <v>1450</v>
      </c>
      <c r="C102" s="1">
        <v>46131</v>
      </c>
      <c r="D102">
        <v>122</v>
      </c>
      <c r="E102">
        <v>39.299999999999997</v>
      </c>
      <c r="F102" t="s">
        <v>1499</v>
      </c>
      <c r="G102" s="1">
        <v>46152</v>
      </c>
      <c r="I102" s="1"/>
      <c r="J102" t="s">
        <v>752</v>
      </c>
      <c r="K102">
        <v>122</v>
      </c>
      <c r="L102">
        <v>39.299999999999997</v>
      </c>
      <c r="M102" s="1">
        <v>46159</v>
      </c>
      <c r="N102" t="str">
        <f>IF(po_master[[#This Row],[Approved By]]="", "Missing Approval", "OK")</f>
        <v>OK</v>
      </c>
      <c r="O102" t="str">
        <f>IF(ISBLANK(po_master[[#This Row],[GR Quantity]]), "No GR - Not received", "OK")</f>
        <v>No GR - Not received</v>
      </c>
      <c r="P102" t="str">
        <f>IF(po_master[[#This Row],[Promised Delivey Date]]&lt;po_master[[#This Row],[Order Date]], "Invalid", "OK")</f>
        <v>OK</v>
      </c>
      <c r="Q102" t="str">
        <f>IF(ISBLANK(po_master[[#This Row],[Invoice Number]]), "No Invoice", "OK")</f>
        <v>OK</v>
      </c>
      <c r="R102" t="str">
        <f>IF(AND(NOT(ISBLANK(po_master[[#This Row],[GR Quantity]])), po_master[[#This Row],[GR Quantity]]&lt;&gt;po_master[[#This Row],[PO Quantity]]), "Qty Variance", "OK")</f>
        <v>OK</v>
      </c>
      <c r="S102" t="str">
        <f>IF(po_master[[#This Row],[Invoice Unit Price]]&gt;po_master[[#This Row],[PO Unit Price]]*1.01, "Price Variance", "OK")</f>
        <v>OK</v>
      </c>
      <c r="T102" t="str">
        <f>IF(po_master[[#This Row],[Actual Delivery Date]]&gt;po_master[[#This Row],[Promised Delivey Date]], "Late Delivery", "OK")</f>
        <v>OK</v>
      </c>
      <c r="U102" t="str">
        <f>IF(COUNTIF(po_master[PO Number],po_master[[#This Row],[PO Number]])&gt;1, "Duplicate Invoice", "OK")</f>
        <v>OK</v>
      </c>
      <c r="V102" s="5">
        <f>IF(po_master[[#This Row],[Missing Approval]]="Missing Approval", 1, 0)</f>
        <v>0</v>
      </c>
      <c r="W102" s="5">
        <f>IF(po_master[[#This Row],[GR Receipt Status]]="No GR - Not Received", 1, 0)</f>
        <v>1</v>
      </c>
      <c r="X102" s="5">
        <f>IF(po_master[[#This Row],[No invoice]]="No Invoice", 1, 0)</f>
        <v>0</v>
      </c>
      <c r="Y102" s="5">
        <f>IF(po_master[[#This Row],[Date Check]]="Invalid Date", 1, 0)</f>
        <v>0</v>
      </c>
      <c r="Z102" s="5">
        <f>IF(po_master[[#This Row],[Qty Variance Flag]]="Qty Variance", 1, 0)</f>
        <v>0</v>
      </c>
      <c r="AA102" s="5">
        <f>IF(po_master[[#This Row],[Price Variance Flag]]="Price Variance", 1, 0)</f>
        <v>0</v>
      </c>
      <c r="AB102" s="5">
        <f>IF(po_master[[#This Row],[Late Delivery Flag]]="Late Delivery", 1, 0)</f>
        <v>0</v>
      </c>
      <c r="AC102" s="5">
        <f>IF(po_master[[#This Row],[Duplicate Invoice Flag]]="Duplicate Invoice", 1, 0)</f>
        <v>0</v>
      </c>
      <c r="AD102" s="5" t="str">
        <f>TEXT(po_master[[#This Row],[Order Date]],"YYYY-MM")</f>
        <v>2026-04</v>
      </c>
    </row>
    <row r="103" spans="1:30" x14ac:dyDescent="0.25">
      <c r="A103" t="s">
        <v>96</v>
      </c>
      <c r="B103" t="s">
        <v>1491</v>
      </c>
      <c r="C103" s="1">
        <v>46147</v>
      </c>
      <c r="D103">
        <v>330</v>
      </c>
      <c r="E103">
        <v>51.65</v>
      </c>
      <c r="F103" t="s">
        <v>1469</v>
      </c>
      <c r="G103" s="1">
        <v>46154</v>
      </c>
      <c r="H103">
        <v>330</v>
      </c>
      <c r="I103" s="1">
        <v>46155</v>
      </c>
      <c r="J103" t="s">
        <v>758</v>
      </c>
      <c r="K103">
        <v>330</v>
      </c>
      <c r="L103">
        <v>51.65</v>
      </c>
      <c r="M103" s="1">
        <v>46158</v>
      </c>
      <c r="N103" t="str">
        <f>IF(po_master[[#This Row],[Approved By]]="", "Missing Approval", "OK")</f>
        <v>OK</v>
      </c>
      <c r="O103" t="str">
        <f>IF(ISBLANK(po_master[[#This Row],[GR Quantity]]), "No GR - Not received", "OK")</f>
        <v>OK</v>
      </c>
      <c r="P103" t="str">
        <f>IF(po_master[[#This Row],[Promised Delivey Date]]&lt;po_master[[#This Row],[Order Date]], "Invalid", "OK")</f>
        <v>OK</v>
      </c>
      <c r="Q103" t="str">
        <f>IF(ISBLANK(po_master[[#This Row],[Invoice Number]]), "No Invoice", "OK")</f>
        <v>OK</v>
      </c>
      <c r="R103" t="str">
        <f>IF(AND(NOT(ISBLANK(po_master[[#This Row],[GR Quantity]])), po_master[[#This Row],[GR Quantity]]&lt;&gt;po_master[[#This Row],[PO Quantity]]), "Qty Variance", "OK")</f>
        <v>OK</v>
      </c>
      <c r="S103" t="str">
        <f>IF(po_master[[#This Row],[Invoice Unit Price]]&gt;po_master[[#This Row],[PO Unit Price]]*1.01, "Price Variance", "OK")</f>
        <v>OK</v>
      </c>
      <c r="T103" t="str">
        <f>IF(po_master[[#This Row],[Actual Delivery Date]]&gt;po_master[[#This Row],[Promised Delivey Date]], "Late Delivery", "OK")</f>
        <v>Late Delivery</v>
      </c>
      <c r="U103" t="str">
        <f>IF(COUNTIF(po_master[PO Number],po_master[[#This Row],[PO Number]])&gt;1, "Duplicate Invoice", "OK")</f>
        <v>OK</v>
      </c>
      <c r="V103" s="5">
        <f>IF(po_master[[#This Row],[Missing Approval]]="Missing Approval", 1, 0)</f>
        <v>0</v>
      </c>
      <c r="W103" s="5">
        <f>IF(po_master[[#This Row],[GR Receipt Status]]="No GR - Not Received", 1, 0)</f>
        <v>0</v>
      </c>
      <c r="X103" s="5">
        <f>IF(po_master[[#This Row],[No invoice]]="No Invoice", 1, 0)</f>
        <v>0</v>
      </c>
      <c r="Y103" s="5">
        <f>IF(po_master[[#This Row],[Date Check]]="Invalid Date", 1, 0)</f>
        <v>0</v>
      </c>
      <c r="Z103" s="5">
        <f>IF(po_master[[#This Row],[Qty Variance Flag]]="Qty Variance", 1, 0)</f>
        <v>0</v>
      </c>
      <c r="AA103" s="5">
        <f>IF(po_master[[#This Row],[Price Variance Flag]]="Price Variance", 1, 0)</f>
        <v>0</v>
      </c>
      <c r="AB103" s="5">
        <f>IF(po_master[[#This Row],[Late Delivery Flag]]="Late Delivery", 1, 0)</f>
        <v>1</v>
      </c>
      <c r="AC103" s="5">
        <f>IF(po_master[[#This Row],[Duplicate Invoice Flag]]="Duplicate Invoice", 1, 0)</f>
        <v>0</v>
      </c>
      <c r="AD103" s="5" t="str">
        <f>TEXT(po_master[[#This Row],[Order Date]],"YYYY-MM")</f>
        <v>2026-05</v>
      </c>
    </row>
    <row r="104" spans="1:30" x14ac:dyDescent="0.25">
      <c r="A104" t="s">
        <v>97</v>
      </c>
      <c r="B104" t="s">
        <v>1455</v>
      </c>
      <c r="C104" s="1">
        <v>46096</v>
      </c>
      <c r="D104">
        <v>130</v>
      </c>
      <c r="E104">
        <v>57.98</v>
      </c>
      <c r="F104" t="s">
        <v>1472</v>
      </c>
      <c r="G104" s="1">
        <v>46103</v>
      </c>
      <c r="H104">
        <v>130</v>
      </c>
      <c r="I104" s="1">
        <v>46113</v>
      </c>
      <c r="J104" t="s">
        <v>759</v>
      </c>
      <c r="K104">
        <v>130</v>
      </c>
      <c r="L104">
        <v>57.98</v>
      </c>
      <c r="M104" s="1">
        <v>46110</v>
      </c>
      <c r="N104" t="str">
        <f>IF(po_master[[#This Row],[Approved By]]="", "Missing Approval", "OK")</f>
        <v>OK</v>
      </c>
      <c r="O104" t="str">
        <f>IF(ISBLANK(po_master[[#This Row],[GR Quantity]]), "No GR - Not received", "OK")</f>
        <v>OK</v>
      </c>
      <c r="P104" t="str">
        <f>IF(po_master[[#This Row],[Promised Delivey Date]]&lt;po_master[[#This Row],[Order Date]], "Invalid", "OK")</f>
        <v>OK</v>
      </c>
      <c r="Q104" t="str">
        <f>IF(ISBLANK(po_master[[#This Row],[Invoice Number]]), "No Invoice", "OK")</f>
        <v>OK</v>
      </c>
      <c r="R104" t="str">
        <f>IF(AND(NOT(ISBLANK(po_master[[#This Row],[GR Quantity]])), po_master[[#This Row],[GR Quantity]]&lt;&gt;po_master[[#This Row],[PO Quantity]]), "Qty Variance", "OK")</f>
        <v>OK</v>
      </c>
      <c r="S104" t="str">
        <f>IF(po_master[[#This Row],[Invoice Unit Price]]&gt;po_master[[#This Row],[PO Unit Price]]*1.01, "Price Variance", "OK")</f>
        <v>OK</v>
      </c>
      <c r="T104" t="str">
        <f>IF(po_master[[#This Row],[Actual Delivery Date]]&gt;po_master[[#This Row],[Promised Delivey Date]], "Late Delivery", "OK")</f>
        <v>Late Delivery</v>
      </c>
      <c r="U104" t="str">
        <f>IF(COUNTIF(po_master[PO Number],po_master[[#This Row],[PO Number]])&gt;1, "Duplicate Invoice", "OK")</f>
        <v>OK</v>
      </c>
      <c r="V104" s="5">
        <f>IF(po_master[[#This Row],[Missing Approval]]="Missing Approval", 1, 0)</f>
        <v>0</v>
      </c>
      <c r="W104" s="5">
        <f>IF(po_master[[#This Row],[GR Receipt Status]]="No GR - Not Received", 1, 0)</f>
        <v>0</v>
      </c>
      <c r="X104" s="5">
        <f>IF(po_master[[#This Row],[No invoice]]="No Invoice", 1, 0)</f>
        <v>0</v>
      </c>
      <c r="Y104" s="5">
        <f>IF(po_master[[#This Row],[Date Check]]="Invalid Date", 1, 0)</f>
        <v>0</v>
      </c>
      <c r="Z104" s="5">
        <f>IF(po_master[[#This Row],[Qty Variance Flag]]="Qty Variance", 1, 0)</f>
        <v>0</v>
      </c>
      <c r="AA104" s="5">
        <f>IF(po_master[[#This Row],[Price Variance Flag]]="Price Variance", 1, 0)</f>
        <v>0</v>
      </c>
      <c r="AB104" s="5">
        <f>IF(po_master[[#This Row],[Late Delivery Flag]]="Late Delivery", 1, 0)</f>
        <v>1</v>
      </c>
      <c r="AC104" s="5">
        <f>IF(po_master[[#This Row],[Duplicate Invoice Flag]]="Duplicate Invoice", 1, 0)</f>
        <v>0</v>
      </c>
      <c r="AD104" s="5" t="str">
        <f>TEXT(po_master[[#This Row],[Order Date]],"YYYY-MM")</f>
        <v>2026-03</v>
      </c>
    </row>
    <row r="105" spans="1:30" x14ac:dyDescent="0.25">
      <c r="A105" t="s">
        <v>98</v>
      </c>
      <c r="B105" t="s">
        <v>1492</v>
      </c>
      <c r="C105" s="1">
        <v>46129</v>
      </c>
      <c r="D105">
        <v>218</v>
      </c>
      <c r="E105">
        <v>69.52</v>
      </c>
      <c r="F105" t="s">
        <v>1469</v>
      </c>
      <c r="G105" s="1">
        <v>46147</v>
      </c>
      <c r="H105">
        <v>218</v>
      </c>
      <c r="I105" s="1">
        <v>46147</v>
      </c>
      <c r="J105" t="s">
        <v>762</v>
      </c>
      <c r="K105">
        <v>218</v>
      </c>
      <c r="L105">
        <v>69.52</v>
      </c>
      <c r="M105" s="1">
        <v>46148</v>
      </c>
      <c r="N105" t="str">
        <f>IF(po_master[[#This Row],[Approved By]]="", "Missing Approval", "OK")</f>
        <v>OK</v>
      </c>
      <c r="O105" t="str">
        <f>IF(ISBLANK(po_master[[#This Row],[GR Quantity]]), "No GR - Not received", "OK")</f>
        <v>OK</v>
      </c>
      <c r="P105" t="str">
        <f>IF(po_master[[#This Row],[Promised Delivey Date]]&lt;po_master[[#This Row],[Order Date]], "Invalid", "OK")</f>
        <v>OK</v>
      </c>
      <c r="Q105" t="str">
        <f>IF(ISBLANK(po_master[[#This Row],[Invoice Number]]), "No Invoice", "OK")</f>
        <v>OK</v>
      </c>
      <c r="R105" t="str">
        <f>IF(AND(NOT(ISBLANK(po_master[[#This Row],[GR Quantity]])), po_master[[#This Row],[GR Quantity]]&lt;&gt;po_master[[#This Row],[PO Quantity]]), "Qty Variance", "OK")</f>
        <v>OK</v>
      </c>
      <c r="S105" t="str">
        <f>IF(po_master[[#This Row],[Invoice Unit Price]]&gt;po_master[[#This Row],[PO Unit Price]]*1.01, "Price Variance", "OK")</f>
        <v>OK</v>
      </c>
      <c r="T105" t="str">
        <f>IF(po_master[[#This Row],[Actual Delivery Date]]&gt;po_master[[#This Row],[Promised Delivey Date]], "Late Delivery", "OK")</f>
        <v>OK</v>
      </c>
      <c r="U105" t="str">
        <f>IF(COUNTIF(po_master[PO Number],po_master[[#This Row],[PO Number]])&gt;1, "Duplicate Invoice", "OK")</f>
        <v>OK</v>
      </c>
      <c r="V105" s="5">
        <f>IF(po_master[[#This Row],[Missing Approval]]="Missing Approval", 1, 0)</f>
        <v>0</v>
      </c>
      <c r="W105" s="5">
        <f>IF(po_master[[#This Row],[GR Receipt Status]]="No GR - Not Received", 1, 0)</f>
        <v>0</v>
      </c>
      <c r="X105" s="5">
        <f>IF(po_master[[#This Row],[No invoice]]="No Invoice", 1, 0)</f>
        <v>0</v>
      </c>
      <c r="Y105" s="5">
        <f>IF(po_master[[#This Row],[Date Check]]="Invalid Date", 1, 0)</f>
        <v>0</v>
      </c>
      <c r="Z105" s="5">
        <f>IF(po_master[[#This Row],[Qty Variance Flag]]="Qty Variance", 1, 0)</f>
        <v>0</v>
      </c>
      <c r="AA105" s="5">
        <f>IF(po_master[[#This Row],[Price Variance Flag]]="Price Variance", 1, 0)</f>
        <v>0</v>
      </c>
      <c r="AB105" s="5">
        <f>IF(po_master[[#This Row],[Late Delivery Flag]]="Late Delivery", 1, 0)</f>
        <v>0</v>
      </c>
      <c r="AC105" s="5">
        <f>IF(po_master[[#This Row],[Duplicate Invoice Flag]]="Duplicate Invoice", 1, 0)</f>
        <v>0</v>
      </c>
      <c r="AD105" s="5" t="str">
        <f>TEXT(po_master[[#This Row],[Order Date]],"YYYY-MM")</f>
        <v>2026-04</v>
      </c>
    </row>
    <row r="106" spans="1:30" x14ac:dyDescent="0.25">
      <c r="A106" t="s">
        <v>755</v>
      </c>
      <c r="B106" t="s">
        <v>1478</v>
      </c>
      <c r="C106" s="1">
        <v>46152</v>
      </c>
      <c r="D106">
        <v>228</v>
      </c>
      <c r="E106">
        <v>166.96</v>
      </c>
      <c r="F106" t="s">
        <v>1442</v>
      </c>
      <c r="G106" s="1">
        <v>46171</v>
      </c>
      <c r="I106" s="1"/>
      <c r="J106" t="s">
        <v>756</v>
      </c>
      <c r="K106">
        <v>228</v>
      </c>
      <c r="L106">
        <v>166.96</v>
      </c>
      <c r="M106" s="1">
        <v>46178</v>
      </c>
      <c r="N106" t="str">
        <f>IF(po_master[[#This Row],[Approved By]]="", "Missing Approval", "OK")</f>
        <v>OK</v>
      </c>
      <c r="O106" t="str">
        <f>IF(ISBLANK(po_master[[#This Row],[GR Quantity]]), "No GR - Not received", "OK")</f>
        <v>No GR - Not received</v>
      </c>
      <c r="P106" t="str">
        <f>IF(po_master[[#This Row],[Promised Delivey Date]]&lt;po_master[[#This Row],[Order Date]], "Invalid", "OK")</f>
        <v>OK</v>
      </c>
      <c r="Q106" t="str">
        <f>IF(ISBLANK(po_master[[#This Row],[Invoice Number]]), "No Invoice", "OK")</f>
        <v>OK</v>
      </c>
      <c r="R106" t="str">
        <f>IF(AND(NOT(ISBLANK(po_master[[#This Row],[GR Quantity]])), po_master[[#This Row],[GR Quantity]]&lt;&gt;po_master[[#This Row],[PO Quantity]]), "Qty Variance", "OK")</f>
        <v>OK</v>
      </c>
      <c r="S106" t="str">
        <f>IF(po_master[[#This Row],[Invoice Unit Price]]&gt;po_master[[#This Row],[PO Unit Price]]*1.01, "Price Variance", "OK")</f>
        <v>OK</v>
      </c>
      <c r="T106" t="str">
        <f>IF(po_master[[#This Row],[Actual Delivery Date]]&gt;po_master[[#This Row],[Promised Delivey Date]], "Late Delivery", "OK")</f>
        <v>OK</v>
      </c>
      <c r="U106" t="str">
        <f>IF(COUNTIF(po_master[PO Number],po_master[[#This Row],[PO Number]])&gt;1, "Duplicate Invoice", "OK")</f>
        <v>OK</v>
      </c>
      <c r="V106" s="5">
        <f>IF(po_master[[#This Row],[Missing Approval]]="Missing Approval", 1, 0)</f>
        <v>0</v>
      </c>
      <c r="W106" s="5">
        <f>IF(po_master[[#This Row],[GR Receipt Status]]="No GR - Not Received", 1, 0)</f>
        <v>1</v>
      </c>
      <c r="X106" s="5">
        <f>IF(po_master[[#This Row],[No invoice]]="No Invoice", 1, 0)</f>
        <v>0</v>
      </c>
      <c r="Y106" s="5">
        <f>IF(po_master[[#This Row],[Date Check]]="Invalid Date", 1, 0)</f>
        <v>0</v>
      </c>
      <c r="Z106" s="5">
        <f>IF(po_master[[#This Row],[Qty Variance Flag]]="Qty Variance", 1, 0)</f>
        <v>0</v>
      </c>
      <c r="AA106" s="5">
        <f>IF(po_master[[#This Row],[Price Variance Flag]]="Price Variance", 1, 0)</f>
        <v>0</v>
      </c>
      <c r="AB106" s="5">
        <f>IF(po_master[[#This Row],[Late Delivery Flag]]="Late Delivery", 1, 0)</f>
        <v>0</v>
      </c>
      <c r="AC106" s="5">
        <f>IF(po_master[[#This Row],[Duplicate Invoice Flag]]="Duplicate Invoice", 1, 0)</f>
        <v>0</v>
      </c>
      <c r="AD106" s="5" t="str">
        <f>TEXT(po_master[[#This Row],[Order Date]],"YYYY-MM")</f>
        <v>2026-05</v>
      </c>
    </row>
    <row r="107" spans="1:30" x14ac:dyDescent="0.25">
      <c r="A107" t="s">
        <v>99</v>
      </c>
      <c r="B107" t="s">
        <v>1475</v>
      </c>
      <c r="C107" s="1">
        <v>46075</v>
      </c>
      <c r="D107">
        <v>436</v>
      </c>
      <c r="E107">
        <v>86.93</v>
      </c>
      <c r="F107" t="s">
        <v>1456</v>
      </c>
      <c r="G107" s="1">
        <v>46080</v>
      </c>
      <c r="H107">
        <v>436</v>
      </c>
      <c r="I107" s="1">
        <v>46080</v>
      </c>
      <c r="J107" t="s">
        <v>763</v>
      </c>
      <c r="K107">
        <v>436</v>
      </c>
      <c r="L107">
        <v>86.93</v>
      </c>
      <c r="M107" s="1">
        <v>46089</v>
      </c>
      <c r="N107" t="str">
        <f>IF(po_master[[#This Row],[Approved By]]="", "Missing Approval", "OK")</f>
        <v>OK</v>
      </c>
      <c r="O107" t="str">
        <f>IF(ISBLANK(po_master[[#This Row],[GR Quantity]]), "No GR - Not received", "OK")</f>
        <v>OK</v>
      </c>
      <c r="P107" t="str">
        <f>IF(po_master[[#This Row],[Promised Delivey Date]]&lt;po_master[[#This Row],[Order Date]], "Invalid", "OK")</f>
        <v>OK</v>
      </c>
      <c r="Q107" t="str">
        <f>IF(ISBLANK(po_master[[#This Row],[Invoice Number]]), "No Invoice", "OK")</f>
        <v>OK</v>
      </c>
      <c r="R107" t="str">
        <f>IF(AND(NOT(ISBLANK(po_master[[#This Row],[GR Quantity]])), po_master[[#This Row],[GR Quantity]]&lt;&gt;po_master[[#This Row],[PO Quantity]]), "Qty Variance", "OK")</f>
        <v>OK</v>
      </c>
      <c r="S107" t="str">
        <f>IF(po_master[[#This Row],[Invoice Unit Price]]&gt;po_master[[#This Row],[PO Unit Price]]*1.01, "Price Variance", "OK")</f>
        <v>OK</v>
      </c>
      <c r="T107" t="str">
        <f>IF(po_master[[#This Row],[Actual Delivery Date]]&gt;po_master[[#This Row],[Promised Delivey Date]], "Late Delivery", "OK")</f>
        <v>OK</v>
      </c>
      <c r="U107" t="str">
        <f>IF(COUNTIF(po_master[PO Number],po_master[[#This Row],[PO Number]])&gt;1, "Duplicate Invoice", "OK")</f>
        <v>OK</v>
      </c>
      <c r="V107" s="5">
        <f>IF(po_master[[#This Row],[Missing Approval]]="Missing Approval", 1, 0)</f>
        <v>0</v>
      </c>
      <c r="W107" s="5">
        <f>IF(po_master[[#This Row],[GR Receipt Status]]="No GR - Not Received", 1, 0)</f>
        <v>0</v>
      </c>
      <c r="X107" s="5">
        <f>IF(po_master[[#This Row],[No invoice]]="No Invoice", 1, 0)</f>
        <v>0</v>
      </c>
      <c r="Y107" s="5">
        <f>IF(po_master[[#This Row],[Date Check]]="Invalid Date", 1, 0)</f>
        <v>0</v>
      </c>
      <c r="Z107" s="5">
        <f>IF(po_master[[#This Row],[Qty Variance Flag]]="Qty Variance", 1, 0)</f>
        <v>0</v>
      </c>
      <c r="AA107" s="5">
        <f>IF(po_master[[#This Row],[Price Variance Flag]]="Price Variance", 1, 0)</f>
        <v>0</v>
      </c>
      <c r="AB107" s="5">
        <f>IF(po_master[[#This Row],[Late Delivery Flag]]="Late Delivery", 1, 0)</f>
        <v>0</v>
      </c>
      <c r="AC107" s="5">
        <f>IF(po_master[[#This Row],[Duplicate Invoice Flag]]="Duplicate Invoice", 1, 0)</f>
        <v>0</v>
      </c>
      <c r="AD107" s="5" t="str">
        <f>TEXT(po_master[[#This Row],[Order Date]],"YYYY-MM")</f>
        <v>2026-02</v>
      </c>
    </row>
    <row r="108" spans="1:30" x14ac:dyDescent="0.25">
      <c r="A108" t="s">
        <v>100</v>
      </c>
      <c r="B108" t="s">
        <v>1493</v>
      </c>
      <c r="C108" s="1">
        <v>46120</v>
      </c>
      <c r="D108">
        <v>254</v>
      </c>
      <c r="E108">
        <v>6.15</v>
      </c>
      <c r="F108" t="s">
        <v>1451</v>
      </c>
      <c r="G108" s="1">
        <v>46134</v>
      </c>
      <c r="H108">
        <v>254</v>
      </c>
      <c r="I108" s="1">
        <v>46136</v>
      </c>
      <c r="J108" t="s">
        <v>764</v>
      </c>
      <c r="K108">
        <v>254</v>
      </c>
      <c r="L108">
        <v>6.75</v>
      </c>
      <c r="M108" s="1">
        <v>46137</v>
      </c>
      <c r="N108" t="str">
        <f>IF(po_master[[#This Row],[Approved By]]="", "Missing Approval", "OK")</f>
        <v>OK</v>
      </c>
      <c r="O108" t="str">
        <f>IF(ISBLANK(po_master[[#This Row],[GR Quantity]]), "No GR - Not received", "OK")</f>
        <v>OK</v>
      </c>
      <c r="P108" t="str">
        <f>IF(po_master[[#This Row],[Promised Delivey Date]]&lt;po_master[[#This Row],[Order Date]], "Invalid", "OK")</f>
        <v>OK</v>
      </c>
      <c r="Q108" t="str">
        <f>IF(ISBLANK(po_master[[#This Row],[Invoice Number]]), "No Invoice", "OK")</f>
        <v>OK</v>
      </c>
      <c r="R108" t="str">
        <f>IF(AND(NOT(ISBLANK(po_master[[#This Row],[GR Quantity]])), po_master[[#This Row],[GR Quantity]]&lt;&gt;po_master[[#This Row],[PO Quantity]]), "Qty Variance", "OK")</f>
        <v>OK</v>
      </c>
      <c r="S108" t="str">
        <f>IF(po_master[[#This Row],[Invoice Unit Price]]&gt;po_master[[#This Row],[PO Unit Price]]*1.01, "Price Variance", "OK")</f>
        <v>Price Variance</v>
      </c>
      <c r="T108" t="str">
        <f>IF(po_master[[#This Row],[Actual Delivery Date]]&gt;po_master[[#This Row],[Promised Delivey Date]], "Late Delivery", "OK")</f>
        <v>Late Delivery</v>
      </c>
      <c r="U108" t="str">
        <f>IF(COUNTIF(po_master[PO Number],po_master[[#This Row],[PO Number]])&gt;1, "Duplicate Invoice", "OK")</f>
        <v>OK</v>
      </c>
      <c r="V108" s="5">
        <f>IF(po_master[[#This Row],[Missing Approval]]="Missing Approval", 1, 0)</f>
        <v>0</v>
      </c>
      <c r="W108" s="5">
        <f>IF(po_master[[#This Row],[GR Receipt Status]]="No GR - Not Received", 1, 0)</f>
        <v>0</v>
      </c>
      <c r="X108" s="5">
        <f>IF(po_master[[#This Row],[No invoice]]="No Invoice", 1, 0)</f>
        <v>0</v>
      </c>
      <c r="Y108" s="5">
        <f>IF(po_master[[#This Row],[Date Check]]="Invalid Date", 1, 0)</f>
        <v>0</v>
      </c>
      <c r="Z108" s="5">
        <f>IF(po_master[[#This Row],[Qty Variance Flag]]="Qty Variance", 1, 0)</f>
        <v>0</v>
      </c>
      <c r="AA108" s="5">
        <f>IF(po_master[[#This Row],[Price Variance Flag]]="Price Variance", 1, 0)</f>
        <v>1</v>
      </c>
      <c r="AB108" s="5">
        <f>IF(po_master[[#This Row],[Late Delivery Flag]]="Late Delivery", 1, 0)</f>
        <v>1</v>
      </c>
      <c r="AC108" s="5">
        <f>IF(po_master[[#This Row],[Duplicate Invoice Flag]]="Duplicate Invoice", 1, 0)</f>
        <v>0</v>
      </c>
      <c r="AD108" s="5" t="str">
        <f>TEXT(po_master[[#This Row],[Order Date]],"YYYY-MM")</f>
        <v>2026-04</v>
      </c>
    </row>
    <row r="109" spans="1:30" x14ac:dyDescent="0.25">
      <c r="A109" t="s">
        <v>101</v>
      </c>
      <c r="B109" t="s">
        <v>1502</v>
      </c>
      <c r="C109" s="1">
        <v>46130</v>
      </c>
      <c r="D109">
        <v>285</v>
      </c>
      <c r="E109">
        <v>150.77000000000001</v>
      </c>
      <c r="F109" t="s">
        <v>1459</v>
      </c>
      <c r="G109" s="1">
        <v>46142</v>
      </c>
      <c r="H109">
        <v>285</v>
      </c>
      <c r="I109" s="1">
        <v>46144</v>
      </c>
      <c r="J109" t="s">
        <v>765</v>
      </c>
      <c r="K109">
        <v>285</v>
      </c>
      <c r="L109">
        <v>150.77000000000001</v>
      </c>
      <c r="M109" s="1">
        <v>46143</v>
      </c>
      <c r="N109" t="str">
        <f>IF(po_master[[#This Row],[Approved By]]="", "Missing Approval", "OK")</f>
        <v>Missing Approval</v>
      </c>
      <c r="O109" t="str">
        <f>IF(ISBLANK(po_master[[#This Row],[GR Quantity]]), "No GR - Not received", "OK")</f>
        <v>OK</v>
      </c>
      <c r="P109" t="str">
        <f>IF(po_master[[#This Row],[Promised Delivey Date]]&lt;po_master[[#This Row],[Order Date]], "Invalid", "OK")</f>
        <v>OK</v>
      </c>
      <c r="Q109" t="str">
        <f>IF(ISBLANK(po_master[[#This Row],[Invoice Number]]), "No Invoice", "OK")</f>
        <v>OK</v>
      </c>
      <c r="R109" t="str">
        <f>IF(AND(NOT(ISBLANK(po_master[[#This Row],[GR Quantity]])), po_master[[#This Row],[GR Quantity]]&lt;&gt;po_master[[#This Row],[PO Quantity]]), "Qty Variance", "OK")</f>
        <v>OK</v>
      </c>
      <c r="S109" t="str">
        <f>IF(po_master[[#This Row],[Invoice Unit Price]]&gt;po_master[[#This Row],[PO Unit Price]]*1.01, "Price Variance", "OK")</f>
        <v>OK</v>
      </c>
      <c r="T109" t="str">
        <f>IF(po_master[[#This Row],[Actual Delivery Date]]&gt;po_master[[#This Row],[Promised Delivey Date]], "Late Delivery", "OK")</f>
        <v>Late Delivery</v>
      </c>
      <c r="U109" t="str">
        <f>IF(COUNTIF(po_master[PO Number],po_master[[#This Row],[PO Number]])&gt;1, "Duplicate Invoice", "OK")</f>
        <v>OK</v>
      </c>
      <c r="V109" s="5">
        <f>IF(po_master[[#This Row],[Missing Approval]]="Missing Approval", 1, 0)</f>
        <v>1</v>
      </c>
      <c r="W109" s="5">
        <f>IF(po_master[[#This Row],[GR Receipt Status]]="No GR - Not Received", 1, 0)</f>
        <v>0</v>
      </c>
      <c r="X109" s="5">
        <f>IF(po_master[[#This Row],[No invoice]]="No Invoice", 1, 0)</f>
        <v>0</v>
      </c>
      <c r="Y109" s="5">
        <f>IF(po_master[[#This Row],[Date Check]]="Invalid Date", 1, 0)</f>
        <v>0</v>
      </c>
      <c r="Z109" s="5">
        <f>IF(po_master[[#This Row],[Qty Variance Flag]]="Qty Variance", 1, 0)</f>
        <v>0</v>
      </c>
      <c r="AA109" s="5">
        <f>IF(po_master[[#This Row],[Price Variance Flag]]="Price Variance", 1, 0)</f>
        <v>0</v>
      </c>
      <c r="AB109" s="5">
        <f>IF(po_master[[#This Row],[Late Delivery Flag]]="Late Delivery", 1, 0)</f>
        <v>1</v>
      </c>
      <c r="AC109" s="5">
        <f>IF(po_master[[#This Row],[Duplicate Invoice Flag]]="Duplicate Invoice", 1, 0)</f>
        <v>0</v>
      </c>
      <c r="AD109" s="5" t="str">
        <f>TEXT(po_master[[#This Row],[Order Date]],"YYYY-MM")</f>
        <v>2026-04</v>
      </c>
    </row>
    <row r="110" spans="1:30" x14ac:dyDescent="0.25">
      <c r="A110" t="s">
        <v>102</v>
      </c>
      <c r="B110" t="s">
        <v>1498</v>
      </c>
      <c r="C110" s="1">
        <v>46079</v>
      </c>
      <c r="D110">
        <v>149</v>
      </c>
      <c r="E110">
        <v>89.99</v>
      </c>
      <c r="F110" t="s">
        <v>1448</v>
      </c>
      <c r="G110" s="1">
        <v>46096</v>
      </c>
      <c r="H110">
        <v>149</v>
      </c>
      <c r="I110" s="1">
        <v>46096</v>
      </c>
      <c r="J110" t="s">
        <v>766</v>
      </c>
      <c r="K110">
        <v>149</v>
      </c>
      <c r="L110">
        <v>89.99</v>
      </c>
      <c r="M110" s="1">
        <v>46106</v>
      </c>
      <c r="N110" t="str">
        <f>IF(po_master[[#This Row],[Approved By]]="", "Missing Approval", "OK")</f>
        <v>OK</v>
      </c>
      <c r="O110" t="str">
        <f>IF(ISBLANK(po_master[[#This Row],[GR Quantity]]), "No GR - Not received", "OK")</f>
        <v>OK</v>
      </c>
      <c r="P110" t="str">
        <f>IF(po_master[[#This Row],[Promised Delivey Date]]&lt;po_master[[#This Row],[Order Date]], "Invalid", "OK")</f>
        <v>OK</v>
      </c>
      <c r="Q110" t="str">
        <f>IF(ISBLANK(po_master[[#This Row],[Invoice Number]]), "No Invoice", "OK")</f>
        <v>OK</v>
      </c>
      <c r="R110" t="str">
        <f>IF(AND(NOT(ISBLANK(po_master[[#This Row],[GR Quantity]])), po_master[[#This Row],[GR Quantity]]&lt;&gt;po_master[[#This Row],[PO Quantity]]), "Qty Variance", "OK")</f>
        <v>OK</v>
      </c>
      <c r="S110" t="str">
        <f>IF(po_master[[#This Row],[Invoice Unit Price]]&gt;po_master[[#This Row],[PO Unit Price]]*1.01, "Price Variance", "OK")</f>
        <v>OK</v>
      </c>
      <c r="T110" t="str">
        <f>IF(po_master[[#This Row],[Actual Delivery Date]]&gt;po_master[[#This Row],[Promised Delivey Date]], "Late Delivery", "OK")</f>
        <v>OK</v>
      </c>
      <c r="U110" t="str">
        <f>IF(COUNTIF(po_master[PO Number],po_master[[#This Row],[PO Number]])&gt;1, "Duplicate Invoice", "OK")</f>
        <v>OK</v>
      </c>
      <c r="V110" s="5">
        <f>IF(po_master[[#This Row],[Missing Approval]]="Missing Approval", 1, 0)</f>
        <v>0</v>
      </c>
      <c r="W110" s="5">
        <f>IF(po_master[[#This Row],[GR Receipt Status]]="No GR - Not Received", 1, 0)</f>
        <v>0</v>
      </c>
      <c r="X110" s="5">
        <f>IF(po_master[[#This Row],[No invoice]]="No Invoice", 1, 0)</f>
        <v>0</v>
      </c>
      <c r="Y110" s="5">
        <f>IF(po_master[[#This Row],[Date Check]]="Invalid Date", 1, 0)</f>
        <v>0</v>
      </c>
      <c r="Z110" s="5">
        <f>IF(po_master[[#This Row],[Qty Variance Flag]]="Qty Variance", 1, 0)</f>
        <v>0</v>
      </c>
      <c r="AA110" s="5">
        <f>IF(po_master[[#This Row],[Price Variance Flag]]="Price Variance", 1, 0)</f>
        <v>0</v>
      </c>
      <c r="AB110" s="5">
        <f>IF(po_master[[#This Row],[Late Delivery Flag]]="Late Delivery", 1, 0)</f>
        <v>0</v>
      </c>
      <c r="AC110" s="5">
        <f>IF(po_master[[#This Row],[Duplicate Invoice Flag]]="Duplicate Invoice", 1, 0)</f>
        <v>0</v>
      </c>
      <c r="AD110" s="5" t="str">
        <f>TEXT(po_master[[#This Row],[Order Date]],"YYYY-MM")</f>
        <v>2026-02</v>
      </c>
    </row>
    <row r="111" spans="1:30" x14ac:dyDescent="0.25">
      <c r="A111" t="s">
        <v>760</v>
      </c>
      <c r="B111" t="s">
        <v>1441</v>
      </c>
      <c r="C111" s="1">
        <v>46061</v>
      </c>
      <c r="D111">
        <v>128</v>
      </c>
      <c r="E111">
        <v>79.69</v>
      </c>
      <c r="F111" t="s">
        <v>1485</v>
      </c>
      <c r="G111" s="1">
        <v>46072</v>
      </c>
      <c r="I111" s="1"/>
      <c r="J111" t="s">
        <v>761</v>
      </c>
      <c r="K111">
        <v>128</v>
      </c>
      <c r="L111">
        <v>79.69</v>
      </c>
      <c r="M111" s="1">
        <v>46081</v>
      </c>
      <c r="N111" t="str">
        <f>IF(po_master[[#This Row],[Approved By]]="", "Missing Approval", "OK")</f>
        <v>OK</v>
      </c>
      <c r="O111" t="str">
        <f>IF(ISBLANK(po_master[[#This Row],[GR Quantity]]), "No GR - Not received", "OK")</f>
        <v>No GR - Not received</v>
      </c>
      <c r="P111" t="str">
        <f>IF(po_master[[#This Row],[Promised Delivey Date]]&lt;po_master[[#This Row],[Order Date]], "Invalid", "OK")</f>
        <v>OK</v>
      </c>
      <c r="Q111" t="str">
        <f>IF(ISBLANK(po_master[[#This Row],[Invoice Number]]), "No Invoice", "OK")</f>
        <v>OK</v>
      </c>
      <c r="R111" t="str">
        <f>IF(AND(NOT(ISBLANK(po_master[[#This Row],[GR Quantity]])), po_master[[#This Row],[GR Quantity]]&lt;&gt;po_master[[#This Row],[PO Quantity]]), "Qty Variance", "OK")</f>
        <v>OK</v>
      </c>
      <c r="S111" t="str">
        <f>IF(po_master[[#This Row],[Invoice Unit Price]]&gt;po_master[[#This Row],[PO Unit Price]]*1.01, "Price Variance", "OK")</f>
        <v>OK</v>
      </c>
      <c r="T111" t="str">
        <f>IF(po_master[[#This Row],[Actual Delivery Date]]&gt;po_master[[#This Row],[Promised Delivey Date]], "Late Delivery", "OK")</f>
        <v>OK</v>
      </c>
      <c r="U111" t="str">
        <f>IF(COUNTIF(po_master[PO Number],po_master[[#This Row],[PO Number]])&gt;1, "Duplicate Invoice", "OK")</f>
        <v>OK</v>
      </c>
      <c r="V111" s="5">
        <f>IF(po_master[[#This Row],[Missing Approval]]="Missing Approval", 1, 0)</f>
        <v>0</v>
      </c>
      <c r="W111" s="5">
        <f>IF(po_master[[#This Row],[GR Receipt Status]]="No GR - Not Received", 1, 0)</f>
        <v>1</v>
      </c>
      <c r="X111" s="5">
        <f>IF(po_master[[#This Row],[No invoice]]="No Invoice", 1, 0)</f>
        <v>0</v>
      </c>
      <c r="Y111" s="5">
        <f>IF(po_master[[#This Row],[Date Check]]="Invalid Date", 1, 0)</f>
        <v>0</v>
      </c>
      <c r="Z111" s="5">
        <f>IF(po_master[[#This Row],[Qty Variance Flag]]="Qty Variance", 1, 0)</f>
        <v>0</v>
      </c>
      <c r="AA111" s="5">
        <f>IF(po_master[[#This Row],[Price Variance Flag]]="Price Variance", 1, 0)</f>
        <v>0</v>
      </c>
      <c r="AB111" s="5">
        <f>IF(po_master[[#This Row],[Late Delivery Flag]]="Late Delivery", 1, 0)</f>
        <v>0</v>
      </c>
      <c r="AC111" s="5">
        <f>IF(po_master[[#This Row],[Duplicate Invoice Flag]]="Duplicate Invoice", 1, 0)</f>
        <v>0</v>
      </c>
      <c r="AD111" s="5" t="str">
        <f>TEXT(po_master[[#This Row],[Order Date]],"YYYY-MM")</f>
        <v>2026-02</v>
      </c>
    </row>
    <row r="112" spans="1:30" x14ac:dyDescent="0.25">
      <c r="A112" t="s">
        <v>103</v>
      </c>
      <c r="B112" t="s">
        <v>1479</v>
      </c>
      <c r="C112" s="1">
        <v>46126</v>
      </c>
      <c r="D112">
        <v>380</v>
      </c>
      <c r="E112">
        <v>37.18</v>
      </c>
      <c r="F112" t="s">
        <v>1469</v>
      </c>
      <c r="G112" s="1">
        <v>46135</v>
      </c>
      <c r="H112">
        <v>380</v>
      </c>
      <c r="I112" s="1">
        <v>46135</v>
      </c>
      <c r="J112" t="s">
        <v>767</v>
      </c>
      <c r="K112">
        <v>380</v>
      </c>
      <c r="L112">
        <v>37.18</v>
      </c>
      <c r="M112" s="1">
        <v>46144</v>
      </c>
      <c r="N112" t="str">
        <f>IF(po_master[[#This Row],[Approved By]]="", "Missing Approval", "OK")</f>
        <v>OK</v>
      </c>
      <c r="O112" t="str">
        <f>IF(ISBLANK(po_master[[#This Row],[GR Quantity]]), "No GR - Not received", "OK")</f>
        <v>OK</v>
      </c>
      <c r="P112" t="str">
        <f>IF(po_master[[#This Row],[Promised Delivey Date]]&lt;po_master[[#This Row],[Order Date]], "Invalid", "OK")</f>
        <v>OK</v>
      </c>
      <c r="Q112" t="str">
        <f>IF(ISBLANK(po_master[[#This Row],[Invoice Number]]), "No Invoice", "OK")</f>
        <v>OK</v>
      </c>
      <c r="R112" t="str">
        <f>IF(AND(NOT(ISBLANK(po_master[[#This Row],[GR Quantity]])), po_master[[#This Row],[GR Quantity]]&lt;&gt;po_master[[#This Row],[PO Quantity]]), "Qty Variance", "OK")</f>
        <v>OK</v>
      </c>
      <c r="S112" t="str">
        <f>IF(po_master[[#This Row],[Invoice Unit Price]]&gt;po_master[[#This Row],[PO Unit Price]]*1.01, "Price Variance", "OK")</f>
        <v>OK</v>
      </c>
      <c r="T112" t="str">
        <f>IF(po_master[[#This Row],[Actual Delivery Date]]&gt;po_master[[#This Row],[Promised Delivey Date]], "Late Delivery", "OK")</f>
        <v>OK</v>
      </c>
      <c r="U112" t="str">
        <f>IF(COUNTIF(po_master[PO Number],po_master[[#This Row],[PO Number]])&gt;1, "Duplicate Invoice", "OK")</f>
        <v>OK</v>
      </c>
      <c r="V112" s="5">
        <f>IF(po_master[[#This Row],[Missing Approval]]="Missing Approval", 1, 0)</f>
        <v>0</v>
      </c>
      <c r="W112" s="5">
        <f>IF(po_master[[#This Row],[GR Receipt Status]]="No GR - Not Received", 1, 0)</f>
        <v>0</v>
      </c>
      <c r="X112" s="5">
        <f>IF(po_master[[#This Row],[No invoice]]="No Invoice", 1, 0)</f>
        <v>0</v>
      </c>
      <c r="Y112" s="5">
        <f>IF(po_master[[#This Row],[Date Check]]="Invalid Date", 1, 0)</f>
        <v>0</v>
      </c>
      <c r="Z112" s="5">
        <f>IF(po_master[[#This Row],[Qty Variance Flag]]="Qty Variance", 1, 0)</f>
        <v>0</v>
      </c>
      <c r="AA112" s="5">
        <f>IF(po_master[[#This Row],[Price Variance Flag]]="Price Variance", 1, 0)</f>
        <v>0</v>
      </c>
      <c r="AB112" s="5">
        <f>IF(po_master[[#This Row],[Late Delivery Flag]]="Late Delivery", 1, 0)</f>
        <v>0</v>
      </c>
      <c r="AC112" s="5">
        <f>IF(po_master[[#This Row],[Duplicate Invoice Flag]]="Duplicate Invoice", 1, 0)</f>
        <v>0</v>
      </c>
      <c r="AD112" s="5" t="str">
        <f>TEXT(po_master[[#This Row],[Order Date]],"YYYY-MM")</f>
        <v>2026-04</v>
      </c>
    </row>
    <row r="113" spans="1:30" x14ac:dyDescent="0.25">
      <c r="A113" t="s">
        <v>104</v>
      </c>
      <c r="B113" t="s">
        <v>1497</v>
      </c>
      <c r="C113" s="1">
        <v>46159</v>
      </c>
      <c r="D113">
        <v>23</v>
      </c>
      <c r="E113">
        <v>181.85</v>
      </c>
      <c r="F113" t="s">
        <v>1480</v>
      </c>
      <c r="G113" s="1">
        <v>46164</v>
      </c>
      <c r="H113">
        <v>23</v>
      </c>
      <c r="I113" s="1">
        <v>46162</v>
      </c>
      <c r="J113" t="s">
        <v>768</v>
      </c>
      <c r="K113">
        <v>23</v>
      </c>
      <c r="L113">
        <v>181.85</v>
      </c>
      <c r="M113" s="1">
        <v>46173</v>
      </c>
      <c r="N113" t="str">
        <f>IF(po_master[[#This Row],[Approved By]]="", "Missing Approval", "OK")</f>
        <v>OK</v>
      </c>
      <c r="O113" t="str">
        <f>IF(ISBLANK(po_master[[#This Row],[GR Quantity]]), "No GR - Not received", "OK")</f>
        <v>OK</v>
      </c>
      <c r="P113" t="str">
        <f>IF(po_master[[#This Row],[Promised Delivey Date]]&lt;po_master[[#This Row],[Order Date]], "Invalid", "OK")</f>
        <v>OK</v>
      </c>
      <c r="Q113" t="str">
        <f>IF(ISBLANK(po_master[[#This Row],[Invoice Number]]), "No Invoice", "OK")</f>
        <v>OK</v>
      </c>
      <c r="R113" t="str">
        <f>IF(AND(NOT(ISBLANK(po_master[[#This Row],[GR Quantity]])), po_master[[#This Row],[GR Quantity]]&lt;&gt;po_master[[#This Row],[PO Quantity]]), "Qty Variance", "OK")</f>
        <v>OK</v>
      </c>
      <c r="S113" t="str">
        <f>IF(po_master[[#This Row],[Invoice Unit Price]]&gt;po_master[[#This Row],[PO Unit Price]]*1.01, "Price Variance", "OK")</f>
        <v>OK</v>
      </c>
      <c r="T113" t="str">
        <f>IF(po_master[[#This Row],[Actual Delivery Date]]&gt;po_master[[#This Row],[Promised Delivey Date]], "Late Delivery", "OK")</f>
        <v>OK</v>
      </c>
      <c r="U113" t="str">
        <f>IF(COUNTIF(po_master[PO Number],po_master[[#This Row],[PO Number]])&gt;1, "Duplicate Invoice", "OK")</f>
        <v>OK</v>
      </c>
      <c r="V113" s="5">
        <f>IF(po_master[[#This Row],[Missing Approval]]="Missing Approval", 1, 0)</f>
        <v>0</v>
      </c>
      <c r="W113" s="5">
        <f>IF(po_master[[#This Row],[GR Receipt Status]]="No GR - Not Received", 1, 0)</f>
        <v>0</v>
      </c>
      <c r="X113" s="5">
        <f>IF(po_master[[#This Row],[No invoice]]="No Invoice", 1, 0)</f>
        <v>0</v>
      </c>
      <c r="Y113" s="5">
        <f>IF(po_master[[#This Row],[Date Check]]="Invalid Date", 1, 0)</f>
        <v>0</v>
      </c>
      <c r="Z113" s="5">
        <f>IF(po_master[[#This Row],[Qty Variance Flag]]="Qty Variance", 1, 0)</f>
        <v>0</v>
      </c>
      <c r="AA113" s="5">
        <f>IF(po_master[[#This Row],[Price Variance Flag]]="Price Variance", 1, 0)</f>
        <v>0</v>
      </c>
      <c r="AB113" s="5">
        <f>IF(po_master[[#This Row],[Late Delivery Flag]]="Late Delivery", 1, 0)</f>
        <v>0</v>
      </c>
      <c r="AC113" s="5">
        <f>IF(po_master[[#This Row],[Duplicate Invoice Flag]]="Duplicate Invoice", 1, 0)</f>
        <v>0</v>
      </c>
      <c r="AD113" s="5" t="str">
        <f>TEXT(po_master[[#This Row],[Order Date]],"YYYY-MM")</f>
        <v>2026-05</v>
      </c>
    </row>
    <row r="114" spans="1:30" x14ac:dyDescent="0.25">
      <c r="A114" t="s">
        <v>105</v>
      </c>
      <c r="B114" t="s">
        <v>1457</v>
      </c>
      <c r="C114" s="1">
        <v>46132</v>
      </c>
      <c r="D114">
        <v>79</v>
      </c>
      <c r="E114">
        <v>174.04</v>
      </c>
      <c r="F114" t="s">
        <v>1501</v>
      </c>
      <c r="G114" s="1">
        <v>46138</v>
      </c>
      <c r="H114">
        <v>79</v>
      </c>
      <c r="I114" s="1">
        <v>46138</v>
      </c>
      <c r="J114" t="s">
        <v>769</v>
      </c>
      <c r="K114">
        <v>79</v>
      </c>
      <c r="L114">
        <v>174.04</v>
      </c>
      <c r="M114" s="1">
        <v>46144</v>
      </c>
      <c r="N114" t="str">
        <f>IF(po_master[[#This Row],[Approved By]]="", "Missing Approval", "OK")</f>
        <v>OK</v>
      </c>
      <c r="O114" t="str">
        <f>IF(ISBLANK(po_master[[#This Row],[GR Quantity]]), "No GR - Not received", "OK")</f>
        <v>OK</v>
      </c>
      <c r="P114" t="str">
        <f>IF(po_master[[#This Row],[Promised Delivey Date]]&lt;po_master[[#This Row],[Order Date]], "Invalid", "OK")</f>
        <v>OK</v>
      </c>
      <c r="Q114" t="str">
        <f>IF(ISBLANK(po_master[[#This Row],[Invoice Number]]), "No Invoice", "OK")</f>
        <v>OK</v>
      </c>
      <c r="R114" t="str">
        <f>IF(AND(NOT(ISBLANK(po_master[[#This Row],[GR Quantity]])), po_master[[#This Row],[GR Quantity]]&lt;&gt;po_master[[#This Row],[PO Quantity]]), "Qty Variance", "OK")</f>
        <v>OK</v>
      </c>
      <c r="S114" t="str">
        <f>IF(po_master[[#This Row],[Invoice Unit Price]]&gt;po_master[[#This Row],[PO Unit Price]]*1.01, "Price Variance", "OK")</f>
        <v>OK</v>
      </c>
      <c r="T114" t="str">
        <f>IF(po_master[[#This Row],[Actual Delivery Date]]&gt;po_master[[#This Row],[Promised Delivey Date]], "Late Delivery", "OK")</f>
        <v>OK</v>
      </c>
      <c r="U114" t="str">
        <f>IF(COUNTIF(po_master[PO Number],po_master[[#This Row],[PO Number]])&gt;1, "Duplicate Invoice", "OK")</f>
        <v>OK</v>
      </c>
      <c r="V114" s="5">
        <f>IF(po_master[[#This Row],[Missing Approval]]="Missing Approval", 1, 0)</f>
        <v>0</v>
      </c>
      <c r="W114" s="5">
        <f>IF(po_master[[#This Row],[GR Receipt Status]]="No GR - Not Received", 1, 0)</f>
        <v>0</v>
      </c>
      <c r="X114" s="5">
        <f>IF(po_master[[#This Row],[No invoice]]="No Invoice", 1, 0)</f>
        <v>0</v>
      </c>
      <c r="Y114" s="5">
        <f>IF(po_master[[#This Row],[Date Check]]="Invalid Date", 1, 0)</f>
        <v>0</v>
      </c>
      <c r="Z114" s="5">
        <f>IF(po_master[[#This Row],[Qty Variance Flag]]="Qty Variance", 1, 0)</f>
        <v>0</v>
      </c>
      <c r="AA114" s="5">
        <f>IF(po_master[[#This Row],[Price Variance Flag]]="Price Variance", 1, 0)</f>
        <v>0</v>
      </c>
      <c r="AB114" s="5">
        <f>IF(po_master[[#This Row],[Late Delivery Flag]]="Late Delivery", 1, 0)</f>
        <v>0</v>
      </c>
      <c r="AC114" s="5">
        <f>IF(po_master[[#This Row],[Duplicate Invoice Flag]]="Duplicate Invoice", 1, 0)</f>
        <v>0</v>
      </c>
      <c r="AD114" s="5" t="str">
        <f>TEXT(po_master[[#This Row],[Order Date]],"YYYY-MM")</f>
        <v>2026-04</v>
      </c>
    </row>
    <row r="115" spans="1:30" x14ac:dyDescent="0.25">
      <c r="A115" t="s">
        <v>106</v>
      </c>
      <c r="B115" t="s">
        <v>1502</v>
      </c>
      <c r="C115" s="1">
        <v>46094</v>
      </c>
      <c r="D115">
        <v>395</v>
      </c>
      <c r="E115">
        <v>190.48</v>
      </c>
      <c r="F115" t="s">
        <v>1507</v>
      </c>
      <c r="G115" s="1">
        <v>46107</v>
      </c>
      <c r="H115">
        <v>395</v>
      </c>
      <c r="I115" s="1">
        <v>46108</v>
      </c>
      <c r="J115" t="s">
        <v>772</v>
      </c>
      <c r="K115">
        <v>395</v>
      </c>
      <c r="L115">
        <v>190.48</v>
      </c>
      <c r="M115" s="1">
        <v>46114</v>
      </c>
      <c r="N115" t="str">
        <f>IF(po_master[[#This Row],[Approved By]]="", "Missing Approval", "OK")</f>
        <v>OK</v>
      </c>
      <c r="O115" t="str">
        <f>IF(ISBLANK(po_master[[#This Row],[GR Quantity]]), "No GR - Not received", "OK")</f>
        <v>OK</v>
      </c>
      <c r="P115" t="str">
        <f>IF(po_master[[#This Row],[Promised Delivey Date]]&lt;po_master[[#This Row],[Order Date]], "Invalid", "OK")</f>
        <v>OK</v>
      </c>
      <c r="Q115" t="str">
        <f>IF(ISBLANK(po_master[[#This Row],[Invoice Number]]), "No Invoice", "OK")</f>
        <v>OK</v>
      </c>
      <c r="R115" t="str">
        <f>IF(AND(NOT(ISBLANK(po_master[[#This Row],[GR Quantity]])), po_master[[#This Row],[GR Quantity]]&lt;&gt;po_master[[#This Row],[PO Quantity]]), "Qty Variance", "OK")</f>
        <v>OK</v>
      </c>
      <c r="S115" t="str">
        <f>IF(po_master[[#This Row],[Invoice Unit Price]]&gt;po_master[[#This Row],[PO Unit Price]]*1.01, "Price Variance", "OK")</f>
        <v>OK</v>
      </c>
      <c r="T115" t="str">
        <f>IF(po_master[[#This Row],[Actual Delivery Date]]&gt;po_master[[#This Row],[Promised Delivey Date]], "Late Delivery", "OK")</f>
        <v>Late Delivery</v>
      </c>
      <c r="U115" t="str">
        <f>IF(COUNTIF(po_master[PO Number],po_master[[#This Row],[PO Number]])&gt;1, "Duplicate Invoice", "OK")</f>
        <v>OK</v>
      </c>
      <c r="V115" s="5">
        <f>IF(po_master[[#This Row],[Missing Approval]]="Missing Approval", 1, 0)</f>
        <v>0</v>
      </c>
      <c r="W115" s="5">
        <f>IF(po_master[[#This Row],[GR Receipt Status]]="No GR - Not Received", 1, 0)</f>
        <v>0</v>
      </c>
      <c r="X115" s="5">
        <f>IF(po_master[[#This Row],[No invoice]]="No Invoice", 1, 0)</f>
        <v>0</v>
      </c>
      <c r="Y115" s="5">
        <f>IF(po_master[[#This Row],[Date Check]]="Invalid Date", 1, 0)</f>
        <v>0</v>
      </c>
      <c r="Z115" s="5">
        <f>IF(po_master[[#This Row],[Qty Variance Flag]]="Qty Variance", 1, 0)</f>
        <v>0</v>
      </c>
      <c r="AA115" s="5">
        <f>IF(po_master[[#This Row],[Price Variance Flag]]="Price Variance", 1, 0)</f>
        <v>0</v>
      </c>
      <c r="AB115" s="5">
        <f>IF(po_master[[#This Row],[Late Delivery Flag]]="Late Delivery", 1, 0)</f>
        <v>1</v>
      </c>
      <c r="AC115" s="5">
        <f>IF(po_master[[#This Row],[Duplicate Invoice Flag]]="Duplicate Invoice", 1, 0)</f>
        <v>0</v>
      </c>
      <c r="AD115" s="5" t="str">
        <f>TEXT(po_master[[#This Row],[Order Date]],"YYYY-MM")</f>
        <v>2026-03</v>
      </c>
    </row>
    <row r="116" spans="1:30" x14ac:dyDescent="0.25">
      <c r="A116" t="s">
        <v>107</v>
      </c>
      <c r="B116" t="s">
        <v>1457</v>
      </c>
      <c r="C116" s="1">
        <v>46143</v>
      </c>
      <c r="D116">
        <v>19</v>
      </c>
      <c r="E116">
        <v>151.06</v>
      </c>
      <c r="F116" t="s">
        <v>1462</v>
      </c>
      <c r="G116" s="1">
        <v>46159</v>
      </c>
      <c r="H116">
        <v>19</v>
      </c>
      <c r="I116" s="1">
        <v>46161</v>
      </c>
      <c r="J116" t="s">
        <v>773</v>
      </c>
      <c r="K116">
        <v>19</v>
      </c>
      <c r="L116">
        <v>151.06</v>
      </c>
      <c r="M116" s="1">
        <v>46168</v>
      </c>
      <c r="N116" t="str">
        <f>IF(po_master[[#This Row],[Approved By]]="", "Missing Approval", "OK")</f>
        <v>OK</v>
      </c>
      <c r="O116" t="str">
        <f>IF(ISBLANK(po_master[[#This Row],[GR Quantity]]), "No GR - Not received", "OK")</f>
        <v>OK</v>
      </c>
      <c r="P116" t="str">
        <f>IF(po_master[[#This Row],[Promised Delivey Date]]&lt;po_master[[#This Row],[Order Date]], "Invalid", "OK")</f>
        <v>OK</v>
      </c>
      <c r="Q116" t="str">
        <f>IF(ISBLANK(po_master[[#This Row],[Invoice Number]]), "No Invoice", "OK")</f>
        <v>OK</v>
      </c>
      <c r="R116" t="str">
        <f>IF(AND(NOT(ISBLANK(po_master[[#This Row],[GR Quantity]])), po_master[[#This Row],[GR Quantity]]&lt;&gt;po_master[[#This Row],[PO Quantity]]), "Qty Variance", "OK")</f>
        <v>OK</v>
      </c>
      <c r="S116" t="str">
        <f>IF(po_master[[#This Row],[Invoice Unit Price]]&gt;po_master[[#This Row],[PO Unit Price]]*1.01, "Price Variance", "OK")</f>
        <v>OK</v>
      </c>
      <c r="T116" t="str">
        <f>IF(po_master[[#This Row],[Actual Delivery Date]]&gt;po_master[[#This Row],[Promised Delivey Date]], "Late Delivery", "OK")</f>
        <v>Late Delivery</v>
      </c>
      <c r="U116" t="str">
        <f>IF(COUNTIF(po_master[PO Number],po_master[[#This Row],[PO Number]])&gt;1, "Duplicate Invoice", "OK")</f>
        <v>OK</v>
      </c>
      <c r="V116" s="5">
        <f>IF(po_master[[#This Row],[Missing Approval]]="Missing Approval", 1, 0)</f>
        <v>0</v>
      </c>
      <c r="W116" s="5">
        <f>IF(po_master[[#This Row],[GR Receipt Status]]="No GR - Not Received", 1, 0)</f>
        <v>0</v>
      </c>
      <c r="X116" s="5">
        <f>IF(po_master[[#This Row],[No invoice]]="No Invoice", 1, 0)</f>
        <v>0</v>
      </c>
      <c r="Y116" s="5">
        <f>IF(po_master[[#This Row],[Date Check]]="Invalid Date", 1, 0)</f>
        <v>0</v>
      </c>
      <c r="Z116" s="5">
        <f>IF(po_master[[#This Row],[Qty Variance Flag]]="Qty Variance", 1, 0)</f>
        <v>0</v>
      </c>
      <c r="AA116" s="5">
        <f>IF(po_master[[#This Row],[Price Variance Flag]]="Price Variance", 1, 0)</f>
        <v>0</v>
      </c>
      <c r="AB116" s="5">
        <f>IF(po_master[[#This Row],[Late Delivery Flag]]="Late Delivery", 1, 0)</f>
        <v>1</v>
      </c>
      <c r="AC116" s="5">
        <f>IF(po_master[[#This Row],[Duplicate Invoice Flag]]="Duplicate Invoice", 1, 0)</f>
        <v>0</v>
      </c>
      <c r="AD116" s="5" t="str">
        <f>TEXT(po_master[[#This Row],[Order Date]],"YYYY-MM")</f>
        <v>2026-05</v>
      </c>
    </row>
    <row r="117" spans="1:30" x14ac:dyDescent="0.25">
      <c r="A117" t="s">
        <v>108</v>
      </c>
      <c r="B117" t="s">
        <v>1482</v>
      </c>
      <c r="C117" s="1">
        <v>46074</v>
      </c>
      <c r="D117">
        <v>439</v>
      </c>
      <c r="E117">
        <v>8.9700000000000006</v>
      </c>
      <c r="F117" t="s">
        <v>1485</v>
      </c>
      <c r="G117" s="1">
        <v>46086</v>
      </c>
      <c r="H117">
        <v>439</v>
      </c>
      <c r="I117" s="1">
        <v>46088</v>
      </c>
      <c r="J117" t="s">
        <v>776</v>
      </c>
      <c r="K117">
        <v>439</v>
      </c>
      <c r="L117">
        <v>8.9700000000000006</v>
      </c>
      <c r="M117" s="1">
        <v>46093</v>
      </c>
      <c r="N117" t="str">
        <f>IF(po_master[[#This Row],[Approved By]]="", "Missing Approval", "OK")</f>
        <v>OK</v>
      </c>
      <c r="O117" t="str">
        <f>IF(ISBLANK(po_master[[#This Row],[GR Quantity]]), "No GR - Not received", "OK")</f>
        <v>OK</v>
      </c>
      <c r="P117" t="str">
        <f>IF(po_master[[#This Row],[Promised Delivey Date]]&lt;po_master[[#This Row],[Order Date]], "Invalid", "OK")</f>
        <v>OK</v>
      </c>
      <c r="Q117" t="str">
        <f>IF(ISBLANK(po_master[[#This Row],[Invoice Number]]), "No Invoice", "OK")</f>
        <v>OK</v>
      </c>
      <c r="R117" t="str">
        <f>IF(AND(NOT(ISBLANK(po_master[[#This Row],[GR Quantity]])), po_master[[#This Row],[GR Quantity]]&lt;&gt;po_master[[#This Row],[PO Quantity]]), "Qty Variance", "OK")</f>
        <v>OK</v>
      </c>
      <c r="S117" t="str">
        <f>IF(po_master[[#This Row],[Invoice Unit Price]]&gt;po_master[[#This Row],[PO Unit Price]]*1.01, "Price Variance", "OK")</f>
        <v>OK</v>
      </c>
      <c r="T117" t="str">
        <f>IF(po_master[[#This Row],[Actual Delivery Date]]&gt;po_master[[#This Row],[Promised Delivey Date]], "Late Delivery", "OK")</f>
        <v>Late Delivery</v>
      </c>
      <c r="U117" t="str">
        <f>IF(COUNTIF(po_master[PO Number],po_master[[#This Row],[PO Number]])&gt;1, "Duplicate Invoice", "OK")</f>
        <v>OK</v>
      </c>
      <c r="V117" s="5">
        <f>IF(po_master[[#This Row],[Missing Approval]]="Missing Approval", 1, 0)</f>
        <v>0</v>
      </c>
      <c r="W117" s="5">
        <f>IF(po_master[[#This Row],[GR Receipt Status]]="No GR - Not Received", 1, 0)</f>
        <v>0</v>
      </c>
      <c r="X117" s="5">
        <f>IF(po_master[[#This Row],[No invoice]]="No Invoice", 1, 0)</f>
        <v>0</v>
      </c>
      <c r="Y117" s="5">
        <f>IF(po_master[[#This Row],[Date Check]]="Invalid Date", 1, 0)</f>
        <v>0</v>
      </c>
      <c r="Z117" s="5">
        <f>IF(po_master[[#This Row],[Qty Variance Flag]]="Qty Variance", 1, 0)</f>
        <v>0</v>
      </c>
      <c r="AA117" s="5">
        <f>IF(po_master[[#This Row],[Price Variance Flag]]="Price Variance", 1, 0)</f>
        <v>0</v>
      </c>
      <c r="AB117" s="5">
        <f>IF(po_master[[#This Row],[Late Delivery Flag]]="Late Delivery", 1, 0)</f>
        <v>1</v>
      </c>
      <c r="AC117" s="5">
        <f>IF(po_master[[#This Row],[Duplicate Invoice Flag]]="Duplicate Invoice", 1, 0)</f>
        <v>0</v>
      </c>
      <c r="AD117" s="5" t="str">
        <f>TEXT(po_master[[#This Row],[Order Date]],"YYYY-MM")</f>
        <v>2026-02</v>
      </c>
    </row>
    <row r="118" spans="1:30" x14ac:dyDescent="0.25">
      <c r="A118" t="s">
        <v>109</v>
      </c>
      <c r="B118" t="s">
        <v>1441</v>
      </c>
      <c r="C118" s="1">
        <v>46144</v>
      </c>
      <c r="D118">
        <v>352</v>
      </c>
      <c r="E118">
        <v>27.31</v>
      </c>
      <c r="F118" t="s">
        <v>1444</v>
      </c>
      <c r="G118" s="1">
        <v>46163</v>
      </c>
      <c r="H118">
        <v>352</v>
      </c>
      <c r="I118" s="1">
        <v>46164</v>
      </c>
      <c r="J118" t="s">
        <v>777</v>
      </c>
      <c r="K118">
        <v>352</v>
      </c>
      <c r="L118">
        <v>27.31</v>
      </c>
      <c r="M118" s="1">
        <v>46165</v>
      </c>
      <c r="N118" t="str">
        <f>IF(po_master[[#This Row],[Approved By]]="", "Missing Approval", "OK")</f>
        <v>OK</v>
      </c>
      <c r="O118" t="str">
        <f>IF(ISBLANK(po_master[[#This Row],[GR Quantity]]), "No GR - Not received", "OK")</f>
        <v>OK</v>
      </c>
      <c r="P118" t="str">
        <f>IF(po_master[[#This Row],[Promised Delivey Date]]&lt;po_master[[#This Row],[Order Date]], "Invalid", "OK")</f>
        <v>OK</v>
      </c>
      <c r="Q118" t="str">
        <f>IF(ISBLANK(po_master[[#This Row],[Invoice Number]]), "No Invoice", "OK")</f>
        <v>OK</v>
      </c>
      <c r="R118" t="str">
        <f>IF(AND(NOT(ISBLANK(po_master[[#This Row],[GR Quantity]])), po_master[[#This Row],[GR Quantity]]&lt;&gt;po_master[[#This Row],[PO Quantity]]), "Qty Variance", "OK")</f>
        <v>OK</v>
      </c>
      <c r="S118" t="str">
        <f>IF(po_master[[#This Row],[Invoice Unit Price]]&gt;po_master[[#This Row],[PO Unit Price]]*1.01, "Price Variance", "OK")</f>
        <v>OK</v>
      </c>
      <c r="T118" t="str">
        <f>IF(po_master[[#This Row],[Actual Delivery Date]]&gt;po_master[[#This Row],[Promised Delivey Date]], "Late Delivery", "OK")</f>
        <v>Late Delivery</v>
      </c>
      <c r="U118" t="str">
        <f>IF(COUNTIF(po_master[PO Number],po_master[[#This Row],[PO Number]])&gt;1, "Duplicate Invoice", "OK")</f>
        <v>Duplicate Invoice</v>
      </c>
      <c r="V118" s="5">
        <f>IF(po_master[[#This Row],[Missing Approval]]="Missing Approval", 1, 0)</f>
        <v>0</v>
      </c>
      <c r="W118" s="5">
        <f>IF(po_master[[#This Row],[GR Receipt Status]]="No GR - Not Received", 1, 0)</f>
        <v>0</v>
      </c>
      <c r="X118" s="5">
        <f>IF(po_master[[#This Row],[No invoice]]="No Invoice", 1, 0)</f>
        <v>0</v>
      </c>
      <c r="Y118" s="5">
        <f>IF(po_master[[#This Row],[Date Check]]="Invalid Date", 1, 0)</f>
        <v>0</v>
      </c>
      <c r="Z118" s="5">
        <f>IF(po_master[[#This Row],[Qty Variance Flag]]="Qty Variance", 1, 0)</f>
        <v>0</v>
      </c>
      <c r="AA118" s="5">
        <f>IF(po_master[[#This Row],[Price Variance Flag]]="Price Variance", 1, 0)</f>
        <v>0</v>
      </c>
      <c r="AB118" s="5">
        <f>IF(po_master[[#This Row],[Late Delivery Flag]]="Late Delivery", 1, 0)</f>
        <v>1</v>
      </c>
      <c r="AC118" s="5">
        <f>IF(po_master[[#This Row],[Duplicate Invoice Flag]]="Duplicate Invoice", 1, 0)</f>
        <v>1</v>
      </c>
      <c r="AD118" s="5" t="str">
        <f>TEXT(po_master[[#This Row],[Order Date]],"YYYY-MM")</f>
        <v>2026-05</v>
      </c>
    </row>
    <row r="119" spans="1:30" x14ac:dyDescent="0.25">
      <c r="A119" t="s">
        <v>109</v>
      </c>
      <c r="B119" t="s">
        <v>1441</v>
      </c>
      <c r="C119" s="1">
        <v>46144</v>
      </c>
      <c r="D119">
        <v>352</v>
      </c>
      <c r="E119">
        <v>27.31</v>
      </c>
      <c r="F119" t="s">
        <v>1444</v>
      </c>
      <c r="G119" s="1">
        <v>46163</v>
      </c>
      <c r="H119">
        <v>352</v>
      </c>
      <c r="I119" s="1">
        <v>46164</v>
      </c>
      <c r="J119" t="s">
        <v>778</v>
      </c>
      <c r="K119">
        <v>352</v>
      </c>
      <c r="L119">
        <v>27.31</v>
      </c>
      <c r="M119" s="1">
        <v>46168</v>
      </c>
      <c r="N119" t="str">
        <f>IF(po_master[[#This Row],[Approved By]]="", "Missing Approval", "OK")</f>
        <v>OK</v>
      </c>
      <c r="O119" t="str">
        <f>IF(ISBLANK(po_master[[#This Row],[GR Quantity]]), "No GR - Not received", "OK")</f>
        <v>OK</v>
      </c>
      <c r="P119" t="str">
        <f>IF(po_master[[#This Row],[Promised Delivey Date]]&lt;po_master[[#This Row],[Order Date]], "Invalid", "OK")</f>
        <v>OK</v>
      </c>
      <c r="Q119" t="str">
        <f>IF(ISBLANK(po_master[[#This Row],[Invoice Number]]), "No Invoice", "OK")</f>
        <v>OK</v>
      </c>
      <c r="R119" t="str">
        <f>IF(AND(NOT(ISBLANK(po_master[[#This Row],[GR Quantity]])), po_master[[#This Row],[GR Quantity]]&lt;&gt;po_master[[#This Row],[PO Quantity]]), "Qty Variance", "OK")</f>
        <v>OK</v>
      </c>
      <c r="S119" t="str">
        <f>IF(po_master[[#This Row],[Invoice Unit Price]]&gt;po_master[[#This Row],[PO Unit Price]]*1.01, "Price Variance", "OK")</f>
        <v>OK</v>
      </c>
      <c r="T119" t="str">
        <f>IF(po_master[[#This Row],[Actual Delivery Date]]&gt;po_master[[#This Row],[Promised Delivey Date]], "Late Delivery", "OK")</f>
        <v>Late Delivery</v>
      </c>
      <c r="U119" t="str">
        <f>IF(COUNTIF(po_master[PO Number],po_master[[#This Row],[PO Number]])&gt;1, "Duplicate Invoice", "OK")</f>
        <v>Duplicate Invoice</v>
      </c>
      <c r="V119" s="5">
        <f>IF(po_master[[#This Row],[Missing Approval]]="Missing Approval", 1, 0)</f>
        <v>0</v>
      </c>
      <c r="W119" s="5">
        <f>IF(po_master[[#This Row],[GR Receipt Status]]="No GR - Not Received", 1, 0)</f>
        <v>0</v>
      </c>
      <c r="X119" s="5">
        <f>IF(po_master[[#This Row],[No invoice]]="No Invoice", 1, 0)</f>
        <v>0</v>
      </c>
      <c r="Y119" s="5">
        <f>IF(po_master[[#This Row],[Date Check]]="Invalid Date", 1, 0)</f>
        <v>0</v>
      </c>
      <c r="Z119" s="5">
        <f>IF(po_master[[#This Row],[Qty Variance Flag]]="Qty Variance", 1, 0)</f>
        <v>0</v>
      </c>
      <c r="AA119" s="5">
        <f>IF(po_master[[#This Row],[Price Variance Flag]]="Price Variance", 1, 0)</f>
        <v>0</v>
      </c>
      <c r="AB119" s="5">
        <f>IF(po_master[[#This Row],[Late Delivery Flag]]="Late Delivery", 1, 0)</f>
        <v>1</v>
      </c>
      <c r="AC119" s="5">
        <f>IF(po_master[[#This Row],[Duplicate Invoice Flag]]="Duplicate Invoice", 1, 0)</f>
        <v>1</v>
      </c>
      <c r="AD119" s="5" t="str">
        <f>TEXT(po_master[[#This Row],[Order Date]],"YYYY-MM")</f>
        <v>2026-05</v>
      </c>
    </row>
    <row r="120" spans="1:30" x14ac:dyDescent="0.25">
      <c r="A120" t="s">
        <v>110</v>
      </c>
      <c r="B120" t="s">
        <v>1449</v>
      </c>
      <c r="C120" s="1">
        <v>46088</v>
      </c>
      <c r="D120">
        <v>402</v>
      </c>
      <c r="E120">
        <v>76.930000000000007</v>
      </c>
      <c r="F120" t="s">
        <v>1494</v>
      </c>
      <c r="G120" s="1">
        <v>46096</v>
      </c>
      <c r="H120">
        <v>385</v>
      </c>
      <c r="I120" s="1">
        <v>46098</v>
      </c>
      <c r="J120" t="s">
        <v>779</v>
      </c>
      <c r="K120">
        <v>402</v>
      </c>
      <c r="L120">
        <v>76.930000000000007</v>
      </c>
      <c r="M120" s="1">
        <v>46099</v>
      </c>
      <c r="N120" t="str">
        <f>IF(po_master[[#This Row],[Approved By]]="", "Missing Approval", "OK")</f>
        <v>OK</v>
      </c>
      <c r="O120" t="str">
        <f>IF(ISBLANK(po_master[[#This Row],[GR Quantity]]), "No GR - Not received", "OK")</f>
        <v>OK</v>
      </c>
      <c r="P120" t="str">
        <f>IF(po_master[[#This Row],[Promised Delivey Date]]&lt;po_master[[#This Row],[Order Date]], "Invalid", "OK")</f>
        <v>OK</v>
      </c>
      <c r="Q120" t="str">
        <f>IF(ISBLANK(po_master[[#This Row],[Invoice Number]]), "No Invoice", "OK")</f>
        <v>OK</v>
      </c>
      <c r="R120" t="str">
        <f>IF(AND(NOT(ISBLANK(po_master[[#This Row],[GR Quantity]])), po_master[[#This Row],[GR Quantity]]&lt;&gt;po_master[[#This Row],[PO Quantity]]), "Qty Variance", "OK")</f>
        <v>Qty Variance</v>
      </c>
      <c r="S120" t="str">
        <f>IF(po_master[[#This Row],[Invoice Unit Price]]&gt;po_master[[#This Row],[PO Unit Price]]*1.01, "Price Variance", "OK")</f>
        <v>OK</v>
      </c>
      <c r="T120" t="str">
        <f>IF(po_master[[#This Row],[Actual Delivery Date]]&gt;po_master[[#This Row],[Promised Delivey Date]], "Late Delivery", "OK")</f>
        <v>Late Delivery</v>
      </c>
      <c r="U120" t="str">
        <f>IF(COUNTIF(po_master[PO Number],po_master[[#This Row],[PO Number]])&gt;1, "Duplicate Invoice", "OK")</f>
        <v>OK</v>
      </c>
      <c r="V120" s="5">
        <f>IF(po_master[[#This Row],[Missing Approval]]="Missing Approval", 1, 0)</f>
        <v>0</v>
      </c>
      <c r="W120" s="5">
        <f>IF(po_master[[#This Row],[GR Receipt Status]]="No GR - Not Received", 1, 0)</f>
        <v>0</v>
      </c>
      <c r="X120" s="5">
        <f>IF(po_master[[#This Row],[No invoice]]="No Invoice", 1, 0)</f>
        <v>0</v>
      </c>
      <c r="Y120" s="5">
        <f>IF(po_master[[#This Row],[Date Check]]="Invalid Date", 1, 0)</f>
        <v>0</v>
      </c>
      <c r="Z120" s="5">
        <f>IF(po_master[[#This Row],[Qty Variance Flag]]="Qty Variance", 1, 0)</f>
        <v>1</v>
      </c>
      <c r="AA120" s="5">
        <f>IF(po_master[[#This Row],[Price Variance Flag]]="Price Variance", 1, 0)</f>
        <v>0</v>
      </c>
      <c r="AB120" s="5">
        <f>IF(po_master[[#This Row],[Late Delivery Flag]]="Late Delivery", 1, 0)</f>
        <v>1</v>
      </c>
      <c r="AC120" s="5">
        <f>IF(po_master[[#This Row],[Duplicate Invoice Flag]]="Duplicate Invoice", 1, 0)</f>
        <v>0</v>
      </c>
      <c r="AD120" s="5" t="str">
        <f>TEXT(po_master[[#This Row],[Order Date]],"YYYY-MM")</f>
        <v>2026-03</v>
      </c>
    </row>
    <row r="121" spans="1:30" x14ac:dyDescent="0.25">
      <c r="A121" t="s">
        <v>770</v>
      </c>
      <c r="B121" t="s">
        <v>1470</v>
      </c>
      <c r="C121" s="1">
        <v>46120</v>
      </c>
      <c r="D121">
        <v>177</v>
      </c>
      <c r="E121">
        <v>46.27</v>
      </c>
      <c r="F121" t="s">
        <v>1472</v>
      </c>
      <c r="G121" s="1">
        <v>46135</v>
      </c>
      <c r="I121" s="1"/>
      <c r="J121" t="s">
        <v>771</v>
      </c>
      <c r="K121">
        <v>177</v>
      </c>
      <c r="L121">
        <v>50.53</v>
      </c>
      <c r="M121" s="1">
        <v>46144</v>
      </c>
      <c r="N121" t="str">
        <f>IF(po_master[[#This Row],[Approved By]]="", "Missing Approval", "OK")</f>
        <v>OK</v>
      </c>
      <c r="O121" t="str">
        <f>IF(ISBLANK(po_master[[#This Row],[GR Quantity]]), "No GR - Not received", "OK")</f>
        <v>No GR - Not received</v>
      </c>
      <c r="P121" t="str">
        <f>IF(po_master[[#This Row],[Promised Delivey Date]]&lt;po_master[[#This Row],[Order Date]], "Invalid", "OK")</f>
        <v>OK</v>
      </c>
      <c r="Q121" t="str">
        <f>IF(ISBLANK(po_master[[#This Row],[Invoice Number]]), "No Invoice", "OK")</f>
        <v>OK</v>
      </c>
      <c r="R121" t="str">
        <f>IF(AND(NOT(ISBLANK(po_master[[#This Row],[GR Quantity]])), po_master[[#This Row],[GR Quantity]]&lt;&gt;po_master[[#This Row],[PO Quantity]]), "Qty Variance", "OK")</f>
        <v>OK</v>
      </c>
      <c r="S121" t="str">
        <f>IF(po_master[[#This Row],[Invoice Unit Price]]&gt;po_master[[#This Row],[PO Unit Price]]*1.01, "Price Variance", "OK")</f>
        <v>Price Variance</v>
      </c>
      <c r="T121" t="str">
        <f>IF(po_master[[#This Row],[Actual Delivery Date]]&gt;po_master[[#This Row],[Promised Delivey Date]], "Late Delivery", "OK")</f>
        <v>OK</v>
      </c>
      <c r="U121" t="str">
        <f>IF(COUNTIF(po_master[PO Number],po_master[[#This Row],[PO Number]])&gt;1, "Duplicate Invoice", "OK")</f>
        <v>OK</v>
      </c>
      <c r="V121" s="5">
        <f>IF(po_master[[#This Row],[Missing Approval]]="Missing Approval", 1, 0)</f>
        <v>0</v>
      </c>
      <c r="W121" s="5">
        <f>IF(po_master[[#This Row],[GR Receipt Status]]="No GR - Not Received", 1, 0)</f>
        <v>1</v>
      </c>
      <c r="X121" s="5">
        <f>IF(po_master[[#This Row],[No invoice]]="No Invoice", 1, 0)</f>
        <v>0</v>
      </c>
      <c r="Y121" s="5">
        <f>IF(po_master[[#This Row],[Date Check]]="Invalid Date", 1, 0)</f>
        <v>0</v>
      </c>
      <c r="Z121" s="5">
        <f>IF(po_master[[#This Row],[Qty Variance Flag]]="Qty Variance", 1, 0)</f>
        <v>0</v>
      </c>
      <c r="AA121" s="5">
        <f>IF(po_master[[#This Row],[Price Variance Flag]]="Price Variance", 1, 0)</f>
        <v>1</v>
      </c>
      <c r="AB121" s="5">
        <f>IF(po_master[[#This Row],[Late Delivery Flag]]="Late Delivery", 1, 0)</f>
        <v>0</v>
      </c>
      <c r="AC121" s="5">
        <f>IF(po_master[[#This Row],[Duplicate Invoice Flag]]="Duplicate Invoice", 1, 0)</f>
        <v>0</v>
      </c>
      <c r="AD121" s="5" t="str">
        <f>TEXT(po_master[[#This Row],[Order Date]],"YYYY-MM")</f>
        <v>2026-04</v>
      </c>
    </row>
    <row r="122" spans="1:30" x14ac:dyDescent="0.25">
      <c r="A122" t="s">
        <v>111</v>
      </c>
      <c r="B122" t="s">
        <v>1460</v>
      </c>
      <c r="C122" s="1">
        <v>46102</v>
      </c>
      <c r="D122">
        <v>65</v>
      </c>
      <c r="E122">
        <v>117.84</v>
      </c>
      <c r="F122" t="s">
        <v>1474</v>
      </c>
      <c r="G122" s="1">
        <v>46119</v>
      </c>
      <c r="H122">
        <v>65</v>
      </c>
      <c r="I122" s="1">
        <v>46121</v>
      </c>
      <c r="J122" t="s">
        <v>780</v>
      </c>
      <c r="K122">
        <v>65</v>
      </c>
      <c r="L122">
        <v>117.84</v>
      </c>
      <c r="M122" s="1">
        <v>46123</v>
      </c>
      <c r="N122" t="str">
        <f>IF(po_master[[#This Row],[Approved By]]="", "Missing Approval", "OK")</f>
        <v>OK</v>
      </c>
      <c r="O122" t="str">
        <f>IF(ISBLANK(po_master[[#This Row],[GR Quantity]]), "No GR - Not received", "OK")</f>
        <v>OK</v>
      </c>
      <c r="P122" t="str">
        <f>IF(po_master[[#This Row],[Promised Delivey Date]]&lt;po_master[[#This Row],[Order Date]], "Invalid", "OK")</f>
        <v>OK</v>
      </c>
      <c r="Q122" t="str">
        <f>IF(ISBLANK(po_master[[#This Row],[Invoice Number]]), "No Invoice", "OK")</f>
        <v>OK</v>
      </c>
      <c r="R122" t="str">
        <f>IF(AND(NOT(ISBLANK(po_master[[#This Row],[GR Quantity]])), po_master[[#This Row],[GR Quantity]]&lt;&gt;po_master[[#This Row],[PO Quantity]]), "Qty Variance", "OK")</f>
        <v>OK</v>
      </c>
      <c r="S122" t="str">
        <f>IF(po_master[[#This Row],[Invoice Unit Price]]&gt;po_master[[#This Row],[PO Unit Price]]*1.01, "Price Variance", "OK")</f>
        <v>OK</v>
      </c>
      <c r="T122" t="str">
        <f>IF(po_master[[#This Row],[Actual Delivery Date]]&gt;po_master[[#This Row],[Promised Delivey Date]], "Late Delivery", "OK")</f>
        <v>Late Delivery</v>
      </c>
      <c r="U122" t="str">
        <f>IF(COUNTIF(po_master[PO Number],po_master[[#This Row],[PO Number]])&gt;1, "Duplicate Invoice", "OK")</f>
        <v>OK</v>
      </c>
      <c r="V122" s="5">
        <f>IF(po_master[[#This Row],[Missing Approval]]="Missing Approval", 1, 0)</f>
        <v>0</v>
      </c>
      <c r="W122" s="5">
        <f>IF(po_master[[#This Row],[GR Receipt Status]]="No GR - Not Received", 1, 0)</f>
        <v>0</v>
      </c>
      <c r="X122" s="5">
        <f>IF(po_master[[#This Row],[No invoice]]="No Invoice", 1, 0)</f>
        <v>0</v>
      </c>
      <c r="Y122" s="5">
        <f>IF(po_master[[#This Row],[Date Check]]="Invalid Date", 1, 0)</f>
        <v>0</v>
      </c>
      <c r="Z122" s="5">
        <f>IF(po_master[[#This Row],[Qty Variance Flag]]="Qty Variance", 1, 0)</f>
        <v>0</v>
      </c>
      <c r="AA122" s="5">
        <f>IF(po_master[[#This Row],[Price Variance Flag]]="Price Variance", 1, 0)</f>
        <v>0</v>
      </c>
      <c r="AB122" s="5">
        <f>IF(po_master[[#This Row],[Late Delivery Flag]]="Late Delivery", 1, 0)</f>
        <v>1</v>
      </c>
      <c r="AC122" s="5">
        <f>IF(po_master[[#This Row],[Duplicate Invoice Flag]]="Duplicate Invoice", 1, 0)</f>
        <v>0</v>
      </c>
      <c r="AD122" s="5" t="str">
        <f>TEXT(po_master[[#This Row],[Order Date]],"YYYY-MM")</f>
        <v>2026-03</v>
      </c>
    </row>
    <row r="123" spans="1:30" x14ac:dyDescent="0.25">
      <c r="A123" t="s">
        <v>112</v>
      </c>
      <c r="B123" t="s">
        <v>1488</v>
      </c>
      <c r="C123" s="1">
        <v>46073</v>
      </c>
      <c r="D123">
        <v>48</v>
      </c>
      <c r="E123">
        <v>120.46</v>
      </c>
      <c r="F123" t="s">
        <v>1446</v>
      </c>
      <c r="G123" s="1">
        <v>46085</v>
      </c>
      <c r="H123">
        <v>48</v>
      </c>
      <c r="I123" s="1">
        <v>46093</v>
      </c>
      <c r="J123" t="s">
        <v>781</v>
      </c>
      <c r="K123">
        <v>48</v>
      </c>
      <c r="L123">
        <v>120.46</v>
      </c>
      <c r="M123" s="1">
        <v>46094</v>
      </c>
      <c r="N123" t="str">
        <f>IF(po_master[[#This Row],[Approved By]]="", "Missing Approval", "OK")</f>
        <v>OK</v>
      </c>
      <c r="O123" t="str">
        <f>IF(ISBLANK(po_master[[#This Row],[GR Quantity]]), "No GR - Not received", "OK")</f>
        <v>OK</v>
      </c>
      <c r="P123" t="str">
        <f>IF(po_master[[#This Row],[Promised Delivey Date]]&lt;po_master[[#This Row],[Order Date]], "Invalid", "OK")</f>
        <v>OK</v>
      </c>
      <c r="Q123" t="str">
        <f>IF(ISBLANK(po_master[[#This Row],[Invoice Number]]), "No Invoice", "OK")</f>
        <v>OK</v>
      </c>
      <c r="R123" t="str">
        <f>IF(AND(NOT(ISBLANK(po_master[[#This Row],[GR Quantity]])), po_master[[#This Row],[GR Quantity]]&lt;&gt;po_master[[#This Row],[PO Quantity]]), "Qty Variance", "OK")</f>
        <v>OK</v>
      </c>
      <c r="S123" t="str">
        <f>IF(po_master[[#This Row],[Invoice Unit Price]]&gt;po_master[[#This Row],[PO Unit Price]]*1.01, "Price Variance", "OK")</f>
        <v>OK</v>
      </c>
      <c r="T123" t="str">
        <f>IF(po_master[[#This Row],[Actual Delivery Date]]&gt;po_master[[#This Row],[Promised Delivey Date]], "Late Delivery", "OK")</f>
        <v>Late Delivery</v>
      </c>
      <c r="U123" t="str">
        <f>IF(COUNTIF(po_master[PO Number],po_master[[#This Row],[PO Number]])&gt;1, "Duplicate Invoice", "OK")</f>
        <v>OK</v>
      </c>
      <c r="V123" s="5">
        <f>IF(po_master[[#This Row],[Missing Approval]]="Missing Approval", 1, 0)</f>
        <v>0</v>
      </c>
      <c r="W123" s="5">
        <f>IF(po_master[[#This Row],[GR Receipt Status]]="No GR - Not Received", 1, 0)</f>
        <v>0</v>
      </c>
      <c r="X123" s="5">
        <f>IF(po_master[[#This Row],[No invoice]]="No Invoice", 1, 0)</f>
        <v>0</v>
      </c>
      <c r="Y123" s="5">
        <f>IF(po_master[[#This Row],[Date Check]]="Invalid Date", 1, 0)</f>
        <v>0</v>
      </c>
      <c r="Z123" s="5">
        <f>IF(po_master[[#This Row],[Qty Variance Flag]]="Qty Variance", 1, 0)</f>
        <v>0</v>
      </c>
      <c r="AA123" s="5">
        <f>IF(po_master[[#This Row],[Price Variance Flag]]="Price Variance", 1, 0)</f>
        <v>0</v>
      </c>
      <c r="AB123" s="5">
        <f>IF(po_master[[#This Row],[Late Delivery Flag]]="Late Delivery", 1, 0)</f>
        <v>1</v>
      </c>
      <c r="AC123" s="5">
        <f>IF(po_master[[#This Row],[Duplicate Invoice Flag]]="Duplicate Invoice", 1, 0)</f>
        <v>0</v>
      </c>
      <c r="AD123" s="5" t="str">
        <f>TEXT(po_master[[#This Row],[Order Date]],"YYYY-MM")</f>
        <v>2026-02</v>
      </c>
    </row>
    <row r="124" spans="1:30" x14ac:dyDescent="0.25">
      <c r="A124" t="s">
        <v>774</v>
      </c>
      <c r="B124" t="s">
        <v>1447</v>
      </c>
      <c r="C124" s="1">
        <v>46040</v>
      </c>
      <c r="D124">
        <v>409</v>
      </c>
      <c r="E124">
        <v>191.67</v>
      </c>
      <c r="F124" t="s">
        <v>1462</v>
      </c>
      <c r="G124" s="1">
        <v>46045</v>
      </c>
      <c r="I124" s="1"/>
      <c r="J124" t="s">
        <v>775</v>
      </c>
      <c r="K124">
        <v>409</v>
      </c>
      <c r="L124">
        <v>191.67</v>
      </c>
      <c r="M124" s="1">
        <v>46053</v>
      </c>
      <c r="N124" t="str">
        <f>IF(po_master[[#This Row],[Approved By]]="", "Missing Approval", "OK")</f>
        <v>OK</v>
      </c>
      <c r="O124" t="str">
        <f>IF(ISBLANK(po_master[[#This Row],[GR Quantity]]), "No GR - Not received", "OK")</f>
        <v>No GR - Not received</v>
      </c>
      <c r="P124" t="str">
        <f>IF(po_master[[#This Row],[Promised Delivey Date]]&lt;po_master[[#This Row],[Order Date]], "Invalid", "OK")</f>
        <v>OK</v>
      </c>
      <c r="Q124" t="str">
        <f>IF(ISBLANK(po_master[[#This Row],[Invoice Number]]), "No Invoice", "OK")</f>
        <v>OK</v>
      </c>
      <c r="R124" t="str">
        <f>IF(AND(NOT(ISBLANK(po_master[[#This Row],[GR Quantity]])), po_master[[#This Row],[GR Quantity]]&lt;&gt;po_master[[#This Row],[PO Quantity]]), "Qty Variance", "OK")</f>
        <v>OK</v>
      </c>
      <c r="S124" t="str">
        <f>IF(po_master[[#This Row],[Invoice Unit Price]]&gt;po_master[[#This Row],[PO Unit Price]]*1.01, "Price Variance", "OK")</f>
        <v>OK</v>
      </c>
      <c r="T124" t="str">
        <f>IF(po_master[[#This Row],[Actual Delivery Date]]&gt;po_master[[#This Row],[Promised Delivey Date]], "Late Delivery", "OK")</f>
        <v>OK</v>
      </c>
      <c r="U124" t="str">
        <f>IF(COUNTIF(po_master[PO Number],po_master[[#This Row],[PO Number]])&gt;1, "Duplicate Invoice", "OK")</f>
        <v>OK</v>
      </c>
      <c r="V124" s="5">
        <f>IF(po_master[[#This Row],[Missing Approval]]="Missing Approval", 1, 0)</f>
        <v>0</v>
      </c>
      <c r="W124" s="5">
        <f>IF(po_master[[#This Row],[GR Receipt Status]]="No GR - Not Received", 1, 0)</f>
        <v>1</v>
      </c>
      <c r="X124" s="5">
        <f>IF(po_master[[#This Row],[No invoice]]="No Invoice", 1, 0)</f>
        <v>0</v>
      </c>
      <c r="Y124" s="5">
        <f>IF(po_master[[#This Row],[Date Check]]="Invalid Date", 1, 0)</f>
        <v>0</v>
      </c>
      <c r="Z124" s="5">
        <f>IF(po_master[[#This Row],[Qty Variance Flag]]="Qty Variance", 1, 0)</f>
        <v>0</v>
      </c>
      <c r="AA124" s="5">
        <f>IF(po_master[[#This Row],[Price Variance Flag]]="Price Variance", 1, 0)</f>
        <v>0</v>
      </c>
      <c r="AB124" s="5">
        <f>IF(po_master[[#This Row],[Late Delivery Flag]]="Late Delivery", 1, 0)</f>
        <v>0</v>
      </c>
      <c r="AC124" s="5">
        <f>IF(po_master[[#This Row],[Duplicate Invoice Flag]]="Duplicate Invoice", 1, 0)</f>
        <v>0</v>
      </c>
      <c r="AD124" s="5" t="str">
        <f>TEXT(po_master[[#This Row],[Order Date]],"YYYY-MM")</f>
        <v>2026-01</v>
      </c>
    </row>
    <row r="125" spans="1:30" x14ac:dyDescent="0.25">
      <c r="A125" t="s">
        <v>113</v>
      </c>
      <c r="B125" t="s">
        <v>1450</v>
      </c>
      <c r="C125" s="1">
        <v>46100</v>
      </c>
      <c r="D125">
        <v>445</v>
      </c>
      <c r="E125">
        <v>138.43</v>
      </c>
      <c r="F125" t="s">
        <v>1459</v>
      </c>
      <c r="G125" s="1">
        <v>46106</v>
      </c>
      <c r="H125">
        <v>445</v>
      </c>
      <c r="I125" s="1">
        <v>46106</v>
      </c>
      <c r="J125" t="s">
        <v>782</v>
      </c>
      <c r="K125">
        <v>445</v>
      </c>
      <c r="L125">
        <v>138.43</v>
      </c>
      <c r="M125" s="1">
        <v>46107</v>
      </c>
      <c r="N125" t="str">
        <f>IF(po_master[[#This Row],[Approved By]]="", "Missing Approval", "OK")</f>
        <v>Missing Approval</v>
      </c>
      <c r="O125" t="str">
        <f>IF(ISBLANK(po_master[[#This Row],[GR Quantity]]), "No GR - Not received", "OK")</f>
        <v>OK</v>
      </c>
      <c r="P125" t="str">
        <f>IF(po_master[[#This Row],[Promised Delivey Date]]&lt;po_master[[#This Row],[Order Date]], "Invalid", "OK")</f>
        <v>OK</v>
      </c>
      <c r="Q125" t="str">
        <f>IF(ISBLANK(po_master[[#This Row],[Invoice Number]]), "No Invoice", "OK")</f>
        <v>OK</v>
      </c>
      <c r="R125" t="str">
        <f>IF(AND(NOT(ISBLANK(po_master[[#This Row],[GR Quantity]])), po_master[[#This Row],[GR Quantity]]&lt;&gt;po_master[[#This Row],[PO Quantity]]), "Qty Variance", "OK")</f>
        <v>OK</v>
      </c>
      <c r="S125" t="str">
        <f>IF(po_master[[#This Row],[Invoice Unit Price]]&gt;po_master[[#This Row],[PO Unit Price]]*1.01, "Price Variance", "OK")</f>
        <v>OK</v>
      </c>
      <c r="T125" t="str">
        <f>IF(po_master[[#This Row],[Actual Delivery Date]]&gt;po_master[[#This Row],[Promised Delivey Date]], "Late Delivery", "OK")</f>
        <v>OK</v>
      </c>
      <c r="U125" t="str">
        <f>IF(COUNTIF(po_master[PO Number],po_master[[#This Row],[PO Number]])&gt;1, "Duplicate Invoice", "OK")</f>
        <v>Duplicate Invoice</v>
      </c>
      <c r="V125" s="5">
        <f>IF(po_master[[#This Row],[Missing Approval]]="Missing Approval", 1, 0)</f>
        <v>1</v>
      </c>
      <c r="W125" s="5">
        <f>IF(po_master[[#This Row],[GR Receipt Status]]="No GR - Not Received", 1, 0)</f>
        <v>0</v>
      </c>
      <c r="X125" s="5">
        <f>IF(po_master[[#This Row],[No invoice]]="No Invoice", 1, 0)</f>
        <v>0</v>
      </c>
      <c r="Y125" s="5">
        <f>IF(po_master[[#This Row],[Date Check]]="Invalid Date", 1, 0)</f>
        <v>0</v>
      </c>
      <c r="Z125" s="5">
        <f>IF(po_master[[#This Row],[Qty Variance Flag]]="Qty Variance", 1, 0)</f>
        <v>0</v>
      </c>
      <c r="AA125" s="5">
        <f>IF(po_master[[#This Row],[Price Variance Flag]]="Price Variance", 1, 0)</f>
        <v>0</v>
      </c>
      <c r="AB125" s="5">
        <f>IF(po_master[[#This Row],[Late Delivery Flag]]="Late Delivery", 1, 0)</f>
        <v>0</v>
      </c>
      <c r="AC125" s="5">
        <f>IF(po_master[[#This Row],[Duplicate Invoice Flag]]="Duplicate Invoice", 1, 0)</f>
        <v>1</v>
      </c>
      <c r="AD125" s="5" t="str">
        <f>TEXT(po_master[[#This Row],[Order Date]],"YYYY-MM")</f>
        <v>2026-03</v>
      </c>
    </row>
    <row r="126" spans="1:30" x14ac:dyDescent="0.25">
      <c r="A126" t="s">
        <v>113</v>
      </c>
      <c r="B126" t="s">
        <v>1450</v>
      </c>
      <c r="C126" s="1">
        <v>46100</v>
      </c>
      <c r="D126">
        <v>445</v>
      </c>
      <c r="E126">
        <v>138.43</v>
      </c>
      <c r="F126" t="s">
        <v>1459</v>
      </c>
      <c r="G126" s="1">
        <v>46106</v>
      </c>
      <c r="H126">
        <v>445</v>
      </c>
      <c r="I126" s="1">
        <v>46106</v>
      </c>
      <c r="J126" t="s">
        <v>783</v>
      </c>
      <c r="K126">
        <v>445</v>
      </c>
      <c r="L126">
        <v>138.43</v>
      </c>
      <c r="M126" s="1">
        <v>46112</v>
      </c>
      <c r="N126" t="str">
        <f>IF(po_master[[#This Row],[Approved By]]="", "Missing Approval", "OK")</f>
        <v>Missing Approval</v>
      </c>
      <c r="O126" t="str">
        <f>IF(ISBLANK(po_master[[#This Row],[GR Quantity]]), "No GR - Not received", "OK")</f>
        <v>OK</v>
      </c>
      <c r="P126" t="str">
        <f>IF(po_master[[#This Row],[Promised Delivey Date]]&lt;po_master[[#This Row],[Order Date]], "Invalid", "OK")</f>
        <v>OK</v>
      </c>
      <c r="Q126" t="str">
        <f>IF(ISBLANK(po_master[[#This Row],[Invoice Number]]), "No Invoice", "OK")</f>
        <v>OK</v>
      </c>
      <c r="R126" t="str">
        <f>IF(AND(NOT(ISBLANK(po_master[[#This Row],[GR Quantity]])), po_master[[#This Row],[GR Quantity]]&lt;&gt;po_master[[#This Row],[PO Quantity]]), "Qty Variance", "OK")</f>
        <v>OK</v>
      </c>
      <c r="S126" t="str">
        <f>IF(po_master[[#This Row],[Invoice Unit Price]]&gt;po_master[[#This Row],[PO Unit Price]]*1.01, "Price Variance", "OK")</f>
        <v>OK</v>
      </c>
      <c r="T126" t="str">
        <f>IF(po_master[[#This Row],[Actual Delivery Date]]&gt;po_master[[#This Row],[Promised Delivey Date]], "Late Delivery", "OK")</f>
        <v>OK</v>
      </c>
      <c r="U126" t="str">
        <f>IF(COUNTIF(po_master[PO Number],po_master[[#This Row],[PO Number]])&gt;1, "Duplicate Invoice", "OK")</f>
        <v>Duplicate Invoice</v>
      </c>
      <c r="V126" s="5">
        <f>IF(po_master[[#This Row],[Missing Approval]]="Missing Approval", 1, 0)</f>
        <v>1</v>
      </c>
      <c r="W126" s="5">
        <f>IF(po_master[[#This Row],[GR Receipt Status]]="No GR - Not Received", 1, 0)</f>
        <v>0</v>
      </c>
      <c r="X126" s="5">
        <f>IF(po_master[[#This Row],[No invoice]]="No Invoice", 1, 0)</f>
        <v>0</v>
      </c>
      <c r="Y126" s="5">
        <f>IF(po_master[[#This Row],[Date Check]]="Invalid Date", 1, 0)</f>
        <v>0</v>
      </c>
      <c r="Z126" s="5">
        <f>IF(po_master[[#This Row],[Qty Variance Flag]]="Qty Variance", 1, 0)</f>
        <v>0</v>
      </c>
      <c r="AA126" s="5">
        <f>IF(po_master[[#This Row],[Price Variance Flag]]="Price Variance", 1, 0)</f>
        <v>0</v>
      </c>
      <c r="AB126" s="5">
        <f>IF(po_master[[#This Row],[Late Delivery Flag]]="Late Delivery", 1, 0)</f>
        <v>0</v>
      </c>
      <c r="AC126" s="5">
        <f>IF(po_master[[#This Row],[Duplicate Invoice Flag]]="Duplicate Invoice", 1, 0)</f>
        <v>1</v>
      </c>
      <c r="AD126" s="5" t="str">
        <f>TEXT(po_master[[#This Row],[Order Date]],"YYYY-MM")</f>
        <v>2026-03</v>
      </c>
    </row>
    <row r="127" spans="1:30" x14ac:dyDescent="0.25">
      <c r="A127" t="s">
        <v>114</v>
      </c>
      <c r="B127" t="s">
        <v>1503</v>
      </c>
      <c r="C127" s="1">
        <v>46159</v>
      </c>
      <c r="D127">
        <v>229</v>
      </c>
      <c r="E127">
        <v>134</v>
      </c>
      <c r="F127" t="s">
        <v>1476</v>
      </c>
      <c r="G127" s="1">
        <v>46180</v>
      </c>
      <c r="H127">
        <v>229</v>
      </c>
      <c r="I127" s="1">
        <v>46185</v>
      </c>
      <c r="J127" t="s">
        <v>784</v>
      </c>
      <c r="K127">
        <v>229</v>
      </c>
      <c r="L127">
        <v>134</v>
      </c>
      <c r="M127" s="1">
        <v>46184</v>
      </c>
      <c r="N127" t="str">
        <f>IF(po_master[[#This Row],[Approved By]]="", "Missing Approval", "OK")</f>
        <v>OK</v>
      </c>
      <c r="O127" t="str">
        <f>IF(ISBLANK(po_master[[#This Row],[GR Quantity]]), "No GR - Not received", "OK")</f>
        <v>OK</v>
      </c>
      <c r="P127" t="str">
        <f>IF(po_master[[#This Row],[Promised Delivey Date]]&lt;po_master[[#This Row],[Order Date]], "Invalid", "OK")</f>
        <v>OK</v>
      </c>
      <c r="Q127" t="str">
        <f>IF(ISBLANK(po_master[[#This Row],[Invoice Number]]), "No Invoice", "OK")</f>
        <v>OK</v>
      </c>
      <c r="R127" t="str">
        <f>IF(AND(NOT(ISBLANK(po_master[[#This Row],[GR Quantity]])), po_master[[#This Row],[GR Quantity]]&lt;&gt;po_master[[#This Row],[PO Quantity]]), "Qty Variance", "OK")</f>
        <v>OK</v>
      </c>
      <c r="S127" t="str">
        <f>IF(po_master[[#This Row],[Invoice Unit Price]]&gt;po_master[[#This Row],[PO Unit Price]]*1.01, "Price Variance", "OK")</f>
        <v>OK</v>
      </c>
      <c r="T127" t="str">
        <f>IF(po_master[[#This Row],[Actual Delivery Date]]&gt;po_master[[#This Row],[Promised Delivey Date]], "Late Delivery", "OK")</f>
        <v>Late Delivery</v>
      </c>
      <c r="U127" t="str">
        <f>IF(COUNTIF(po_master[PO Number],po_master[[#This Row],[PO Number]])&gt;1, "Duplicate Invoice", "OK")</f>
        <v>OK</v>
      </c>
      <c r="V127" s="5">
        <f>IF(po_master[[#This Row],[Missing Approval]]="Missing Approval", 1, 0)</f>
        <v>0</v>
      </c>
      <c r="W127" s="5">
        <f>IF(po_master[[#This Row],[GR Receipt Status]]="No GR - Not Received", 1, 0)</f>
        <v>0</v>
      </c>
      <c r="X127" s="5">
        <f>IF(po_master[[#This Row],[No invoice]]="No Invoice", 1, 0)</f>
        <v>0</v>
      </c>
      <c r="Y127" s="5">
        <f>IF(po_master[[#This Row],[Date Check]]="Invalid Date", 1, 0)</f>
        <v>0</v>
      </c>
      <c r="Z127" s="5">
        <f>IF(po_master[[#This Row],[Qty Variance Flag]]="Qty Variance", 1, 0)</f>
        <v>0</v>
      </c>
      <c r="AA127" s="5">
        <f>IF(po_master[[#This Row],[Price Variance Flag]]="Price Variance", 1, 0)</f>
        <v>0</v>
      </c>
      <c r="AB127" s="5">
        <f>IF(po_master[[#This Row],[Late Delivery Flag]]="Late Delivery", 1, 0)</f>
        <v>1</v>
      </c>
      <c r="AC127" s="5">
        <f>IF(po_master[[#This Row],[Duplicate Invoice Flag]]="Duplicate Invoice", 1, 0)</f>
        <v>0</v>
      </c>
      <c r="AD127" s="5" t="str">
        <f>TEXT(po_master[[#This Row],[Order Date]],"YYYY-MM")</f>
        <v>2026-05</v>
      </c>
    </row>
    <row r="128" spans="1:30" x14ac:dyDescent="0.25">
      <c r="A128" t="s">
        <v>115</v>
      </c>
      <c r="B128" t="s">
        <v>1508</v>
      </c>
      <c r="C128" s="1">
        <v>46110</v>
      </c>
      <c r="D128">
        <v>16</v>
      </c>
      <c r="E128">
        <v>170.67</v>
      </c>
      <c r="F128" t="s">
        <v>1487</v>
      </c>
      <c r="G128" s="1">
        <v>46118</v>
      </c>
      <c r="H128">
        <v>16</v>
      </c>
      <c r="I128" s="1">
        <v>46137</v>
      </c>
      <c r="J128" t="s">
        <v>785</v>
      </c>
      <c r="K128">
        <v>16</v>
      </c>
      <c r="L128">
        <v>170.67</v>
      </c>
      <c r="M128" s="1">
        <v>46125</v>
      </c>
      <c r="N128" t="str">
        <f>IF(po_master[[#This Row],[Approved By]]="", "Missing Approval", "OK")</f>
        <v>OK</v>
      </c>
      <c r="O128" t="str">
        <f>IF(ISBLANK(po_master[[#This Row],[GR Quantity]]), "No GR - Not received", "OK")</f>
        <v>OK</v>
      </c>
      <c r="P128" t="str">
        <f>IF(po_master[[#This Row],[Promised Delivey Date]]&lt;po_master[[#This Row],[Order Date]], "Invalid", "OK")</f>
        <v>OK</v>
      </c>
      <c r="Q128" t="str">
        <f>IF(ISBLANK(po_master[[#This Row],[Invoice Number]]), "No Invoice", "OK")</f>
        <v>OK</v>
      </c>
      <c r="R128" t="str">
        <f>IF(AND(NOT(ISBLANK(po_master[[#This Row],[GR Quantity]])), po_master[[#This Row],[GR Quantity]]&lt;&gt;po_master[[#This Row],[PO Quantity]]), "Qty Variance", "OK")</f>
        <v>OK</v>
      </c>
      <c r="S128" t="str">
        <f>IF(po_master[[#This Row],[Invoice Unit Price]]&gt;po_master[[#This Row],[PO Unit Price]]*1.01, "Price Variance", "OK")</f>
        <v>OK</v>
      </c>
      <c r="T128" t="str">
        <f>IF(po_master[[#This Row],[Actual Delivery Date]]&gt;po_master[[#This Row],[Promised Delivey Date]], "Late Delivery", "OK")</f>
        <v>Late Delivery</v>
      </c>
      <c r="U128" t="str">
        <f>IF(COUNTIF(po_master[PO Number],po_master[[#This Row],[PO Number]])&gt;1, "Duplicate Invoice", "OK")</f>
        <v>OK</v>
      </c>
      <c r="V128" s="5">
        <f>IF(po_master[[#This Row],[Missing Approval]]="Missing Approval", 1, 0)</f>
        <v>0</v>
      </c>
      <c r="W128" s="5">
        <f>IF(po_master[[#This Row],[GR Receipt Status]]="No GR - Not Received", 1, 0)</f>
        <v>0</v>
      </c>
      <c r="X128" s="5">
        <f>IF(po_master[[#This Row],[No invoice]]="No Invoice", 1, 0)</f>
        <v>0</v>
      </c>
      <c r="Y128" s="5">
        <f>IF(po_master[[#This Row],[Date Check]]="Invalid Date", 1, 0)</f>
        <v>0</v>
      </c>
      <c r="Z128" s="5">
        <f>IF(po_master[[#This Row],[Qty Variance Flag]]="Qty Variance", 1, 0)</f>
        <v>0</v>
      </c>
      <c r="AA128" s="5">
        <f>IF(po_master[[#This Row],[Price Variance Flag]]="Price Variance", 1, 0)</f>
        <v>0</v>
      </c>
      <c r="AB128" s="5">
        <f>IF(po_master[[#This Row],[Late Delivery Flag]]="Late Delivery", 1, 0)</f>
        <v>1</v>
      </c>
      <c r="AC128" s="5">
        <f>IF(po_master[[#This Row],[Duplicate Invoice Flag]]="Duplicate Invoice", 1, 0)</f>
        <v>0</v>
      </c>
      <c r="AD128" s="5" t="str">
        <f>TEXT(po_master[[#This Row],[Order Date]],"YYYY-MM")</f>
        <v>2026-03</v>
      </c>
    </row>
    <row r="129" spans="1:30" x14ac:dyDescent="0.25">
      <c r="A129" t="s">
        <v>116</v>
      </c>
      <c r="B129" t="s">
        <v>1500</v>
      </c>
      <c r="C129" s="1">
        <v>46115</v>
      </c>
      <c r="D129">
        <v>335</v>
      </c>
      <c r="E129">
        <v>178.86</v>
      </c>
      <c r="F129" t="s">
        <v>1469</v>
      </c>
      <c r="G129" s="1">
        <v>46124</v>
      </c>
      <c r="H129">
        <v>335</v>
      </c>
      <c r="I129" s="1">
        <v>46135</v>
      </c>
      <c r="J129" t="s">
        <v>786</v>
      </c>
      <c r="K129">
        <v>335</v>
      </c>
      <c r="L129">
        <v>178.86</v>
      </c>
      <c r="M129" s="1">
        <v>46125</v>
      </c>
      <c r="N129" t="str">
        <f>IF(po_master[[#This Row],[Approved By]]="", "Missing Approval", "OK")</f>
        <v>OK</v>
      </c>
      <c r="O129" t="str">
        <f>IF(ISBLANK(po_master[[#This Row],[GR Quantity]]), "No GR - Not received", "OK")</f>
        <v>OK</v>
      </c>
      <c r="P129" t="str">
        <f>IF(po_master[[#This Row],[Promised Delivey Date]]&lt;po_master[[#This Row],[Order Date]], "Invalid", "OK")</f>
        <v>OK</v>
      </c>
      <c r="Q129" t="str">
        <f>IF(ISBLANK(po_master[[#This Row],[Invoice Number]]), "No Invoice", "OK")</f>
        <v>OK</v>
      </c>
      <c r="R129" t="str">
        <f>IF(AND(NOT(ISBLANK(po_master[[#This Row],[GR Quantity]])), po_master[[#This Row],[GR Quantity]]&lt;&gt;po_master[[#This Row],[PO Quantity]]), "Qty Variance", "OK")</f>
        <v>OK</v>
      </c>
      <c r="S129" t="str">
        <f>IF(po_master[[#This Row],[Invoice Unit Price]]&gt;po_master[[#This Row],[PO Unit Price]]*1.01, "Price Variance", "OK")</f>
        <v>OK</v>
      </c>
      <c r="T129" t="str">
        <f>IF(po_master[[#This Row],[Actual Delivery Date]]&gt;po_master[[#This Row],[Promised Delivey Date]], "Late Delivery", "OK")</f>
        <v>Late Delivery</v>
      </c>
      <c r="U129" t="str">
        <f>IF(COUNTIF(po_master[PO Number],po_master[[#This Row],[PO Number]])&gt;1, "Duplicate Invoice", "OK")</f>
        <v>OK</v>
      </c>
      <c r="V129" s="5">
        <f>IF(po_master[[#This Row],[Missing Approval]]="Missing Approval", 1, 0)</f>
        <v>0</v>
      </c>
      <c r="W129" s="5">
        <f>IF(po_master[[#This Row],[GR Receipt Status]]="No GR - Not Received", 1, 0)</f>
        <v>0</v>
      </c>
      <c r="X129" s="5">
        <f>IF(po_master[[#This Row],[No invoice]]="No Invoice", 1, 0)</f>
        <v>0</v>
      </c>
      <c r="Y129" s="5">
        <f>IF(po_master[[#This Row],[Date Check]]="Invalid Date", 1, 0)</f>
        <v>0</v>
      </c>
      <c r="Z129" s="5">
        <f>IF(po_master[[#This Row],[Qty Variance Flag]]="Qty Variance", 1, 0)</f>
        <v>0</v>
      </c>
      <c r="AA129" s="5">
        <f>IF(po_master[[#This Row],[Price Variance Flag]]="Price Variance", 1, 0)</f>
        <v>0</v>
      </c>
      <c r="AB129" s="5">
        <f>IF(po_master[[#This Row],[Late Delivery Flag]]="Late Delivery", 1, 0)</f>
        <v>1</v>
      </c>
      <c r="AC129" s="5">
        <f>IF(po_master[[#This Row],[Duplicate Invoice Flag]]="Duplicate Invoice", 1, 0)</f>
        <v>0</v>
      </c>
      <c r="AD129" s="5" t="str">
        <f>TEXT(po_master[[#This Row],[Order Date]],"YYYY-MM")</f>
        <v>2026-04</v>
      </c>
    </row>
    <row r="130" spans="1:30" x14ac:dyDescent="0.25">
      <c r="A130" t="s">
        <v>117</v>
      </c>
      <c r="B130" t="s">
        <v>1500</v>
      </c>
      <c r="C130" s="1">
        <v>46068</v>
      </c>
      <c r="D130">
        <v>385</v>
      </c>
      <c r="E130">
        <v>106.74</v>
      </c>
      <c r="F130" t="s">
        <v>1459</v>
      </c>
      <c r="G130" s="1">
        <v>46081</v>
      </c>
      <c r="H130">
        <v>385</v>
      </c>
      <c r="I130" s="1">
        <v>46082</v>
      </c>
      <c r="J130" t="s">
        <v>787</v>
      </c>
      <c r="K130">
        <v>385</v>
      </c>
      <c r="L130">
        <v>106.74</v>
      </c>
      <c r="M130" s="1">
        <v>46090</v>
      </c>
      <c r="N130" t="str">
        <f>IF(po_master[[#This Row],[Approved By]]="", "Missing Approval", "OK")</f>
        <v>Missing Approval</v>
      </c>
      <c r="O130" t="str">
        <f>IF(ISBLANK(po_master[[#This Row],[GR Quantity]]), "No GR - Not received", "OK")</f>
        <v>OK</v>
      </c>
      <c r="P130" t="str">
        <f>IF(po_master[[#This Row],[Promised Delivey Date]]&lt;po_master[[#This Row],[Order Date]], "Invalid", "OK")</f>
        <v>OK</v>
      </c>
      <c r="Q130" t="str">
        <f>IF(ISBLANK(po_master[[#This Row],[Invoice Number]]), "No Invoice", "OK")</f>
        <v>OK</v>
      </c>
      <c r="R130" t="str">
        <f>IF(AND(NOT(ISBLANK(po_master[[#This Row],[GR Quantity]])), po_master[[#This Row],[GR Quantity]]&lt;&gt;po_master[[#This Row],[PO Quantity]]), "Qty Variance", "OK")</f>
        <v>OK</v>
      </c>
      <c r="S130" t="str">
        <f>IF(po_master[[#This Row],[Invoice Unit Price]]&gt;po_master[[#This Row],[PO Unit Price]]*1.01, "Price Variance", "OK")</f>
        <v>OK</v>
      </c>
      <c r="T130" t="str">
        <f>IF(po_master[[#This Row],[Actual Delivery Date]]&gt;po_master[[#This Row],[Promised Delivey Date]], "Late Delivery", "OK")</f>
        <v>Late Delivery</v>
      </c>
      <c r="U130" t="str">
        <f>IF(COUNTIF(po_master[PO Number],po_master[[#This Row],[PO Number]])&gt;1, "Duplicate Invoice", "OK")</f>
        <v>OK</v>
      </c>
      <c r="V130" s="5">
        <f>IF(po_master[[#This Row],[Missing Approval]]="Missing Approval", 1, 0)</f>
        <v>1</v>
      </c>
      <c r="W130" s="5">
        <f>IF(po_master[[#This Row],[GR Receipt Status]]="No GR - Not Received", 1, 0)</f>
        <v>0</v>
      </c>
      <c r="X130" s="5">
        <f>IF(po_master[[#This Row],[No invoice]]="No Invoice", 1, 0)</f>
        <v>0</v>
      </c>
      <c r="Y130" s="5">
        <f>IF(po_master[[#This Row],[Date Check]]="Invalid Date", 1, 0)</f>
        <v>0</v>
      </c>
      <c r="Z130" s="5">
        <f>IF(po_master[[#This Row],[Qty Variance Flag]]="Qty Variance", 1, 0)</f>
        <v>0</v>
      </c>
      <c r="AA130" s="5">
        <f>IF(po_master[[#This Row],[Price Variance Flag]]="Price Variance", 1, 0)</f>
        <v>0</v>
      </c>
      <c r="AB130" s="5">
        <f>IF(po_master[[#This Row],[Late Delivery Flag]]="Late Delivery", 1, 0)</f>
        <v>1</v>
      </c>
      <c r="AC130" s="5">
        <f>IF(po_master[[#This Row],[Duplicate Invoice Flag]]="Duplicate Invoice", 1, 0)</f>
        <v>0</v>
      </c>
      <c r="AD130" s="5" t="str">
        <f>TEXT(po_master[[#This Row],[Order Date]],"YYYY-MM")</f>
        <v>2026-02</v>
      </c>
    </row>
    <row r="131" spans="1:30" x14ac:dyDescent="0.25">
      <c r="A131" t="s">
        <v>118</v>
      </c>
      <c r="B131" t="s">
        <v>1497</v>
      </c>
      <c r="C131" s="1">
        <v>46160</v>
      </c>
      <c r="D131">
        <v>406</v>
      </c>
      <c r="E131">
        <v>99.28</v>
      </c>
      <c r="F131" t="s">
        <v>1507</v>
      </c>
      <c r="G131" s="1">
        <v>46173</v>
      </c>
      <c r="H131">
        <v>406</v>
      </c>
      <c r="I131" s="1">
        <v>46182</v>
      </c>
      <c r="J131" t="s">
        <v>788</v>
      </c>
      <c r="K131">
        <v>406</v>
      </c>
      <c r="L131">
        <v>113.94</v>
      </c>
      <c r="M131" s="1">
        <v>46175</v>
      </c>
      <c r="N131" t="str">
        <f>IF(po_master[[#This Row],[Approved By]]="", "Missing Approval", "OK")</f>
        <v>OK</v>
      </c>
      <c r="O131" t="str">
        <f>IF(ISBLANK(po_master[[#This Row],[GR Quantity]]), "No GR - Not received", "OK")</f>
        <v>OK</v>
      </c>
      <c r="P131" t="str">
        <f>IF(po_master[[#This Row],[Promised Delivey Date]]&lt;po_master[[#This Row],[Order Date]], "Invalid", "OK")</f>
        <v>OK</v>
      </c>
      <c r="Q131" t="str">
        <f>IF(ISBLANK(po_master[[#This Row],[Invoice Number]]), "No Invoice", "OK")</f>
        <v>OK</v>
      </c>
      <c r="R131" t="str">
        <f>IF(AND(NOT(ISBLANK(po_master[[#This Row],[GR Quantity]])), po_master[[#This Row],[GR Quantity]]&lt;&gt;po_master[[#This Row],[PO Quantity]]), "Qty Variance", "OK")</f>
        <v>OK</v>
      </c>
      <c r="S131" t="str">
        <f>IF(po_master[[#This Row],[Invoice Unit Price]]&gt;po_master[[#This Row],[PO Unit Price]]*1.01, "Price Variance", "OK")</f>
        <v>Price Variance</v>
      </c>
      <c r="T131" t="str">
        <f>IF(po_master[[#This Row],[Actual Delivery Date]]&gt;po_master[[#This Row],[Promised Delivey Date]], "Late Delivery", "OK")</f>
        <v>Late Delivery</v>
      </c>
      <c r="U131" t="str">
        <f>IF(COUNTIF(po_master[PO Number],po_master[[#This Row],[PO Number]])&gt;1, "Duplicate Invoice", "OK")</f>
        <v>OK</v>
      </c>
      <c r="V131" s="5">
        <f>IF(po_master[[#This Row],[Missing Approval]]="Missing Approval", 1, 0)</f>
        <v>0</v>
      </c>
      <c r="W131" s="5">
        <f>IF(po_master[[#This Row],[GR Receipt Status]]="No GR - Not Received", 1, 0)</f>
        <v>0</v>
      </c>
      <c r="X131" s="5">
        <f>IF(po_master[[#This Row],[No invoice]]="No Invoice", 1, 0)</f>
        <v>0</v>
      </c>
      <c r="Y131" s="5">
        <f>IF(po_master[[#This Row],[Date Check]]="Invalid Date", 1, 0)</f>
        <v>0</v>
      </c>
      <c r="Z131" s="5">
        <f>IF(po_master[[#This Row],[Qty Variance Flag]]="Qty Variance", 1, 0)</f>
        <v>0</v>
      </c>
      <c r="AA131" s="5">
        <f>IF(po_master[[#This Row],[Price Variance Flag]]="Price Variance", 1, 0)</f>
        <v>1</v>
      </c>
      <c r="AB131" s="5">
        <f>IF(po_master[[#This Row],[Late Delivery Flag]]="Late Delivery", 1, 0)</f>
        <v>1</v>
      </c>
      <c r="AC131" s="5">
        <f>IF(po_master[[#This Row],[Duplicate Invoice Flag]]="Duplicate Invoice", 1, 0)</f>
        <v>0</v>
      </c>
      <c r="AD131" s="5" t="str">
        <f>TEXT(po_master[[#This Row],[Order Date]],"YYYY-MM")</f>
        <v>2026-05</v>
      </c>
    </row>
    <row r="132" spans="1:30" x14ac:dyDescent="0.25">
      <c r="A132" t="s">
        <v>119</v>
      </c>
      <c r="B132" t="s">
        <v>1482</v>
      </c>
      <c r="C132" s="1">
        <v>46141</v>
      </c>
      <c r="D132">
        <v>301</v>
      </c>
      <c r="E132">
        <v>124.01</v>
      </c>
      <c r="F132" t="s">
        <v>1453</v>
      </c>
      <c r="G132" s="1">
        <v>46156</v>
      </c>
      <c r="H132">
        <v>307</v>
      </c>
      <c r="I132" s="1">
        <v>46155</v>
      </c>
      <c r="J132" t="s">
        <v>791</v>
      </c>
      <c r="K132">
        <v>301</v>
      </c>
      <c r="L132">
        <v>124.01</v>
      </c>
      <c r="M132" s="1">
        <v>46166</v>
      </c>
      <c r="N132" t="str">
        <f>IF(po_master[[#This Row],[Approved By]]="", "Missing Approval", "OK")</f>
        <v>OK</v>
      </c>
      <c r="O132" t="str">
        <f>IF(ISBLANK(po_master[[#This Row],[GR Quantity]]), "No GR - Not received", "OK")</f>
        <v>OK</v>
      </c>
      <c r="P132" t="str">
        <f>IF(po_master[[#This Row],[Promised Delivey Date]]&lt;po_master[[#This Row],[Order Date]], "Invalid", "OK")</f>
        <v>OK</v>
      </c>
      <c r="Q132" t="str">
        <f>IF(ISBLANK(po_master[[#This Row],[Invoice Number]]), "No Invoice", "OK")</f>
        <v>OK</v>
      </c>
      <c r="R132" t="str">
        <f>IF(AND(NOT(ISBLANK(po_master[[#This Row],[GR Quantity]])), po_master[[#This Row],[GR Quantity]]&lt;&gt;po_master[[#This Row],[PO Quantity]]), "Qty Variance", "OK")</f>
        <v>Qty Variance</v>
      </c>
      <c r="S132" t="str">
        <f>IF(po_master[[#This Row],[Invoice Unit Price]]&gt;po_master[[#This Row],[PO Unit Price]]*1.01, "Price Variance", "OK")</f>
        <v>OK</v>
      </c>
      <c r="T132" t="str">
        <f>IF(po_master[[#This Row],[Actual Delivery Date]]&gt;po_master[[#This Row],[Promised Delivey Date]], "Late Delivery", "OK")</f>
        <v>OK</v>
      </c>
      <c r="U132" t="str">
        <f>IF(COUNTIF(po_master[PO Number],po_master[[#This Row],[PO Number]])&gt;1, "Duplicate Invoice", "OK")</f>
        <v>OK</v>
      </c>
      <c r="V132" s="5">
        <f>IF(po_master[[#This Row],[Missing Approval]]="Missing Approval", 1, 0)</f>
        <v>0</v>
      </c>
      <c r="W132" s="5">
        <f>IF(po_master[[#This Row],[GR Receipt Status]]="No GR - Not Received", 1, 0)</f>
        <v>0</v>
      </c>
      <c r="X132" s="5">
        <f>IF(po_master[[#This Row],[No invoice]]="No Invoice", 1, 0)</f>
        <v>0</v>
      </c>
      <c r="Y132" s="5">
        <f>IF(po_master[[#This Row],[Date Check]]="Invalid Date", 1, 0)</f>
        <v>0</v>
      </c>
      <c r="Z132" s="5">
        <f>IF(po_master[[#This Row],[Qty Variance Flag]]="Qty Variance", 1, 0)</f>
        <v>1</v>
      </c>
      <c r="AA132" s="5">
        <f>IF(po_master[[#This Row],[Price Variance Flag]]="Price Variance", 1, 0)</f>
        <v>0</v>
      </c>
      <c r="AB132" s="5">
        <f>IF(po_master[[#This Row],[Late Delivery Flag]]="Late Delivery", 1, 0)</f>
        <v>0</v>
      </c>
      <c r="AC132" s="5">
        <f>IF(po_master[[#This Row],[Duplicate Invoice Flag]]="Duplicate Invoice", 1, 0)</f>
        <v>0</v>
      </c>
      <c r="AD132" s="5" t="str">
        <f>TEXT(po_master[[#This Row],[Order Date]],"YYYY-MM")</f>
        <v>2026-04</v>
      </c>
    </row>
    <row r="133" spans="1:30" x14ac:dyDescent="0.25">
      <c r="A133" t="s">
        <v>120</v>
      </c>
      <c r="B133" t="s">
        <v>1473</v>
      </c>
      <c r="C133" s="1">
        <v>46149</v>
      </c>
      <c r="D133">
        <v>445</v>
      </c>
      <c r="E133">
        <v>68.38</v>
      </c>
      <c r="F133" t="s">
        <v>1487</v>
      </c>
      <c r="G133" s="1">
        <v>46160</v>
      </c>
      <c r="H133">
        <v>445</v>
      </c>
      <c r="I133" s="1">
        <v>46172</v>
      </c>
      <c r="J133" t="s">
        <v>792</v>
      </c>
      <c r="K133">
        <v>445</v>
      </c>
      <c r="L133">
        <v>68.38</v>
      </c>
      <c r="M133" s="1">
        <v>46169</v>
      </c>
      <c r="N133" t="str">
        <f>IF(po_master[[#This Row],[Approved By]]="", "Missing Approval", "OK")</f>
        <v>OK</v>
      </c>
      <c r="O133" t="str">
        <f>IF(ISBLANK(po_master[[#This Row],[GR Quantity]]), "No GR - Not received", "OK")</f>
        <v>OK</v>
      </c>
      <c r="P133" t="str">
        <f>IF(po_master[[#This Row],[Promised Delivey Date]]&lt;po_master[[#This Row],[Order Date]], "Invalid", "OK")</f>
        <v>OK</v>
      </c>
      <c r="Q133" t="str">
        <f>IF(ISBLANK(po_master[[#This Row],[Invoice Number]]), "No Invoice", "OK")</f>
        <v>OK</v>
      </c>
      <c r="R133" t="str">
        <f>IF(AND(NOT(ISBLANK(po_master[[#This Row],[GR Quantity]])), po_master[[#This Row],[GR Quantity]]&lt;&gt;po_master[[#This Row],[PO Quantity]]), "Qty Variance", "OK")</f>
        <v>OK</v>
      </c>
      <c r="S133" t="str">
        <f>IF(po_master[[#This Row],[Invoice Unit Price]]&gt;po_master[[#This Row],[PO Unit Price]]*1.01, "Price Variance", "OK")</f>
        <v>OK</v>
      </c>
      <c r="T133" t="str">
        <f>IF(po_master[[#This Row],[Actual Delivery Date]]&gt;po_master[[#This Row],[Promised Delivey Date]], "Late Delivery", "OK")</f>
        <v>Late Delivery</v>
      </c>
      <c r="U133" t="str">
        <f>IF(COUNTIF(po_master[PO Number],po_master[[#This Row],[PO Number]])&gt;1, "Duplicate Invoice", "OK")</f>
        <v>OK</v>
      </c>
      <c r="V133" s="5">
        <f>IF(po_master[[#This Row],[Missing Approval]]="Missing Approval", 1, 0)</f>
        <v>0</v>
      </c>
      <c r="W133" s="5">
        <f>IF(po_master[[#This Row],[GR Receipt Status]]="No GR - Not Received", 1, 0)</f>
        <v>0</v>
      </c>
      <c r="X133" s="5">
        <f>IF(po_master[[#This Row],[No invoice]]="No Invoice", 1, 0)</f>
        <v>0</v>
      </c>
      <c r="Y133" s="5">
        <f>IF(po_master[[#This Row],[Date Check]]="Invalid Date", 1, 0)</f>
        <v>0</v>
      </c>
      <c r="Z133" s="5">
        <f>IF(po_master[[#This Row],[Qty Variance Flag]]="Qty Variance", 1, 0)</f>
        <v>0</v>
      </c>
      <c r="AA133" s="5">
        <f>IF(po_master[[#This Row],[Price Variance Flag]]="Price Variance", 1, 0)</f>
        <v>0</v>
      </c>
      <c r="AB133" s="5">
        <f>IF(po_master[[#This Row],[Late Delivery Flag]]="Late Delivery", 1, 0)</f>
        <v>1</v>
      </c>
      <c r="AC133" s="5">
        <f>IF(po_master[[#This Row],[Duplicate Invoice Flag]]="Duplicate Invoice", 1, 0)</f>
        <v>0</v>
      </c>
      <c r="AD133" s="5" t="str">
        <f>TEXT(po_master[[#This Row],[Order Date]],"YYYY-MM")</f>
        <v>2026-05</v>
      </c>
    </row>
    <row r="134" spans="1:30" x14ac:dyDescent="0.25">
      <c r="A134" t="s">
        <v>121</v>
      </c>
      <c r="B134" t="s">
        <v>1503</v>
      </c>
      <c r="C134" s="1">
        <v>46089</v>
      </c>
      <c r="D134">
        <v>184</v>
      </c>
      <c r="E134">
        <v>59.53</v>
      </c>
      <c r="F134" t="s">
        <v>1494</v>
      </c>
      <c r="G134" s="1">
        <v>46102</v>
      </c>
      <c r="H134">
        <v>184</v>
      </c>
      <c r="I134" s="1">
        <v>46101</v>
      </c>
      <c r="J134" t="s">
        <v>793</v>
      </c>
      <c r="K134">
        <v>184</v>
      </c>
      <c r="L134">
        <v>59.53</v>
      </c>
      <c r="M134" s="1">
        <v>46107</v>
      </c>
      <c r="N134" t="str">
        <f>IF(po_master[[#This Row],[Approved By]]="", "Missing Approval", "OK")</f>
        <v>OK</v>
      </c>
      <c r="O134" t="str">
        <f>IF(ISBLANK(po_master[[#This Row],[GR Quantity]]), "No GR - Not received", "OK")</f>
        <v>OK</v>
      </c>
      <c r="P134" t="str">
        <f>IF(po_master[[#This Row],[Promised Delivey Date]]&lt;po_master[[#This Row],[Order Date]], "Invalid", "OK")</f>
        <v>OK</v>
      </c>
      <c r="Q134" t="str">
        <f>IF(ISBLANK(po_master[[#This Row],[Invoice Number]]), "No Invoice", "OK")</f>
        <v>OK</v>
      </c>
      <c r="R134" t="str">
        <f>IF(AND(NOT(ISBLANK(po_master[[#This Row],[GR Quantity]])), po_master[[#This Row],[GR Quantity]]&lt;&gt;po_master[[#This Row],[PO Quantity]]), "Qty Variance", "OK")</f>
        <v>OK</v>
      </c>
      <c r="S134" t="str">
        <f>IF(po_master[[#This Row],[Invoice Unit Price]]&gt;po_master[[#This Row],[PO Unit Price]]*1.01, "Price Variance", "OK")</f>
        <v>OK</v>
      </c>
      <c r="T134" t="str">
        <f>IF(po_master[[#This Row],[Actual Delivery Date]]&gt;po_master[[#This Row],[Promised Delivey Date]], "Late Delivery", "OK")</f>
        <v>OK</v>
      </c>
      <c r="U134" t="str">
        <f>IF(COUNTIF(po_master[PO Number],po_master[[#This Row],[PO Number]])&gt;1, "Duplicate Invoice", "OK")</f>
        <v>OK</v>
      </c>
      <c r="V134" s="5">
        <f>IF(po_master[[#This Row],[Missing Approval]]="Missing Approval", 1, 0)</f>
        <v>0</v>
      </c>
      <c r="W134" s="5">
        <f>IF(po_master[[#This Row],[GR Receipt Status]]="No GR - Not Received", 1, 0)</f>
        <v>0</v>
      </c>
      <c r="X134" s="5">
        <f>IF(po_master[[#This Row],[No invoice]]="No Invoice", 1, 0)</f>
        <v>0</v>
      </c>
      <c r="Y134" s="5">
        <f>IF(po_master[[#This Row],[Date Check]]="Invalid Date", 1, 0)</f>
        <v>0</v>
      </c>
      <c r="Z134" s="5">
        <f>IF(po_master[[#This Row],[Qty Variance Flag]]="Qty Variance", 1, 0)</f>
        <v>0</v>
      </c>
      <c r="AA134" s="5">
        <f>IF(po_master[[#This Row],[Price Variance Flag]]="Price Variance", 1, 0)</f>
        <v>0</v>
      </c>
      <c r="AB134" s="5">
        <f>IF(po_master[[#This Row],[Late Delivery Flag]]="Late Delivery", 1, 0)</f>
        <v>0</v>
      </c>
      <c r="AC134" s="5">
        <f>IF(po_master[[#This Row],[Duplicate Invoice Flag]]="Duplicate Invoice", 1, 0)</f>
        <v>0</v>
      </c>
      <c r="AD134" s="5" t="str">
        <f>TEXT(po_master[[#This Row],[Order Date]],"YYYY-MM")</f>
        <v>2026-03</v>
      </c>
    </row>
    <row r="135" spans="1:30" x14ac:dyDescent="0.25">
      <c r="A135" t="s">
        <v>122</v>
      </c>
      <c r="B135" t="s">
        <v>1477</v>
      </c>
      <c r="C135" s="1">
        <v>46127</v>
      </c>
      <c r="D135">
        <v>260</v>
      </c>
      <c r="E135">
        <v>113.26</v>
      </c>
      <c r="F135" t="s">
        <v>1440</v>
      </c>
      <c r="G135" s="1">
        <v>46147</v>
      </c>
      <c r="H135">
        <v>260</v>
      </c>
      <c r="I135" s="1">
        <v>46149</v>
      </c>
      <c r="J135" t="s">
        <v>796</v>
      </c>
      <c r="K135">
        <v>260</v>
      </c>
      <c r="L135">
        <v>113.26</v>
      </c>
      <c r="M135" s="1">
        <v>46156</v>
      </c>
      <c r="N135" t="str">
        <f>IF(po_master[[#This Row],[Approved By]]="", "Missing Approval", "OK")</f>
        <v>OK</v>
      </c>
      <c r="O135" t="str">
        <f>IF(ISBLANK(po_master[[#This Row],[GR Quantity]]), "No GR - Not received", "OK")</f>
        <v>OK</v>
      </c>
      <c r="P135" t="str">
        <f>IF(po_master[[#This Row],[Promised Delivey Date]]&lt;po_master[[#This Row],[Order Date]], "Invalid", "OK")</f>
        <v>OK</v>
      </c>
      <c r="Q135" t="str">
        <f>IF(ISBLANK(po_master[[#This Row],[Invoice Number]]), "No Invoice", "OK")</f>
        <v>OK</v>
      </c>
      <c r="R135" t="str">
        <f>IF(AND(NOT(ISBLANK(po_master[[#This Row],[GR Quantity]])), po_master[[#This Row],[GR Quantity]]&lt;&gt;po_master[[#This Row],[PO Quantity]]), "Qty Variance", "OK")</f>
        <v>OK</v>
      </c>
      <c r="S135" t="str">
        <f>IF(po_master[[#This Row],[Invoice Unit Price]]&gt;po_master[[#This Row],[PO Unit Price]]*1.01, "Price Variance", "OK")</f>
        <v>OK</v>
      </c>
      <c r="T135" t="str">
        <f>IF(po_master[[#This Row],[Actual Delivery Date]]&gt;po_master[[#This Row],[Promised Delivey Date]], "Late Delivery", "OK")</f>
        <v>Late Delivery</v>
      </c>
      <c r="U135" t="str">
        <f>IF(COUNTIF(po_master[PO Number],po_master[[#This Row],[PO Number]])&gt;1, "Duplicate Invoice", "OK")</f>
        <v>OK</v>
      </c>
      <c r="V135" s="5">
        <f>IF(po_master[[#This Row],[Missing Approval]]="Missing Approval", 1, 0)</f>
        <v>0</v>
      </c>
      <c r="W135" s="5">
        <f>IF(po_master[[#This Row],[GR Receipt Status]]="No GR - Not Received", 1, 0)</f>
        <v>0</v>
      </c>
      <c r="X135" s="5">
        <f>IF(po_master[[#This Row],[No invoice]]="No Invoice", 1, 0)</f>
        <v>0</v>
      </c>
      <c r="Y135" s="5">
        <f>IF(po_master[[#This Row],[Date Check]]="Invalid Date", 1, 0)</f>
        <v>0</v>
      </c>
      <c r="Z135" s="5">
        <f>IF(po_master[[#This Row],[Qty Variance Flag]]="Qty Variance", 1, 0)</f>
        <v>0</v>
      </c>
      <c r="AA135" s="5">
        <f>IF(po_master[[#This Row],[Price Variance Flag]]="Price Variance", 1, 0)</f>
        <v>0</v>
      </c>
      <c r="AB135" s="5">
        <f>IF(po_master[[#This Row],[Late Delivery Flag]]="Late Delivery", 1, 0)</f>
        <v>1</v>
      </c>
      <c r="AC135" s="5">
        <f>IF(po_master[[#This Row],[Duplicate Invoice Flag]]="Duplicate Invoice", 1, 0)</f>
        <v>0</v>
      </c>
      <c r="AD135" s="5" t="str">
        <f>TEXT(po_master[[#This Row],[Order Date]],"YYYY-MM")</f>
        <v>2026-04</v>
      </c>
    </row>
    <row r="136" spans="1:30" x14ac:dyDescent="0.25">
      <c r="A136" t="s">
        <v>123</v>
      </c>
      <c r="B136" t="s">
        <v>1508</v>
      </c>
      <c r="C136" s="1">
        <v>46148</v>
      </c>
      <c r="D136">
        <v>239</v>
      </c>
      <c r="E136">
        <v>159.62</v>
      </c>
      <c r="F136" t="s">
        <v>1476</v>
      </c>
      <c r="G136" s="1">
        <v>46162</v>
      </c>
      <c r="H136">
        <v>239</v>
      </c>
      <c r="I136" s="1">
        <v>46162</v>
      </c>
      <c r="J136" t="s">
        <v>797</v>
      </c>
      <c r="K136">
        <v>239</v>
      </c>
      <c r="L136">
        <v>159.62</v>
      </c>
      <c r="M136" s="1">
        <v>46171</v>
      </c>
      <c r="N136" t="str">
        <f>IF(po_master[[#This Row],[Approved By]]="", "Missing Approval", "OK")</f>
        <v>OK</v>
      </c>
      <c r="O136" t="str">
        <f>IF(ISBLANK(po_master[[#This Row],[GR Quantity]]), "No GR - Not received", "OK")</f>
        <v>OK</v>
      </c>
      <c r="P136" t="str">
        <f>IF(po_master[[#This Row],[Promised Delivey Date]]&lt;po_master[[#This Row],[Order Date]], "Invalid", "OK")</f>
        <v>OK</v>
      </c>
      <c r="Q136" t="str">
        <f>IF(ISBLANK(po_master[[#This Row],[Invoice Number]]), "No Invoice", "OK")</f>
        <v>OK</v>
      </c>
      <c r="R136" t="str">
        <f>IF(AND(NOT(ISBLANK(po_master[[#This Row],[GR Quantity]])), po_master[[#This Row],[GR Quantity]]&lt;&gt;po_master[[#This Row],[PO Quantity]]), "Qty Variance", "OK")</f>
        <v>OK</v>
      </c>
      <c r="S136" t="str">
        <f>IF(po_master[[#This Row],[Invoice Unit Price]]&gt;po_master[[#This Row],[PO Unit Price]]*1.01, "Price Variance", "OK")</f>
        <v>OK</v>
      </c>
      <c r="T136" t="str">
        <f>IF(po_master[[#This Row],[Actual Delivery Date]]&gt;po_master[[#This Row],[Promised Delivey Date]], "Late Delivery", "OK")</f>
        <v>OK</v>
      </c>
      <c r="U136" t="str">
        <f>IF(COUNTIF(po_master[PO Number],po_master[[#This Row],[PO Number]])&gt;1, "Duplicate Invoice", "OK")</f>
        <v>OK</v>
      </c>
      <c r="V136" s="5">
        <f>IF(po_master[[#This Row],[Missing Approval]]="Missing Approval", 1, 0)</f>
        <v>0</v>
      </c>
      <c r="W136" s="5">
        <f>IF(po_master[[#This Row],[GR Receipt Status]]="No GR - Not Received", 1, 0)</f>
        <v>0</v>
      </c>
      <c r="X136" s="5">
        <f>IF(po_master[[#This Row],[No invoice]]="No Invoice", 1, 0)</f>
        <v>0</v>
      </c>
      <c r="Y136" s="5">
        <f>IF(po_master[[#This Row],[Date Check]]="Invalid Date", 1, 0)</f>
        <v>0</v>
      </c>
      <c r="Z136" s="5">
        <f>IF(po_master[[#This Row],[Qty Variance Flag]]="Qty Variance", 1, 0)</f>
        <v>0</v>
      </c>
      <c r="AA136" s="5">
        <f>IF(po_master[[#This Row],[Price Variance Flag]]="Price Variance", 1, 0)</f>
        <v>0</v>
      </c>
      <c r="AB136" s="5">
        <f>IF(po_master[[#This Row],[Late Delivery Flag]]="Late Delivery", 1, 0)</f>
        <v>0</v>
      </c>
      <c r="AC136" s="5">
        <f>IF(po_master[[#This Row],[Duplicate Invoice Flag]]="Duplicate Invoice", 1, 0)</f>
        <v>0</v>
      </c>
      <c r="AD136" s="5" t="str">
        <f>TEXT(po_master[[#This Row],[Order Date]],"YYYY-MM")</f>
        <v>2026-05</v>
      </c>
    </row>
    <row r="137" spans="1:30" x14ac:dyDescent="0.25">
      <c r="A137" t="s">
        <v>124</v>
      </c>
      <c r="B137" t="s">
        <v>1447</v>
      </c>
      <c r="C137" s="1">
        <v>46126</v>
      </c>
      <c r="D137">
        <v>364</v>
      </c>
      <c r="E137">
        <v>52.44</v>
      </c>
      <c r="F137" t="s">
        <v>1467</v>
      </c>
      <c r="G137" s="1">
        <v>46142</v>
      </c>
      <c r="H137">
        <v>364</v>
      </c>
      <c r="I137" s="1">
        <v>46144</v>
      </c>
      <c r="J137" t="s">
        <v>798</v>
      </c>
      <c r="K137">
        <v>364</v>
      </c>
      <c r="L137">
        <v>52.44</v>
      </c>
      <c r="M137" s="1">
        <v>46148</v>
      </c>
      <c r="N137" t="str">
        <f>IF(po_master[[#This Row],[Approved By]]="", "Missing Approval", "OK")</f>
        <v>OK</v>
      </c>
      <c r="O137" t="str">
        <f>IF(ISBLANK(po_master[[#This Row],[GR Quantity]]), "No GR - Not received", "OK")</f>
        <v>OK</v>
      </c>
      <c r="P137" t="str">
        <f>IF(po_master[[#This Row],[Promised Delivey Date]]&lt;po_master[[#This Row],[Order Date]], "Invalid", "OK")</f>
        <v>OK</v>
      </c>
      <c r="Q137" t="str">
        <f>IF(ISBLANK(po_master[[#This Row],[Invoice Number]]), "No Invoice", "OK")</f>
        <v>OK</v>
      </c>
      <c r="R137" t="str">
        <f>IF(AND(NOT(ISBLANK(po_master[[#This Row],[GR Quantity]])), po_master[[#This Row],[GR Quantity]]&lt;&gt;po_master[[#This Row],[PO Quantity]]), "Qty Variance", "OK")</f>
        <v>OK</v>
      </c>
      <c r="S137" t="str">
        <f>IF(po_master[[#This Row],[Invoice Unit Price]]&gt;po_master[[#This Row],[PO Unit Price]]*1.01, "Price Variance", "OK")</f>
        <v>OK</v>
      </c>
      <c r="T137" t="str">
        <f>IF(po_master[[#This Row],[Actual Delivery Date]]&gt;po_master[[#This Row],[Promised Delivey Date]], "Late Delivery", "OK")</f>
        <v>Late Delivery</v>
      </c>
      <c r="U137" t="str">
        <f>IF(COUNTIF(po_master[PO Number],po_master[[#This Row],[PO Number]])&gt;1, "Duplicate Invoice", "OK")</f>
        <v>OK</v>
      </c>
      <c r="V137" s="5">
        <f>IF(po_master[[#This Row],[Missing Approval]]="Missing Approval", 1, 0)</f>
        <v>0</v>
      </c>
      <c r="W137" s="5">
        <f>IF(po_master[[#This Row],[GR Receipt Status]]="No GR - Not Received", 1, 0)</f>
        <v>0</v>
      </c>
      <c r="X137" s="5">
        <f>IF(po_master[[#This Row],[No invoice]]="No Invoice", 1, 0)</f>
        <v>0</v>
      </c>
      <c r="Y137" s="5">
        <f>IF(po_master[[#This Row],[Date Check]]="Invalid Date", 1, 0)</f>
        <v>0</v>
      </c>
      <c r="Z137" s="5">
        <f>IF(po_master[[#This Row],[Qty Variance Flag]]="Qty Variance", 1, 0)</f>
        <v>0</v>
      </c>
      <c r="AA137" s="5">
        <f>IF(po_master[[#This Row],[Price Variance Flag]]="Price Variance", 1, 0)</f>
        <v>0</v>
      </c>
      <c r="AB137" s="5">
        <f>IF(po_master[[#This Row],[Late Delivery Flag]]="Late Delivery", 1, 0)</f>
        <v>1</v>
      </c>
      <c r="AC137" s="5">
        <f>IF(po_master[[#This Row],[Duplicate Invoice Flag]]="Duplicate Invoice", 1, 0)</f>
        <v>0</v>
      </c>
      <c r="AD137" s="5" t="str">
        <f>TEXT(po_master[[#This Row],[Order Date]],"YYYY-MM")</f>
        <v>2026-04</v>
      </c>
    </row>
    <row r="138" spans="1:30" x14ac:dyDescent="0.25">
      <c r="A138" t="s">
        <v>125</v>
      </c>
      <c r="B138" t="s">
        <v>1510</v>
      </c>
      <c r="C138" s="1">
        <v>46164</v>
      </c>
      <c r="D138">
        <v>281</v>
      </c>
      <c r="E138">
        <v>72.03</v>
      </c>
      <c r="F138" t="s">
        <v>1459</v>
      </c>
      <c r="G138" s="1">
        <v>46179</v>
      </c>
      <c r="H138">
        <v>281</v>
      </c>
      <c r="I138" s="1">
        <v>46178</v>
      </c>
      <c r="J138" t="s">
        <v>799</v>
      </c>
      <c r="K138">
        <v>281</v>
      </c>
      <c r="L138">
        <v>72.03</v>
      </c>
      <c r="M138" s="1">
        <v>46186</v>
      </c>
      <c r="N138" t="str">
        <f>IF(po_master[[#This Row],[Approved By]]="", "Missing Approval", "OK")</f>
        <v>Missing Approval</v>
      </c>
      <c r="O138" t="str">
        <f>IF(ISBLANK(po_master[[#This Row],[GR Quantity]]), "No GR - Not received", "OK")</f>
        <v>OK</v>
      </c>
      <c r="P138" t="str">
        <f>IF(po_master[[#This Row],[Promised Delivey Date]]&lt;po_master[[#This Row],[Order Date]], "Invalid", "OK")</f>
        <v>OK</v>
      </c>
      <c r="Q138" t="str">
        <f>IF(ISBLANK(po_master[[#This Row],[Invoice Number]]), "No Invoice", "OK")</f>
        <v>OK</v>
      </c>
      <c r="R138" t="str">
        <f>IF(AND(NOT(ISBLANK(po_master[[#This Row],[GR Quantity]])), po_master[[#This Row],[GR Quantity]]&lt;&gt;po_master[[#This Row],[PO Quantity]]), "Qty Variance", "OK")</f>
        <v>OK</v>
      </c>
      <c r="S138" t="str">
        <f>IF(po_master[[#This Row],[Invoice Unit Price]]&gt;po_master[[#This Row],[PO Unit Price]]*1.01, "Price Variance", "OK")</f>
        <v>OK</v>
      </c>
      <c r="T138" t="str">
        <f>IF(po_master[[#This Row],[Actual Delivery Date]]&gt;po_master[[#This Row],[Promised Delivey Date]], "Late Delivery", "OK")</f>
        <v>OK</v>
      </c>
      <c r="U138" t="str">
        <f>IF(COUNTIF(po_master[PO Number],po_master[[#This Row],[PO Number]])&gt;1, "Duplicate Invoice", "OK")</f>
        <v>OK</v>
      </c>
      <c r="V138" s="5">
        <f>IF(po_master[[#This Row],[Missing Approval]]="Missing Approval", 1, 0)</f>
        <v>1</v>
      </c>
      <c r="W138" s="5">
        <f>IF(po_master[[#This Row],[GR Receipt Status]]="No GR - Not Received", 1, 0)</f>
        <v>0</v>
      </c>
      <c r="X138" s="5">
        <f>IF(po_master[[#This Row],[No invoice]]="No Invoice", 1, 0)</f>
        <v>0</v>
      </c>
      <c r="Y138" s="5">
        <f>IF(po_master[[#This Row],[Date Check]]="Invalid Date", 1, 0)</f>
        <v>0</v>
      </c>
      <c r="Z138" s="5">
        <f>IF(po_master[[#This Row],[Qty Variance Flag]]="Qty Variance", 1, 0)</f>
        <v>0</v>
      </c>
      <c r="AA138" s="5">
        <f>IF(po_master[[#This Row],[Price Variance Flag]]="Price Variance", 1, 0)</f>
        <v>0</v>
      </c>
      <c r="AB138" s="5">
        <f>IF(po_master[[#This Row],[Late Delivery Flag]]="Late Delivery", 1, 0)</f>
        <v>0</v>
      </c>
      <c r="AC138" s="5">
        <f>IF(po_master[[#This Row],[Duplicate Invoice Flag]]="Duplicate Invoice", 1, 0)</f>
        <v>0</v>
      </c>
      <c r="AD138" s="5" t="str">
        <f>TEXT(po_master[[#This Row],[Order Date]],"YYYY-MM")</f>
        <v>2026-05</v>
      </c>
    </row>
    <row r="139" spans="1:30" x14ac:dyDescent="0.25">
      <c r="A139" t="s">
        <v>789</v>
      </c>
      <c r="B139" t="s">
        <v>1509</v>
      </c>
      <c r="C139" s="1">
        <v>46085</v>
      </c>
      <c r="D139">
        <v>435</v>
      </c>
      <c r="E139">
        <v>187.25</v>
      </c>
      <c r="F139" t="s">
        <v>1458</v>
      </c>
      <c r="G139" s="1">
        <v>46104</v>
      </c>
      <c r="I139" s="1"/>
      <c r="J139" t="s">
        <v>790</v>
      </c>
      <c r="K139">
        <v>435</v>
      </c>
      <c r="L139">
        <v>187.25</v>
      </c>
      <c r="M139" s="1">
        <v>46105</v>
      </c>
      <c r="N139" t="str">
        <f>IF(po_master[[#This Row],[Approved By]]="", "Missing Approval", "OK")</f>
        <v>OK</v>
      </c>
      <c r="O139" t="str">
        <f>IF(ISBLANK(po_master[[#This Row],[GR Quantity]]), "No GR - Not received", "OK")</f>
        <v>No GR - Not received</v>
      </c>
      <c r="P139" t="str">
        <f>IF(po_master[[#This Row],[Promised Delivey Date]]&lt;po_master[[#This Row],[Order Date]], "Invalid", "OK")</f>
        <v>OK</v>
      </c>
      <c r="Q139" t="str">
        <f>IF(ISBLANK(po_master[[#This Row],[Invoice Number]]), "No Invoice", "OK")</f>
        <v>OK</v>
      </c>
      <c r="R139" t="str">
        <f>IF(AND(NOT(ISBLANK(po_master[[#This Row],[GR Quantity]])), po_master[[#This Row],[GR Quantity]]&lt;&gt;po_master[[#This Row],[PO Quantity]]), "Qty Variance", "OK")</f>
        <v>OK</v>
      </c>
      <c r="S139" t="str">
        <f>IF(po_master[[#This Row],[Invoice Unit Price]]&gt;po_master[[#This Row],[PO Unit Price]]*1.01, "Price Variance", "OK")</f>
        <v>OK</v>
      </c>
      <c r="T139" t="str">
        <f>IF(po_master[[#This Row],[Actual Delivery Date]]&gt;po_master[[#This Row],[Promised Delivey Date]], "Late Delivery", "OK")</f>
        <v>OK</v>
      </c>
      <c r="U139" t="str">
        <f>IF(COUNTIF(po_master[PO Number],po_master[[#This Row],[PO Number]])&gt;1, "Duplicate Invoice", "OK")</f>
        <v>OK</v>
      </c>
      <c r="V139" s="5">
        <f>IF(po_master[[#This Row],[Missing Approval]]="Missing Approval", 1, 0)</f>
        <v>0</v>
      </c>
      <c r="W139" s="5">
        <f>IF(po_master[[#This Row],[GR Receipt Status]]="No GR - Not Received", 1, 0)</f>
        <v>1</v>
      </c>
      <c r="X139" s="5">
        <f>IF(po_master[[#This Row],[No invoice]]="No Invoice", 1, 0)</f>
        <v>0</v>
      </c>
      <c r="Y139" s="5">
        <f>IF(po_master[[#This Row],[Date Check]]="Invalid Date", 1, 0)</f>
        <v>0</v>
      </c>
      <c r="Z139" s="5">
        <f>IF(po_master[[#This Row],[Qty Variance Flag]]="Qty Variance", 1, 0)</f>
        <v>0</v>
      </c>
      <c r="AA139" s="5">
        <f>IF(po_master[[#This Row],[Price Variance Flag]]="Price Variance", 1, 0)</f>
        <v>0</v>
      </c>
      <c r="AB139" s="5">
        <f>IF(po_master[[#This Row],[Late Delivery Flag]]="Late Delivery", 1, 0)</f>
        <v>0</v>
      </c>
      <c r="AC139" s="5">
        <f>IF(po_master[[#This Row],[Duplicate Invoice Flag]]="Duplicate Invoice", 1, 0)</f>
        <v>0</v>
      </c>
      <c r="AD139" s="5" t="str">
        <f>TEXT(po_master[[#This Row],[Order Date]],"YYYY-MM")</f>
        <v>2026-03</v>
      </c>
    </row>
    <row r="140" spans="1:30" x14ac:dyDescent="0.25">
      <c r="A140" t="s">
        <v>126</v>
      </c>
      <c r="B140" t="s">
        <v>1477</v>
      </c>
      <c r="C140" s="1">
        <v>46072</v>
      </c>
      <c r="D140">
        <v>171</v>
      </c>
      <c r="E140">
        <v>28.31</v>
      </c>
      <c r="F140" t="s">
        <v>1442</v>
      </c>
      <c r="G140" s="1">
        <v>46082</v>
      </c>
      <c r="H140">
        <v>171</v>
      </c>
      <c r="I140" s="1">
        <v>46081</v>
      </c>
      <c r="J140" t="s">
        <v>802</v>
      </c>
      <c r="K140">
        <v>171</v>
      </c>
      <c r="L140">
        <v>28.31</v>
      </c>
      <c r="M140" s="1">
        <v>46088</v>
      </c>
      <c r="N140" t="str">
        <f>IF(po_master[[#This Row],[Approved By]]="", "Missing Approval", "OK")</f>
        <v>OK</v>
      </c>
      <c r="O140" t="str">
        <f>IF(ISBLANK(po_master[[#This Row],[GR Quantity]]), "No GR - Not received", "OK")</f>
        <v>OK</v>
      </c>
      <c r="P140" t="str">
        <f>IF(po_master[[#This Row],[Promised Delivey Date]]&lt;po_master[[#This Row],[Order Date]], "Invalid", "OK")</f>
        <v>OK</v>
      </c>
      <c r="Q140" t="str">
        <f>IF(ISBLANK(po_master[[#This Row],[Invoice Number]]), "No Invoice", "OK")</f>
        <v>OK</v>
      </c>
      <c r="R140" t="str">
        <f>IF(AND(NOT(ISBLANK(po_master[[#This Row],[GR Quantity]])), po_master[[#This Row],[GR Quantity]]&lt;&gt;po_master[[#This Row],[PO Quantity]]), "Qty Variance", "OK")</f>
        <v>OK</v>
      </c>
      <c r="S140" t="str">
        <f>IF(po_master[[#This Row],[Invoice Unit Price]]&gt;po_master[[#This Row],[PO Unit Price]]*1.01, "Price Variance", "OK")</f>
        <v>OK</v>
      </c>
      <c r="T140" t="str">
        <f>IF(po_master[[#This Row],[Actual Delivery Date]]&gt;po_master[[#This Row],[Promised Delivey Date]], "Late Delivery", "OK")</f>
        <v>OK</v>
      </c>
      <c r="U140" t="str">
        <f>IF(COUNTIF(po_master[PO Number],po_master[[#This Row],[PO Number]])&gt;1, "Duplicate Invoice", "OK")</f>
        <v>OK</v>
      </c>
      <c r="V140" s="5">
        <f>IF(po_master[[#This Row],[Missing Approval]]="Missing Approval", 1, 0)</f>
        <v>0</v>
      </c>
      <c r="W140" s="5">
        <f>IF(po_master[[#This Row],[GR Receipt Status]]="No GR - Not Received", 1, 0)</f>
        <v>0</v>
      </c>
      <c r="X140" s="5">
        <f>IF(po_master[[#This Row],[No invoice]]="No Invoice", 1, 0)</f>
        <v>0</v>
      </c>
      <c r="Y140" s="5">
        <f>IF(po_master[[#This Row],[Date Check]]="Invalid Date", 1, 0)</f>
        <v>0</v>
      </c>
      <c r="Z140" s="5">
        <f>IF(po_master[[#This Row],[Qty Variance Flag]]="Qty Variance", 1, 0)</f>
        <v>0</v>
      </c>
      <c r="AA140" s="5">
        <f>IF(po_master[[#This Row],[Price Variance Flag]]="Price Variance", 1, 0)</f>
        <v>0</v>
      </c>
      <c r="AB140" s="5">
        <f>IF(po_master[[#This Row],[Late Delivery Flag]]="Late Delivery", 1, 0)</f>
        <v>0</v>
      </c>
      <c r="AC140" s="5">
        <f>IF(po_master[[#This Row],[Duplicate Invoice Flag]]="Duplicate Invoice", 1, 0)</f>
        <v>0</v>
      </c>
      <c r="AD140" s="5" t="str">
        <f>TEXT(po_master[[#This Row],[Order Date]],"YYYY-MM")</f>
        <v>2026-02</v>
      </c>
    </row>
    <row r="141" spans="1:30" x14ac:dyDescent="0.25">
      <c r="A141" t="s">
        <v>127</v>
      </c>
      <c r="B141" t="s">
        <v>1505</v>
      </c>
      <c r="C141" s="1">
        <v>46078</v>
      </c>
      <c r="D141">
        <v>388</v>
      </c>
      <c r="E141">
        <v>99.42</v>
      </c>
      <c r="F141" t="s">
        <v>1459</v>
      </c>
      <c r="G141" s="1">
        <v>46099</v>
      </c>
      <c r="H141">
        <v>388</v>
      </c>
      <c r="I141" s="1">
        <v>46099</v>
      </c>
      <c r="J141" t="s">
        <v>803</v>
      </c>
      <c r="K141">
        <v>388</v>
      </c>
      <c r="L141">
        <v>99.42</v>
      </c>
      <c r="M141" s="1">
        <v>46108</v>
      </c>
      <c r="N141" t="str">
        <f>IF(po_master[[#This Row],[Approved By]]="", "Missing Approval", "OK")</f>
        <v>Missing Approval</v>
      </c>
      <c r="O141" t="str">
        <f>IF(ISBLANK(po_master[[#This Row],[GR Quantity]]), "No GR - Not received", "OK")</f>
        <v>OK</v>
      </c>
      <c r="P141" t="str">
        <f>IF(po_master[[#This Row],[Promised Delivey Date]]&lt;po_master[[#This Row],[Order Date]], "Invalid", "OK")</f>
        <v>OK</v>
      </c>
      <c r="Q141" t="str">
        <f>IF(ISBLANK(po_master[[#This Row],[Invoice Number]]), "No Invoice", "OK")</f>
        <v>OK</v>
      </c>
      <c r="R141" t="str">
        <f>IF(AND(NOT(ISBLANK(po_master[[#This Row],[GR Quantity]])), po_master[[#This Row],[GR Quantity]]&lt;&gt;po_master[[#This Row],[PO Quantity]]), "Qty Variance", "OK")</f>
        <v>OK</v>
      </c>
      <c r="S141" t="str">
        <f>IF(po_master[[#This Row],[Invoice Unit Price]]&gt;po_master[[#This Row],[PO Unit Price]]*1.01, "Price Variance", "OK")</f>
        <v>OK</v>
      </c>
      <c r="T141" t="str">
        <f>IF(po_master[[#This Row],[Actual Delivery Date]]&gt;po_master[[#This Row],[Promised Delivey Date]], "Late Delivery", "OK")</f>
        <v>OK</v>
      </c>
      <c r="U141" t="str">
        <f>IF(COUNTIF(po_master[PO Number],po_master[[#This Row],[PO Number]])&gt;1, "Duplicate Invoice", "OK")</f>
        <v>OK</v>
      </c>
      <c r="V141" s="5">
        <f>IF(po_master[[#This Row],[Missing Approval]]="Missing Approval", 1, 0)</f>
        <v>1</v>
      </c>
      <c r="W141" s="5">
        <f>IF(po_master[[#This Row],[GR Receipt Status]]="No GR - Not Received", 1, 0)</f>
        <v>0</v>
      </c>
      <c r="X141" s="5">
        <f>IF(po_master[[#This Row],[No invoice]]="No Invoice", 1, 0)</f>
        <v>0</v>
      </c>
      <c r="Y141" s="5">
        <f>IF(po_master[[#This Row],[Date Check]]="Invalid Date", 1, 0)</f>
        <v>0</v>
      </c>
      <c r="Z141" s="5">
        <f>IF(po_master[[#This Row],[Qty Variance Flag]]="Qty Variance", 1, 0)</f>
        <v>0</v>
      </c>
      <c r="AA141" s="5">
        <f>IF(po_master[[#This Row],[Price Variance Flag]]="Price Variance", 1, 0)</f>
        <v>0</v>
      </c>
      <c r="AB141" s="5">
        <f>IF(po_master[[#This Row],[Late Delivery Flag]]="Late Delivery", 1, 0)</f>
        <v>0</v>
      </c>
      <c r="AC141" s="5">
        <f>IF(po_master[[#This Row],[Duplicate Invoice Flag]]="Duplicate Invoice", 1, 0)</f>
        <v>0</v>
      </c>
      <c r="AD141" s="5" t="str">
        <f>TEXT(po_master[[#This Row],[Order Date]],"YYYY-MM")</f>
        <v>2026-02</v>
      </c>
    </row>
    <row r="142" spans="1:30" x14ac:dyDescent="0.25">
      <c r="A142" t="s">
        <v>128</v>
      </c>
      <c r="B142" t="s">
        <v>1468</v>
      </c>
      <c r="C142" s="1">
        <v>46095</v>
      </c>
      <c r="D142">
        <v>61</v>
      </c>
      <c r="E142">
        <v>167.36</v>
      </c>
      <c r="F142" t="s">
        <v>1474</v>
      </c>
      <c r="G142" s="1">
        <v>46107</v>
      </c>
      <c r="H142">
        <v>61</v>
      </c>
      <c r="I142" s="1">
        <v>46105</v>
      </c>
      <c r="J142" t="s">
        <v>804</v>
      </c>
      <c r="K142">
        <v>61</v>
      </c>
      <c r="L142">
        <v>167.36</v>
      </c>
      <c r="M142" s="1">
        <v>46112</v>
      </c>
      <c r="N142" t="str">
        <f>IF(po_master[[#This Row],[Approved By]]="", "Missing Approval", "OK")</f>
        <v>OK</v>
      </c>
      <c r="O142" t="str">
        <f>IF(ISBLANK(po_master[[#This Row],[GR Quantity]]), "No GR - Not received", "OK")</f>
        <v>OK</v>
      </c>
      <c r="P142" t="str">
        <f>IF(po_master[[#This Row],[Promised Delivey Date]]&lt;po_master[[#This Row],[Order Date]], "Invalid", "OK")</f>
        <v>OK</v>
      </c>
      <c r="Q142" t="str">
        <f>IF(ISBLANK(po_master[[#This Row],[Invoice Number]]), "No Invoice", "OK")</f>
        <v>OK</v>
      </c>
      <c r="R142" t="str">
        <f>IF(AND(NOT(ISBLANK(po_master[[#This Row],[GR Quantity]])), po_master[[#This Row],[GR Quantity]]&lt;&gt;po_master[[#This Row],[PO Quantity]]), "Qty Variance", "OK")</f>
        <v>OK</v>
      </c>
      <c r="S142" t="str">
        <f>IF(po_master[[#This Row],[Invoice Unit Price]]&gt;po_master[[#This Row],[PO Unit Price]]*1.01, "Price Variance", "OK")</f>
        <v>OK</v>
      </c>
      <c r="T142" t="str">
        <f>IF(po_master[[#This Row],[Actual Delivery Date]]&gt;po_master[[#This Row],[Promised Delivey Date]], "Late Delivery", "OK")</f>
        <v>OK</v>
      </c>
      <c r="U142" t="str">
        <f>IF(COUNTIF(po_master[PO Number],po_master[[#This Row],[PO Number]])&gt;1, "Duplicate Invoice", "OK")</f>
        <v>OK</v>
      </c>
      <c r="V142" s="5">
        <f>IF(po_master[[#This Row],[Missing Approval]]="Missing Approval", 1, 0)</f>
        <v>0</v>
      </c>
      <c r="W142" s="5">
        <f>IF(po_master[[#This Row],[GR Receipt Status]]="No GR - Not Received", 1, 0)</f>
        <v>0</v>
      </c>
      <c r="X142" s="5">
        <f>IF(po_master[[#This Row],[No invoice]]="No Invoice", 1, 0)</f>
        <v>0</v>
      </c>
      <c r="Y142" s="5">
        <f>IF(po_master[[#This Row],[Date Check]]="Invalid Date", 1, 0)</f>
        <v>0</v>
      </c>
      <c r="Z142" s="5">
        <f>IF(po_master[[#This Row],[Qty Variance Flag]]="Qty Variance", 1, 0)</f>
        <v>0</v>
      </c>
      <c r="AA142" s="5">
        <f>IF(po_master[[#This Row],[Price Variance Flag]]="Price Variance", 1, 0)</f>
        <v>0</v>
      </c>
      <c r="AB142" s="5">
        <f>IF(po_master[[#This Row],[Late Delivery Flag]]="Late Delivery", 1, 0)</f>
        <v>0</v>
      </c>
      <c r="AC142" s="5">
        <f>IF(po_master[[#This Row],[Duplicate Invoice Flag]]="Duplicate Invoice", 1, 0)</f>
        <v>0</v>
      </c>
      <c r="AD142" s="5" t="str">
        <f>TEXT(po_master[[#This Row],[Order Date]],"YYYY-MM")</f>
        <v>2026-03</v>
      </c>
    </row>
    <row r="143" spans="1:30" x14ac:dyDescent="0.25">
      <c r="A143" t="s">
        <v>794</v>
      </c>
      <c r="B143" t="s">
        <v>1454</v>
      </c>
      <c r="C143" s="1">
        <v>46025</v>
      </c>
      <c r="D143">
        <v>274</v>
      </c>
      <c r="E143">
        <v>189.87</v>
      </c>
      <c r="F143" t="s">
        <v>1476</v>
      </c>
      <c r="G143" s="1">
        <v>46037</v>
      </c>
      <c r="I143" s="1"/>
      <c r="J143" t="s">
        <v>795</v>
      </c>
      <c r="K143">
        <v>274</v>
      </c>
      <c r="L143">
        <v>189.87</v>
      </c>
      <c r="M143" s="1">
        <v>46047</v>
      </c>
      <c r="N143" t="str">
        <f>IF(po_master[[#This Row],[Approved By]]="", "Missing Approval", "OK")</f>
        <v>OK</v>
      </c>
      <c r="O143" t="str">
        <f>IF(ISBLANK(po_master[[#This Row],[GR Quantity]]), "No GR - Not received", "OK")</f>
        <v>No GR - Not received</v>
      </c>
      <c r="P143" t="str">
        <f>IF(po_master[[#This Row],[Promised Delivey Date]]&lt;po_master[[#This Row],[Order Date]], "Invalid", "OK")</f>
        <v>OK</v>
      </c>
      <c r="Q143" t="str">
        <f>IF(ISBLANK(po_master[[#This Row],[Invoice Number]]), "No Invoice", "OK")</f>
        <v>OK</v>
      </c>
      <c r="R143" t="str">
        <f>IF(AND(NOT(ISBLANK(po_master[[#This Row],[GR Quantity]])), po_master[[#This Row],[GR Quantity]]&lt;&gt;po_master[[#This Row],[PO Quantity]]), "Qty Variance", "OK")</f>
        <v>OK</v>
      </c>
      <c r="S143" t="str">
        <f>IF(po_master[[#This Row],[Invoice Unit Price]]&gt;po_master[[#This Row],[PO Unit Price]]*1.01, "Price Variance", "OK")</f>
        <v>OK</v>
      </c>
      <c r="T143" t="str">
        <f>IF(po_master[[#This Row],[Actual Delivery Date]]&gt;po_master[[#This Row],[Promised Delivey Date]], "Late Delivery", "OK")</f>
        <v>OK</v>
      </c>
      <c r="U143" t="str">
        <f>IF(COUNTIF(po_master[PO Number],po_master[[#This Row],[PO Number]])&gt;1, "Duplicate Invoice", "OK")</f>
        <v>OK</v>
      </c>
      <c r="V143" s="5">
        <f>IF(po_master[[#This Row],[Missing Approval]]="Missing Approval", 1, 0)</f>
        <v>0</v>
      </c>
      <c r="W143" s="5">
        <f>IF(po_master[[#This Row],[GR Receipt Status]]="No GR - Not Received", 1, 0)</f>
        <v>1</v>
      </c>
      <c r="X143" s="5">
        <f>IF(po_master[[#This Row],[No invoice]]="No Invoice", 1, 0)</f>
        <v>0</v>
      </c>
      <c r="Y143" s="5">
        <f>IF(po_master[[#This Row],[Date Check]]="Invalid Date", 1, 0)</f>
        <v>0</v>
      </c>
      <c r="Z143" s="5">
        <f>IF(po_master[[#This Row],[Qty Variance Flag]]="Qty Variance", 1, 0)</f>
        <v>0</v>
      </c>
      <c r="AA143" s="5">
        <f>IF(po_master[[#This Row],[Price Variance Flag]]="Price Variance", 1, 0)</f>
        <v>0</v>
      </c>
      <c r="AB143" s="5">
        <f>IF(po_master[[#This Row],[Late Delivery Flag]]="Late Delivery", 1, 0)</f>
        <v>0</v>
      </c>
      <c r="AC143" s="5">
        <f>IF(po_master[[#This Row],[Duplicate Invoice Flag]]="Duplicate Invoice", 1, 0)</f>
        <v>0</v>
      </c>
      <c r="AD143" s="5" t="str">
        <f>TEXT(po_master[[#This Row],[Order Date]],"YYYY-MM")</f>
        <v>2026-01</v>
      </c>
    </row>
    <row r="144" spans="1:30" x14ac:dyDescent="0.25">
      <c r="A144" t="s">
        <v>129</v>
      </c>
      <c r="B144" t="s">
        <v>1496</v>
      </c>
      <c r="C144" s="1">
        <v>46068</v>
      </c>
      <c r="D144">
        <v>164</v>
      </c>
      <c r="E144">
        <v>7.76</v>
      </c>
      <c r="F144" t="s">
        <v>1442</v>
      </c>
      <c r="G144" s="1">
        <v>46077</v>
      </c>
      <c r="H144">
        <v>164</v>
      </c>
      <c r="I144" s="1">
        <v>46076</v>
      </c>
      <c r="J144" t="s">
        <v>805</v>
      </c>
      <c r="K144">
        <v>164</v>
      </c>
      <c r="L144">
        <v>7.76</v>
      </c>
      <c r="M144" s="1">
        <v>46085</v>
      </c>
      <c r="N144" t="str">
        <f>IF(po_master[[#This Row],[Approved By]]="", "Missing Approval", "OK")</f>
        <v>OK</v>
      </c>
      <c r="O144" t="str">
        <f>IF(ISBLANK(po_master[[#This Row],[GR Quantity]]), "No GR - Not received", "OK")</f>
        <v>OK</v>
      </c>
      <c r="P144" t="str">
        <f>IF(po_master[[#This Row],[Promised Delivey Date]]&lt;po_master[[#This Row],[Order Date]], "Invalid", "OK")</f>
        <v>OK</v>
      </c>
      <c r="Q144" t="str">
        <f>IF(ISBLANK(po_master[[#This Row],[Invoice Number]]), "No Invoice", "OK")</f>
        <v>OK</v>
      </c>
      <c r="R144" t="str">
        <f>IF(AND(NOT(ISBLANK(po_master[[#This Row],[GR Quantity]])), po_master[[#This Row],[GR Quantity]]&lt;&gt;po_master[[#This Row],[PO Quantity]]), "Qty Variance", "OK")</f>
        <v>OK</v>
      </c>
      <c r="S144" t="str">
        <f>IF(po_master[[#This Row],[Invoice Unit Price]]&gt;po_master[[#This Row],[PO Unit Price]]*1.01, "Price Variance", "OK")</f>
        <v>OK</v>
      </c>
      <c r="T144" t="str">
        <f>IF(po_master[[#This Row],[Actual Delivery Date]]&gt;po_master[[#This Row],[Promised Delivey Date]], "Late Delivery", "OK")</f>
        <v>OK</v>
      </c>
      <c r="U144" t="str">
        <f>IF(COUNTIF(po_master[PO Number],po_master[[#This Row],[PO Number]])&gt;1, "Duplicate Invoice", "OK")</f>
        <v>OK</v>
      </c>
      <c r="V144" s="5">
        <f>IF(po_master[[#This Row],[Missing Approval]]="Missing Approval", 1, 0)</f>
        <v>0</v>
      </c>
      <c r="W144" s="5">
        <f>IF(po_master[[#This Row],[GR Receipt Status]]="No GR - Not Received", 1, 0)</f>
        <v>0</v>
      </c>
      <c r="X144" s="5">
        <f>IF(po_master[[#This Row],[No invoice]]="No Invoice", 1, 0)</f>
        <v>0</v>
      </c>
      <c r="Y144" s="5">
        <f>IF(po_master[[#This Row],[Date Check]]="Invalid Date", 1, 0)</f>
        <v>0</v>
      </c>
      <c r="Z144" s="5">
        <f>IF(po_master[[#This Row],[Qty Variance Flag]]="Qty Variance", 1, 0)</f>
        <v>0</v>
      </c>
      <c r="AA144" s="5">
        <f>IF(po_master[[#This Row],[Price Variance Flag]]="Price Variance", 1, 0)</f>
        <v>0</v>
      </c>
      <c r="AB144" s="5">
        <f>IF(po_master[[#This Row],[Late Delivery Flag]]="Late Delivery", 1, 0)</f>
        <v>0</v>
      </c>
      <c r="AC144" s="5">
        <f>IF(po_master[[#This Row],[Duplicate Invoice Flag]]="Duplicate Invoice", 1, 0)</f>
        <v>0</v>
      </c>
      <c r="AD144" s="5" t="str">
        <f>TEXT(po_master[[#This Row],[Order Date]],"YYYY-MM")</f>
        <v>2026-02</v>
      </c>
    </row>
    <row r="145" spans="1:30" x14ac:dyDescent="0.25">
      <c r="A145" t="s">
        <v>130</v>
      </c>
      <c r="B145" t="s">
        <v>1511</v>
      </c>
      <c r="C145" s="1">
        <v>46034</v>
      </c>
      <c r="D145">
        <v>37</v>
      </c>
      <c r="E145">
        <v>112.9</v>
      </c>
      <c r="F145" t="s">
        <v>1499</v>
      </c>
      <c r="G145" s="1">
        <v>46043</v>
      </c>
      <c r="H145">
        <v>37</v>
      </c>
      <c r="I145" s="1">
        <v>46041</v>
      </c>
      <c r="J145" t="s">
        <v>806</v>
      </c>
      <c r="K145">
        <v>37</v>
      </c>
      <c r="L145">
        <v>112.9</v>
      </c>
      <c r="M145" s="1">
        <v>46050</v>
      </c>
      <c r="N145" t="str">
        <f>IF(po_master[[#This Row],[Approved By]]="", "Missing Approval", "OK")</f>
        <v>OK</v>
      </c>
      <c r="O145" t="str">
        <f>IF(ISBLANK(po_master[[#This Row],[GR Quantity]]), "No GR - Not received", "OK")</f>
        <v>OK</v>
      </c>
      <c r="P145" t="str">
        <f>IF(po_master[[#This Row],[Promised Delivey Date]]&lt;po_master[[#This Row],[Order Date]], "Invalid", "OK")</f>
        <v>OK</v>
      </c>
      <c r="Q145" t="str">
        <f>IF(ISBLANK(po_master[[#This Row],[Invoice Number]]), "No Invoice", "OK")</f>
        <v>OK</v>
      </c>
      <c r="R145" t="str">
        <f>IF(AND(NOT(ISBLANK(po_master[[#This Row],[GR Quantity]])), po_master[[#This Row],[GR Quantity]]&lt;&gt;po_master[[#This Row],[PO Quantity]]), "Qty Variance", "OK")</f>
        <v>OK</v>
      </c>
      <c r="S145" t="str">
        <f>IF(po_master[[#This Row],[Invoice Unit Price]]&gt;po_master[[#This Row],[PO Unit Price]]*1.01, "Price Variance", "OK")</f>
        <v>OK</v>
      </c>
      <c r="T145" t="str">
        <f>IF(po_master[[#This Row],[Actual Delivery Date]]&gt;po_master[[#This Row],[Promised Delivey Date]], "Late Delivery", "OK")</f>
        <v>OK</v>
      </c>
      <c r="U145" t="str">
        <f>IF(COUNTIF(po_master[PO Number],po_master[[#This Row],[PO Number]])&gt;1, "Duplicate Invoice", "OK")</f>
        <v>OK</v>
      </c>
      <c r="V145" s="5">
        <f>IF(po_master[[#This Row],[Missing Approval]]="Missing Approval", 1, 0)</f>
        <v>0</v>
      </c>
      <c r="W145" s="5">
        <f>IF(po_master[[#This Row],[GR Receipt Status]]="No GR - Not Received", 1, 0)</f>
        <v>0</v>
      </c>
      <c r="X145" s="5">
        <f>IF(po_master[[#This Row],[No invoice]]="No Invoice", 1, 0)</f>
        <v>0</v>
      </c>
      <c r="Y145" s="5">
        <f>IF(po_master[[#This Row],[Date Check]]="Invalid Date", 1, 0)</f>
        <v>0</v>
      </c>
      <c r="Z145" s="5">
        <f>IF(po_master[[#This Row],[Qty Variance Flag]]="Qty Variance", 1, 0)</f>
        <v>0</v>
      </c>
      <c r="AA145" s="5">
        <f>IF(po_master[[#This Row],[Price Variance Flag]]="Price Variance", 1, 0)</f>
        <v>0</v>
      </c>
      <c r="AB145" s="5">
        <f>IF(po_master[[#This Row],[Late Delivery Flag]]="Late Delivery", 1, 0)</f>
        <v>0</v>
      </c>
      <c r="AC145" s="5">
        <f>IF(po_master[[#This Row],[Duplicate Invoice Flag]]="Duplicate Invoice", 1, 0)</f>
        <v>0</v>
      </c>
      <c r="AD145" s="5" t="str">
        <f>TEXT(po_master[[#This Row],[Order Date]],"YYYY-MM")</f>
        <v>2026-01</v>
      </c>
    </row>
    <row r="146" spans="1:30" x14ac:dyDescent="0.25">
      <c r="A146" t="s">
        <v>131</v>
      </c>
      <c r="B146" t="s">
        <v>1439</v>
      </c>
      <c r="C146" s="1">
        <v>46148</v>
      </c>
      <c r="D146">
        <v>62</v>
      </c>
      <c r="E146">
        <v>175.18</v>
      </c>
      <c r="F146" t="s">
        <v>1480</v>
      </c>
      <c r="G146" s="1">
        <v>46162</v>
      </c>
      <c r="H146">
        <v>62</v>
      </c>
      <c r="I146" s="1">
        <v>46171</v>
      </c>
      <c r="J146" t="s">
        <v>807</v>
      </c>
      <c r="K146">
        <v>62</v>
      </c>
      <c r="L146">
        <v>175.18</v>
      </c>
      <c r="M146" s="1">
        <v>46165</v>
      </c>
      <c r="N146" t="str">
        <f>IF(po_master[[#This Row],[Approved By]]="", "Missing Approval", "OK")</f>
        <v>OK</v>
      </c>
      <c r="O146" t="str">
        <f>IF(ISBLANK(po_master[[#This Row],[GR Quantity]]), "No GR - Not received", "OK")</f>
        <v>OK</v>
      </c>
      <c r="P146" t="str">
        <f>IF(po_master[[#This Row],[Promised Delivey Date]]&lt;po_master[[#This Row],[Order Date]], "Invalid", "OK")</f>
        <v>OK</v>
      </c>
      <c r="Q146" t="str">
        <f>IF(ISBLANK(po_master[[#This Row],[Invoice Number]]), "No Invoice", "OK")</f>
        <v>OK</v>
      </c>
      <c r="R146" t="str">
        <f>IF(AND(NOT(ISBLANK(po_master[[#This Row],[GR Quantity]])), po_master[[#This Row],[GR Quantity]]&lt;&gt;po_master[[#This Row],[PO Quantity]]), "Qty Variance", "OK")</f>
        <v>OK</v>
      </c>
      <c r="S146" t="str">
        <f>IF(po_master[[#This Row],[Invoice Unit Price]]&gt;po_master[[#This Row],[PO Unit Price]]*1.01, "Price Variance", "OK")</f>
        <v>OK</v>
      </c>
      <c r="T146" t="str">
        <f>IF(po_master[[#This Row],[Actual Delivery Date]]&gt;po_master[[#This Row],[Promised Delivey Date]], "Late Delivery", "OK")</f>
        <v>Late Delivery</v>
      </c>
      <c r="U146" t="str">
        <f>IF(COUNTIF(po_master[PO Number],po_master[[#This Row],[PO Number]])&gt;1, "Duplicate Invoice", "OK")</f>
        <v>OK</v>
      </c>
      <c r="V146" s="5">
        <f>IF(po_master[[#This Row],[Missing Approval]]="Missing Approval", 1, 0)</f>
        <v>0</v>
      </c>
      <c r="W146" s="5">
        <f>IF(po_master[[#This Row],[GR Receipt Status]]="No GR - Not Received", 1, 0)</f>
        <v>0</v>
      </c>
      <c r="X146" s="5">
        <f>IF(po_master[[#This Row],[No invoice]]="No Invoice", 1, 0)</f>
        <v>0</v>
      </c>
      <c r="Y146" s="5">
        <f>IF(po_master[[#This Row],[Date Check]]="Invalid Date", 1, 0)</f>
        <v>0</v>
      </c>
      <c r="Z146" s="5">
        <f>IF(po_master[[#This Row],[Qty Variance Flag]]="Qty Variance", 1, 0)</f>
        <v>0</v>
      </c>
      <c r="AA146" s="5">
        <f>IF(po_master[[#This Row],[Price Variance Flag]]="Price Variance", 1, 0)</f>
        <v>0</v>
      </c>
      <c r="AB146" s="5">
        <f>IF(po_master[[#This Row],[Late Delivery Flag]]="Late Delivery", 1, 0)</f>
        <v>1</v>
      </c>
      <c r="AC146" s="5">
        <f>IF(po_master[[#This Row],[Duplicate Invoice Flag]]="Duplicate Invoice", 1, 0)</f>
        <v>0</v>
      </c>
      <c r="AD146" s="5" t="str">
        <f>TEXT(po_master[[#This Row],[Order Date]],"YYYY-MM")</f>
        <v>2026-05</v>
      </c>
    </row>
    <row r="147" spans="1:30" x14ac:dyDescent="0.25">
      <c r="A147" t="s">
        <v>132</v>
      </c>
      <c r="B147" t="s">
        <v>1510</v>
      </c>
      <c r="C147" s="1">
        <v>46145</v>
      </c>
      <c r="D147">
        <v>235</v>
      </c>
      <c r="E147">
        <v>71.44</v>
      </c>
      <c r="F147" t="s">
        <v>1462</v>
      </c>
      <c r="G147" s="1">
        <v>46158</v>
      </c>
      <c r="H147">
        <v>235</v>
      </c>
      <c r="I147" s="1">
        <v>46157</v>
      </c>
      <c r="J147" t="s">
        <v>808</v>
      </c>
      <c r="K147">
        <v>235</v>
      </c>
      <c r="L147">
        <v>71.44</v>
      </c>
      <c r="M147" s="1">
        <v>46167</v>
      </c>
      <c r="N147" t="str">
        <f>IF(po_master[[#This Row],[Approved By]]="", "Missing Approval", "OK")</f>
        <v>OK</v>
      </c>
      <c r="O147" t="str">
        <f>IF(ISBLANK(po_master[[#This Row],[GR Quantity]]), "No GR - Not received", "OK")</f>
        <v>OK</v>
      </c>
      <c r="P147" t="str">
        <f>IF(po_master[[#This Row],[Promised Delivey Date]]&lt;po_master[[#This Row],[Order Date]], "Invalid", "OK")</f>
        <v>OK</v>
      </c>
      <c r="Q147" t="str">
        <f>IF(ISBLANK(po_master[[#This Row],[Invoice Number]]), "No Invoice", "OK")</f>
        <v>OK</v>
      </c>
      <c r="R147" t="str">
        <f>IF(AND(NOT(ISBLANK(po_master[[#This Row],[GR Quantity]])), po_master[[#This Row],[GR Quantity]]&lt;&gt;po_master[[#This Row],[PO Quantity]]), "Qty Variance", "OK")</f>
        <v>OK</v>
      </c>
      <c r="S147" t="str">
        <f>IF(po_master[[#This Row],[Invoice Unit Price]]&gt;po_master[[#This Row],[PO Unit Price]]*1.01, "Price Variance", "OK")</f>
        <v>OK</v>
      </c>
      <c r="T147" t="str">
        <f>IF(po_master[[#This Row],[Actual Delivery Date]]&gt;po_master[[#This Row],[Promised Delivey Date]], "Late Delivery", "OK")</f>
        <v>OK</v>
      </c>
      <c r="U147" t="str">
        <f>IF(COUNTIF(po_master[PO Number],po_master[[#This Row],[PO Number]])&gt;1, "Duplicate Invoice", "OK")</f>
        <v>OK</v>
      </c>
      <c r="V147" s="5">
        <f>IF(po_master[[#This Row],[Missing Approval]]="Missing Approval", 1, 0)</f>
        <v>0</v>
      </c>
      <c r="W147" s="5">
        <f>IF(po_master[[#This Row],[GR Receipt Status]]="No GR - Not Received", 1, 0)</f>
        <v>0</v>
      </c>
      <c r="X147" s="5">
        <f>IF(po_master[[#This Row],[No invoice]]="No Invoice", 1, 0)</f>
        <v>0</v>
      </c>
      <c r="Y147" s="5">
        <f>IF(po_master[[#This Row],[Date Check]]="Invalid Date", 1, 0)</f>
        <v>0</v>
      </c>
      <c r="Z147" s="5">
        <f>IF(po_master[[#This Row],[Qty Variance Flag]]="Qty Variance", 1, 0)</f>
        <v>0</v>
      </c>
      <c r="AA147" s="5">
        <f>IF(po_master[[#This Row],[Price Variance Flag]]="Price Variance", 1, 0)</f>
        <v>0</v>
      </c>
      <c r="AB147" s="5">
        <f>IF(po_master[[#This Row],[Late Delivery Flag]]="Late Delivery", 1, 0)</f>
        <v>0</v>
      </c>
      <c r="AC147" s="5">
        <f>IF(po_master[[#This Row],[Duplicate Invoice Flag]]="Duplicate Invoice", 1, 0)</f>
        <v>0</v>
      </c>
      <c r="AD147" s="5" t="str">
        <f>TEXT(po_master[[#This Row],[Order Date]],"YYYY-MM")</f>
        <v>2026-05</v>
      </c>
    </row>
    <row r="148" spans="1:30" x14ac:dyDescent="0.25">
      <c r="A148" t="s">
        <v>800</v>
      </c>
      <c r="B148" t="s">
        <v>1503</v>
      </c>
      <c r="C148" s="1">
        <v>46139</v>
      </c>
      <c r="D148">
        <v>148</v>
      </c>
      <c r="E148">
        <v>64.790000000000006</v>
      </c>
      <c r="F148" t="s">
        <v>1440</v>
      </c>
      <c r="G148" s="1">
        <v>46147</v>
      </c>
      <c r="I148" s="1"/>
      <c r="J148" t="s">
        <v>801</v>
      </c>
      <c r="K148">
        <v>148</v>
      </c>
      <c r="L148">
        <v>68.63</v>
      </c>
      <c r="M148" s="1">
        <v>46150</v>
      </c>
      <c r="N148" t="str">
        <f>IF(po_master[[#This Row],[Approved By]]="", "Missing Approval", "OK")</f>
        <v>OK</v>
      </c>
      <c r="O148" t="str">
        <f>IF(ISBLANK(po_master[[#This Row],[GR Quantity]]), "No GR - Not received", "OK")</f>
        <v>No GR - Not received</v>
      </c>
      <c r="P148" t="str">
        <f>IF(po_master[[#This Row],[Promised Delivey Date]]&lt;po_master[[#This Row],[Order Date]], "Invalid", "OK")</f>
        <v>OK</v>
      </c>
      <c r="Q148" t="str">
        <f>IF(ISBLANK(po_master[[#This Row],[Invoice Number]]), "No Invoice", "OK")</f>
        <v>OK</v>
      </c>
      <c r="R148" t="str">
        <f>IF(AND(NOT(ISBLANK(po_master[[#This Row],[GR Quantity]])), po_master[[#This Row],[GR Quantity]]&lt;&gt;po_master[[#This Row],[PO Quantity]]), "Qty Variance", "OK")</f>
        <v>OK</v>
      </c>
      <c r="S148" t="str">
        <f>IF(po_master[[#This Row],[Invoice Unit Price]]&gt;po_master[[#This Row],[PO Unit Price]]*1.01, "Price Variance", "OK")</f>
        <v>Price Variance</v>
      </c>
      <c r="T148" t="str">
        <f>IF(po_master[[#This Row],[Actual Delivery Date]]&gt;po_master[[#This Row],[Promised Delivey Date]], "Late Delivery", "OK")</f>
        <v>OK</v>
      </c>
      <c r="U148" t="str">
        <f>IF(COUNTIF(po_master[PO Number],po_master[[#This Row],[PO Number]])&gt;1, "Duplicate Invoice", "OK")</f>
        <v>OK</v>
      </c>
      <c r="V148" s="5">
        <f>IF(po_master[[#This Row],[Missing Approval]]="Missing Approval", 1, 0)</f>
        <v>0</v>
      </c>
      <c r="W148" s="5">
        <f>IF(po_master[[#This Row],[GR Receipt Status]]="No GR - Not Received", 1, 0)</f>
        <v>1</v>
      </c>
      <c r="X148" s="5">
        <f>IF(po_master[[#This Row],[No invoice]]="No Invoice", 1, 0)</f>
        <v>0</v>
      </c>
      <c r="Y148" s="5">
        <f>IF(po_master[[#This Row],[Date Check]]="Invalid Date", 1, 0)</f>
        <v>0</v>
      </c>
      <c r="Z148" s="5">
        <f>IF(po_master[[#This Row],[Qty Variance Flag]]="Qty Variance", 1, 0)</f>
        <v>0</v>
      </c>
      <c r="AA148" s="5">
        <f>IF(po_master[[#This Row],[Price Variance Flag]]="Price Variance", 1, 0)</f>
        <v>1</v>
      </c>
      <c r="AB148" s="5">
        <f>IF(po_master[[#This Row],[Late Delivery Flag]]="Late Delivery", 1, 0)</f>
        <v>0</v>
      </c>
      <c r="AC148" s="5">
        <f>IF(po_master[[#This Row],[Duplicate Invoice Flag]]="Duplicate Invoice", 1, 0)</f>
        <v>0</v>
      </c>
      <c r="AD148" s="5" t="str">
        <f>TEXT(po_master[[#This Row],[Order Date]],"YYYY-MM")</f>
        <v>2026-04</v>
      </c>
    </row>
    <row r="149" spans="1:30" x14ac:dyDescent="0.25">
      <c r="A149" t="s">
        <v>133</v>
      </c>
      <c r="B149" t="s">
        <v>1510</v>
      </c>
      <c r="C149" s="1">
        <v>46052</v>
      </c>
      <c r="D149">
        <v>430</v>
      </c>
      <c r="E149">
        <v>17.739999999999998</v>
      </c>
      <c r="F149" t="s">
        <v>1487</v>
      </c>
      <c r="G149" s="1">
        <v>46059</v>
      </c>
      <c r="H149">
        <v>430</v>
      </c>
      <c r="I149" s="1">
        <v>46059</v>
      </c>
      <c r="J149" t="s">
        <v>809</v>
      </c>
      <c r="K149">
        <v>430</v>
      </c>
      <c r="L149">
        <v>17.739999999999998</v>
      </c>
      <c r="M149" s="1">
        <v>46063</v>
      </c>
      <c r="N149" t="str">
        <f>IF(po_master[[#This Row],[Approved By]]="", "Missing Approval", "OK")</f>
        <v>OK</v>
      </c>
      <c r="O149" t="str">
        <f>IF(ISBLANK(po_master[[#This Row],[GR Quantity]]), "No GR - Not received", "OK")</f>
        <v>OK</v>
      </c>
      <c r="P149" t="str">
        <f>IF(po_master[[#This Row],[Promised Delivey Date]]&lt;po_master[[#This Row],[Order Date]], "Invalid", "OK")</f>
        <v>OK</v>
      </c>
      <c r="Q149" t="str">
        <f>IF(ISBLANK(po_master[[#This Row],[Invoice Number]]), "No Invoice", "OK")</f>
        <v>OK</v>
      </c>
      <c r="R149" t="str">
        <f>IF(AND(NOT(ISBLANK(po_master[[#This Row],[GR Quantity]])), po_master[[#This Row],[GR Quantity]]&lt;&gt;po_master[[#This Row],[PO Quantity]]), "Qty Variance", "OK")</f>
        <v>OK</v>
      </c>
      <c r="S149" t="str">
        <f>IF(po_master[[#This Row],[Invoice Unit Price]]&gt;po_master[[#This Row],[PO Unit Price]]*1.01, "Price Variance", "OK")</f>
        <v>OK</v>
      </c>
      <c r="T149" t="str">
        <f>IF(po_master[[#This Row],[Actual Delivery Date]]&gt;po_master[[#This Row],[Promised Delivey Date]], "Late Delivery", "OK")</f>
        <v>OK</v>
      </c>
      <c r="U149" t="str">
        <f>IF(COUNTIF(po_master[PO Number],po_master[[#This Row],[PO Number]])&gt;1, "Duplicate Invoice", "OK")</f>
        <v>OK</v>
      </c>
      <c r="V149" s="5">
        <f>IF(po_master[[#This Row],[Missing Approval]]="Missing Approval", 1, 0)</f>
        <v>0</v>
      </c>
      <c r="W149" s="5">
        <f>IF(po_master[[#This Row],[GR Receipt Status]]="No GR - Not Received", 1, 0)</f>
        <v>0</v>
      </c>
      <c r="X149" s="5">
        <f>IF(po_master[[#This Row],[No invoice]]="No Invoice", 1, 0)</f>
        <v>0</v>
      </c>
      <c r="Y149" s="5">
        <f>IF(po_master[[#This Row],[Date Check]]="Invalid Date", 1, 0)</f>
        <v>0</v>
      </c>
      <c r="Z149" s="5">
        <f>IF(po_master[[#This Row],[Qty Variance Flag]]="Qty Variance", 1, 0)</f>
        <v>0</v>
      </c>
      <c r="AA149" s="5">
        <f>IF(po_master[[#This Row],[Price Variance Flag]]="Price Variance", 1, 0)</f>
        <v>0</v>
      </c>
      <c r="AB149" s="5">
        <f>IF(po_master[[#This Row],[Late Delivery Flag]]="Late Delivery", 1, 0)</f>
        <v>0</v>
      </c>
      <c r="AC149" s="5">
        <f>IF(po_master[[#This Row],[Duplicate Invoice Flag]]="Duplicate Invoice", 1, 0)</f>
        <v>0</v>
      </c>
      <c r="AD149" s="5" t="str">
        <f>TEXT(po_master[[#This Row],[Order Date]],"YYYY-MM")</f>
        <v>2026-01</v>
      </c>
    </row>
    <row r="150" spans="1:30" x14ac:dyDescent="0.25">
      <c r="A150" t="s">
        <v>134</v>
      </c>
      <c r="B150" t="s">
        <v>1493</v>
      </c>
      <c r="C150" s="1">
        <v>46036</v>
      </c>
      <c r="D150">
        <v>87</v>
      </c>
      <c r="E150">
        <v>34.090000000000003</v>
      </c>
      <c r="F150" t="s">
        <v>1480</v>
      </c>
      <c r="G150" s="1">
        <v>46050</v>
      </c>
      <c r="H150">
        <v>87</v>
      </c>
      <c r="I150" s="1">
        <v>46051</v>
      </c>
      <c r="J150" t="s">
        <v>810</v>
      </c>
      <c r="K150">
        <v>87</v>
      </c>
      <c r="L150">
        <v>36.6</v>
      </c>
      <c r="M150" s="1">
        <v>46059</v>
      </c>
      <c r="N150" t="str">
        <f>IF(po_master[[#This Row],[Approved By]]="", "Missing Approval", "OK")</f>
        <v>OK</v>
      </c>
      <c r="O150" t="str">
        <f>IF(ISBLANK(po_master[[#This Row],[GR Quantity]]), "No GR - Not received", "OK")</f>
        <v>OK</v>
      </c>
      <c r="P150" t="str">
        <f>IF(po_master[[#This Row],[Promised Delivey Date]]&lt;po_master[[#This Row],[Order Date]], "Invalid", "OK")</f>
        <v>OK</v>
      </c>
      <c r="Q150" t="str">
        <f>IF(ISBLANK(po_master[[#This Row],[Invoice Number]]), "No Invoice", "OK")</f>
        <v>OK</v>
      </c>
      <c r="R150" t="str">
        <f>IF(AND(NOT(ISBLANK(po_master[[#This Row],[GR Quantity]])), po_master[[#This Row],[GR Quantity]]&lt;&gt;po_master[[#This Row],[PO Quantity]]), "Qty Variance", "OK")</f>
        <v>OK</v>
      </c>
      <c r="S150" t="str">
        <f>IF(po_master[[#This Row],[Invoice Unit Price]]&gt;po_master[[#This Row],[PO Unit Price]]*1.01, "Price Variance", "OK")</f>
        <v>Price Variance</v>
      </c>
      <c r="T150" t="str">
        <f>IF(po_master[[#This Row],[Actual Delivery Date]]&gt;po_master[[#This Row],[Promised Delivey Date]], "Late Delivery", "OK")</f>
        <v>Late Delivery</v>
      </c>
      <c r="U150" t="str">
        <f>IF(COUNTIF(po_master[PO Number],po_master[[#This Row],[PO Number]])&gt;1, "Duplicate Invoice", "OK")</f>
        <v>OK</v>
      </c>
      <c r="V150" s="5">
        <f>IF(po_master[[#This Row],[Missing Approval]]="Missing Approval", 1, 0)</f>
        <v>0</v>
      </c>
      <c r="W150" s="5">
        <f>IF(po_master[[#This Row],[GR Receipt Status]]="No GR - Not Received", 1, 0)</f>
        <v>0</v>
      </c>
      <c r="X150" s="5">
        <f>IF(po_master[[#This Row],[No invoice]]="No Invoice", 1, 0)</f>
        <v>0</v>
      </c>
      <c r="Y150" s="5">
        <f>IF(po_master[[#This Row],[Date Check]]="Invalid Date", 1, 0)</f>
        <v>0</v>
      </c>
      <c r="Z150" s="5">
        <f>IF(po_master[[#This Row],[Qty Variance Flag]]="Qty Variance", 1, 0)</f>
        <v>0</v>
      </c>
      <c r="AA150" s="5">
        <f>IF(po_master[[#This Row],[Price Variance Flag]]="Price Variance", 1, 0)</f>
        <v>1</v>
      </c>
      <c r="AB150" s="5">
        <f>IF(po_master[[#This Row],[Late Delivery Flag]]="Late Delivery", 1, 0)</f>
        <v>1</v>
      </c>
      <c r="AC150" s="5">
        <f>IF(po_master[[#This Row],[Duplicate Invoice Flag]]="Duplicate Invoice", 1, 0)</f>
        <v>0</v>
      </c>
      <c r="AD150" s="5" t="str">
        <f>TEXT(po_master[[#This Row],[Order Date]],"YYYY-MM")</f>
        <v>2026-01</v>
      </c>
    </row>
    <row r="151" spans="1:30" x14ac:dyDescent="0.25">
      <c r="A151" t="s">
        <v>135</v>
      </c>
      <c r="B151" t="s">
        <v>1457</v>
      </c>
      <c r="C151" s="1">
        <v>46086</v>
      </c>
      <c r="D151">
        <v>70</v>
      </c>
      <c r="E151">
        <v>113.82</v>
      </c>
      <c r="F151" t="s">
        <v>1459</v>
      </c>
      <c r="G151" s="1">
        <v>46098</v>
      </c>
      <c r="H151">
        <v>70</v>
      </c>
      <c r="I151" s="1">
        <v>46099</v>
      </c>
      <c r="J151" t="s">
        <v>811</v>
      </c>
      <c r="K151">
        <v>70</v>
      </c>
      <c r="L151">
        <v>113.82</v>
      </c>
      <c r="M151" s="1">
        <v>46108</v>
      </c>
      <c r="N151" t="str">
        <f>IF(po_master[[#This Row],[Approved By]]="", "Missing Approval", "OK")</f>
        <v>Missing Approval</v>
      </c>
      <c r="O151" t="str">
        <f>IF(ISBLANK(po_master[[#This Row],[GR Quantity]]), "No GR - Not received", "OK")</f>
        <v>OK</v>
      </c>
      <c r="P151" t="str">
        <f>IF(po_master[[#This Row],[Promised Delivey Date]]&lt;po_master[[#This Row],[Order Date]], "Invalid", "OK")</f>
        <v>OK</v>
      </c>
      <c r="Q151" t="str">
        <f>IF(ISBLANK(po_master[[#This Row],[Invoice Number]]), "No Invoice", "OK")</f>
        <v>OK</v>
      </c>
      <c r="R151" t="str">
        <f>IF(AND(NOT(ISBLANK(po_master[[#This Row],[GR Quantity]])), po_master[[#This Row],[GR Quantity]]&lt;&gt;po_master[[#This Row],[PO Quantity]]), "Qty Variance", "OK")</f>
        <v>OK</v>
      </c>
      <c r="S151" t="str">
        <f>IF(po_master[[#This Row],[Invoice Unit Price]]&gt;po_master[[#This Row],[PO Unit Price]]*1.01, "Price Variance", "OK")</f>
        <v>OK</v>
      </c>
      <c r="T151" t="str">
        <f>IF(po_master[[#This Row],[Actual Delivery Date]]&gt;po_master[[#This Row],[Promised Delivey Date]], "Late Delivery", "OK")</f>
        <v>Late Delivery</v>
      </c>
      <c r="U151" t="str">
        <f>IF(COUNTIF(po_master[PO Number],po_master[[#This Row],[PO Number]])&gt;1, "Duplicate Invoice", "OK")</f>
        <v>OK</v>
      </c>
      <c r="V151" s="5">
        <f>IF(po_master[[#This Row],[Missing Approval]]="Missing Approval", 1, 0)</f>
        <v>1</v>
      </c>
      <c r="W151" s="5">
        <f>IF(po_master[[#This Row],[GR Receipt Status]]="No GR - Not Received", 1, 0)</f>
        <v>0</v>
      </c>
      <c r="X151" s="5">
        <f>IF(po_master[[#This Row],[No invoice]]="No Invoice", 1, 0)</f>
        <v>0</v>
      </c>
      <c r="Y151" s="5">
        <f>IF(po_master[[#This Row],[Date Check]]="Invalid Date", 1, 0)</f>
        <v>0</v>
      </c>
      <c r="Z151" s="5">
        <f>IF(po_master[[#This Row],[Qty Variance Flag]]="Qty Variance", 1, 0)</f>
        <v>0</v>
      </c>
      <c r="AA151" s="5">
        <f>IF(po_master[[#This Row],[Price Variance Flag]]="Price Variance", 1, 0)</f>
        <v>0</v>
      </c>
      <c r="AB151" s="5">
        <f>IF(po_master[[#This Row],[Late Delivery Flag]]="Late Delivery", 1, 0)</f>
        <v>1</v>
      </c>
      <c r="AC151" s="5">
        <f>IF(po_master[[#This Row],[Duplicate Invoice Flag]]="Duplicate Invoice", 1, 0)</f>
        <v>0</v>
      </c>
      <c r="AD151" s="5" t="str">
        <f>TEXT(po_master[[#This Row],[Order Date]],"YYYY-MM")</f>
        <v>2026-03</v>
      </c>
    </row>
    <row r="152" spans="1:30" x14ac:dyDescent="0.25">
      <c r="A152" t="s">
        <v>136</v>
      </c>
      <c r="B152" t="s">
        <v>1491</v>
      </c>
      <c r="C152" s="1">
        <v>46120</v>
      </c>
      <c r="D152">
        <v>240</v>
      </c>
      <c r="E152">
        <v>182.16</v>
      </c>
      <c r="F152" t="s">
        <v>1474</v>
      </c>
      <c r="G152" s="1">
        <v>46138</v>
      </c>
      <c r="H152">
        <v>240</v>
      </c>
      <c r="I152" s="1">
        <v>46139</v>
      </c>
      <c r="J152" t="s">
        <v>812</v>
      </c>
      <c r="K152">
        <v>240</v>
      </c>
      <c r="L152">
        <v>182.16</v>
      </c>
      <c r="M152" s="1">
        <v>46144</v>
      </c>
      <c r="N152" t="str">
        <f>IF(po_master[[#This Row],[Approved By]]="", "Missing Approval", "OK")</f>
        <v>OK</v>
      </c>
      <c r="O152" t="str">
        <f>IF(ISBLANK(po_master[[#This Row],[GR Quantity]]), "No GR - Not received", "OK")</f>
        <v>OK</v>
      </c>
      <c r="P152" t="str">
        <f>IF(po_master[[#This Row],[Promised Delivey Date]]&lt;po_master[[#This Row],[Order Date]], "Invalid", "OK")</f>
        <v>OK</v>
      </c>
      <c r="Q152" t="str">
        <f>IF(ISBLANK(po_master[[#This Row],[Invoice Number]]), "No Invoice", "OK")</f>
        <v>OK</v>
      </c>
      <c r="R152" t="str">
        <f>IF(AND(NOT(ISBLANK(po_master[[#This Row],[GR Quantity]])), po_master[[#This Row],[GR Quantity]]&lt;&gt;po_master[[#This Row],[PO Quantity]]), "Qty Variance", "OK")</f>
        <v>OK</v>
      </c>
      <c r="S152" t="str">
        <f>IF(po_master[[#This Row],[Invoice Unit Price]]&gt;po_master[[#This Row],[PO Unit Price]]*1.01, "Price Variance", "OK")</f>
        <v>OK</v>
      </c>
      <c r="T152" t="str">
        <f>IF(po_master[[#This Row],[Actual Delivery Date]]&gt;po_master[[#This Row],[Promised Delivey Date]], "Late Delivery", "OK")</f>
        <v>Late Delivery</v>
      </c>
      <c r="U152" t="str">
        <f>IF(COUNTIF(po_master[PO Number],po_master[[#This Row],[PO Number]])&gt;1, "Duplicate Invoice", "OK")</f>
        <v>OK</v>
      </c>
      <c r="V152" s="5">
        <f>IF(po_master[[#This Row],[Missing Approval]]="Missing Approval", 1, 0)</f>
        <v>0</v>
      </c>
      <c r="W152" s="5">
        <f>IF(po_master[[#This Row],[GR Receipt Status]]="No GR - Not Received", 1, 0)</f>
        <v>0</v>
      </c>
      <c r="X152" s="5">
        <f>IF(po_master[[#This Row],[No invoice]]="No Invoice", 1, 0)</f>
        <v>0</v>
      </c>
      <c r="Y152" s="5">
        <f>IF(po_master[[#This Row],[Date Check]]="Invalid Date", 1, 0)</f>
        <v>0</v>
      </c>
      <c r="Z152" s="5">
        <f>IF(po_master[[#This Row],[Qty Variance Flag]]="Qty Variance", 1, 0)</f>
        <v>0</v>
      </c>
      <c r="AA152" s="5">
        <f>IF(po_master[[#This Row],[Price Variance Flag]]="Price Variance", 1, 0)</f>
        <v>0</v>
      </c>
      <c r="AB152" s="5">
        <f>IF(po_master[[#This Row],[Late Delivery Flag]]="Late Delivery", 1, 0)</f>
        <v>1</v>
      </c>
      <c r="AC152" s="5">
        <f>IF(po_master[[#This Row],[Duplicate Invoice Flag]]="Duplicate Invoice", 1, 0)</f>
        <v>0</v>
      </c>
      <c r="AD152" s="5" t="str">
        <f>TEXT(po_master[[#This Row],[Order Date]],"YYYY-MM")</f>
        <v>2026-04</v>
      </c>
    </row>
    <row r="153" spans="1:30" x14ac:dyDescent="0.25">
      <c r="A153" t="s">
        <v>137</v>
      </c>
      <c r="B153" t="s">
        <v>1512</v>
      </c>
      <c r="C153" s="1">
        <v>46168</v>
      </c>
      <c r="D153">
        <v>327</v>
      </c>
      <c r="E153">
        <v>16.739999999999998</v>
      </c>
      <c r="F153" t="s">
        <v>1490</v>
      </c>
      <c r="G153" s="1">
        <v>46176</v>
      </c>
      <c r="H153">
        <v>327</v>
      </c>
      <c r="I153" s="1">
        <v>46177</v>
      </c>
      <c r="J153" t="s">
        <v>813</v>
      </c>
      <c r="K153">
        <v>327</v>
      </c>
      <c r="L153">
        <v>17.96</v>
      </c>
      <c r="M153" s="1">
        <v>46182</v>
      </c>
      <c r="N153" t="str">
        <f>IF(po_master[[#This Row],[Approved By]]="", "Missing Approval", "OK")</f>
        <v>OK</v>
      </c>
      <c r="O153" t="str">
        <f>IF(ISBLANK(po_master[[#This Row],[GR Quantity]]), "No GR - Not received", "OK")</f>
        <v>OK</v>
      </c>
      <c r="P153" t="str">
        <f>IF(po_master[[#This Row],[Promised Delivey Date]]&lt;po_master[[#This Row],[Order Date]], "Invalid", "OK")</f>
        <v>OK</v>
      </c>
      <c r="Q153" t="str">
        <f>IF(ISBLANK(po_master[[#This Row],[Invoice Number]]), "No Invoice", "OK")</f>
        <v>OK</v>
      </c>
      <c r="R153" t="str">
        <f>IF(AND(NOT(ISBLANK(po_master[[#This Row],[GR Quantity]])), po_master[[#This Row],[GR Quantity]]&lt;&gt;po_master[[#This Row],[PO Quantity]]), "Qty Variance", "OK")</f>
        <v>OK</v>
      </c>
      <c r="S153" t="str">
        <f>IF(po_master[[#This Row],[Invoice Unit Price]]&gt;po_master[[#This Row],[PO Unit Price]]*1.01, "Price Variance", "OK")</f>
        <v>Price Variance</v>
      </c>
      <c r="T153" t="str">
        <f>IF(po_master[[#This Row],[Actual Delivery Date]]&gt;po_master[[#This Row],[Promised Delivey Date]], "Late Delivery", "OK")</f>
        <v>Late Delivery</v>
      </c>
      <c r="U153" t="str">
        <f>IF(COUNTIF(po_master[PO Number],po_master[[#This Row],[PO Number]])&gt;1, "Duplicate Invoice", "OK")</f>
        <v>OK</v>
      </c>
      <c r="V153" s="5">
        <f>IF(po_master[[#This Row],[Missing Approval]]="Missing Approval", 1, 0)</f>
        <v>0</v>
      </c>
      <c r="W153" s="5">
        <f>IF(po_master[[#This Row],[GR Receipt Status]]="No GR - Not Received", 1, 0)</f>
        <v>0</v>
      </c>
      <c r="X153" s="5">
        <f>IF(po_master[[#This Row],[No invoice]]="No Invoice", 1, 0)</f>
        <v>0</v>
      </c>
      <c r="Y153" s="5">
        <f>IF(po_master[[#This Row],[Date Check]]="Invalid Date", 1, 0)</f>
        <v>0</v>
      </c>
      <c r="Z153" s="5">
        <f>IF(po_master[[#This Row],[Qty Variance Flag]]="Qty Variance", 1, 0)</f>
        <v>0</v>
      </c>
      <c r="AA153" s="5">
        <f>IF(po_master[[#This Row],[Price Variance Flag]]="Price Variance", 1, 0)</f>
        <v>1</v>
      </c>
      <c r="AB153" s="5">
        <f>IF(po_master[[#This Row],[Late Delivery Flag]]="Late Delivery", 1, 0)</f>
        <v>1</v>
      </c>
      <c r="AC153" s="5">
        <f>IF(po_master[[#This Row],[Duplicate Invoice Flag]]="Duplicate Invoice", 1, 0)</f>
        <v>0</v>
      </c>
      <c r="AD153" s="5" t="str">
        <f>TEXT(po_master[[#This Row],[Order Date]],"YYYY-MM")</f>
        <v>2026-05</v>
      </c>
    </row>
    <row r="154" spans="1:30" x14ac:dyDescent="0.25">
      <c r="A154" t="s">
        <v>138</v>
      </c>
      <c r="B154" t="s">
        <v>1463</v>
      </c>
      <c r="C154" s="1">
        <v>46077</v>
      </c>
      <c r="D154">
        <v>145</v>
      </c>
      <c r="E154">
        <v>133.78</v>
      </c>
      <c r="F154" t="s">
        <v>1501</v>
      </c>
      <c r="G154" s="1">
        <v>46089</v>
      </c>
      <c r="H154">
        <v>145</v>
      </c>
      <c r="I154" s="1">
        <v>46091</v>
      </c>
      <c r="J154" t="s">
        <v>814</v>
      </c>
      <c r="K154">
        <v>145</v>
      </c>
      <c r="L154">
        <v>133.78</v>
      </c>
      <c r="M154" s="1">
        <v>46094</v>
      </c>
      <c r="N154" t="str">
        <f>IF(po_master[[#This Row],[Approved By]]="", "Missing Approval", "OK")</f>
        <v>OK</v>
      </c>
      <c r="O154" t="str">
        <f>IF(ISBLANK(po_master[[#This Row],[GR Quantity]]), "No GR - Not received", "OK")</f>
        <v>OK</v>
      </c>
      <c r="P154" t="str">
        <f>IF(po_master[[#This Row],[Promised Delivey Date]]&lt;po_master[[#This Row],[Order Date]], "Invalid", "OK")</f>
        <v>OK</v>
      </c>
      <c r="Q154" t="str">
        <f>IF(ISBLANK(po_master[[#This Row],[Invoice Number]]), "No Invoice", "OK")</f>
        <v>OK</v>
      </c>
      <c r="R154" t="str">
        <f>IF(AND(NOT(ISBLANK(po_master[[#This Row],[GR Quantity]])), po_master[[#This Row],[GR Quantity]]&lt;&gt;po_master[[#This Row],[PO Quantity]]), "Qty Variance", "OK")</f>
        <v>OK</v>
      </c>
      <c r="S154" t="str">
        <f>IF(po_master[[#This Row],[Invoice Unit Price]]&gt;po_master[[#This Row],[PO Unit Price]]*1.01, "Price Variance", "OK")</f>
        <v>OK</v>
      </c>
      <c r="T154" t="str">
        <f>IF(po_master[[#This Row],[Actual Delivery Date]]&gt;po_master[[#This Row],[Promised Delivey Date]], "Late Delivery", "OK")</f>
        <v>Late Delivery</v>
      </c>
      <c r="U154" t="str">
        <f>IF(COUNTIF(po_master[PO Number],po_master[[#This Row],[PO Number]])&gt;1, "Duplicate Invoice", "OK")</f>
        <v>OK</v>
      </c>
      <c r="V154" s="5">
        <f>IF(po_master[[#This Row],[Missing Approval]]="Missing Approval", 1, 0)</f>
        <v>0</v>
      </c>
      <c r="W154" s="5">
        <f>IF(po_master[[#This Row],[GR Receipt Status]]="No GR - Not Received", 1, 0)</f>
        <v>0</v>
      </c>
      <c r="X154" s="5">
        <f>IF(po_master[[#This Row],[No invoice]]="No Invoice", 1, 0)</f>
        <v>0</v>
      </c>
      <c r="Y154" s="5">
        <f>IF(po_master[[#This Row],[Date Check]]="Invalid Date", 1, 0)</f>
        <v>0</v>
      </c>
      <c r="Z154" s="5">
        <f>IF(po_master[[#This Row],[Qty Variance Flag]]="Qty Variance", 1, 0)</f>
        <v>0</v>
      </c>
      <c r="AA154" s="5">
        <f>IF(po_master[[#This Row],[Price Variance Flag]]="Price Variance", 1, 0)</f>
        <v>0</v>
      </c>
      <c r="AB154" s="5">
        <f>IF(po_master[[#This Row],[Late Delivery Flag]]="Late Delivery", 1, 0)</f>
        <v>1</v>
      </c>
      <c r="AC154" s="5">
        <f>IF(po_master[[#This Row],[Duplicate Invoice Flag]]="Duplicate Invoice", 1, 0)</f>
        <v>0</v>
      </c>
      <c r="AD154" s="5" t="str">
        <f>TEXT(po_master[[#This Row],[Order Date]],"YYYY-MM")</f>
        <v>2026-02</v>
      </c>
    </row>
    <row r="155" spans="1:30" x14ac:dyDescent="0.25">
      <c r="A155" t="s">
        <v>139</v>
      </c>
      <c r="B155" t="s">
        <v>1486</v>
      </c>
      <c r="C155" s="1">
        <v>46164</v>
      </c>
      <c r="D155">
        <v>48</v>
      </c>
      <c r="E155">
        <v>35.520000000000003</v>
      </c>
      <c r="F155" t="s">
        <v>1507</v>
      </c>
      <c r="G155" s="1">
        <v>46183</v>
      </c>
      <c r="H155">
        <v>48</v>
      </c>
      <c r="I155" s="1">
        <v>46183</v>
      </c>
      <c r="J155" t="s">
        <v>815</v>
      </c>
      <c r="K155">
        <v>48</v>
      </c>
      <c r="L155">
        <v>35.520000000000003</v>
      </c>
      <c r="M155" s="1">
        <v>46186</v>
      </c>
      <c r="N155" t="str">
        <f>IF(po_master[[#This Row],[Approved By]]="", "Missing Approval", "OK")</f>
        <v>OK</v>
      </c>
      <c r="O155" t="str">
        <f>IF(ISBLANK(po_master[[#This Row],[GR Quantity]]), "No GR - Not received", "OK")</f>
        <v>OK</v>
      </c>
      <c r="P155" t="str">
        <f>IF(po_master[[#This Row],[Promised Delivey Date]]&lt;po_master[[#This Row],[Order Date]], "Invalid", "OK")</f>
        <v>OK</v>
      </c>
      <c r="Q155" t="str">
        <f>IF(ISBLANK(po_master[[#This Row],[Invoice Number]]), "No Invoice", "OK")</f>
        <v>OK</v>
      </c>
      <c r="R155" t="str">
        <f>IF(AND(NOT(ISBLANK(po_master[[#This Row],[GR Quantity]])), po_master[[#This Row],[GR Quantity]]&lt;&gt;po_master[[#This Row],[PO Quantity]]), "Qty Variance", "OK")</f>
        <v>OK</v>
      </c>
      <c r="S155" t="str">
        <f>IF(po_master[[#This Row],[Invoice Unit Price]]&gt;po_master[[#This Row],[PO Unit Price]]*1.01, "Price Variance", "OK")</f>
        <v>OK</v>
      </c>
      <c r="T155" t="str">
        <f>IF(po_master[[#This Row],[Actual Delivery Date]]&gt;po_master[[#This Row],[Promised Delivey Date]], "Late Delivery", "OK")</f>
        <v>OK</v>
      </c>
      <c r="U155" t="str">
        <f>IF(COUNTIF(po_master[PO Number],po_master[[#This Row],[PO Number]])&gt;1, "Duplicate Invoice", "OK")</f>
        <v>OK</v>
      </c>
      <c r="V155" s="5">
        <f>IF(po_master[[#This Row],[Missing Approval]]="Missing Approval", 1, 0)</f>
        <v>0</v>
      </c>
      <c r="W155" s="5">
        <f>IF(po_master[[#This Row],[GR Receipt Status]]="No GR - Not Received", 1, 0)</f>
        <v>0</v>
      </c>
      <c r="X155" s="5">
        <f>IF(po_master[[#This Row],[No invoice]]="No Invoice", 1, 0)</f>
        <v>0</v>
      </c>
      <c r="Y155" s="5">
        <f>IF(po_master[[#This Row],[Date Check]]="Invalid Date", 1, 0)</f>
        <v>0</v>
      </c>
      <c r="Z155" s="5">
        <f>IF(po_master[[#This Row],[Qty Variance Flag]]="Qty Variance", 1, 0)</f>
        <v>0</v>
      </c>
      <c r="AA155" s="5">
        <f>IF(po_master[[#This Row],[Price Variance Flag]]="Price Variance", 1, 0)</f>
        <v>0</v>
      </c>
      <c r="AB155" s="5">
        <f>IF(po_master[[#This Row],[Late Delivery Flag]]="Late Delivery", 1, 0)</f>
        <v>0</v>
      </c>
      <c r="AC155" s="5">
        <f>IF(po_master[[#This Row],[Duplicate Invoice Flag]]="Duplicate Invoice", 1, 0)</f>
        <v>0</v>
      </c>
      <c r="AD155" s="5" t="str">
        <f>TEXT(po_master[[#This Row],[Order Date]],"YYYY-MM")</f>
        <v>2026-05</v>
      </c>
    </row>
    <row r="156" spans="1:30" x14ac:dyDescent="0.25">
      <c r="A156" t="s">
        <v>140</v>
      </c>
      <c r="B156" t="s">
        <v>1449</v>
      </c>
      <c r="C156" s="1">
        <v>46143</v>
      </c>
      <c r="D156">
        <v>159</v>
      </c>
      <c r="E156">
        <v>11.36</v>
      </c>
      <c r="F156" t="s">
        <v>1474</v>
      </c>
      <c r="G156" s="1">
        <v>46157</v>
      </c>
      <c r="H156">
        <v>159</v>
      </c>
      <c r="I156" s="1">
        <v>46159</v>
      </c>
      <c r="J156" t="s">
        <v>816</v>
      </c>
      <c r="K156">
        <v>159</v>
      </c>
      <c r="L156">
        <v>11.36</v>
      </c>
      <c r="M156" s="1">
        <v>46162</v>
      </c>
      <c r="N156" t="str">
        <f>IF(po_master[[#This Row],[Approved By]]="", "Missing Approval", "OK")</f>
        <v>OK</v>
      </c>
      <c r="O156" t="str">
        <f>IF(ISBLANK(po_master[[#This Row],[GR Quantity]]), "No GR - Not received", "OK")</f>
        <v>OK</v>
      </c>
      <c r="P156" t="str">
        <f>IF(po_master[[#This Row],[Promised Delivey Date]]&lt;po_master[[#This Row],[Order Date]], "Invalid", "OK")</f>
        <v>OK</v>
      </c>
      <c r="Q156" t="str">
        <f>IF(ISBLANK(po_master[[#This Row],[Invoice Number]]), "No Invoice", "OK")</f>
        <v>OK</v>
      </c>
      <c r="R156" t="str">
        <f>IF(AND(NOT(ISBLANK(po_master[[#This Row],[GR Quantity]])), po_master[[#This Row],[GR Quantity]]&lt;&gt;po_master[[#This Row],[PO Quantity]]), "Qty Variance", "OK")</f>
        <v>OK</v>
      </c>
      <c r="S156" t="str">
        <f>IF(po_master[[#This Row],[Invoice Unit Price]]&gt;po_master[[#This Row],[PO Unit Price]]*1.01, "Price Variance", "OK")</f>
        <v>OK</v>
      </c>
      <c r="T156" t="str">
        <f>IF(po_master[[#This Row],[Actual Delivery Date]]&gt;po_master[[#This Row],[Promised Delivey Date]], "Late Delivery", "OK")</f>
        <v>Late Delivery</v>
      </c>
      <c r="U156" t="str">
        <f>IF(COUNTIF(po_master[PO Number],po_master[[#This Row],[PO Number]])&gt;1, "Duplicate Invoice", "OK")</f>
        <v>OK</v>
      </c>
      <c r="V156" s="5">
        <f>IF(po_master[[#This Row],[Missing Approval]]="Missing Approval", 1, 0)</f>
        <v>0</v>
      </c>
      <c r="W156" s="5">
        <f>IF(po_master[[#This Row],[GR Receipt Status]]="No GR - Not Received", 1, 0)</f>
        <v>0</v>
      </c>
      <c r="X156" s="5">
        <f>IF(po_master[[#This Row],[No invoice]]="No Invoice", 1, 0)</f>
        <v>0</v>
      </c>
      <c r="Y156" s="5">
        <f>IF(po_master[[#This Row],[Date Check]]="Invalid Date", 1, 0)</f>
        <v>0</v>
      </c>
      <c r="Z156" s="5">
        <f>IF(po_master[[#This Row],[Qty Variance Flag]]="Qty Variance", 1, 0)</f>
        <v>0</v>
      </c>
      <c r="AA156" s="5">
        <f>IF(po_master[[#This Row],[Price Variance Flag]]="Price Variance", 1, 0)</f>
        <v>0</v>
      </c>
      <c r="AB156" s="5">
        <f>IF(po_master[[#This Row],[Late Delivery Flag]]="Late Delivery", 1, 0)</f>
        <v>1</v>
      </c>
      <c r="AC156" s="5">
        <f>IF(po_master[[#This Row],[Duplicate Invoice Flag]]="Duplicate Invoice", 1, 0)</f>
        <v>0</v>
      </c>
      <c r="AD156" s="5" t="str">
        <f>TEXT(po_master[[#This Row],[Order Date]],"YYYY-MM")</f>
        <v>2026-05</v>
      </c>
    </row>
    <row r="157" spans="1:30" x14ac:dyDescent="0.25">
      <c r="A157" t="s">
        <v>141</v>
      </c>
      <c r="B157" t="s">
        <v>1449</v>
      </c>
      <c r="C157" s="1">
        <v>46139</v>
      </c>
      <c r="D157">
        <v>46</v>
      </c>
      <c r="E157">
        <v>139.04</v>
      </c>
      <c r="F157" t="s">
        <v>1458</v>
      </c>
      <c r="G157" s="1">
        <v>46150</v>
      </c>
      <c r="H157">
        <v>66</v>
      </c>
      <c r="I157" s="1">
        <v>46149</v>
      </c>
      <c r="J157" t="s">
        <v>817</v>
      </c>
      <c r="K157">
        <v>46</v>
      </c>
      <c r="L157">
        <v>139.04</v>
      </c>
      <c r="M157" s="1">
        <v>46158</v>
      </c>
      <c r="N157" t="str">
        <f>IF(po_master[[#This Row],[Approved By]]="", "Missing Approval", "OK")</f>
        <v>OK</v>
      </c>
      <c r="O157" t="str">
        <f>IF(ISBLANK(po_master[[#This Row],[GR Quantity]]), "No GR - Not received", "OK")</f>
        <v>OK</v>
      </c>
      <c r="P157" t="str">
        <f>IF(po_master[[#This Row],[Promised Delivey Date]]&lt;po_master[[#This Row],[Order Date]], "Invalid", "OK")</f>
        <v>OK</v>
      </c>
      <c r="Q157" t="str">
        <f>IF(ISBLANK(po_master[[#This Row],[Invoice Number]]), "No Invoice", "OK")</f>
        <v>OK</v>
      </c>
      <c r="R157" t="str">
        <f>IF(AND(NOT(ISBLANK(po_master[[#This Row],[GR Quantity]])), po_master[[#This Row],[GR Quantity]]&lt;&gt;po_master[[#This Row],[PO Quantity]]), "Qty Variance", "OK")</f>
        <v>Qty Variance</v>
      </c>
      <c r="S157" t="str">
        <f>IF(po_master[[#This Row],[Invoice Unit Price]]&gt;po_master[[#This Row],[PO Unit Price]]*1.01, "Price Variance", "OK")</f>
        <v>OK</v>
      </c>
      <c r="T157" t="str">
        <f>IF(po_master[[#This Row],[Actual Delivery Date]]&gt;po_master[[#This Row],[Promised Delivey Date]], "Late Delivery", "OK")</f>
        <v>OK</v>
      </c>
      <c r="U157" t="str">
        <f>IF(COUNTIF(po_master[PO Number],po_master[[#This Row],[PO Number]])&gt;1, "Duplicate Invoice", "OK")</f>
        <v>Duplicate Invoice</v>
      </c>
      <c r="V157" s="5">
        <f>IF(po_master[[#This Row],[Missing Approval]]="Missing Approval", 1, 0)</f>
        <v>0</v>
      </c>
      <c r="W157" s="5">
        <f>IF(po_master[[#This Row],[GR Receipt Status]]="No GR - Not Received", 1, 0)</f>
        <v>0</v>
      </c>
      <c r="X157" s="5">
        <f>IF(po_master[[#This Row],[No invoice]]="No Invoice", 1, 0)</f>
        <v>0</v>
      </c>
      <c r="Y157" s="5">
        <f>IF(po_master[[#This Row],[Date Check]]="Invalid Date", 1, 0)</f>
        <v>0</v>
      </c>
      <c r="Z157" s="5">
        <f>IF(po_master[[#This Row],[Qty Variance Flag]]="Qty Variance", 1, 0)</f>
        <v>1</v>
      </c>
      <c r="AA157" s="5">
        <f>IF(po_master[[#This Row],[Price Variance Flag]]="Price Variance", 1, 0)</f>
        <v>0</v>
      </c>
      <c r="AB157" s="5">
        <f>IF(po_master[[#This Row],[Late Delivery Flag]]="Late Delivery", 1, 0)</f>
        <v>0</v>
      </c>
      <c r="AC157" s="5">
        <f>IF(po_master[[#This Row],[Duplicate Invoice Flag]]="Duplicate Invoice", 1, 0)</f>
        <v>1</v>
      </c>
      <c r="AD157" s="5" t="str">
        <f>TEXT(po_master[[#This Row],[Order Date]],"YYYY-MM")</f>
        <v>2026-04</v>
      </c>
    </row>
    <row r="158" spans="1:30" x14ac:dyDescent="0.25">
      <c r="A158" t="s">
        <v>141</v>
      </c>
      <c r="B158" t="s">
        <v>1449</v>
      </c>
      <c r="C158" s="1">
        <v>46139</v>
      </c>
      <c r="D158">
        <v>46</v>
      </c>
      <c r="E158">
        <v>139.04</v>
      </c>
      <c r="F158" t="s">
        <v>1458</v>
      </c>
      <c r="G158" s="1">
        <v>46150</v>
      </c>
      <c r="H158">
        <v>66</v>
      </c>
      <c r="I158" s="1">
        <v>46149</v>
      </c>
      <c r="J158" t="s">
        <v>818</v>
      </c>
      <c r="K158">
        <v>46</v>
      </c>
      <c r="L158">
        <v>139.04</v>
      </c>
      <c r="M158" s="1">
        <v>46163</v>
      </c>
      <c r="N158" t="str">
        <f>IF(po_master[[#This Row],[Approved By]]="", "Missing Approval", "OK")</f>
        <v>OK</v>
      </c>
      <c r="O158" t="str">
        <f>IF(ISBLANK(po_master[[#This Row],[GR Quantity]]), "No GR - Not received", "OK")</f>
        <v>OK</v>
      </c>
      <c r="P158" t="str">
        <f>IF(po_master[[#This Row],[Promised Delivey Date]]&lt;po_master[[#This Row],[Order Date]], "Invalid", "OK")</f>
        <v>OK</v>
      </c>
      <c r="Q158" t="str">
        <f>IF(ISBLANK(po_master[[#This Row],[Invoice Number]]), "No Invoice", "OK")</f>
        <v>OK</v>
      </c>
      <c r="R158" t="str">
        <f>IF(AND(NOT(ISBLANK(po_master[[#This Row],[GR Quantity]])), po_master[[#This Row],[GR Quantity]]&lt;&gt;po_master[[#This Row],[PO Quantity]]), "Qty Variance", "OK")</f>
        <v>Qty Variance</v>
      </c>
      <c r="S158" t="str">
        <f>IF(po_master[[#This Row],[Invoice Unit Price]]&gt;po_master[[#This Row],[PO Unit Price]]*1.01, "Price Variance", "OK")</f>
        <v>OK</v>
      </c>
      <c r="T158" t="str">
        <f>IF(po_master[[#This Row],[Actual Delivery Date]]&gt;po_master[[#This Row],[Promised Delivey Date]], "Late Delivery", "OK")</f>
        <v>OK</v>
      </c>
      <c r="U158" t="str">
        <f>IF(COUNTIF(po_master[PO Number],po_master[[#This Row],[PO Number]])&gt;1, "Duplicate Invoice", "OK")</f>
        <v>Duplicate Invoice</v>
      </c>
      <c r="V158" s="5">
        <f>IF(po_master[[#This Row],[Missing Approval]]="Missing Approval", 1, 0)</f>
        <v>0</v>
      </c>
      <c r="W158" s="5">
        <f>IF(po_master[[#This Row],[GR Receipt Status]]="No GR - Not Received", 1, 0)</f>
        <v>0</v>
      </c>
      <c r="X158" s="5">
        <f>IF(po_master[[#This Row],[No invoice]]="No Invoice", 1, 0)</f>
        <v>0</v>
      </c>
      <c r="Y158" s="5">
        <f>IF(po_master[[#This Row],[Date Check]]="Invalid Date", 1, 0)</f>
        <v>0</v>
      </c>
      <c r="Z158" s="5">
        <f>IF(po_master[[#This Row],[Qty Variance Flag]]="Qty Variance", 1, 0)</f>
        <v>1</v>
      </c>
      <c r="AA158" s="5">
        <f>IF(po_master[[#This Row],[Price Variance Flag]]="Price Variance", 1, 0)</f>
        <v>0</v>
      </c>
      <c r="AB158" s="5">
        <f>IF(po_master[[#This Row],[Late Delivery Flag]]="Late Delivery", 1, 0)</f>
        <v>0</v>
      </c>
      <c r="AC158" s="5">
        <f>IF(po_master[[#This Row],[Duplicate Invoice Flag]]="Duplicate Invoice", 1, 0)</f>
        <v>1</v>
      </c>
      <c r="AD158" s="5" t="str">
        <f>TEXT(po_master[[#This Row],[Order Date]],"YYYY-MM")</f>
        <v>2026-04</v>
      </c>
    </row>
    <row r="159" spans="1:30" x14ac:dyDescent="0.25">
      <c r="A159" t="s">
        <v>142</v>
      </c>
      <c r="B159" t="s">
        <v>1464</v>
      </c>
      <c r="C159" s="1">
        <v>46041</v>
      </c>
      <c r="D159">
        <v>40</v>
      </c>
      <c r="E159">
        <v>37.35</v>
      </c>
      <c r="F159" t="s">
        <v>1474</v>
      </c>
      <c r="G159" s="1">
        <v>46055</v>
      </c>
      <c r="H159">
        <v>40</v>
      </c>
      <c r="I159" s="1">
        <v>46054</v>
      </c>
      <c r="J159" t="s">
        <v>821</v>
      </c>
      <c r="K159">
        <v>40</v>
      </c>
      <c r="L159">
        <v>37.35</v>
      </c>
      <c r="M159" s="1">
        <v>46065</v>
      </c>
      <c r="N159" t="str">
        <f>IF(po_master[[#This Row],[Approved By]]="", "Missing Approval", "OK")</f>
        <v>OK</v>
      </c>
      <c r="O159" t="str">
        <f>IF(ISBLANK(po_master[[#This Row],[GR Quantity]]), "No GR - Not received", "OK")</f>
        <v>OK</v>
      </c>
      <c r="P159" t="str">
        <f>IF(po_master[[#This Row],[Promised Delivey Date]]&lt;po_master[[#This Row],[Order Date]], "Invalid", "OK")</f>
        <v>OK</v>
      </c>
      <c r="Q159" t="str">
        <f>IF(ISBLANK(po_master[[#This Row],[Invoice Number]]), "No Invoice", "OK")</f>
        <v>OK</v>
      </c>
      <c r="R159" t="str">
        <f>IF(AND(NOT(ISBLANK(po_master[[#This Row],[GR Quantity]])), po_master[[#This Row],[GR Quantity]]&lt;&gt;po_master[[#This Row],[PO Quantity]]), "Qty Variance", "OK")</f>
        <v>OK</v>
      </c>
      <c r="S159" t="str">
        <f>IF(po_master[[#This Row],[Invoice Unit Price]]&gt;po_master[[#This Row],[PO Unit Price]]*1.01, "Price Variance", "OK")</f>
        <v>OK</v>
      </c>
      <c r="T159" t="str">
        <f>IF(po_master[[#This Row],[Actual Delivery Date]]&gt;po_master[[#This Row],[Promised Delivey Date]], "Late Delivery", "OK")</f>
        <v>OK</v>
      </c>
      <c r="U159" t="str">
        <f>IF(COUNTIF(po_master[PO Number],po_master[[#This Row],[PO Number]])&gt;1, "Duplicate Invoice", "OK")</f>
        <v>OK</v>
      </c>
      <c r="V159" s="5">
        <f>IF(po_master[[#This Row],[Missing Approval]]="Missing Approval", 1, 0)</f>
        <v>0</v>
      </c>
      <c r="W159" s="5">
        <f>IF(po_master[[#This Row],[GR Receipt Status]]="No GR - Not Received", 1, 0)</f>
        <v>0</v>
      </c>
      <c r="X159" s="5">
        <f>IF(po_master[[#This Row],[No invoice]]="No Invoice", 1, 0)</f>
        <v>0</v>
      </c>
      <c r="Y159" s="5">
        <f>IF(po_master[[#This Row],[Date Check]]="Invalid Date", 1, 0)</f>
        <v>0</v>
      </c>
      <c r="Z159" s="5">
        <f>IF(po_master[[#This Row],[Qty Variance Flag]]="Qty Variance", 1, 0)</f>
        <v>0</v>
      </c>
      <c r="AA159" s="5">
        <f>IF(po_master[[#This Row],[Price Variance Flag]]="Price Variance", 1, 0)</f>
        <v>0</v>
      </c>
      <c r="AB159" s="5">
        <f>IF(po_master[[#This Row],[Late Delivery Flag]]="Late Delivery", 1, 0)</f>
        <v>0</v>
      </c>
      <c r="AC159" s="5">
        <f>IF(po_master[[#This Row],[Duplicate Invoice Flag]]="Duplicate Invoice", 1, 0)</f>
        <v>0</v>
      </c>
      <c r="AD159" s="5" t="str">
        <f>TEXT(po_master[[#This Row],[Order Date]],"YYYY-MM")</f>
        <v>2026-01</v>
      </c>
    </row>
    <row r="160" spans="1:30" x14ac:dyDescent="0.25">
      <c r="A160" t="s">
        <v>143</v>
      </c>
      <c r="B160" t="s">
        <v>1478</v>
      </c>
      <c r="C160" s="1">
        <v>46054</v>
      </c>
      <c r="D160">
        <v>249</v>
      </c>
      <c r="E160">
        <v>139.29</v>
      </c>
      <c r="F160" t="s">
        <v>1499</v>
      </c>
      <c r="G160" s="1">
        <v>46071</v>
      </c>
      <c r="H160">
        <v>249</v>
      </c>
      <c r="I160" s="1">
        <v>46073</v>
      </c>
      <c r="J160" t="s">
        <v>822</v>
      </c>
      <c r="K160">
        <v>249</v>
      </c>
      <c r="L160">
        <v>139.29</v>
      </c>
      <c r="M160" s="1">
        <v>46078</v>
      </c>
      <c r="N160" t="str">
        <f>IF(po_master[[#This Row],[Approved By]]="", "Missing Approval", "OK")</f>
        <v>OK</v>
      </c>
      <c r="O160" t="str">
        <f>IF(ISBLANK(po_master[[#This Row],[GR Quantity]]), "No GR - Not received", "OK")</f>
        <v>OK</v>
      </c>
      <c r="P160" t="str">
        <f>IF(po_master[[#This Row],[Promised Delivey Date]]&lt;po_master[[#This Row],[Order Date]], "Invalid", "OK")</f>
        <v>OK</v>
      </c>
      <c r="Q160" t="str">
        <f>IF(ISBLANK(po_master[[#This Row],[Invoice Number]]), "No Invoice", "OK")</f>
        <v>OK</v>
      </c>
      <c r="R160" t="str">
        <f>IF(AND(NOT(ISBLANK(po_master[[#This Row],[GR Quantity]])), po_master[[#This Row],[GR Quantity]]&lt;&gt;po_master[[#This Row],[PO Quantity]]), "Qty Variance", "OK")</f>
        <v>OK</v>
      </c>
      <c r="S160" t="str">
        <f>IF(po_master[[#This Row],[Invoice Unit Price]]&gt;po_master[[#This Row],[PO Unit Price]]*1.01, "Price Variance", "OK")</f>
        <v>OK</v>
      </c>
      <c r="T160" t="str">
        <f>IF(po_master[[#This Row],[Actual Delivery Date]]&gt;po_master[[#This Row],[Promised Delivey Date]], "Late Delivery", "OK")</f>
        <v>Late Delivery</v>
      </c>
      <c r="U160" t="str">
        <f>IF(COUNTIF(po_master[PO Number],po_master[[#This Row],[PO Number]])&gt;1, "Duplicate Invoice", "OK")</f>
        <v>OK</v>
      </c>
      <c r="V160" s="5">
        <f>IF(po_master[[#This Row],[Missing Approval]]="Missing Approval", 1, 0)</f>
        <v>0</v>
      </c>
      <c r="W160" s="5">
        <f>IF(po_master[[#This Row],[GR Receipt Status]]="No GR - Not Received", 1, 0)</f>
        <v>0</v>
      </c>
      <c r="X160" s="5">
        <f>IF(po_master[[#This Row],[No invoice]]="No Invoice", 1, 0)</f>
        <v>0</v>
      </c>
      <c r="Y160" s="5">
        <f>IF(po_master[[#This Row],[Date Check]]="Invalid Date", 1, 0)</f>
        <v>0</v>
      </c>
      <c r="Z160" s="5">
        <f>IF(po_master[[#This Row],[Qty Variance Flag]]="Qty Variance", 1, 0)</f>
        <v>0</v>
      </c>
      <c r="AA160" s="5">
        <f>IF(po_master[[#This Row],[Price Variance Flag]]="Price Variance", 1, 0)</f>
        <v>0</v>
      </c>
      <c r="AB160" s="5">
        <f>IF(po_master[[#This Row],[Late Delivery Flag]]="Late Delivery", 1, 0)</f>
        <v>1</v>
      </c>
      <c r="AC160" s="5">
        <f>IF(po_master[[#This Row],[Duplicate Invoice Flag]]="Duplicate Invoice", 1, 0)</f>
        <v>0</v>
      </c>
      <c r="AD160" s="5" t="str">
        <f>TEXT(po_master[[#This Row],[Order Date]],"YYYY-MM")</f>
        <v>2026-02</v>
      </c>
    </row>
    <row r="161" spans="1:30" x14ac:dyDescent="0.25">
      <c r="A161" t="s">
        <v>144</v>
      </c>
      <c r="B161" t="s">
        <v>1511</v>
      </c>
      <c r="C161" s="1">
        <v>46151</v>
      </c>
      <c r="D161">
        <v>286</v>
      </c>
      <c r="E161">
        <v>101.29</v>
      </c>
      <c r="F161" t="s">
        <v>1476</v>
      </c>
      <c r="G161" s="1">
        <v>46157</v>
      </c>
      <c r="H161">
        <v>286</v>
      </c>
      <c r="I161" s="1">
        <v>46155</v>
      </c>
      <c r="J161" t="s">
        <v>823</v>
      </c>
      <c r="K161">
        <v>286</v>
      </c>
      <c r="L161">
        <v>101.29</v>
      </c>
      <c r="M161" s="1">
        <v>46167</v>
      </c>
      <c r="N161" t="str">
        <f>IF(po_master[[#This Row],[Approved By]]="", "Missing Approval", "OK")</f>
        <v>OK</v>
      </c>
      <c r="O161" t="str">
        <f>IF(ISBLANK(po_master[[#This Row],[GR Quantity]]), "No GR - Not received", "OK")</f>
        <v>OK</v>
      </c>
      <c r="P161" t="str">
        <f>IF(po_master[[#This Row],[Promised Delivey Date]]&lt;po_master[[#This Row],[Order Date]], "Invalid", "OK")</f>
        <v>OK</v>
      </c>
      <c r="Q161" t="str">
        <f>IF(ISBLANK(po_master[[#This Row],[Invoice Number]]), "No Invoice", "OK")</f>
        <v>OK</v>
      </c>
      <c r="R161" t="str">
        <f>IF(AND(NOT(ISBLANK(po_master[[#This Row],[GR Quantity]])), po_master[[#This Row],[GR Quantity]]&lt;&gt;po_master[[#This Row],[PO Quantity]]), "Qty Variance", "OK")</f>
        <v>OK</v>
      </c>
      <c r="S161" t="str">
        <f>IF(po_master[[#This Row],[Invoice Unit Price]]&gt;po_master[[#This Row],[PO Unit Price]]*1.01, "Price Variance", "OK")</f>
        <v>OK</v>
      </c>
      <c r="T161" t="str">
        <f>IF(po_master[[#This Row],[Actual Delivery Date]]&gt;po_master[[#This Row],[Promised Delivey Date]], "Late Delivery", "OK")</f>
        <v>OK</v>
      </c>
      <c r="U161" t="str">
        <f>IF(COUNTIF(po_master[PO Number],po_master[[#This Row],[PO Number]])&gt;1, "Duplicate Invoice", "OK")</f>
        <v>OK</v>
      </c>
      <c r="V161" s="5">
        <f>IF(po_master[[#This Row],[Missing Approval]]="Missing Approval", 1, 0)</f>
        <v>0</v>
      </c>
      <c r="W161" s="5">
        <f>IF(po_master[[#This Row],[GR Receipt Status]]="No GR - Not Received", 1, 0)</f>
        <v>0</v>
      </c>
      <c r="X161" s="5">
        <f>IF(po_master[[#This Row],[No invoice]]="No Invoice", 1, 0)</f>
        <v>0</v>
      </c>
      <c r="Y161" s="5">
        <f>IF(po_master[[#This Row],[Date Check]]="Invalid Date", 1, 0)</f>
        <v>0</v>
      </c>
      <c r="Z161" s="5">
        <f>IF(po_master[[#This Row],[Qty Variance Flag]]="Qty Variance", 1, 0)</f>
        <v>0</v>
      </c>
      <c r="AA161" s="5">
        <f>IF(po_master[[#This Row],[Price Variance Flag]]="Price Variance", 1, 0)</f>
        <v>0</v>
      </c>
      <c r="AB161" s="5">
        <f>IF(po_master[[#This Row],[Late Delivery Flag]]="Late Delivery", 1, 0)</f>
        <v>0</v>
      </c>
      <c r="AC161" s="5">
        <f>IF(po_master[[#This Row],[Duplicate Invoice Flag]]="Duplicate Invoice", 1, 0)</f>
        <v>0</v>
      </c>
      <c r="AD161" s="5" t="str">
        <f>TEXT(po_master[[#This Row],[Order Date]],"YYYY-MM")</f>
        <v>2026-05</v>
      </c>
    </row>
    <row r="162" spans="1:30" x14ac:dyDescent="0.25">
      <c r="A162" t="s">
        <v>145</v>
      </c>
      <c r="B162" t="s">
        <v>1461</v>
      </c>
      <c r="C162" s="1">
        <v>46170</v>
      </c>
      <c r="D162">
        <v>310</v>
      </c>
      <c r="E162">
        <v>190.4</v>
      </c>
      <c r="F162" t="s">
        <v>1456</v>
      </c>
      <c r="G162" s="1">
        <v>46183</v>
      </c>
      <c r="H162">
        <v>310</v>
      </c>
      <c r="I162" s="1">
        <v>46181</v>
      </c>
      <c r="J162" t="s">
        <v>826</v>
      </c>
      <c r="K162">
        <v>310</v>
      </c>
      <c r="L162">
        <v>190.4</v>
      </c>
      <c r="M162" s="1">
        <v>46186</v>
      </c>
      <c r="N162" t="str">
        <f>IF(po_master[[#This Row],[Approved By]]="", "Missing Approval", "OK")</f>
        <v>OK</v>
      </c>
      <c r="O162" t="str">
        <f>IF(ISBLANK(po_master[[#This Row],[GR Quantity]]), "No GR - Not received", "OK")</f>
        <v>OK</v>
      </c>
      <c r="P162" t="str">
        <f>IF(po_master[[#This Row],[Promised Delivey Date]]&lt;po_master[[#This Row],[Order Date]], "Invalid", "OK")</f>
        <v>OK</v>
      </c>
      <c r="Q162" t="str">
        <f>IF(ISBLANK(po_master[[#This Row],[Invoice Number]]), "No Invoice", "OK")</f>
        <v>OK</v>
      </c>
      <c r="R162" t="str">
        <f>IF(AND(NOT(ISBLANK(po_master[[#This Row],[GR Quantity]])), po_master[[#This Row],[GR Quantity]]&lt;&gt;po_master[[#This Row],[PO Quantity]]), "Qty Variance", "OK")</f>
        <v>OK</v>
      </c>
      <c r="S162" t="str">
        <f>IF(po_master[[#This Row],[Invoice Unit Price]]&gt;po_master[[#This Row],[PO Unit Price]]*1.01, "Price Variance", "OK")</f>
        <v>OK</v>
      </c>
      <c r="T162" t="str">
        <f>IF(po_master[[#This Row],[Actual Delivery Date]]&gt;po_master[[#This Row],[Promised Delivey Date]], "Late Delivery", "OK")</f>
        <v>OK</v>
      </c>
      <c r="U162" t="str">
        <f>IF(COUNTIF(po_master[PO Number],po_master[[#This Row],[PO Number]])&gt;1, "Duplicate Invoice", "OK")</f>
        <v>OK</v>
      </c>
      <c r="V162" s="5">
        <f>IF(po_master[[#This Row],[Missing Approval]]="Missing Approval", 1, 0)</f>
        <v>0</v>
      </c>
      <c r="W162" s="5">
        <f>IF(po_master[[#This Row],[GR Receipt Status]]="No GR - Not Received", 1, 0)</f>
        <v>0</v>
      </c>
      <c r="X162" s="5">
        <f>IF(po_master[[#This Row],[No invoice]]="No Invoice", 1, 0)</f>
        <v>0</v>
      </c>
      <c r="Y162" s="5">
        <f>IF(po_master[[#This Row],[Date Check]]="Invalid Date", 1, 0)</f>
        <v>0</v>
      </c>
      <c r="Z162" s="5">
        <f>IF(po_master[[#This Row],[Qty Variance Flag]]="Qty Variance", 1, 0)</f>
        <v>0</v>
      </c>
      <c r="AA162" s="5">
        <f>IF(po_master[[#This Row],[Price Variance Flag]]="Price Variance", 1, 0)</f>
        <v>0</v>
      </c>
      <c r="AB162" s="5">
        <f>IF(po_master[[#This Row],[Late Delivery Flag]]="Late Delivery", 1, 0)</f>
        <v>0</v>
      </c>
      <c r="AC162" s="5">
        <f>IF(po_master[[#This Row],[Duplicate Invoice Flag]]="Duplicate Invoice", 1, 0)</f>
        <v>0</v>
      </c>
      <c r="AD162" s="5" t="str">
        <f>TEXT(po_master[[#This Row],[Order Date]],"YYYY-MM")</f>
        <v>2026-05</v>
      </c>
    </row>
    <row r="163" spans="1:30" x14ac:dyDescent="0.25">
      <c r="A163" t="s">
        <v>146</v>
      </c>
      <c r="B163" t="s">
        <v>1493</v>
      </c>
      <c r="C163" s="1">
        <v>46033</v>
      </c>
      <c r="D163">
        <v>400</v>
      </c>
      <c r="E163">
        <v>152.47</v>
      </c>
      <c r="F163" t="s">
        <v>1487</v>
      </c>
      <c r="G163" s="1">
        <v>46054</v>
      </c>
      <c r="H163">
        <v>400</v>
      </c>
      <c r="I163" s="1">
        <v>46056</v>
      </c>
      <c r="J163" t="s">
        <v>827</v>
      </c>
      <c r="K163">
        <v>400</v>
      </c>
      <c r="L163">
        <v>152.47</v>
      </c>
      <c r="M163" s="1">
        <v>46064</v>
      </c>
      <c r="N163" t="str">
        <f>IF(po_master[[#This Row],[Approved By]]="", "Missing Approval", "OK")</f>
        <v>OK</v>
      </c>
      <c r="O163" t="str">
        <f>IF(ISBLANK(po_master[[#This Row],[GR Quantity]]), "No GR - Not received", "OK")</f>
        <v>OK</v>
      </c>
      <c r="P163" t="str">
        <f>IF(po_master[[#This Row],[Promised Delivey Date]]&lt;po_master[[#This Row],[Order Date]], "Invalid", "OK")</f>
        <v>OK</v>
      </c>
      <c r="Q163" t="str">
        <f>IF(ISBLANK(po_master[[#This Row],[Invoice Number]]), "No Invoice", "OK")</f>
        <v>OK</v>
      </c>
      <c r="R163" t="str">
        <f>IF(AND(NOT(ISBLANK(po_master[[#This Row],[GR Quantity]])), po_master[[#This Row],[GR Quantity]]&lt;&gt;po_master[[#This Row],[PO Quantity]]), "Qty Variance", "OK")</f>
        <v>OK</v>
      </c>
      <c r="S163" t="str">
        <f>IF(po_master[[#This Row],[Invoice Unit Price]]&gt;po_master[[#This Row],[PO Unit Price]]*1.01, "Price Variance", "OK")</f>
        <v>OK</v>
      </c>
      <c r="T163" t="str">
        <f>IF(po_master[[#This Row],[Actual Delivery Date]]&gt;po_master[[#This Row],[Promised Delivey Date]], "Late Delivery", "OK")</f>
        <v>Late Delivery</v>
      </c>
      <c r="U163" t="str">
        <f>IF(COUNTIF(po_master[PO Number],po_master[[#This Row],[PO Number]])&gt;1, "Duplicate Invoice", "OK")</f>
        <v>OK</v>
      </c>
      <c r="V163" s="5">
        <f>IF(po_master[[#This Row],[Missing Approval]]="Missing Approval", 1, 0)</f>
        <v>0</v>
      </c>
      <c r="W163" s="5">
        <f>IF(po_master[[#This Row],[GR Receipt Status]]="No GR - Not Received", 1, 0)</f>
        <v>0</v>
      </c>
      <c r="X163" s="5">
        <f>IF(po_master[[#This Row],[No invoice]]="No Invoice", 1, 0)</f>
        <v>0</v>
      </c>
      <c r="Y163" s="5">
        <f>IF(po_master[[#This Row],[Date Check]]="Invalid Date", 1, 0)</f>
        <v>0</v>
      </c>
      <c r="Z163" s="5">
        <f>IF(po_master[[#This Row],[Qty Variance Flag]]="Qty Variance", 1, 0)</f>
        <v>0</v>
      </c>
      <c r="AA163" s="5">
        <f>IF(po_master[[#This Row],[Price Variance Flag]]="Price Variance", 1, 0)</f>
        <v>0</v>
      </c>
      <c r="AB163" s="5">
        <f>IF(po_master[[#This Row],[Late Delivery Flag]]="Late Delivery", 1, 0)</f>
        <v>1</v>
      </c>
      <c r="AC163" s="5">
        <f>IF(po_master[[#This Row],[Duplicate Invoice Flag]]="Duplicate Invoice", 1, 0)</f>
        <v>0</v>
      </c>
      <c r="AD163" s="5" t="str">
        <f>TEXT(po_master[[#This Row],[Order Date]],"YYYY-MM")</f>
        <v>2026-01</v>
      </c>
    </row>
    <row r="164" spans="1:30" x14ac:dyDescent="0.25">
      <c r="A164" t="s">
        <v>147</v>
      </c>
      <c r="B164" t="s">
        <v>1508</v>
      </c>
      <c r="C164" s="1">
        <v>46136</v>
      </c>
      <c r="D164">
        <v>479</v>
      </c>
      <c r="E164">
        <v>59.24</v>
      </c>
      <c r="F164" t="s">
        <v>1480</v>
      </c>
      <c r="G164" s="1">
        <v>46154</v>
      </c>
      <c r="H164">
        <v>479</v>
      </c>
      <c r="I164" s="1">
        <v>46156</v>
      </c>
      <c r="J164" t="s">
        <v>828</v>
      </c>
      <c r="K164">
        <v>479</v>
      </c>
      <c r="L164">
        <v>59.24</v>
      </c>
      <c r="M164" s="1">
        <v>46158</v>
      </c>
      <c r="N164" t="str">
        <f>IF(po_master[[#This Row],[Approved By]]="", "Missing Approval", "OK")</f>
        <v>OK</v>
      </c>
      <c r="O164" t="str">
        <f>IF(ISBLANK(po_master[[#This Row],[GR Quantity]]), "No GR - Not received", "OK")</f>
        <v>OK</v>
      </c>
      <c r="P164" t="str">
        <f>IF(po_master[[#This Row],[Promised Delivey Date]]&lt;po_master[[#This Row],[Order Date]], "Invalid", "OK")</f>
        <v>OK</v>
      </c>
      <c r="Q164" t="str">
        <f>IF(ISBLANK(po_master[[#This Row],[Invoice Number]]), "No Invoice", "OK")</f>
        <v>OK</v>
      </c>
      <c r="R164" t="str">
        <f>IF(AND(NOT(ISBLANK(po_master[[#This Row],[GR Quantity]])), po_master[[#This Row],[GR Quantity]]&lt;&gt;po_master[[#This Row],[PO Quantity]]), "Qty Variance", "OK")</f>
        <v>OK</v>
      </c>
      <c r="S164" t="str">
        <f>IF(po_master[[#This Row],[Invoice Unit Price]]&gt;po_master[[#This Row],[PO Unit Price]]*1.01, "Price Variance", "OK")</f>
        <v>OK</v>
      </c>
      <c r="T164" t="str">
        <f>IF(po_master[[#This Row],[Actual Delivery Date]]&gt;po_master[[#This Row],[Promised Delivey Date]], "Late Delivery", "OK")</f>
        <v>Late Delivery</v>
      </c>
      <c r="U164" t="str">
        <f>IF(COUNTIF(po_master[PO Number],po_master[[#This Row],[PO Number]])&gt;1, "Duplicate Invoice", "OK")</f>
        <v>OK</v>
      </c>
      <c r="V164" s="5">
        <f>IF(po_master[[#This Row],[Missing Approval]]="Missing Approval", 1, 0)</f>
        <v>0</v>
      </c>
      <c r="W164" s="5">
        <f>IF(po_master[[#This Row],[GR Receipt Status]]="No GR - Not Received", 1, 0)</f>
        <v>0</v>
      </c>
      <c r="X164" s="5">
        <f>IF(po_master[[#This Row],[No invoice]]="No Invoice", 1, 0)</f>
        <v>0</v>
      </c>
      <c r="Y164" s="5">
        <f>IF(po_master[[#This Row],[Date Check]]="Invalid Date", 1, 0)</f>
        <v>0</v>
      </c>
      <c r="Z164" s="5">
        <f>IF(po_master[[#This Row],[Qty Variance Flag]]="Qty Variance", 1, 0)</f>
        <v>0</v>
      </c>
      <c r="AA164" s="5">
        <f>IF(po_master[[#This Row],[Price Variance Flag]]="Price Variance", 1, 0)</f>
        <v>0</v>
      </c>
      <c r="AB164" s="5">
        <f>IF(po_master[[#This Row],[Late Delivery Flag]]="Late Delivery", 1, 0)</f>
        <v>1</v>
      </c>
      <c r="AC164" s="5">
        <f>IF(po_master[[#This Row],[Duplicate Invoice Flag]]="Duplicate Invoice", 1, 0)</f>
        <v>0</v>
      </c>
      <c r="AD164" s="5" t="str">
        <f>TEXT(po_master[[#This Row],[Order Date]],"YYYY-MM")</f>
        <v>2026-04</v>
      </c>
    </row>
    <row r="165" spans="1:30" x14ac:dyDescent="0.25">
      <c r="A165" t="s">
        <v>148</v>
      </c>
      <c r="B165" t="s">
        <v>1439</v>
      </c>
      <c r="C165" s="1">
        <v>46148</v>
      </c>
      <c r="D165">
        <v>56</v>
      </c>
      <c r="E165">
        <v>96.65</v>
      </c>
      <c r="F165" t="s">
        <v>1507</v>
      </c>
      <c r="G165" s="1">
        <v>46163</v>
      </c>
      <c r="H165">
        <v>56</v>
      </c>
      <c r="I165" s="1">
        <v>46165</v>
      </c>
      <c r="J165" t="s">
        <v>829</v>
      </c>
      <c r="K165">
        <v>56</v>
      </c>
      <c r="L165">
        <v>96.65</v>
      </c>
      <c r="M165" s="1">
        <v>46164</v>
      </c>
      <c r="N165" t="str">
        <f>IF(po_master[[#This Row],[Approved By]]="", "Missing Approval", "OK")</f>
        <v>OK</v>
      </c>
      <c r="O165" t="str">
        <f>IF(ISBLANK(po_master[[#This Row],[GR Quantity]]), "No GR - Not received", "OK")</f>
        <v>OK</v>
      </c>
      <c r="P165" t="str">
        <f>IF(po_master[[#This Row],[Promised Delivey Date]]&lt;po_master[[#This Row],[Order Date]], "Invalid", "OK")</f>
        <v>OK</v>
      </c>
      <c r="Q165" t="str">
        <f>IF(ISBLANK(po_master[[#This Row],[Invoice Number]]), "No Invoice", "OK")</f>
        <v>OK</v>
      </c>
      <c r="R165" t="str">
        <f>IF(AND(NOT(ISBLANK(po_master[[#This Row],[GR Quantity]])), po_master[[#This Row],[GR Quantity]]&lt;&gt;po_master[[#This Row],[PO Quantity]]), "Qty Variance", "OK")</f>
        <v>OK</v>
      </c>
      <c r="S165" t="str">
        <f>IF(po_master[[#This Row],[Invoice Unit Price]]&gt;po_master[[#This Row],[PO Unit Price]]*1.01, "Price Variance", "OK")</f>
        <v>OK</v>
      </c>
      <c r="T165" t="str">
        <f>IF(po_master[[#This Row],[Actual Delivery Date]]&gt;po_master[[#This Row],[Promised Delivey Date]], "Late Delivery", "OK")</f>
        <v>Late Delivery</v>
      </c>
      <c r="U165" t="str">
        <f>IF(COUNTIF(po_master[PO Number],po_master[[#This Row],[PO Number]])&gt;1, "Duplicate Invoice", "OK")</f>
        <v>OK</v>
      </c>
      <c r="V165" s="5">
        <f>IF(po_master[[#This Row],[Missing Approval]]="Missing Approval", 1, 0)</f>
        <v>0</v>
      </c>
      <c r="W165" s="5">
        <f>IF(po_master[[#This Row],[GR Receipt Status]]="No GR - Not Received", 1, 0)</f>
        <v>0</v>
      </c>
      <c r="X165" s="5">
        <f>IF(po_master[[#This Row],[No invoice]]="No Invoice", 1, 0)</f>
        <v>0</v>
      </c>
      <c r="Y165" s="5">
        <f>IF(po_master[[#This Row],[Date Check]]="Invalid Date", 1, 0)</f>
        <v>0</v>
      </c>
      <c r="Z165" s="5">
        <f>IF(po_master[[#This Row],[Qty Variance Flag]]="Qty Variance", 1, 0)</f>
        <v>0</v>
      </c>
      <c r="AA165" s="5">
        <f>IF(po_master[[#This Row],[Price Variance Flag]]="Price Variance", 1, 0)</f>
        <v>0</v>
      </c>
      <c r="AB165" s="5">
        <f>IF(po_master[[#This Row],[Late Delivery Flag]]="Late Delivery", 1, 0)</f>
        <v>1</v>
      </c>
      <c r="AC165" s="5">
        <f>IF(po_master[[#This Row],[Duplicate Invoice Flag]]="Duplicate Invoice", 1, 0)</f>
        <v>0</v>
      </c>
      <c r="AD165" s="5" t="str">
        <f>TEXT(po_master[[#This Row],[Order Date]],"YYYY-MM")</f>
        <v>2026-05</v>
      </c>
    </row>
    <row r="166" spans="1:30" x14ac:dyDescent="0.25">
      <c r="A166" t="s">
        <v>149</v>
      </c>
      <c r="B166" t="s">
        <v>1506</v>
      </c>
      <c r="C166" s="1">
        <v>46125</v>
      </c>
      <c r="D166">
        <v>426</v>
      </c>
      <c r="E166">
        <v>153.30000000000001</v>
      </c>
      <c r="F166" t="s">
        <v>1462</v>
      </c>
      <c r="G166" s="1">
        <v>46144</v>
      </c>
      <c r="H166">
        <v>426</v>
      </c>
      <c r="I166" s="1">
        <v>46142</v>
      </c>
      <c r="J166" t="s">
        <v>832</v>
      </c>
      <c r="K166">
        <v>426</v>
      </c>
      <c r="L166">
        <v>153.30000000000001</v>
      </c>
      <c r="M166" s="1">
        <v>46145</v>
      </c>
      <c r="N166" t="str">
        <f>IF(po_master[[#This Row],[Approved By]]="", "Missing Approval", "OK")</f>
        <v>OK</v>
      </c>
      <c r="O166" t="str">
        <f>IF(ISBLANK(po_master[[#This Row],[GR Quantity]]), "No GR - Not received", "OK")</f>
        <v>OK</v>
      </c>
      <c r="P166" t="str">
        <f>IF(po_master[[#This Row],[Promised Delivey Date]]&lt;po_master[[#This Row],[Order Date]], "Invalid", "OK")</f>
        <v>OK</v>
      </c>
      <c r="Q166" t="str">
        <f>IF(ISBLANK(po_master[[#This Row],[Invoice Number]]), "No Invoice", "OK")</f>
        <v>OK</v>
      </c>
      <c r="R166" t="str">
        <f>IF(AND(NOT(ISBLANK(po_master[[#This Row],[GR Quantity]])), po_master[[#This Row],[GR Quantity]]&lt;&gt;po_master[[#This Row],[PO Quantity]]), "Qty Variance", "OK")</f>
        <v>OK</v>
      </c>
      <c r="S166" t="str">
        <f>IF(po_master[[#This Row],[Invoice Unit Price]]&gt;po_master[[#This Row],[PO Unit Price]]*1.01, "Price Variance", "OK")</f>
        <v>OK</v>
      </c>
      <c r="T166" t="str">
        <f>IF(po_master[[#This Row],[Actual Delivery Date]]&gt;po_master[[#This Row],[Promised Delivey Date]], "Late Delivery", "OK")</f>
        <v>OK</v>
      </c>
      <c r="U166" t="str">
        <f>IF(COUNTIF(po_master[PO Number],po_master[[#This Row],[PO Number]])&gt;1, "Duplicate Invoice", "OK")</f>
        <v>OK</v>
      </c>
      <c r="V166" s="5">
        <f>IF(po_master[[#This Row],[Missing Approval]]="Missing Approval", 1, 0)</f>
        <v>0</v>
      </c>
      <c r="W166" s="5">
        <f>IF(po_master[[#This Row],[GR Receipt Status]]="No GR - Not Received", 1, 0)</f>
        <v>0</v>
      </c>
      <c r="X166" s="5">
        <f>IF(po_master[[#This Row],[No invoice]]="No Invoice", 1, 0)</f>
        <v>0</v>
      </c>
      <c r="Y166" s="5">
        <f>IF(po_master[[#This Row],[Date Check]]="Invalid Date", 1, 0)</f>
        <v>0</v>
      </c>
      <c r="Z166" s="5">
        <f>IF(po_master[[#This Row],[Qty Variance Flag]]="Qty Variance", 1, 0)</f>
        <v>0</v>
      </c>
      <c r="AA166" s="5">
        <f>IF(po_master[[#This Row],[Price Variance Flag]]="Price Variance", 1, 0)</f>
        <v>0</v>
      </c>
      <c r="AB166" s="5">
        <f>IF(po_master[[#This Row],[Late Delivery Flag]]="Late Delivery", 1, 0)</f>
        <v>0</v>
      </c>
      <c r="AC166" s="5">
        <f>IF(po_master[[#This Row],[Duplicate Invoice Flag]]="Duplicate Invoice", 1, 0)</f>
        <v>0</v>
      </c>
      <c r="AD166" s="5" t="str">
        <f>TEXT(po_master[[#This Row],[Order Date]],"YYYY-MM")</f>
        <v>2026-04</v>
      </c>
    </row>
    <row r="167" spans="1:30" x14ac:dyDescent="0.25">
      <c r="A167" t="s">
        <v>819</v>
      </c>
      <c r="B167" t="s">
        <v>1500</v>
      </c>
      <c r="C167" s="1">
        <v>46052</v>
      </c>
      <c r="D167">
        <v>288</v>
      </c>
      <c r="E167">
        <v>48.84</v>
      </c>
      <c r="F167" t="s">
        <v>1485</v>
      </c>
      <c r="G167" s="1">
        <v>46065</v>
      </c>
      <c r="I167" s="1"/>
      <c r="J167" t="s">
        <v>820</v>
      </c>
      <c r="K167">
        <v>288</v>
      </c>
      <c r="L167">
        <v>48.84</v>
      </c>
      <c r="M167" s="1">
        <v>46066</v>
      </c>
      <c r="N167" t="str">
        <f>IF(po_master[[#This Row],[Approved By]]="", "Missing Approval", "OK")</f>
        <v>OK</v>
      </c>
      <c r="O167" t="str">
        <f>IF(ISBLANK(po_master[[#This Row],[GR Quantity]]), "No GR - Not received", "OK")</f>
        <v>No GR - Not received</v>
      </c>
      <c r="P167" t="str">
        <f>IF(po_master[[#This Row],[Promised Delivey Date]]&lt;po_master[[#This Row],[Order Date]], "Invalid", "OK")</f>
        <v>OK</v>
      </c>
      <c r="Q167" t="str">
        <f>IF(ISBLANK(po_master[[#This Row],[Invoice Number]]), "No Invoice", "OK")</f>
        <v>OK</v>
      </c>
      <c r="R167" t="str">
        <f>IF(AND(NOT(ISBLANK(po_master[[#This Row],[GR Quantity]])), po_master[[#This Row],[GR Quantity]]&lt;&gt;po_master[[#This Row],[PO Quantity]]), "Qty Variance", "OK")</f>
        <v>OK</v>
      </c>
      <c r="S167" t="str">
        <f>IF(po_master[[#This Row],[Invoice Unit Price]]&gt;po_master[[#This Row],[PO Unit Price]]*1.01, "Price Variance", "OK")</f>
        <v>OK</v>
      </c>
      <c r="T167" t="str">
        <f>IF(po_master[[#This Row],[Actual Delivery Date]]&gt;po_master[[#This Row],[Promised Delivey Date]], "Late Delivery", "OK")</f>
        <v>OK</v>
      </c>
      <c r="U167" t="str">
        <f>IF(COUNTIF(po_master[PO Number],po_master[[#This Row],[PO Number]])&gt;1, "Duplicate Invoice", "OK")</f>
        <v>OK</v>
      </c>
      <c r="V167" s="5">
        <f>IF(po_master[[#This Row],[Missing Approval]]="Missing Approval", 1, 0)</f>
        <v>0</v>
      </c>
      <c r="W167" s="5">
        <f>IF(po_master[[#This Row],[GR Receipt Status]]="No GR - Not Received", 1, 0)</f>
        <v>1</v>
      </c>
      <c r="X167" s="5">
        <f>IF(po_master[[#This Row],[No invoice]]="No Invoice", 1, 0)</f>
        <v>0</v>
      </c>
      <c r="Y167" s="5">
        <f>IF(po_master[[#This Row],[Date Check]]="Invalid Date", 1, 0)</f>
        <v>0</v>
      </c>
      <c r="Z167" s="5">
        <f>IF(po_master[[#This Row],[Qty Variance Flag]]="Qty Variance", 1, 0)</f>
        <v>0</v>
      </c>
      <c r="AA167" s="5">
        <f>IF(po_master[[#This Row],[Price Variance Flag]]="Price Variance", 1, 0)</f>
        <v>0</v>
      </c>
      <c r="AB167" s="5">
        <f>IF(po_master[[#This Row],[Late Delivery Flag]]="Late Delivery", 1, 0)</f>
        <v>0</v>
      </c>
      <c r="AC167" s="5">
        <f>IF(po_master[[#This Row],[Duplicate Invoice Flag]]="Duplicate Invoice", 1, 0)</f>
        <v>0</v>
      </c>
      <c r="AD167" s="5" t="str">
        <f>TEXT(po_master[[#This Row],[Order Date]],"YYYY-MM")</f>
        <v>2026-01</v>
      </c>
    </row>
    <row r="168" spans="1:30" x14ac:dyDescent="0.25">
      <c r="A168" t="s">
        <v>150</v>
      </c>
      <c r="B168" t="s">
        <v>1457</v>
      </c>
      <c r="C168" s="1">
        <v>46103</v>
      </c>
      <c r="D168">
        <v>139</v>
      </c>
      <c r="E168">
        <v>68.040000000000006</v>
      </c>
      <c r="F168" t="s">
        <v>1456</v>
      </c>
      <c r="G168" s="1">
        <v>46120</v>
      </c>
      <c r="H168">
        <v>139</v>
      </c>
      <c r="I168" s="1">
        <v>46121</v>
      </c>
      <c r="J168" t="s">
        <v>833</v>
      </c>
      <c r="K168">
        <v>139</v>
      </c>
      <c r="L168">
        <v>68.040000000000006</v>
      </c>
      <c r="M168" s="1">
        <v>46125</v>
      </c>
      <c r="N168" t="str">
        <f>IF(po_master[[#This Row],[Approved By]]="", "Missing Approval", "OK")</f>
        <v>OK</v>
      </c>
      <c r="O168" t="str">
        <f>IF(ISBLANK(po_master[[#This Row],[GR Quantity]]), "No GR - Not received", "OK")</f>
        <v>OK</v>
      </c>
      <c r="P168" t="str">
        <f>IF(po_master[[#This Row],[Promised Delivey Date]]&lt;po_master[[#This Row],[Order Date]], "Invalid", "OK")</f>
        <v>OK</v>
      </c>
      <c r="Q168" t="str">
        <f>IF(ISBLANK(po_master[[#This Row],[Invoice Number]]), "No Invoice", "OK")</f>
        <v>OK</v>
      </c>
      <c r="R168" t="str">
        <f>IF(AND(NOT(ISBLANK(po_master[[#This Row],[GR Quantity]])), po_master[[#This Row],[GR Quantity]]&lt;&gt;po_master[[#This Row],[PO Quantity]]), "Qty Variance", "OK")</f>
        <v>OK</v>
      </c>
      <c r="S168" t="str">
        <f>IF(po_master[[#This Row],[Invoice Unit Price]]&gt;po_master[[#This Row],[PO Unit Price]]*1.01, "Price Variance", "OK")</f>
        <v>OK</v>
      </c>
      <c r="T168" t="str">
        <f>IF(po_master[[#This Row],[Actual Delivery Date]]&gt;po_master[[#This Row],[Promised Delivey Date]], "Late Delivery", "OK")</f>
        <v>Late Delivery</v>
      </c>
      <c r="U168" t="str">
        <f>IF(COUNTIF(po_master[PO Number],po_master[[#This Row],[PO Number]])&gt;1, "Duplicate Invoice", "OK")</f>
        <v>OK</v>
      </c>
      <c r="V168" s="5">
        <f>IF(po_master[[#This Row],[Missing Approval]]="Missing Approval", 1, 0)</f>
        <v>0</v>
      </c>
      <c r="W168" s="5">
        <f>IF(po_master[[#This Row],[GR Receipt Status]]="No GR - Not Received", 1, 0)</f>
        <v>0</v>
      </c>
      <c r="X168" s="5">
        <f>IF(po_master[[#This Row],[No invoice]]="No Invoice", 1, 0)</f>
        <v>0</v>
      </c>
      <c r="Y168" s="5">
        <f>IF(po_master[[#This Row],[Date Check]]="Invalid Date", 1, 0)</f>
        <v>0</v>
      </c>
      <c r="Z168" s="5">
        <f>IF(po_master[[#This Row],[Qty Variance Flag]]="Qty Variance", 1, 0)</f>
        <v>0</v>
      </c>
      <c r="AA168" s="5">
        <f>IF(po_master[[#This Row],[Price Variance Flag]]="Price Variance", 1, 0)</f>
        <v>0</v>
      </c>
      <c r="AB168" s="5">
        <f>IF(po_master[[#This Row],[Late Delivery Flag]]="Late Delivery", 1, 0)</f>
        <v>1</v>
      </c>
      <c r="AC168" s="5">
        <f>IF(po_master[[#This Row],[Duplicate Invoice Flag]]="Duplicate Invoice", 1, 0)</f>
        <v>0</v>
      </c>
      <c r="AD168" s="5" t="str">
        <f>TEXT(po_master[[#This Row],[Order Date]],"YYYY-MM")</f>
        <v>2026-03</v>
      </c>
    </row>
    <row r="169" spans="1:30" x14ac:dyDescent="0.25">
      <c r="A169" t="s">
        <v>151</v>
      </c>
      <c r="B169" t="s">
        <v>1445</v>
      </c>
      <c r="C169" s="1">
        <v>46023</v>
      </c>
      <c r="D169">
        <v>346</v>
      </c>
      <c r="E169">
        <v>174.53</v>
      </c>
      <c r="F169" t="s">
        <v>1469</v>
      </c>
      <c r="G169" s="1">
        <v>46041</v>
      </c>
      <c r="H169">
        <v>363</v>
      </c>
      <c r="I169" s="1">
        <v>46039</v>
      </c>
      <c r="J169" t="s">
        <v>834</v>
      </c>
      <c r="K169">
        <v>346</v>
      </c>
      <c r="L169">
        <v>174.53</v>
      </c>
      <c r="M169" s="1">
        <v>46050</v>
      </c>
      <c r="N169" t="str">
        <f>IF(po_master[[#This Row],[Approved By]]="", "Missing Approval", "OK")</f>
        <v>OK</v>
      </c>
      <c r="O169" t="str">
        <f>IF(ISBLANK(po_master[[#This Row],[GR Quantity]]), "No GR - Not received", "OK")</f>
        <v>OK</v>
      </c>
      <c r="P169" t="str">
        <f>IF(po_master[[#This Row],[Promised Delivey Date]]&lt;po_master[[#This Row],[Order Date]], "Invalid", "OK")</f>
        <v>OK</v>
      </c>
      <c r="Q169" t="str">
        <f>IF(ISBLANK(po_master[[#This Row],[Invoice Number]]), "No Invoice", "OK")</f>
        <v>OK</v>
      </c>
      <c r="R169" t="str">
        <f>IF(AND(NOT(ISBLANK(po_master[[#This Row],[GR Quantity]])), po_master[[#This Row],[GR Quantity]]&lt;&gt;po_master[[#This Row],[PO Quantity]]), "Qty Variance", "OK")</f>
        <v>Qty Variance</v>
      </c>
      <c r="S169" t="str">
        <f>IF(po_master[[#This Row],[Invoice Unit Price]]&gt;po_master[[#This Row],[PO Unit Price]]*1.01, "Price Variance", "OK")</f>
        <v>OK</v>
      </c>
      <c r="T169" t="str">
        <f>IF(po_master[[#This Row],[Actual Delivery Date]]&gt;po_master[[#This Row],[Promised Delivey Date]], "Late Delivery", "OK")</f>
        <v>OK</v>
      </c>
      <c r="U169" t="str">
        <f>IF(COUNTIF(po_master[PO Number],po_master[[#This Row],[PO Number]])&gt;1, "Duplicate Invoice", "OK")</f>
        <v>OK</v>
      </c>
      <c r="V169" s="5">
        <f>IF(po_master[[#This Row],[Missing Approval]]="Missing Approval", 1, 0)</f>
        <v>0</v>
      </c>
      <c r="W169" s="5">
        <f>IF(po_master[[#This Row],[GR Receipt Status]]="No GR - Not Received", 1, 0)</f>
        <v>0</v>
      </c>
      <c r="X169" s="5">
        <f>IF(po_master[[#This Row],[No invoice]]="No Invoice", 1, 0)</f>
        <v>0</v>
      </c>
      <c r="Y169" s="5">
        <f>IF(po_master[[#This Row],[Date Check]]="Invalid Date", 1, 0)</f>
        <v>0</v>
      </c>
      <c r="Z169" s="5">
        <f>IF(po_master[[#This Row],[Qty Variance Flag]]="Qty Variance", 1, 0)</f>
        <v>1</v>
      </c>
      <c r="AA169" s="5">
        <f>IF(po_master[[#This Row],[Price Variance Flag]]="Price Variance", 1, 0)</f>
        <v>0</v>
      </c>
      <c r="AB169" s="5">
        <f>IF(po_master[[#This Row],[Late Delivery Flag]]="Late Delivery", 1, 0)</f>
        <v>0</v>
      </c>
      <c r="AC169" s="5">
        <f>IF(po_master[[#This Row],[Duplicate Invoice Flag]]="Duplicate Invoice", 1, 0)</f>
        <v>0</v>
      </c>
      <c r="AD169" s="5" t="str">
        <f>TEXT(po_master[[#This Row],[Order Date]],"YYYY-MM")</f>
        <v>2026-01</v>
      </c>
    </row>
    <row r="170" spans="1:30" x14ac:dyDescent="0.25">
      <c r="A170" t="s">
        <v>152</v>
      </c>
      <c r="B170" t="s">
        <v>1475</v>
      </c>
      <c r="C170" s="1">
        <v>46071</v>
      </c>
      <c r="D170">
        <v>275</v>
      </c>
      <c r="E170">
        <v>75.55</v>
      </c>
      <c r="F170" t="s">
        <v>1456</v>
      </c>
      <c r="G170" s="1">
        <v>46091</v>
      </c>
      <c r="H170">
        <v>258</v>
      </c>
      <c r="I170" s="1">
        <v>46103</v>
      </c>
      <c r="J170" t="s">
        <v>835</v>
      </c>
      <c r="K170">
        <v>275</v>
      </c>
      <c r="L170">
        <v>75.55</v>
      </c>
      <c r="M170" s="1">
        <v>46100</v>
      </c>
      <c r="N170" t="str">
        <f>IF(po_master[[#This Row],[Approved By]]="", "Missing Approval", "OK")</f>
        <v>OK</v>
      </c>
      <c r="O170" t="str">
        <f>IF(ISBLANK(po_master[[#This Row],[GR Quantity]]), "No GR - Not received", "OK")</f>
        <v>OK</v>
      </c>
      <c r="P170" t="str">
        <f>IF(po_master[[#This Row],[Promised Delivey Date]]&lt;po_master[[#This Row],[Order Date]], "Invalid", "OK")</f>
        <v>OK</v>
      </c>
      <c r="Q170" t="str">
        <f>IF(ISBLANK(po_master[[#This Row],[Invoice Number]]), "No Invoice", "OK")</f>
        <v>OK</v>
      </c>
      <c r="R170" t="str">
        <f>IF(AND(NOT(ISBLANK(po_master[[#This Row],[GR Quantity]])), po_master[[#This Row],[GR Quantity]]&lt;&gt;po_master[[#This Row],[PO Quantity]]), "Qty Variance", "OK")</f>
        <v>Qty Variance</v>
      </c>
      <c r="S170" t="str">
        <f>IF(po_master[[#This Row],[Invoice Unit Price]]&gt;po_master[[#This Row],[PO Unit Price]]*1.01, "Price Variance", "OK")</f>
        <v>OK</v>
      </c>
      <c r="T170" t="str">
        <f>IF(po_master[[#This Row],[Actual Delivery Date]]&gt;po_master[[#This Row],[Promised Delivey Date]], "Late Delivery", "OK")</f>
        <v>Late Delivery</v>
      </c>
      <c r="U170" t="str">
        <f>IF(COUNTIF(po_master[PO Number],po_master[[#This Row],[PO Number]])&gt;1, "Duplicate Invoice", "OK")</f>
        <v>OK</v>
      </c>
      <c r="V170" s="5">
        <f>IF(po_master[[#This Row],[Missing Approval]]="Missing Approval", 1, 0)</f>
        <v>0</v>
      </c>
      <c r="W170" s="5">
        <f>IF(po_master[[#This Row],[GR Receipt Status]]="No GR - Not Received", 1, 0)</f>
        <v>0</v>
      </c>
      <c r="X170" s="5">
        <f>IF(po_master[[#This Row],[No invoice]]="No Invoice", 1, 0)</f>
        <v>0</v>
      </c>
      <c r="Y170" s="5">
        <f>IF(po_master[[#This Row],[Date Check]]="Invalid Date", 1, 0)</f>
        <v>0</v>
      </c>
      <c r="Z170" s="5">
        <f>IF(po_master[[#This Row],[Qty Variance Flag]]="Qty Variance", 1, 0)</f>
        <v>1</v>
      </c>
      <c r="AA170" s="5">
        <f>IF(po_master[[#This Row],[Price Variance Flag]]="Price Variance", 1, 0)</f>
        <v>0</v>
      </c>
      <c r="AB170" s="5">
        <f>IF(po_master[[#This Row],[Late Delivery Flag]]="Late Delivery", 1, 0)</f>
        <v>1</v>
      </c>
      <c r="AC170" s="5">
        <f>IF(po_master[[#This Row],[Duplicate Invoice Flag]]="Duplicate Invoice", 1, 0)</f>
        <v>0</v>
      </c>
      <c r="AD170" s="5" t="str">
        <f>TEXT(po_master[[#This Row],[Order Date]],"YYYY-MM")</f>
        <v>2026-02</v>
      </c>
    </row>
    <row r="171" spans="1:30" x14ac:dyDescent="0.25">
      <c r="A171" t="s">
        <v>824</v>
      </c>
      <c r="B171" t="s">
        <v>1500</v>
      </c>
      <c r="C171" s="1">
        <v>46105</v>
      </c>
      <c r="D171">
        <v>319</v>
      </c>
      <c r="E171">
        <v>53.82</v>
      </c>
      <c r="F171" t="s">
        <v>1476</v>
      </c>
      <c r="G171" s="1">
        <v>46117</v>
      </c>
      <c r="I171" s="1"/>
      <c r="J171" t="s">
        <v>825</v>
      </c>
      <c r="K171">
        <v>319</v>
      </c>
      <c r="L171">
        <v>53.82</v>
      </c>
      <c r="M171" s="1">
        <v>46125</v>
      </c>
      <c r="N171" t="str">
        <f>IF(po_master[[#This Row],[Approved By]]="", "Missing Approval", "OK")</f>
        <v>OK</v>
      </c>
      <c r="O171" t="str">
        <f>IF(ISBLANK(po_master[[#This Row],[GR Quantity]]), "No GR - Not received", "OK")</f>
        <v>No GR - Not received</v>
      </c>
      <c r="P171" t="str">
        <f>IF(po_master[[#This Row],[Promised Delivey Date]]&lt;po_master[[#This Row],[Order Date]], "Invalid", "OK")</f>
        <v>OK</v>
      </c>
      <c r="Q171" t="str">
        <f>IF(ISBLANK(po_master[[#This Row],[Invoice Number]]), "No Invoice", "OK")</f>
        <v>OK</v>
      </c>
      <c r="R171" t="str">
        <f>IF(AND(NOT(ISBLANK(po_master[[#This Row],[GR Quantity]])), po_master[[#This Row],[GR Quantity]]&lt;&gt;po_master[[#This Row],[PO Quantity]]), "Qty Variance", "OK")</f>
        <v>OK</v>
      </c>
      <c r="S171" t="str">
        <f>IF(po_master[[#This Row],[Invoice Unit Price]]&gt;po_master[[#This Row],[PO Unit Price]]*1.01, "Price Variance", "OK")</f>
        <v>OK</v>
      </c>
      <c r="T171" t="str">
        <f>IF(po_master[[#This Row],[Actual Delivery Date]]&gt;po_master[[#This Row],[Promised Delivey Date]], "Late Delivery", "OK")</f>
        <v>OK</v>
      </c>
      <c r="U171" t="str">
        <f>IF(COUNTIF(po_master[PO Number],po_master[[#This Row],[PO Number]])&gt;1, "Duplicate Invoice", "OK")</f>
        <v>OK</v>
      </c>
      <c r="V171" s="5">
        <f>IF(po_master[[#This Row],[Missing Approval]]="Missing Approval", 1, 0)</f>
        <v>0</v>
      </c>
      <c r="W171" s="5">
        <f>IF(po_master[[#This Row],[GR Receipt Status]]="No GR - Not Received", 1, 0)</f>
        <v>1</v>
      </c>
      <c r="X171" s="5">
        <f>IF(po_master[[#This Row],[No invoice]]="No Invoice", 1, 0)</f>
        <v>0</v>
      </c>
      <c r="Y171" s="5">
        <f>IF(po_master[[#This Row],[Date Check]]="Invalid Date", 1, 0)</f>
        <v>0</v>
      </c>
      <c r="Z171" s="5">
        <f>IF(po_master[[#This Row],[Qty Variance Flag]]="Qty Variance", 1, 0)</f>
        <v>0</v>
      </c>
      <c r="AA171" s="5">
        <f>IF(po_master[[#This Row],[Price Variance Flag]]="Price Variance", 1, 0)</f>
        <v>0</v>
      </c>
      <c r="AB171" s="5">
        <f>IF(po_master[[#This Row],[Late Delivery Flag]]="Late Delivery", 1, 0)</f>
        <v>0</v>
      </c>
      <c r="AC171" s="5">
        <f>IF(po_master[[#This Row],[Duplicate Invoice Flag]]="Duplicate Invoice", 1, 0)</f>
        <v>0</v>
      </c>
      <c r="AD171" s="5" t="str">
        <f>TEXT(po_master[[#This Row],[Order Date]],"YYYY-MM")</f>
        <v>2026-03</v>
      </c>
    </row>
    <row r="172" spans="1:30" x14ac:dyDescent="0.25">
      <c r="A172" t="s">
        <v>153</v>
      </c>
      <c r="B172" t="s">
        <v>1439</v>
      </c>
      <c r="C172" s="1">
        <v>46136</v>
      </c>
      <c r="D172">
        <v>399</v>
      </c>
      <c r="E172">
        <v>15.06</v>
      </c>
      <c r="F172" t="s">
        <v>1458</v>
      </c>
      <c r="G172" s="1">
        <v>46145</v>
      </c>
      <c r="H172">
        <v>399</v>
      </c>
      <c r="I172" s="1">
        <v>46147</v>
      </c>
      <c r="J172" t="s">
        <v>836</v>
      </c>
      <c r="K172">
        <v>399</v>
      </c>
      <c r="L172">
        <v>17.100000000000001</v>
      </c>
      <c r="M172" s="1">
        <v>46149</v>
      </c>
      <c r="N172" t="str">
        <f>IF(po_master[[#This Row],[Approved By]]="", "Missing Approval", "OK")</f>
        <v>OK</v>
      </c>
      <c r="O172" t="str">
        <f>IF(ISBLANK(po_master[[#This Row],[GR Quantity]]), "No GR - Not received", "OK")</f>
        <v>OK</v>
      </c>
      <c r="P172" t="str">
        <f>IF(po_master[[#This Row],[Promised Delivey Date]]&lt;po_master[[#This Row],[Order Date]], "Invalid", "OK")</f>
        <v>OK</v>
      </c>
      <c r="Q172" t="str">
        <f>IF(ISBLANK(po_master[[#This Row],[Invoice Number]]), "No Invoice", "OK")</f>
        <v>OK</v>
      </c>
      <c r="R172" t="str">
        <f>IF(AND(NOT(ISBLANK(po_master[[#This Row],[GR Quantity]])), po_master[[#This Row],[GR Quantity]]&lt;&gt;po_master[[#This Row],[PO Quantity]]), "Qty Variance", "OK")</f>
        <v>OK</v>
      </c>
      <c r="S172" t="str">
        <f>IF(po_master[[#This Row],[Invoice Unit Price]]&gt;po_master[[#This Row],[PO Unit Price]]*1.01, "Price Variance", "OK")</f>
        <v>Price Variance</v>
      </c>
      <c r="T172" t="str">
        <f>IF(po_master[[#This Row],[Actual Delivery Date]]&gt;po_master[[#This Row],[Promised Delivey Date]], "Late Delivery", "OK")</f>
        <v>Late Delivery</v>
      </c>
      <c r="U172" t="str">
        <f>IF(COUNTIF(po_master[PO Number],po_master[[#This Row],[PO Number]])&gt;1, "Duplicate Invoice", "OK")</f>
        <v>OK</v>
      </c>
      <c r="V172" s="5">
        <f>IF(po_master[[#This Row],[Missing Approval]]="Missing Approval", 1, 0)</f>
        <v>0</v>
      </c>
      <c r="W172" s="5">
        <f>IF(po_master[[#This Row],[GR Receipt Status]]="No GR - Not Received", 1, 0)</f>
        <v>0</v>
      </c>
      <c r="X172" s="5">
        <f>IF(po_master[[#This Row],[No invoice]]="No Invoice", 1, 0)</f>
        <v>0</v>
      </c>
      <c r="Y172" s="5">
        <f>IF(po_master[[#This Row],[Date Check]]="Invalid Date", 1, 0)</f>
        <v>0</v>
      </c>
      <c r="Z172" s="5">
        <f>IF(po_master[[#This Row],[Qty Variance Flag]]="Qty Variance", 1, 0)</f>
        <v>0</v>
      </c>
      <c r="AA172" s="5">
        <f>IF(po_master[[#This Row],[Price Variance Flag]]="Price Variance", 1, 0)</f>
        <v>1</v>
      </c>
      <c r="AB172" s="5">
        <f>IF(po_master[[#This Row],[Late Delivery Flag]]="Late Delivery", 1, 0)</f>
        <v>1</v>
      </c>
      <c r="AC172" s="5">
        <f>IF(po_master[[#This Row],[Duplicate Invoice Flag]]="Duplicate Invoice", 1, 0)</f>
        <v>0</v>
      </c>
      <c r="AD172" s="5" t="str">
        <f>TEXT(po_master[[#This Row],[Order Date]],"YYYY-MM")</f>
        <v>2026-04</v>
      </c>
    </row>
    <row r="173" spans="1:30" x14ac:dyDescent="0.25">
      <c r="A173" t="s">
        <v>154</v>
      </c>
      <c r="B173" t="s">
        <v>1506</v>
      </c>
      <c r="C173" s="1">
        <v>46135</v>
      </c>
      <c r="D173">
        <v>460</v>
      </c>
      <c r="E173">
        <v>141.16</v>
      </c>
      <c r="F173" t="s">
        <v>1483</v>
      </c>
      <c r="G173" s="1">
        <v>46140</v>
      </c>
      <c r="H173">
        <v>460</v>
      </c>
      <c r="I173" s="1">
        <v>46142</v>
      </c>
      <c r="J173" t="s">
        <v>837</v>
      </c>
      <c r="K173">
        <v>460</v>
      </c>
      <c r="L173">
        <v>141.16</v>
      </c>
      <c r="M173" s="1">
        <v>46141</v>
      </c>
      <c r="N173" t="str">
        <f>IF(po_master[[#This Row],[Approved By]]="", "Missing Approval", "OK")</f>
        <v>OK</v>
      </c>
      <c r="O173" t="str">
        <f>IF(ISBLANK(po_master[[#This Row],[GR Quantity]]), "No GR - Not received", "OK")</f>
        <v>OK</v>
      </c>
      <c r="P173" t="str">
        <f>IF(po_master[[#This Row],[Promised Delivey Date]]&lt;po_master[[#This Row],[Order Date]], "Invalid", "OK")</f>
        <v>OK</v>
      </c>
      <c r="Q173" t="str">
        <f>IF(ISBLANK(po_master[[#This Row],[Invoice Number]]), "No Invoice", "OK")</f>
        <v>OK</v>
      </c>
      <c r="R173" t="str">
        <f>IF(AND(NOT(ISBLANK(po_master[[#This Row],[GR Quantity]])), po_master[[#This Row],[GR Quantity]]&lt;&gt;po_master[[#This Row],[PO Quantity]]), "Qty Variance", "OK")</f>
        <v>OK</v>
      </c>
      <c r="S173" t="str">
        <f>IF(po_master[[#This Row],[Invoice Unit Price]]&gt;po_master[[#This Row],[PO Unit Price]]*1.01, "Price Variance", "OK")</f>
        <v>OK</v>
      </c>
      <c r="T173" t="str">
        <f>IF(po_master[[#This Row],[Actual Delivery Date]]&gt;po_master[[#This Row],[Promised Delivey Date]], "Late Delivery", "OK")</f>
        <v>Late Delivery</v>
      </c>
      <c r="U173" t="str">
        <f>IF(COUNTIF(po_master[PO Number],po_master[[#This Row],[PO Number]])&gt;1, "Duplicate Invoice", "OK")</f>
        <v>OK</v>
      </c>
      <c r="V173" s="5">
        <f>IF(po_master[[#This Row],[Missing Approval]]="Missing Approval", 1, 0)</f>
        <v>0</v>
      </c>
      <c r="W173" s="5">
        <f>IF(po_master[[#This Row],[GR Receipt Status]]="No GR - Not Received", 1, 0)</f>
        <v>0</v>
      </c>
      <c r="X173" s="5">
        <f>IF(po_master[[#This Row],[No invoice]]="No Invoice", 1, 0)</f>
        <v>0</v>
      </c>
      <c r="Y173" s="5">
        <f>IF(po_master[[#This Row],[Date Check]]="Invalid Date", 1, 0)</f>
        <v>0</v>
      </c>
      <c r="Z173" s="5">
        <f>IF(po_master[[#This Row],[Qty Variance Flag]]="Qty Variance", 1, 0)</f>
        <v>0</v>
      </c>
      <c r="AA173" s="5">
        <f>IF(po_master[[#This Row],[Price Variance Flag]]="Price Variance", 1, 0)</f>
        <v>0</v>
      </c>
      <c r="AB173" s="5">
        <f>IF(po_master[[#This Row],[Late Delivery Flag]]="Late Delivery", 1, 0)</f>
        <v>1</v>
      </c>
      <c r="AC173" s="5">
        <f>IF(po_master[[#This Row],[Duplicate Invoice Flag]]="Duplicate Invoice", 1, 0)</f>
        <v>0</v>
      </c>
      <c r="AD173" s="5" t="str">
        <f>TEXT(po_master[[#This Row],[Order Date]],"YYYY-MM")</f>
        <v>2026-04</v>
      </c>
    </row>
    <row r="174" spans="1:30" x14ac:dyDescent="0.25">
      <c r="A174" t="s">
        <v>155</v>
      </c>
      <c r="B174" t="s">
        <v>1439</v>
      </c>
      <c r="C174" s="1">
        <v>46084</v>
      </c>
      <c r="D174">
        <v>373</v>
      </c>
      <c r="E174">
        <v>35.880000000000003</v>
      </c>
      <c r="F174" t="s">
        <v>1442</v>
      </c>
      <c r="G174" s="1">
        <v>46089</v>
      </c>
      <c r="H174">
        <v>373</v>
      </c>
      <c r="I174" s="1">
        <v>46091</v>
      </c>
      <c r="J174" t="s">
        <v>838</v>
      </c>
      <c r="K174">
        <v>373</v>
      </c>
      <c r="L174">
        <v>35.880000000000003</v>
      </c>
      <c r="M174" s="1">
        <v>46092</v>
      </c>
      <c r="N174" t="str">
        <f>IF(po_master[[#This Row],[Approved By]]="", "Missing Approval", "OK")</f>
        <v>OK</v>
      </c>
      <c r="O174" t="str">
        <f>IF(ISBLANK(po_master[[#This Row],[GR Quantity]]), "No GR - Not received", "OK")</f>
        <v>OK</v>
      </c>
      <c r="P174" t="str">
        <f>IF(po_master[[#This Row],[Promised Delivey Date]]&lt;po_master[[#This Row],[Order Date]], "Invalid", "OK")</f>
        <v>OK</v>
      </c>
      <c r="Q174" t="str">
        <f>IF(ISBLANK(po_master[[#This Row],[Invoice Number]]), "No Invoice", "OK")</f>
        <v>OK</v>
      </c>
      <c r="R174" t="str">
        <f>IF(AND(NOT(ISBLANK(po_master[[#This Row],[GR Quantity]])), po_master[[#This Row],[GR Quantity]]&lt;&gt;po_master[[#This Row],[PO Quantity]]), "Qty Variance", "OK")</f>
        <v>OK</v>
      </c>
      <c r="S174" t="str">
        <f>IF(po_master[[#This Row],[Invoice Unit Price]]&gt;po_master[[#This Row],[PO Unit Price]]*1.01, "Price Variance", "OK")</f>
        <v>OK</v>
      </c>
      <c r="T174" t="str">
        <f>IF(po_master[[#This Row],[Actual Delivery Date]]&gt;po_master[[#This Row],[Promised Delivey Date]], "Late Delivery", "OK")</f>
        <v>Late Delivery</v>
      </c>
      <c r="U174" t="str">
        <f>IF(COUNTIF(po_master[PO Number],po_master[[#This Row],[PO Number]])&gt;1, "Duplicate Invoice", "OK")</f>
        <v>OK</v>
      </c>
      <c r="V174" s="5">
        <f>IF(po_master[[#This Row],[Missing Approval]]="Missing Approval", 1, 0)</f>
        <v>0</v>
      </c>
      <c r="W174" s="5">
        <f>IF(po_master[[#This Row],[GR Receipt Status]]="No GR - Not Received", 1, 0)</f>
        <v>0</v>
      </c>
      <c r="X174" s="5">
        <f>IF(po_master[[#This Row],[No invoice]]="No Invoice", 1, 0)</f>
        <v>0</v>
      </c>
      <c r="Y174" s="5">
        <f>IF(po_master[[#This Row],[Date Check]]="Invalid Date", 1, 0)</f>
        <v>0</v>
      </c>
      <c r="Z174" s="5">
        <f>IF(po_master[[#This Row],[Qty Variance Flag]]="Qty Variance", 1, 0)</f>
        <v>0</v>
      </c>
      <c r="AA174" s="5">
        <f>IF(po_master[[#This Row],[Price Variance Flag]]="Price Variance", 1, 0)</f>
        <v>0</v>
      </c>
      <c r="AB174" s="5">
        <f>IF(po_master[[#This Row],[Late Delivery Flag]]="Late Delivery", 1, 0)</f>
        <v>1</v>
      </c>
      <c r="AC174" s="5">
        <f>IF(po_master[[#This Row],[Duplicate Invoice Flag]]="Duplicate Invoice", 1, 0)</f>
        <v>0</v>
      </c>
      <c r="AD174" s="5" t="str">
        <f>TEXT(po_master[[#This Row],[Order Date]],"YYYY-MM")</f>
        <v>2026-03</v>
      </c>
    </row>
    <row r="175" spans="1:30" x14ac:dyDescent="0.25">
      <c r="A175" t="s">
        <v>156</v>
      </c>
      <c r="B175" t="s">
        <v>1454</v>
      </c>
      <c r="C175" s="1">
        <v>46127</v>
      </c>
      <c r="D175">
        <v>57</v>
      </c>
      <c r="E175">
        <v>48.82</v>
      </c>
      <c r="F175" t="s">
        <v>1483</v>
      </c>
      <c r="G175" s="1">
        <v>46146</v>
      </c>
      <c r="H175">
        <v>57</v>
      </c>
      <c r="I175" s="1">
        <v>46144</v>
      </c>
      <c r="J175" t="s">
        <v>839</v>
      </c>
      <c r="K175">
        <v>57</v>
      </c>
      <c r="L175">
        <v>48.82</v>
      </c>
      <c r="M175" s="1">
        <v>46150</v>
      </c>
      <c r="N175" t="str">
        <f>IF(po_master[[#This Row],[Approved By]]="", "Missing Approval", "OK")</f>
        <v>OK</v>
      </c>
      <c r="O175" t="str">
        <f>IF(ISBLANK(po_master[[#This Row],[GR Quantity]]), "No GR - Not received", "OK")</f>
        <v>OK</v>
      </c>
      <c r="P175" t="str">
        <f>IF(po_master[[#This Row],[Promised Delivey Date]]&lt;po_master[[#This Row],[Order Date]], "Invalid", "OK")</f>
        <v>OK</v>
      </c>
      <c r="Q175" t="str">
        <f>IF(ISBLANK(po_master[[#This Row],[Invoice Number]]), "No Invoice", "OK")</f>
        <v>OK</v>
      </c>
      <c r="R175" t="str">
        <f>IF(AND(NOT(ISBLANK(po_master[[#This Row],[GR Quantity]])), po_master[[#This Row],[GR Quantity]]&lt;&gt;po_master[[#This Row],[PO Quantity]]), "Qty Variance", "OK")</f>
        <v>OK</v>
      </c>
      <c r="S175" t="str">
        <f>IF(po_master[[#This Row],[Invoice Unit Price]]&gt;po_master[[#This Row],[PO Unit Price]]*1.01, "Price Variance", "OK")</f>
        <v>OK</v>
      </c>
      <c r="T175" t="str">
        <f>IF(po_master[[#This Row],[Actual Delivery Date]]&gt;po_master[[#This Row],[Promised Delivey Date]], "Late Delivery", "OK")</f>
        <v>OK</v>
      </c>
      <c r="U175" t="str">
        <f>IF(COUNTIF(po_master[PO Number],po_master[[#This Row],[PO Number]])&gt;1, "Duplicate Invoice", "OK")</f>
        <v>OK</v>
      </c>
      <c r="V175" s="5">
        <f>IF(po_master[[#This Row],[Missing Approval]]="Missing Approval", 1, 0)</f>
        <v>0</v>
      </c>
      <c r="W175" s="5">
        <f>IF(po_master[[#This Row],[GR Receipt Status]]="No GR - Not Received", 1, 0)</f>
        <v>0</v>
      </c>
      <c r="X175" s="5">
        <f>IF(po_master[[#This Row],[No invoice]]="No Invoice", 1, 0)</f>
        <v>0</v>
      </c>
      <c r="Y175" s="5">
        <f>IF(po_master[[#This Row],[Date Check]]="Invalid Date", 1, 0)</f>
        <v>0</v>
      </c>
      <c r="Z175" s="5">
        <f>IF(po_master[[#This Row],[Qty Variance Flag]]="Qty Variance", 1, 0)</f>
        <v>0</v>
      </c>
      <c r="AA175" s="5">
        <f>IF(po_master[[#This Row],[Price Variance Flag]]="Price Variance", 1, 0)</f>
        <v>0</v>
      </c>
      <c r="AB175" s="5">
        <f>IF(po_master[[#This Row],[Late Delivery Flag]]="Late Delivery", 1, 0)</f>
        <v>0</v>
      </c>
      <c r="AC175" s="5">
        <f>IF(po_master[[#This Row],[Duplicate Invoice Flag]]="Duplicate Invoice", 1, 0)</f>
        <v>0</v>
      </c>
      <c r="AD175" s="5" t="str">
        <f>TEXT(po_master[[#This Row],[Order Date]],"YYYY-MM")</f>
        <v>2026-04</v>
      </c>
    </row>
    <row r="176" spans="1:30" x14ac:dyDescent="0.25">
      <c r="A176" t="s">
        <v>830</v>
      </c>
      <c r="B176" t="s">
        <v>1509</v>
      </c>
      <c r="C176" s="1">
        <v>46049</v>
      </c>
      <c r="D176">
        <v>449</v>
      </c>
      <c r="E176">
        <v>36.36</v>
      </c>
      <c r="F176" t="s">
        <v>1507</v>
      </c>
      <c r="G176" s="1">
        <v>46069</v>
      </c>
      <c r="I176" s="1"/>
      <c r="J176" t="s">
        <v>831</v>
      </c>
      <c r="K176">
        <v>449</v>
      </c>
      <c r="L176">
        <v>36.36</v>
      </c>
      <c r="M176" s="1">
        <v>46074</v>
      </c>
      <c r="N176" t="str">
        <f>IF(po_master[[#This Row],[Approved By]]="", "Missing Approval", "OK")</f>
        <v>OK</v>
      </c>
      <c r="O176" t="str">
        <f>IF(ISBLANK(po_master[[#This Row],[GR Quantity]]), "No GR - Not received", "OK")</f>
        <v>No GR - Not received</v>
      </c>
      <c r="P176" t="str">
        <f>IF(po_master[[#This Row],[Promised Delivey Date]]&lt;po_master[[#This Row],[Order Date]], "Invalid", "OK")</f>
        <v>OK</v>
      </c>
      <c r="Q176" t="str">
        <f>IF(ISBLANK(po_master[[#This Row],[Invoice Number]]), "No Invoice", "OK")</f>
        <v>OK</v>
      </c>
      <c r="R176" t="str">
        <f>IF(AND(NOT(ISBLANK(po_master[[#This Row],[GR Quantity]])), po_master[[#This Row],[GR Quantity]]&lt;&gt;po_master[[#This Row],[PO Quantity]]), "Qty Variance", "OK")</f>
        <v>OK</v>
      </c>
      <c r="S176" t="str">
        <f>IF(po_master[[#This Row],[Invoice Unit Price]]&gt;po_master[[#This Row],[PO Unit Price]]*1.01, "Price Variance", "OK")</f>
        <v>OK</v>
      </c>
      <c r="T176" t="str">
        <f>IF(po_master[[#This Row],[Actual Delivery Date]]&gt;po_master[[#This Row],[Promised Delivey Date]], "Late Delivery", "OK")</f>
        <v>OK</v>
      </c>
      <c r="U176" t="str">
        <f>IF(COUNTIF(po_master[PO Number],po_master[[#This Row],[PO Number]])&gt;1, "Duplicate Invoice", "OK")</f>
        <v>OK</v>
      </c>
      <c r="V176" s="5">
        <f>IF(po_master[[#This Row],[Missing Approval]]="Missing Approval", 1, 0)</f>
        <v>0</v>
      </c>
      <c r="W176" s="5">
        <f>IF(po_master[[#This Row],[GR Receipt Status]]="No GR - Not Received", 1, 0)</f>
        <v>1</v>
      </c>
      <c r="X176" s="5">
        <f>IF(po_master[[#This Row],[No invoice]]="No Invoice", 1, 0)</f>
        <v>0</v>
      </c>
      <c r="Y176" s="5">
        <f>IF(po_master[[#This Row],[Date Check]]="Invalid Date", 1, 0)</f>
        <v>0</v>
      </c>
      <c r="Z176" s="5">
        <f>IF(po_master[[#This Row],[Qty Variance Flag]]="Qty Variance", 1, 0)</f>
        <v>0</v>
      </c>
      <c r="AA176" s="5">
        <f>IF(po_master[[#This Row],[Price Variance Flag]]="Price Variance", 1, 0)</f>
        <v>0</v>
      </c>
      <c r="AB176" s="5">
        <f>IF(po_master[[#This Row],[Late Delivery Flag]]="Late Delivery", 1, 0)</f>
        <v>0</v>
      </c>
      <c r="AC176" s="5">
        <f>IF(po_master[[#This Row],[Duplicate Invoice Flag]]="Duplicate Invoice", 1, 0)</f>
        <v>0</v>
      </c>
      <c r="AD176" s="5" t="str">
        <f>TEXT(po_master[[#This Row],[Order Date]],"YYYY-MM")</f>
        <v>2026-01</v>
      </c>
    </row>
    <row r="177" spans="1:30" x14ac:dyDescent="0.25">
      <c r="A177" t="s">
        <v>157</v>
      </c>
      <c r="B177" t="s">
        <v>1466</v>
      </c>
      <c r="C177" s="1">
        <v>46062</v>
      </c>
      <c r="D177">
        <v>265</v>
      </c>
      <c r="E177">
        <v>186.87</v>
      </c>
      <c r="F177" t="s">
        <v>1459</v>
      </c>
      <c r="G177" s="1">
        <v>46083</v>
      </c>
      <c r="H177">
        <v>265</v>
      </c>
      <c r="I177" s="1">
        <v>46083</v>
      </c>
      <c r="J177" t="s">
        <v>840</v>
      </c>
      <c r="K177">
        <v>265</v>
      </c>
      <c r="L177">
        <v>186.87</v>
      </c>
      <c r="M177" s="1">
        <v>46093</v>
      </c>
      <c r="N177" t="str">
        <f>IF(po_master[[#This Row],[Approved By]]="", "Missing Approval", "OK")</f>
        <v>Missing Approval</v>
      </c>
      <c r="O177" t="str">
        <f>IF(ISBLANK(po_master[[#This Row],[GR Quantity]]), "No GR - Not received", "OK")</f>
        <v>OK</v>
      </c>
      <c r="P177" t="str">
        <f>IF(po_master[[#This Row],[Promised Delivey Date]]&lt;po_master[[#This Row],[Order Date]], "Invalid", "OK")</f>
        <v>OK</v>
      </c>
      <c r="Q177" t="str">
        <f>IF(ISBLANK(po_master[[#This Row],[Invoice Number]]), "No Invoice", "OK")</f>
        <v>OK</v>
      </c>
      <c r="R177" t="str">
        <f>IF(AND(NOT(ISBLANK(po_master[[#This Row],[GR Quantity]])), po_master[[#This Row],[GR Quantity]]&lt;&gt;po_master[[#This Row],[PO Quantity]]), "Qty Variance", "OK")</f>
        <v>OK</v>
      </c>
      <c r="S177" t="str">
        <f>IF(po_master[[#This Row],[Invoice Unit Price]]&gt;po_master[[#This Row],[PO Unit Price]]*1.01, "Price Variance", "OK")</f>
        <v>OK</v>
      </c>
      <c r="T177" t="str">
        <f>IF(po_master[[#This Row],[Actual Delivery Date]]&gt;po_master[[#This Row],[Promised Delivey Date]], "Late Delivery", "OK")</f>
        <v>OK</v>
      </c>
      <c r="U177" t="str">
        <f>IF(COUNTIF(po_master[PO Number],po_master[[#This Row],[PO Number]])&gt;1, "Duplicate Invoice", "OK")</f>
        <v>OK</v>
      </c>
      <c r="V177" s="5">
        <f>IF(po_master[[#This Row],[Missing Approval]]="Missing Approval", 1, 0)</f>
        <v>1</v>
      </c>
      <c r="W177" s="5">
        <f>IF(po_master[[#This Row],[GR Receipt Status]]="No GR - Not Received", 1, 0)</f>
        <v>0</v>
      </c>
      <c r="X177" s="5">
        <f>IF(po_master[[#This Row],[No invoice]]="No Invoice", 1, 0)</f>
        <v>0</v>
      </c>
      <c r="Y177" s="5">
        <f>IF(po_master[[#This Row],[Date Check]]="Invalid Date", 1, 0)</f>
        <v>0</v>
      </c>
      <c r="Z177" s="5">
        <f>IF(po_master[[#This Row],[Qty Variance Flag]]="Qty Variance", 1, 0)</f>
        <v>0</v>
      </c>
      <c r="AA177" s="5">
        <f>IF(po_master[[#This Row],[Price Variance Flag]]="Price Variance", 1, 0)</f>
        <v>0</v>
      </c>
      <c r="AB177" s="5">
        <f>IF(po_master[[#This Row],[Late Delivery Flag]]="Late Delivery", 1, 0)</f>
        <v>0</v>
      </c>
      <c r="AC177" s="5">
        <f>IF(po_master[[#This Row],[Duplicate Invoice Flag]]="Duplicate Invoice", 1, 0)</f>
        <v>0</v>
      </c>
      <c r="AD177" s="5" t="str">
        <f>TEXT(po_master[[#This Row],[Order Date]],"YYYY-MM")</f>
        <v>2026-02</v>
      </c>
    </row>
    <row r="178" spans="1:30" x14ac:dyDescent="0.25">
      <c r="A178" t="s">
        <v>158</v>
      </c>
      <c r="B178" t="s">
        <v>1455</v>
      </c>
      <c r="C178" s="1">
        <v>46092</v>
      </c>
      <c r="D178">
        <v>222</v>
      </c>
      <c r="E178">
        <v>167.77</v>
      </c>
      <c r="F178" t="s">
        <v>1487</v>
      </c>
      <c r="G178" s="1">
        <v>46104</v>
      </c>
      <c r="H178">
        <v>222</v>
      </c>
      <c r="I178" s="1">
        <v>46104</v>
      </c>
      <c r="J178" t="s">
        <v>841</v>
      </c>
      <c r="K178">
        <v>222</v>
      </c>
      <c r="L178">
        <v>167.77</v>
      </c>
      <c r="M178" s="1">
        <v>46114</v>
      </c>
      <c r="N178" t="str">
        <f>IF(po_master[[#This Row],[Approved By]]="", "Missing Approval", "OK")</f>
        <v>OK</v>
      </c>
      <c r="O178" t="str">
        <f>IF(ISBLANK(po_master[[#This Row],[GR Quantity]]), "No GR - Not received", "OK")</f>
        <v>OK</v>
      </c>
      <c r="P178" t="str">
        <f>IF(po_master[[#This Row],[Promised Delivey Date]]&lt;po_master[[#This Row],[Order Date]], "Invalid", "OK")</f>
        <v>OK</v>
      </c>
      <c r="Q178" t="str">
        <f>IF(ISBLANK(po_master[[#This Row],[Invoice Number]]), "No Invoice", "OK")</f>
        <v>OK</v>
      </c>
      <c r="R178" t="str">
        <f>IF(AND(NOT(ISBLANK(po_master[[#This Row],[GR Quantity]])), po_master[[#This Row],[GR Quantity]]&lt;&gt;po_master[[#This Row],[PO Quantity]]), "Qty Variance", "OK")</f>
        <v>OK</v>
      </c>
      <c r="S178" t="str">
        <f>IF(po_master[[#This Row],[Invoice Unit Price]]&gt;po_master[[#This Row],[PO Unit Price]]*1.01, "Price Variance", "OK")</f>
        <v>OK</v>
      </c>
      <c r="T178" t="str">
        <f>IF(po_master[[#This Row],[Actual Delivery Date]]&gt;po_master[[#This Row],[Promised Delivey Date]], "Late Delivery", "OK")</f>
        <v>OK</v>
      </c>
      <c r="U178" t="str">
        <f>IF(COUNTIF(po_master[PO Number],po_master[[#This Row],[PO Number]])&gt;1, "Duplicate Invoice", "OK")</f>
        <v>OK</v>
      </c>
      <c r="V178" s="5">
        <f>IF(po_master[[#This Row],[Missing Approval]]="Missing Approval", 1, 0)</f>
        <v>0</v>
      </c>
      <c r="W178" s="5">
        <f>IF(po_master[[#This Row],[GR Receipt Status]]="No GR - Not Received", 1, 0)</f>
        <v>0</v>
      </c>
      <c r="X178" s="5">
        <f>IF(po_master[[#This Row],[No invoice]]="No Invoice", 1, 0)</f>
        <v>0</v>
      </c>
      <c r="Y178" s="5">
        <f>IF(po_master[[#This Row],[Date Check]]="Invalid Date", 1, 0)</f>
        <v>0</v>
      </c>
      <c r="Z178" s="5">
        <f>IF(po_master[[#This Row],[Qty Variance Flag]]="Qty Variance", 1, 0)</f>
        <v>0</v>
      </c>
      <c r="AA178" s="5">
        <f>IF(po_master[[#This Row],[Price Variance Flag]]="Price Variance", 1, 0)</f>
        <v>0</v>
      </c>
      <c r="AB178" s="5">
        <f>IF(po_master[[#This Row],[Late Delivery Flag]]="Late Delivery", 1, 0)</f>
        <v>0</v>
      </c>
      <c r="AC178" s="5">
        <f>IF(po_master[[#This Row],[Duplicate Invoice Flag]]="Duplicate Invoice", 1, 0)</f>
        <v>0</v>
      </c>
      <c r="AD178" s="5" t="str">
        <f>TEXT(po_master[[#This Row],[Order Date]],"YYYY-MM")</f>
        <v>2026-03</v>
      </c>
    </row>
    <row r="179" spans="1:30" x14ac:dyDescent="0.25">
      <c r="A179" t="s">
        <v>159</v>
      </c>
      <c r="B179" t="s">
        <v>1489</v>
      </c>
      <c r="C179" s="1">
        <v>46164</v>
      </c>
      <c r="D179">
        <v>84</v>
      </c>
      <c r="E179">
        <v>79.8</v>
      </c>
      <c r="F179" t="s">
        <v>1494</v>
      </c>
      <c r="G179" s="1">
        <v>46185</v>
      </c>
      <c r="H179">
        <v>84</v>
      </c>
      <c r="I179" s="1">
        <v>46185</v>
      </c>
      <c r="J179" t="s">
        <v>842</v>
      </c>
      <c r="K179">
        <v>84</v>
      </c>
      <c r="L179">
        <v>79.8</v>
      </c>
      <c r="M179" s="1">
        <v>46193</v>
      </c>
      <c r="N179" t="str">
        <f>IF(po_master[[#This Row],[Approved By]]="", "Missing Approval", "OK")</f>
        <v>OK</v>
      </c>
      <c r="O179" t="str">
        <f>IF(ISBLANK(po_master[[#This Row],[GR Quantity]]), "No GR - Not received", "OK")</f>
        <v>OK</v>
      </c>
      <c r="P179" t="str">
        <f>IF(po_master[[#This Row],[Promised Delivey Date]]&lt;po_master[[#This Row],[Order Date]], "Invalid", "OK")</f>
        <v>OK</v>
      </c>
      <c r="Q179" t="str">
        <f>IF(ISBLANK(po_master[[#This Row],[Invoice Number]]), "No Invoice", "OK")</f>
        <v>OK</v>
      </c>
      <c r="R179" t="str">
        <f>IF(AND(NOT(ISBLANK(po_master[[#This Row],[GR Quantity]])), po_master[[#This Row],[GR Quantity]]&lt;&gt;po_master[[#This Row],[PO Quantity]]), "Qty Variance", "OK")</f>
        <v>OK</v>
      </c>
      <c r="S179" t="str">
        <f>IF(po_master[[#This Row],[Invoice Unit Price]]&gt;po_master[[#This Row],[PO Unit Price]]*1.01, "Price Variance", "OK")</f>
        <v>OK</v>
      </c>
      <c r="T179" t="str">
        <f>IF(po_master[[#This Row],[Actual Delivery Date]]&gt;po_master[[#This Row],[Promised Delivey Date]], "Late Delivery", "OK")</f>
        <v>OK</v>
      </c>
      <c r="U179" t="str">
        <f>IF(COUNTIF(po_master[PO Number],po_master[[#This Row],[PO Number]])&gt;1, "Duplicate Invoice", "OK")</f>
        <v>OK</v>
      </c>
      <c r="V179" s="5">
        <f>IF(po_master[[#This Row],[Missing Approval]]="Missing Approval", 1, 0)</f>
        <v>0</v>
      </c>
      <c r="W179" s="5">
        <f>IF(po_master[[#This Row],[GR Receipt Status]]="No GR - Not Received", 1, 0)</f>
        <v>0</v>
      </c>
      <c r="X179" s="5">
        <f>IF(po_master[[#This Row],[No invoice]]="No Invoice", 1, 0)</f>
        <v>0</v>
      </c>
      <c r="Y179" s="5">
        <f>IF(po_master[[#This Row],[Date Check]]="Invalid Date", 1, 0)</f>
        <v>0</v>
      </c>
      <c r="Z179" s="5">
        <f>IF(po_master[[#This Row],[Qty Variance Flag]]="Qty Variance", 1, 0)</f>
        <v>0</v>
      </c>
      <c r="AA179" s="5">
        <f>IF(po_master[[#This Row],[Price Variance Flag]]="Price Variance", 1, 0)</f>
        <v>0</v>
      </c>
      <c r="AB179" s="5">
        <f>IF(po_master[[#This Row],[Late Delivery Flag]]="Late Delivery", 1, 0)</f>
        <v>0</v>
      </c>
      <c r="AC179" s="5">
        <f>IF(po_master[[#This Row],[Duplicate Invoice Flag]]="Duplicate Invoice", 1, 0)</f>
        <v>0</v>
      </c>
      <c r="AD179" s="5" t="str">
        <f>TEXT(po_master[[#This Row],[Order Date]],"YYYY-MM")</f>
        <v>2026-05</v>
      </c>
    </row>
    <row r="180" spans="1:30" x14ac:dyDescent="0.25">
      <c r="A180" t="s">
        <v>160</v>
      </c>
      <c r="B180" t="s">
        <v>1465</v>
      </c>
      <c r="C180" s="1">
        <v>46057</v>
      </c>
      <c r="D180">
        <v>452</v>
      </c>
      <c r="E180">
        <v>18.61</v>
      </c>
      <c r="F180" t="s">
        <v>1456</v>
      </c>
      <c r="G180" s="1">
        <v>46075</v>
      </c>
      <c r="H180">
        <v>452</v>
      </c>
      <c r="I180" s="1">
        <v>46075</v>
      </c>
      <c r="J180" t="s">
        <v>843</v>
      </c>
      <c r="K180">
        <v>452</v>
      </c>
      <c r="L180">
        <v>20.76</v>
      </c>
      <c r="M180" s="1">
        <v>46082</v>
      </c>
      <c r="N180" t="str">
        <f>IF(po_master[[#This Row],[Approved By]]="", "Missing Approval", "OK")</f>
        <v>OK</v>
      </c>
      <c r="O180" t="str">
        <f>IF(ISBLANK(po_master[[#This Row],[GR Quantity]]), "No GR - Not received", "OK")</f>
        <v>OK</v>
      </c>
      <c r="P180" t="str">
        <f>IF(po_master[[#This Row],[Promised Delivey Date]]&lt;po_master[[#This Row],[Order Date]], "Invalid", "OK")</f>
        <v>OK</v>
      </c>
      <c r="Q180" t="str">
        <f>IF(ISBLANK(po_master[[#This Row],[Invoice Number]]), "No Invoice", "OK")</f>
        <v>OK</v>
      </c>
      <c r="R180" t="str">
        <f>IF(AND(NOT(ISBLANK(po_master[[#This Row],[GR Quantity]])), po_master[[#This Row],[GR Quantity]]&lt;&gt;po_master[[#This Row],[PO Quantity]]), "Qty Variance", "OK")</f>
        <v>OK</v>
      </c>
      <c r="S180" t="str">
        <f>IF(po_master[[#This Row],[Invoice Unit Price]]&gt;po_master[[#This Row],[PO Unit Price]]*1.01, "Price Variance", "OK")</f>
        <v>Price Variance</v>
      </c>
      <c r="T180" t="str">
        <f>IF(po_master[[#This Row],[Actual Delivery Date]]&gt;po_master[[#This Row],[Promised Delivey Date]], "Late Delivery", "OK")</f>
        <v>OK</v>
      </c>
      <c r="U180" t="str">
        <f>IF(COUNTIF(po_master[PO Number],po_master[[#This Row],[PO Number]])&gt;1, "Duplicate Invoice", "OK")</f>
        <v>Duplicate Invoice</v>
      </c>
      <c r="V180" s="5">
        <f>IF(po_master[[#This Row],[Missing Approval]]="Missing Approval", 1, 0)</f>
        <v>0</v>
      </c>
      <c r="W180" s="5">
        <f>IF(po_master[[#This Row],[GR Receipt Status]]="No GR - Not Received", 1, 0)</f>
        <v>0</v>
      </c>
      <c r="X180" s="5">
        <f>IF(po_master[[#This Row],[No invoice]]="No Invoice", 1, 0)</f>
        <v>0</v>
      </c>
      <c r="Y180" s="5">
        <f>IF(po_master[[#This Row],[Date Check]]="Invalid Date", 1, 0)</f>
        <v>0</v>
      </c>
      <c r="Z180" s="5">
        <f>IF(po_master[[#This Row],[Qty Variance Flag]]="Qty Variance", 1, 0)</f>
        <v>0</v>
      </c>
      <c r="AA180" s="5">
        <f>IF(po_master[[#This Row],[Price Variance Flag]]="Price Variance", 1, 0)</f>
        <v>1</v>
      </c>
      <c r="AB180" s="5">
        <f>IF(po_master[[#This Row],[Late Delivery Flag]]="Late Delivery", 1, 0)</f>
        <v>0</v>
      </c>
      <c r="AC180" s="5">
        <f>IF(po_master[[#This Row],[Duplicate Invoice Flag]]="Duplicate Invoice", 1, 0)</f>
        <v>1</v>
      </c>
      <c r="AD180" s="5" t="str">
        <f>TEXT(po_master[[#This Row],[Order Date]],"YYYY-MM")</f>
        <v>2026-02</v>
      </c>
    </row>
    <row r="181" spans="1:30" x14ac:dyDescent="0.25">
      <c r="A181" t="s">
        <v>160</v>
      </c>
      <c r="B181" t="s">
        <v>1465</v>
      </c>
      <c r="C181" s="1">
        <v>46057</v>
      </c>
      <c r="D181">
        <v>452</v>
      </c>
      <c r="E181">
        <v>18.61</v>
      </c>
      <c r="F181" t="s">
        <v>1456</v>
      </c>
      <c r="G181" s="1">
        <v>46075</v>
      </c>
      <c r="H181">
        <v>452</v>
      </c>
      <c r="I181" s="1">
        <v>46075</v>
      </c>
      <c r="J181" t="s">
        <v>844</v>
      </c>
      <c r="K181">
        <v>452</v>
      </c>
      <c r="L181">
        <v>20.76</v>
      </c>
      <c r="M181" s="1">
        <v>46087</v>
      </c>
      <c r="N181" t="str">
        <f>IF(po_master[[#This Row],[Approved By]]="", "Missing Approval", "OK")</f>
        <v>OK</v>
      </c>
      <c r="O181" t="str">
        <f>IF(ISBLANK(po_master[[#This Row],[GR Quantity]]), "No GR - Not received", "OK")</f>
        <v>OK</v>
      </c>
      <c r="P181" t="str">
        <f>IF(po_master[[#This Row],[Promised Delivey Date]]&lt;po_master[[#This Row],[Order Date]], "Invalid", "OK")</f>
        <v>OK</v>
      </c>
      <c r="Q181" t="str">
        <f>IF(ISBLANK(po_master[[#This Row],[Invoice Number]]), "No Invoice", "OK")</f>
        <v>OK</v>
      </c>
      <c r="R181" t="str">
        <f>IF(AND(NOT(ISBLANK(po_master[[#This Row],[GR Quantity]])), po_master[[#This Row],[GR Quantity]]&lt;&gt;po_master[[#This Row],[PO Quantity]]), "Qty Variance", "OK")</f>
        <v>OK</v>
      </c>
      <c r="S181" t="str">
        <f>IF(po_master[[#This Row],[Invoice Unit Price]]&gt;po_master[[#This Row],[PO Unit Price]]*1.01, "Price Variance", "OK")</f>
        <v>Price Variance</v>
      </c>
      <c r="T181" t="str">
        <f>IF(po_master[[#This Row],[Actual Delivery Date]]&gt;po_master[[#This Row],[Promised Delivey Date]], "Late Delivery", "OK")</f>
        <v>OK</v>
      </c>
      <c r="U181" t="str">
        <f>IF(COUNTIF(po_master[PO Number],po_master[[#This Row],[PO Number]])&gt;1, "Duplicate Invoice", "OK")</f>
        <v>Duplicate Invoice</v>
      </c>
      <c r="V181" s="5">
        <f>IF(po_master[[#This Row],[Missing Approval]]="Missing Approval", 1, 0)</f>
        <v>0</v>
      </c>
      <c r="W181" s="5">
        <f>IF(po_master[[#This Row],[GR Receipt Status]]="No GR - Not Received", 1, 0)</f>
        <v>0</v>
      </c>
      <c r="X181" s="5">
        <f>IF(po_master[[#This Row],[No invoice]]="No Invoice", 1, 0)</f>
        <v>0</v>
      </c>
      <c r="Y181" s="5">
        <f>IF(po_master[[#This Row],[Date Check]]="Invalid Date", 1, 0)</f>
        <v>0</v>
      </c>
      <c r="Z181" s="5">
        <f>IF(po_master[[#This Row],[Qty Variance Flag]]="Qty Variance", 1, 0)</f>
        <v>0</v>
      </c>
      <c r="AA181" s="5">
        <f>IF(po_master[[#This Row],[Price Variance Flag]]="Price Variance", 1, 0)</f>
        <v>1</v>
      </c>
      <c r="AB181" s="5">
        <f>IF(po_master[[#This Row],[Late Delivery Flag]]="Late Delivery", 1, 0)</f>
        <v>0</v>
      </c>
      <c r="AC181" s="5">
        <f>IF(po_master[[#This Row],[Duplicate Invoice Flag]]="Duplicate Invoice", 1, 0)</f>
        <v>1</v>
      </c>
      <c r="AD181" s="5" t="str">
        <f>TEXT(po_master[[#This Row],[Order Date]],"YYYY-MM")</f>
        <v>2026-02</v>
      </c>
    </row>
    <row r="182" spans="1:30" x14ac:dyDescent="0.25">
      <c r="A182" t="s">
        <v>161</v>
      </c>
      <c r="B182" t="s">
        <v>1479</v>
      </c>
      <c r="C182" s="1">
        <v>46152</v>
      </c>
      <c r="D182">
        <v>146</v>
      </c>
      <c r="E182">
        <v>165.01</v>
      </c>
      <c r="F182" t="s">
        <v>1474</v>
      </c>
      <c r="G182" s="1">
        <v>46166</v>
      </c>
      <c r="H182">
        <v>146</v>
      </c>
      <c r="I182" s="1">
        <v>46168</v>
      </c>
      <c r="J182" t="s">
        <v>845</v>
      </c>
      <c r="K182">
        <v>146</v>
      </c>
      <c r="L182">
        <v>165.01</v>
      </c>
      <c r="M182" s="1">
        <v>46171</v>
      </c>
      <c r="N182" t="str">
        <f>IF(po_master[[#This Row],[Approved By]]="", "Missing Approval", "OK")</f>
        <v>OK</v>
      </c>
      <c r="O182" t="str">
        <f>IF(ISBLANK(po_master[[#This Row],[GR Quantity]]), "No GR - Not received", "OK")</f>
        <v>OK</v>
      </c>
      <c r="P182" t="str">
        <f>IF(po_master[[#This Row],[Promised Delivey Date]]&lt;po_master[[#This Row],[Order Date]], "Invalid", "OK")</f>
        <v>OK</v>
      </c>
      <c r="Q182" t="str">
        <f>IF(ISBLANK(po_master[[#This Row],[Invoice Number]]), "No Invoice", "OK")</f>
        <v>OK</v>
      </c>
      <c r="R182" t="str">
        <f>IF(AND(NOT(ISBLANK(po_master[[#This Row],[GR Quantity]])), po_master[[#This Row],[GR Quantity]]&lt;&gt;po_master[[#This Row],[PO Quantity]]), "Qty Variance", "OK")</f>
        <v>OK</v>
      </c>
      <c r="S182" t="str">
        <f>IF(po_master[[#This Row],[Invoice Unit Price]]&gt;po_master[[#This Row],[PO Unit Price]]*1.01, "Price Variance", "OK")</f>
        <v>OK</v>
      </c>
      <c r="T182" t="str">
        <f>IF(po_master[[#This Row],[Actual Delivery Date]]&gt;po_master[[#This Row],[Promised Delivey Date]], "Late Delivery", "OK")</f>
        <v>Late Delivery</v>
      </c>
      <c r="U182" t="str">
        <f>IF(COUNTIF(po_master[PO Number],po_master[[#This Row],[PO Number]])&gt;1, "Duplicate Invoice", "OK")</f>
        <v>OK</v>
      </c>
      <c r="V182" s="5">
        <f>IF(po_master[[#This Row],[Missing Approval]]="Missing Approval", 1, 0)</f>
        <v>0</v>
      </c>
      <c r="W182" s="5">
        <f>IF(po_master[[#This Row],[GR Receipt Status]]="No GR - Not Received", 1, 0)</f>
        <v>0</v>
      </c>
      <c r="X182" s="5">
        <f>IF(po_master[[#This Row],[No invoice]]="No Invoice", 1, 0)</f>
        <v>0</v>
      </c>
      <c r="Y182" s="5">
        <f>IF(po_master[[#This Row],[Date Check]]="Invalid Date", 1, 0)</f>
        <v>0</v>
      </c>
      <c r="Z182" s="5">
        <f>IF(po_master[[#This Row],[Qty Variance Flag]]="Qty Variance", 1, 0)</f>
        <v>0</v>
      </c>
      <c r="AA182" s="5">
        <f>IF(po_master[[#This Row],[Price Variance Flag]]="Price Variance", 1, 0)</f>
        <v>0</v>
      </c>
      <c r="AB182" s="5">
        <f>IF(po_master[[#This Row],[Late Delivery Flag]]="Late Delivery", 1, 0)</f>
        <v>1</v>
      </c>
      <c r="AC182" s="5">
        <f>IF(po_master[[#This Row],[Duplicate Invoice Flag]]="Duplicate Invoice", 1, 0)</f>
        <v>0</v>
      </c>
      <c r="AD182" s="5" t="str">
        <f>TEXT(po_master[[#This Row],[Order Date]],"YYYY-MM")</f>
        <v>2026-05</v>
      </c>
    </row>
    <row r="183" spans="1:30" x14ac:dyDescent="0.25">
      <c r="A183" t="s">
        <v>162</v>
      </c>
      <c r="B183" t="s">
        <v>1443</v>
      </c>
      <c r="C183" s="1">
        <v>46171</v>
      </c>
      <c r="D183">
        <v>347</v>
      </c>
      <c r="E183">
        <v>100.48</v>
      </c>
      <c r="F183" t="s">
        <v>1485</v>
      </c>
      <c r="G183" s="1">
        <v>46190</v>
      </c>
      <c r="H183">
        <v>347</v>
      </c>
      <c r="I183" s="1">
        <v>46191</v>
      </c>
      <c r="J183" t="s">
        <v>846</v>
      </c>
      <c r="K183">
        <v>347</v>
      </c>
      <c r="L183">
        <v>100.48</v>
      </c>
      <c r="M183" s="1">
        <v>46199</v>
      </c>
      <c r="N183" t="str">
        <f>IF(po_master[[#This Row],[Approved By]]="", "Missing Approval", "OK")</f>
        <v>OK</v>
      </c>
      <c r="O183" t="str">
        <f>IF(ISBLANK(po_master[[#This Row],[GR Quantity]]), "No GR - Not received", "OK")</f>
        <v>OK</v>
      </c>
      <c r="P183" t="str">
        <f>IF(po_master[[#This Row],[Promised Delivey Date]]&lt;po_master[[#This Row],[Order Date]], "Invalid", "OK")</f>
        <v>OK</v>
      </c>
      <c r="Q183" t="str">
        <f>IF(ISBLANK(po_master[[#This Row],[Invoice Number]]), "No Invoice", "OK")</f>
        <v>OK</v>
      </c>
      <c r="R183" t="str">
        <f>IF(AND(NOT(ISBLANK(po_master[[#This Row],[GR Quantity]])), po_master[[#This Row],[GR Quantity]]&lt;&gt;po_master[[#This Row],[PO Quantity]]), "Qty Variance", "OK")</f>
        <v>OK</v>
      </c>
      <c r="S183" t="str">
        <f>IF(po_master[[#This Row],[Invoice Unit Price]]&gt;po_master[[#This Row],[PO Unit Price]]*1.01, "Price Variance", "OK")</f>
        <v>OK</v>
      </c>
      <c r="T183" t="str">
        <f>IF(po_master[[#This Row],[Actual Delivery Date]]&gt;po_master[[#This Row],[Promised Delivey Date]], "Late Delivery", "OK")</f>
        <v>Late Delivery</v>
      </c>
      <c r="U183" t="str">
        <f>IF(COUNTIF(po_master[PO Number],po_master[[#This Row],[PO Number]])&gt;1, "Duplicate Invoice", "OK")</f>
        <v>OK</v>
      </c>
      <c r="V183" s="5">
        <f>IF(po_master[[#This Row],[Missing Approval]]="Missing Approval", 1, 0)</f>
        <v>0</v>
      </c>
      <c r="W183" s="5">
        <f>IF(po_master[[#This Row],[GR Receipt Status]]="No GR - Not Received", 1, 0)</f>
        <v>0</v>
      </c>
      <c r="X183" s="5">
        <f>IF(po_master[[#This Row],[No invoice]]="No Invoice", 1, 0)</f>
        <v>0</v>
      </c>
      <c r="Y183" s="5">
        <f>IF(po_master[[#This Row],[Date Check]]="Invalid Date", 1, 0)</f>
        <v>0</v>
      </c>
      <c r="Z183" s="5">
        <f>IF(po_master[[#This Row],[Qty Variance Flag]]="Qty Variance", 1, 0)</f>
        <v>0</v>
      </c>
      <c r="AA183" s="5">
        <f>IF(po_master[[#This Row],[Price Variance Flag]]="Price Variance", 1, 0)</f>
        <v>0</v>
      </c>
      <c r="AB183" s="5">
        <f>IF(po_master[[#This Row],[Late Delivery Flag]]="Late Delivery", 1, 0)</f>
        <v>1</v>
      </c>
      <c r="AC183" s="5">
        <f>IF(po_master[[#This Row],[Duplicate Invoice Flag]]="Duplicate Invoice", 1, 0)</f>
        <v>0</v>
      </c>
      <c r="AD183" s="5" t="str">
        <f>TEXT(po_master[[#This Row],[Order Date]],"YYYY-MM")</f>
        <v>2026-05</v>
      </c>
    </row>
    <row r="184" spans="1:30" x14ac:dyDescent="0.25">
      <c r="A184" t="s">
        <v>163</v>
      </c>
      <c r="B184" t="s">
        <v>1493</v>
      </c>
      <c r="C184" s="1">
        <v>46121</v>
      </c>
      <c r="D184">
        <v>129</v>
      </c>
      <c r="E184">
        <v>171.92</v>
      </c>
      <c r="F184" t="s">
        <v>1507</v>
      </c>
      <c r="G184" s="1">
        <v>46127</v>
      </c>
      <c r="H184">
        <v>119</v>
      </c>
      <c r="I184" s="1">
        <v>46125</v>
      </c>
      <c r="J184" t="s">
        <v>851</v>
      </c>
      <c r="K184">
        <v>129</v>
      </c>
      <c r="L184">
        <v>205.3</v>
      </c>
      <c r="M184" s="1">
        <v>46130</v>
      </c>
      <c r="N184" t="str">
        <f>IF(po_master[[#This Row],[Approved By]]="", "Missing Approval", "OK")</f>
        <v>OK</v>
      </c>
      <c r="O184" t="str">
        <f>IF(ISBLANK(po_master[[#This Row],[GR Quantity]]), "No GR - Not received", "OK")</f>
        <v>OK</v>
      </c>
      <c r="P184" t="str">
        <f>IF(po_master[[#This Row],[Promised Delivey Date]]&lt;po_master[[#This Row],[Order Date]], "Invalid", "OK")</f>
        <v>OK</v>
      </c>
      <c r="Q184" t="str">
        <f>IF(ISBLANK(po_master[[#This Row],[Invoice Number]]), "No Invoice", "OK")</f>
        <v>OK</v>
      </c>
      <c r="R184" t="str">
        <f>IF(AND(NOT(ISBLANK(po_master[[#This Row],[GR Quantity]])), po_master[[#This Row],[GR Quantity]]&lt;&gt;po_master[[#This Row],[PO Quantity]]), "Qty Variance", "OK")</f>
        <v>Qty Variance</v>
      </c>
      <c r="S184" t="str">
        <f>IF(po_master[[#This Row],[Invoice Unit Price]]&gt;po_master[[#This Row],[PO Unit Price]]*1.01, "Price Variance", "OK")</f>
        <v>Price Variance</v>
      </c>
      <c r="T184" t="str">
        <f>IF(po_master[[#This Row],[Actual Delivery Date]]&gt;po_master[[#This Row],[Promised Delivey Date]], "Late Delivery", "OK")</f>
        <v>OK</v>
      </c>
      <c r="U184" t="str">
        <f>IF(COUNTIF(po_master[PO Number],po_master[[#This Row],[PO Number]])&gt;1, "Duplicate Invoice", "OK")</f>
        <v>Duplicate Invoice</v>
      </c>
      <c r="V184" s="5">
        <f>IF(po_master[[#This Row],[Missing Approval]]="Missing Approval", 1, 0)</f>
        <v>0</v>
      </c>
      <c r="W184" s="5">
        <f>IF(po_master[[#This Row],[GR Receipt Status]]="No GR - Not Received", 1, 0)</f>
        <v>0</v>
      </c>
      <c r="X184" s="5">
        <f>IF(po_master[[#This Row],[No invoice]]="No Invoice", 1, 0)</f>
        <v>0</v>
      </c>
      <c r="Y184" s="5">
        <f>IF(po_master[[#This Row],[Date Check]]="Invalid Date", 1, 0)</f>
        <v>0</v>
      </c>
      <c r="Z184" s="5">
        <f>IF(po_master[[#This Row],[Qty Variance Flag]]="Qty Variance", 1, 0)</f>
        <v>1</v>
      </c>
      <c r="AA184" s="5">
        <f>IF(po_master[[#This Row],[Price Variance Flag]]="Price Variance", 1, 0)</f>
        <v>1</v>
      </c>
      <c r="AB184" s="5">
        <f>IF(po_master[[#This Row],[Late Delivery Flag]]="Late Delivery", 1, 0)</f>
        <v>0</v>
      </c>
      <c r="AC184" s="5">
        <f>IF(po_master[[#This Row],[Duplicate Invoice Flag]]="Duplicate Invoice", 1, 0)</f>
        <v>1</v>
      </c>
      <c r="AD184" s="5" t="str">
        <f>TEXT(po_master[[#This Row],[Order Date]],"YYYY-MM")</f>
        <v>2026-04</v>
      </c>
    </row>
    <row r="185" spans="1:30" x14ac:dyDescent="0.25">
      <c r="A185" t="s">
        <v>163</v>
      </c>
      <c r="B185" t="s">
        <v>1493</v>
      </c>
      <c r="C185" s="1">
        <v>46121</v>
      </c>
      <c r="D185">
        <v>129</v>
      </c>
      <c r="E185">
        <v>171.92</v>
      </c>
      <c r="F185" t="s">
        <v>1507</v>
      </c>
      <c r="G185" s="1">
        <v>46127</v>
      </c>
      <c r="H185">
        <v>119</v>
      </c>
      <c r="I185" s="1">
        <v>46125</v>
      </c>
      <c r="J185" t="s">
        <v>852</v>
      </c>
      <c r="K185">
        <v>129</v>
      </c>
      <c r="L185">
        <v>205.3</v>
      </c>
      <c r="M185" s="1">
        <v>46131</v>
      </c>
      <c r="N185" t="str">
        <f>IF(po_master[[#This Row],[Approved By]]="", "Missing Approval", "OK")</f>
        <v>OK</v>
      </c>
      <c r="O185" t="str">
        <f>IF(ISBLANK(po_master[[#This Row],[GR Quantity]]), "No GR - Not received", "OK")</f>
        <v>OK</v>
      </c>
      <c r="P185" t="str">
        <f>IF(po_master[[#This Row],[Promised Delivey Date]]&lt;po_master[[#This Row],[Order Date]], "Invalid", "OK")</f>
        <v>OK</v>
      </c>
      <c r="Q185" t="str">
        <f>IF(ISBLANK(po_master[[#This Row],[Invoice Number]]), "No Invoice", "OK")</f>
        <v>OK</v>
      </c>
      <c r="R185" t="str">
        <f>IF(AND(NOT(ISBLANK(po_master[[#This Row],[GR Quantity]])), po_master[[#This Row],[GR Quantity]]&lt;&gt;po_master[[#This Row],[PO Quantity]]), "Qty Variance", "OK")</f>
        <v>Qty Variance</v>
      </c>
      <c r="S185" t="str">
        <f>IF(po_master[[#This Row],[Invoice Unit Price]]&gt;po_master[[#This Row],[PO Unit Price]]*1.01, "Price Variance", "OK")</f>
        <v>Price Variance</v>
      </c>
      <c r="T185" t="str">
        <f>IF(po_master[[#This Row],[Actual Delivery Date]]&gt;po_master[[#This Row],[Promised Delivey Date]], "Late Delivery", "OK")</f>
        <v>OK</v>
      </c>
      <c r="U185" t="str">
        <f>IF(COUNTIF(po_master[PO Number],po_master[[#This Row],[PO Number]])&gt;1, "Duplicate Invoice", "OK")</f>
        <v>Duplicate Invoice</v>
      </c>
      <c r="V185" s="5">
        <f>IF(po_master[[#This Row],[Missing Approval]]="Missing Approval", 1, 0)</f>
        <v>0</v>
      </c>
      <c r="W185" s="5">
        <f>IF(po_master[[#This Row],[GR Receipt Status]]="No GR - Not Received", 1, 0)</f>
        <v>0</v>
      </c>
      <c r="X185" s="5">
        <f>IF(po_master[[#This Row],[No invoice]]="No Invoice", 1, 0)</f>
        <v>0</v>
      </c>
      <c r="Y185" s="5">
        <f>IF(po_master[[#This Row],[Date Check]]="Invalid Date", 1, 0)</f>
        <v>0</v>
      </c>
      <c r="Z185" s="5">
        <f>IF(po_master[[#This Row],[Qty Variance Flag]]="Qty Variance", 1, 0)</f>
        <v>1</v>
      </c>
      <c r="AA185" s="5">
        <f>IF(po_master[[#This Row],[Price Variance Flag]]="Price Variance", 1, 0)</f>
        <v>1</v>
      </c>
      <c r="AB185" s="5">
        <f>IF(po_master[[#This Row],[Late Delivery Flag]]="Late Delivery", 1, 0)</f>
        <v>0</v>
      </c>
      <c r="AC185" s="5">
        <f>IF(po_master[[#This Row],[Duplicate Invoice Flag]]="Duplicate Invoice", 1, 0)</f>
        <v>1</v>
      </c>
      <c r="AD185" s="5" t="str">
        <f>TEXT(po_master[[#This Row],[Order Date]],"YYYY-MM")</f>
        <v>2026-04</v>
      </c>
    </row>
    <row r="186" spans="1:30" x14ac:dyDescent="0.25">
      <c r="A186" t="s">
        <v>164</v>
      </c>
      <c r="B186" t="s">
        <v>1509</v>
      </c>
      <c r="C186" s="1">
        <v>46144</v>
      </c>
      <c r="D186">
        <v>371</v>
      </c>
      <c r="E186">
        <v>183.12</v>
      </c>
      <c r="F186" t="s">
        <v>1453</v>
      </c>
      <c r="G186" s="1">
        <v>46161</v>
      </c>
      <c r="H186">
        <v>371</v>
      </c>
      <c r="I186" s="1">
        <v>46159</v>
      </c>
      <c r="J186" t="s">
        <v>853</v>
      </c>
      <c r="K186">
        <v>371</v>
      </c>
      <c r="L186">
        <v>183.12</v>
      </c>
      <c r="M186" s="1">
        <v>46163</v>
      </c>
      <c r="N186" t="str">
        <f>IF(po_master[[#This Row],[Approved By]]="", "Missing Approval", "OK")</f>
        <v>OK</v>
      </c>
      <c r="O186" t="str">
        <f>IF(ISBLANK(po_master[[#This Row],[GR Quantity]]), "No GR - Not received", "OK")</f>
        <v>OK</v>
      </c>
      <c r="P186" t="str">
        <f>IF(po_master[[#This Row],[Promised Delivey Date]]&lt;po_master[[#This Row],[Order Date]], "Invalid", "OK")</f>
        <v>OK</v>
      </c>
      <c r="Q186" t="str">
        <f>IF(ISBLANK(po_master[[#This Row],[Invoice Number]]), "No Invoice", "OK")</f>
        <v>OK</v>
      </c>
      <c r="R186" t="str">
        <f>IF(AND(NOT(ISBLANK(po_master[[#This Row],[GR Quantity]])), po_master[[#This Row],[GR Quantity]]&lt;&gt;po_master[[#This Row],[PO Quantity]]), "Qty Variance", "OK")</f>
        <v>OK</v>
      </c>
      <c r="S186" t="str">
        <f>IF(po_master[[#This Row],[Invoice Unit Price]]&gt;po_master[[#This Row],[PO Unit Price]]*1.01, "Price Variance", "OK")</f>
        <v>OK</v>
      </c>
      <c r="T186" t="str">
        <f>IF(po_master[[#This Row],[Actual Delivery Date]]&gt;po_master[[#This Row],[Promised Delivey Date]], "Late Delivery", "OK")</f>
        <v>OK</v>
      </c>
      <c r="U186" t="str">
        <f>IF(COUNTIF(po_master[PO Number],po_master[[#This Row],[PO Number]])&gt;1, "Duplicate Invoice", "OK")</f>
        <v>OK</v>
      </c>
      <c r="V186" s="5">
        <f>IF(po_master[[#This Row],[Missing Approval]]="Missing Approval", 1, 0)</f>
        <v>0</v>
      </c>
      <c r="W186" s="5">
        <f>IF(po_master[[#This Row],[GR Receipt Status]]="No GR - Not Received", 1, 0)</f>
        <v>0</v>
      </c>
      <c r="X186" s="5">
        <f>IF(po_master[[#This Row],[No invoice]]="No Invoice", 1, 0)</f>
        <v>0</v>
      </c>
      <c r="Y186" s="5">
        <f>IF(po_master[[#This Row],[Date Check]]="Invalid Date", 1, 0)</f>
        <v>0</v>
      </c>
      <c r="Z186" s="5">
        <f>IF(po_master[[#This Row],[Qty Variance Flag]]="Qty Variance", 1, 0)</f>
        <v>0</v>
      </c>
      <c r="AA186" s="5">
        <f>IF(po_master[[#This Row],[Price Variance Flag]]="Price Variance", 1, 0)</f>
        <v>0</v>
      </c>
      <c r="AB186" s="5">
        <f>IF(po_master[[#This Row],[Late Delivery Flag]]="Late Delivery", 1, 0)</f>
        <v>0</v>
      </c>
      <c r="AC186" s="5">
        <f>IF(po_master[[#This Row],[Duplicate Invoice Flag]]="Duplicate Invoice", 1, 0)</f>
        <v>0</v>
      </c>
      <c r="AD186" s="5" t="str">
        <f>TEXT(po_master[[#This Row],[Order Date]],"YYYY-MM")</f>
        <v>2026-05</v>
      </c>
    </row>
    <row r="187" spans="1:30" x14ac:dyDescent="0.25">
      <c r="A187" t="s">
        <v>165</v>
      </c>
      <c r="B187" t="s">
        <v>1484</v>
      </c>
      <c r="C187" s="1">
        <v>46061</v>
      </c>
      <c r="D187">
        <v>263</v>
      </c>
      <c r="E187">
        <v>193.14</v>
      </c>
      <c r="F187" t="s">
        <v>1485</v>
      </c>
      <c r="G187" s="1">
        <v>46082</v>
      </c>
      <c r="H187">
        <v>263</v>
      </c>
      <c r="I187" s="1">
        <v>46084</v>
      </c>
      <c r="J187" t="s">
        <v>854</v>
      </c>
      <c r="K187">
        <v>263</v>
      </c>
      <c r="L187">
        <v>193.14</v>
      </c>
      <c r="M187" s="1">
        <v>46088</v>
      </c>
      <c r="N187" t="str">
        <f>IF(po_master[[#This Row],[Approved By]]="", "Missing Approval", "OK")</f>
        <v>OK</v>
      </c>
      <c r="O187" t="str">
        <f>IF(ISBLANK(po_master[[#This Row],[GR Quantity]]), "No GR - Not received", "OK")</f>
        <v>OK</v>
      </c>
      <c r="P187" t="str">
        <f>IF(po_master[[#This Row],[Promised Delivey Date]]&lt;po_master[[#This Row],[Order Date]], "Invalid", "OK")</f>
        <v>OK</v>
      </c>
      <c r="Q187" t="str">
        <f>IF(ISBLANK(po_master[[#This Row],[Invoice Number]]), "No Invoice", "OK")</f>
        <v>OK</v>
      </c>
      <c r="R187" t="str">
        <f>IF(AND(NOT(ISBLANK(po_master[[#This Row],[GR Quantity]])), po_master[[#This Row],[GR Quantity]]&lt;&gt;po_master[[#This Row],[PO Quantity]]), "Qty Variance", "OK")</f>
        <v>OK</v>
      </c>
      <c r="S187" t="str">
        <f>IF(po_master[[#This Row],[Invoice Unit Price]]&gt;po_master[[#This Row],[PO Unit Price]]*1.01, "Price Variance", "OK")</f>
        <v>OK</v>
      </c>
      <c r="T187" t="str">
        <f>IF(po_master[[#This Row],[Actual Delivery Date]]&gt;po_master[[#This Row],[Promised Delivey Date]], "Late Delivery", "OK")</f>
        <v>Late Delivery</v>
      </c>
      <c r="U187" t="str">
        <f>IF(COUNTIF(po_master[PO Number],po_master[[#This Row],[PO Number]])&gt;1, "Duplicate Invoice", "OK")</f>
        <v>OK</v>
      </c>
      <c r="V187" s="5">
        <f>IF(po_master[[#This Row],[Missing Approval]]="Missing Approval", 1, 0)</f>
        <v>0</v>
      </c>
      <c r="W187" s="5">
        <f>IF(po_master[[#This Row],[GR Receipt Status]]="No GR - Not Received", 1, 0)</f>
        <v>0</v>
      </c>
      <c r="X187" s="5">
        <f>IF(po_master[[#This Row],[No invoice]]="No Invoice", 1, 0)</f>
        <v>0</v>
      </c>
      <c r="Y187" s="5">
        <f>IF(po_master[[#This Row],[Date Check]]="Invalid Date", 1, 0)</f>
        <v>0</v>
      </c>
      <c r="Z187" s="5">
        <f>IF(po_master[[#This Row],[Qty Variance Flag]]="Qty Variance", 1, 0)</f>
        <v>0</v>
      </c>
      <c r="AA187" s="5">
        <f>IF(po_master[[#This Row],[Price Variance Flag]]="Price Variance", 1, 0)</f>
        <v>0</v>
      </c>
      <c r="AB187" s="5">
        <f>IF(po_master[[#This Row],[Late Delivery Flag]]="Late Delivery", 1, 0)</f>
        <v>1</v>
      </c>
      <c r="AC187" s="5">
        <f>IF(po_master[[#This Row],[Duplicate Invoice Flag]]="Duplicate Invoice", 1, 0)</f>
        <v>0</v>
      </c>
      <c r="AD187" s="5" t="str">
        <f>TEXT(po_master[[#This Row],[Order Date]],"YYYY-MM")</f>
        <v>2026-02</v>
      </c>
    </row>
    <row r="188" spans="1:30" x14ac:dyDescent="0.25">
      <c r="A188" t="s">
        <v>166</v>
      </c>
      <c r="B188" t="s">
        <v>1443</v>
      </c>
      <c r="C188" s="1">
        <v>46107</v>
      </c>
      <c r="D188">
        <v>455</v>
      </c>
      <c r="E188">
        <v>24.57</v>
      </c>
      <c r="F188" t="s">
        <v>1469</v>
      </c>
      <c r="G188" s="1">
        <v>46115</v>
      </c>
      <c r="H188">
        <v>455</v>
      </c>
      <c r="I188" s="1">
        <v>46131</v>
      </c>
      <c r="J188" t="s">
        <v>855</v>
      </c>
      <c r="K188">
        <v>455</v>
      </c>
      <c r="L188">
        <v>24.57</v>
      </c>
      <c r="M188" s="1">
        <v>46117</v>
      </c>
      <c r="N188" t="str">
        <f>IF(po_master[[#This Row],[Approved By]]="", "Missing Approval", "OK")</f>
        <v>OK</v>
      </c>
      <c r="O188" t="str">
        <f>IF(ISBLANK(po_master[[#This Row],[GR Quantity]]), "No GR - Not received", "OK")</f>
        <v>OK</v>
      </c>
      <c r="P188" t="str">
        <f>IF(po_master[[#This Row],[Promised Delivey Date]]&lt;po_master[[#This Row],[Order Date]], "Invalid", "OK")</f>
        <v>OK</v>
      </c>
      <c r="Q188" t="str">
        <f>IF(ISBLANK(po_master[[#This Row],[Invoice Number]]), "No Invoice", "OK")</f>
        <v>OK</v>
      </c>
      <c r="R188" t="str">
        <f>IF(AND(NOT(ISBLANK(po_master[[#This Row],[GR Quantity]])), po_master[[#This Row],[GR Quantity]]&lt;&gt;po_master[[#This Row],[PO Quantity]]), "Qty Variance", "OK")</f>
        <v>OK</v>
      </c>
      <c r="S188" t="str">
        <f>IF(po_master[[#This Row],[Invoice Unit Price]]&gt;po_master[[#This Row],[PO Unit Price]]*1.01, "Price Variance", "OK")</f>
        <v>OK</v>
      </c>
      <c r="T188" t="str">
        <f>IF(po_master[[#This Row],[Actual Delivery Date]]&gt;po_master[[#This Row],[Promised Delivey Date]], "Late Delivery", "OK")</f>
        <v>Late Delivery</v>
      </c>
      <c r="U188" t="str">
        <f>IF(COUNTIF(po_master[PO Number],po_master[[#This Row],[PO Number]])&gt;1, "Duplicate Invoice", "OK")</f>
        <v>OK</v>
      </c>
      <c r="V188" s="5">
        <f>IF(po_master[[#This Row],[Missing Approval]]="Missing Approval", 1, 0)</f>
        <v>0</v>
      </c>
      <c r="W188" s="5">
        <f>IF(po_master[[#This Row],[GR Receipt Status]]="No GR - Not Received", 1, 0)</f>
        <v>0</v>
      </c>
      <c r="X188" s="5">
        <f>IF(po_master[[#This Row],[No invoice]]="No Invoice", 1, 0)</f>
        <v>0</v>
      </c>
      <c r="Y188" s="5">
        <f>IF(po_master[[#This Row],[Date Check]]="Invalid Date", 1, 0)</f>
        <v>0</v>
      </c>
      <c r="Z188" s="5">
        <f>IF(po_master[[#This Row],[Qty Variance Flag]]="Qty Variance", 1, 0)</f>
        <v>0</v>
      </c>
      <c r="AA188" s="5">
        <f>IF(po_master[[#This Row],[Price Variance Flag]]="Price Variance", 1, 0)</f>
        <v>0</v>
      </c>
      <c r="AB188" s="5">
        <f>IF(po_master[[#This Row],[Late Delivery Flag]]="Late Delivery", 1, 0)</f>
        <v>1</v>
      </c>
      <c r="AC188" s="5">
        <f>IF(po_master[[#This Row],[Duplicate Invoice Flag]]="Duplicate Invoice", 1, 0)</f>
        <v>0</v>
      </c>
      <c r="AD188" s="5" t="str">
        <f>TEXT(po_master[[#This Row],[Order Date]],"YYYY-MM")</f>
        <v>2026-03</v>
      </c>
    </row>
    <row r="189" spans="1:30" x14ac:dyDescent="0.25">
      <c r="A189" t="s">
        <v>167</v>
      </c>
      <c r="B189" t="s">
        <v>1491</v>
      </c>
      <c r="C189" s="1">
        <v>46139</v>
      </c>
      <c r="D189">
        <v>17</v>
      </c>
      <c r="E189">
        <v>145.88</v>
      </c>
      <c r="F189" t="s">
        <v>1507</v>
      </c>
      <c r="G189" s="1">
        <v>46148</v>
      </c>
      <c r="H189">
        <v>17</v>
      </c>
      <c r="I189" s="1">
        <v>46150</v>
      </c>
      <c r="J189" t="s">
        <v>856</v>
      </c>
      <c r="K189">
        <v>17</v>
      </c>
      <c r="L189">
        <v>145.88</v>
      </c>
      <c r="M189" s="1">
        <v>46158</v>
      </c>
      <c r="N189" t="str">
        <f>IF(po_master[[#This Row],[Approved By]]="", "Missing Approval", "OK")</f>
        <v>OK</v>
      </c>
      <c r="O189" t="str">
        <f>IF(ISBLANK(po_master[[#This Row],[GR Quantity]]), "No GR - Not received", "OK")</f>
        <v>OK</v>
      </c>
      <c r="P189" t="str">
        <f>IF(po_master[[#This Row],[Promised Delivey Date]]&lt;po_master[[#This Row],[Order Date]], "Invalid", "OK")</f>
        <v>OK</v>
      </c>
      <c r="Q189" t="str">
        <f>IF(ISBLANK(po_master[[#This Row],[Invoice Number]]), "No Invoice", "OK")</f>
        <v>OK</v>
      </c>
      <c r="R189" t="str">
        <f>IF(AND(NOT(ISBLANK(po_master[[#This Row],[GR Quantity]])), po_master[[#This Row],[GR Quantity]]&lt;&gt;po_master[[#This Row],[PO Quantity]]), "Qty Variance", "OK")</f>
        <v>OK</v>
      </c>
      <c r="S189" t="str">
        <f>IF(po_master[[#This Row],[Invoice Unit Price]]&gt;po_master[[#This Row],[PO Unit Price]]*1.01, "Price Variance", "OK")</f>
        <v>OK</v>
      </c>
      <c r="T189" t="str">
        <f>IF(po_master[[#This Row],[Actual Delivery Date]]&gt;po_master[[#This Row],[Promised Delivey Date]], "Late Delivery", "OK")</f>
        <v>Late Delivery</v>
      </c>
      <c r="U189" t="str">
        <f>IF(COUNTIF(po_master[PO Number],po_master[[#This Row],[PO Number]])&gt;1, "Duplicate Invoice", "OK")</f>
        <v>OK</v>
      </c>
      <c r="V189" s="5">
        <f>IF(po_master[[#This Row],[Missing Approval]]="Missing Approval", 1, 0)</f>
        <v>0</v>
      </c>
      <c r="W189" s="5">
        <f>IF(po_master[[#This Row],[GR Receipt Status]]="No GR - Not Received", 1, 0)</f>
        <v>0</v>
      </c>
      <c r="X189" s="5">
        <f>IF(po_master[[#This Row],[No invoice]]="No Invoice", 1, 0)</f>
        <v>0</v>
      </c>
      <c r="Y189" s="5">
        <f>IF(po_master[[#This Row],[Date Check]]="Invalid Date", 1, 0)</f>
        <v>0</v>
      </c>
      <c r="Z189" s="5">
        <f>IF(po_master[[#This Row],[Qty Variance Flag]]="Qty Variance", 1, 0)</f>
        <v>0</v>
      </c>
      <c r="AA189" s="5">
        <f>IF(po_master[[#This Row],[Price Variance Flag]]="Price Variance", 1, 0)</f>
        <v>0</v>
      </c>
      <c r="AB189" s="5">
        <f>IF(po_master[[#This Row],[Late Delivery Flag]]="Late Delivery", 1, 0)</f>
        <v>1</v>
      </c>
      <c r="AC189" s="5">
        <f>IF(po_master[[#This Row],[Duplicate Invoice Flag]]="Duplicate Invoice", 1, 0)</f>
        <v>0</v>
      </c>
      <c r="AD189" s="5" t="str">
        <f>TEXT(po_master[[#This Row],[Order Date]],"YYYY-MM")</f>
        <v>2026-04</v>
      </c>
    </row>
    <row r="190" spans="1:30" x14ac:dyDescent="0.25">
      <c r="A190" t="s">
        <v>168</v>
      </c>
      <c r="B190" t="s">
        <v>1492</v>
      </c>
      <c r="C190" s="1">
        <v>46143</v>
      </c>
      <c r="D190">
        <v>410</v>
      </c>
      <c r="E190">
        <v>193.99</v>
      </c>
      <c r="F190" t="s">
        <v>1472</v>
      </c>
      <c r="G190" s="1">
        <v>46160</v>
      </c>
      <c r="H190">
        <v>410</v>
      </c>
      <c r="I190" s="1">
        <v>46162</v>
      </c>
      <c r="J190" t="s">
        <v>857</v>
      </c>
      <c r="K190">
        <v>410</v>
      </c>
      <c r="L190">
        <v>193.99</v>
      </c>
      <c r="M190" s="1">
        <v>46169</v>
      </c>
      <c r="N190" t="str">
        <f>IF(po_master[[#This Row],[Approved By]]="", "Missing Approval", "OK")</f>
        <v>OK</v>
      </c>
      <c r="O190" t="str">
        <f>IF(ISBLANK(po_master[[#This Row],[GR Quantity]]), "No GR - Not received", "OK")</f>
        <v>OK</v>
      </c>
      <c r="P190" t="str">
        <f>IF(po_master[[#This Row],[Promised Delivey Date]]&lt;po_master[[#This Row],[Order Date]], "Invalid", "OK")</f>
        <v>OK</v>
      </c>
      <c r="Q190" t="str">
        <f>IF(ISBLANK(po_master[[#This Row],[Invoice Number]]), "No Invoice", "OK")</f>
        <v>OK</v>
      </c>
      <c r="R190" t="str">
        <f>IF(AND(NOT(ISBLANK(po_master[[#This Row],[GR Quantity]])), po_master[[#This Row],[GR Quantity]]&lt;&gt;po_master[[#This Row],[PO Quantity]]), "Qty Variance", "OK")</f>
        <v>OK</v>
      </c>
      <c r="S190" t="str">
        <f>IF(po_master[[#This Row],[Invoice Unit Price]]&gt;po_master[[#This Row],[PO Unit Price]]*1.01, "Price Variance", "OK")</f>
        <v>OK</v>
      </c>
      <c r="T190" t="str">
        <f>IF(po_master[[#This Row],[Actual Delivery Date]]&gt;po_master[[#This Row],[Promised Delivey Date]], "Late Delivery", "OK")</f>
        <v>Late Delivery</v>
      </c>
      <c r="U190" t="str">
        <f>IF(COUNTIF(po_master[PO Number],po_master[[#This Row],[PO Number]])&gt;1, "Duplicate Invoice", "OK")</f>
        <v>OK</v>
      </c>
      <c r="V190" s="5">
        <f>IF(po_master[[#This Row],[Missing Approval]]="Missing Approval", 1, 0)</f>
        <v>0</v>
      </c>
      <c r="W190" s="5">
        <f>IF(po_master[[#This Row],[GR Receipt Status]]="No GR - Not Received", 1, 0)</f>
        <v>0</v>
      </c>
      <c r="X190" s="5">
        <f>IF(po_master[[#This Row],[No invoice]]="No Invoice", 1, 0)</f>
        <v>0</v>
      </c>
      <c r="Y190" s="5">
        <f>IF(po_master[[#This Row],[Date Check]]="Invalid Date", 1, 0)</f>
        <v>0</v>
      </c>
      <c r="Z190" s="5">
        <f>IF(po_master[[#This Row],[Qty Variance Flag]]="Qty Variance", 1, 0)</f>
        <v>0</v>
      </c>
      <c r="AA190" s="5">
        <f>IF(po_master[[#This Row],[Price Variance Flag]]="Price Variance", 1, 0)</f>
        <v>0</v>
      </c>
      <c r="AB190" s="5">
        <f>IF(po_master[[#This Row],[Late Delivery Flag]]="Late Delivery", 1, 0)</f>
        <v>1</v>
      </c>
      <c r="AC190" s="5">
        <f>IF(po_master[[#This Row],[Duplicate Invoice Flag]]="Duplicate Invoice", 1, 0)</f>
        <v>0</v>
      </c>
      <c r="AD190" s="5" t="str">
        <f>TEXT(po_master[[#This Row],[Order Date]],"YYYY-MM")</f>
        <v>2026-05</v>
      </c>
    </row>
    <row r="191" spans="1:30" x14ac:dyDescent="0.25">
      <c r="A191" t="s">
        <v>169</v>
      </c>
      <c r="B191" t="s">
        <v>1508</v>
      </c>
      <c r="C191" s="1">
        <v>46043</v>
      </c>
      <c r="D191">
        <v>446</v>
      </c>
      <c r="E191">
        <v>69.069999999999993</v>
      </c>
      <c r="F191" t="s">
        <v>1467</v>
      </c>
      <c r="G191" s="1">
        <v>46060</v>
      </c>
      <c r="H191">
        <v>446</v>
      </c>
      <c r="I191" s="1">
        <v>46060</v>
      </c>
      <c r="J191" t="s">
        <v>858</v>
      </c>
      <c r="K191">
        <v>446</v>
      </c>
      <c r="L191">
        <v>69.069999999999993</v>
      </c>
      <c r="M191" s="1">
        <v>46061</v>
      </c>
      <c r="N191" t="str">
        <f>IF(po_master[[#This Row],[Approved By]]="", "Missing Approval", "OK")</f>
        <v>OK</v>
      </c>
      <c r="O191" t="str">
        <f>IF(ISBLANK(po_master[[#This Row],[GR Quantity]]), "No GR - Not received", "OK")</f>
        <v>OK</v>
      </c>
      <c r="P191" t="str">
        <f>IF(po_master[[#This Row],[Promised Delivey Date]]&lt;po_master[[#This Row],[Order Date]], "Invalid", "OK")</f>
        <v>OK</v>
      </c>
      <c r="Q191" t="str">
        <f>IF(ISBLANK(po_master[[#This Row],[Invoice Number]]), "No Invoice", "OK")</f>
        <v>OK</v>
      </c>
      <c r="R191" t="str">
        <f>IF(AND(NOT(ISBLANK(po_master[[#This Row],[GR Quantity]])), po_master[[#This Row],[GR Quantity]]&lt;&gt;po_master[[#This Row],[PO Quantity]]), "Qty Variance", "OK")</f>
        <v>OK</v>
      </c>
      <c r="S191" t="str">
        <f>IF(po_master[[#This Row],[Invoice Unit Price]]&gt;po_master[[#This Row],[PO Unit Price]]*1.01, "Price Variance", "OK")</f>
        <v>OK</v>
      </c>
      <c r="T191" t="str">
        <f>IF(po_master[[#This Row],[Actual Delivery Date]]&gt;po_master[[#This Row],[Promised Delivey Date]], "Late Delivery", "OK")</f>
        <v>OK</v>
      </c>
      <c r="U191" t="str">
        <f>IF(COUNTIF(po_master[PO Number],po_master[[#This Row],[PO Number]])&gt;1, "Duplicate Invoice", "OK")</f>
        <v>OK</v>
      </c>
      <c r="V191" s="5">
        <f>IF(po_master[[#This Row],[Missing Approval]]="Missing Approval", 1, 0)</f>
        <v>0</v>
      </c>
      <c r="W191" s="5">
        <f>IF(po_master[[#This Row],[GR Receipt Status]]="No GR - Not Received", 1, 0)</f>
        <v>0</v>
      </c>
      <c r="X191" s="5">
        <f>IF(po_master[[#This Row],[No invoice]]="No Invoice", 1, 0)</f>
        <v>0</v>
      </c>
      <c r="Y191" s="5">
        <f>IF(po_master[[#This Row],[Date Check]]="Invalid Date", 1, 0)</f>
        <v>0</v>
      </c>
      <c r="Z191" s="5">
        <f>IF(po_master[[#This Row],[Qty Variance Flag]]="Qty Variance", 1, 0)</f>
        <v>0</v>
      </c>
      <c r="AA191" s="5">
        <f>IF(po_master[[#This Row],[Price Variance Flag]]="Price Variance", 1, 0)</f>
        <v>0</v>
      </c>
      <c r="AB191" s="5">
        <f>IF(po_master[[#This Row],[Late Delivery Flag]]="Late Delivery", 1, 0)</f>
        <v>0</v>
      </c>
      <c r="AC191" s="5">
        <f>IF(po_master[[#This Row],[Duplicate Invoice Flag]]="Duplicate Invoice", 1, 0)</f>
        <v>0</v>
      </c>
      <c r="AD191" s="5" t="str">
        <f>TEXT(po_master[[#This Row],[Order Date]],"YYYY-MM")</f>
        <v>2026-01</v>
      </c>
    </row>
    <row r="192" spans="1:30" x14ac:dyDescent="0.25">
      <c r="A192" t="s">
        <v>170</v>
      </c>
      <c r="B192" t="s">
        <v>1509</v>
      </c>
      <c r="C192" s="1">
        <v>46147</v>
      </c>
      <c r="D192">
        <v>456</v>
      </c>
      <c r="E192">
        <v>110.5</v>
      </c>
      <c r="F192" t="s">
        <v>1494</v>
      </c>
      <c r="G192" s="1">
        <v>46154</v>
      </c>
      <c r="H192">
        <v>456</v>
      </c>
      <c r="I192" s="1">
        <v>46156</v>
      </c>
      <c r="J192" t="s">
        <v>859</v>
      </c>
      <c r="K192">
        <v>456</v>
      </c>
      <c r="L192">
        <v>110.5</v>
      </c>
      <c r="M192" s="1">
        <v>46156</v>
      </c>
      <c r="N192" t="str">
        <f>IF(po_master[[#This Row],[Approved By]]="", "Missing Approval", "OK")</f>
        <v>OK</v>
      </c>
      <c r="O192" t="str">
        <f>IF(ISBLANK(po_master[[#This Row],[GR Quantity]]), "No GR - Not received", "OK")</f>
        <v>OK</v>
      </c>
      <c r="P192" t="str">
        <f>IF(po_master[[#This Row],[Promised Delivey Date]]&lt;po_master[[#This Row],[Order Date]], "Invalid", "OK")</f>
        <v>OK</v>
      </c>
      <c r="Q192" t="str">
        <f>IF(ISBLANK(po_master[[#This Row],[Invoice Number]]), "No Invoice", "OK")</f>
        <v>OK</v>
      </c>
      <c r="R192" t="str">
        <f>IF(AND(NOT(ISBLANK(po_master[[#This Row],[GR Quantity]])), po_master[[#This Row],[GR Quantity]]&lt;&gt;po_master[[#This Row],[PO Quantity]]), "Qty Variance", "OK")</f>
        <v>OK</v>
      </c>
      <c r="S192" t="str">
        <f>IF(po_master[[#This Row],[Invoice Unit Price]]&gt;po_master[[#This Row],[PO Unit Price]]*1.01, "Price Variance", "OK")</f>
        <v>OK</v>
      </c>
      <c r="T192" t="str">
        <f>IF(po_master[[#This Row],[Actual Delivery Date]]&gt;po_master[[#This Row],[Promised Delivey Date]], "Late Delivery", "OK")</f>
        <v>Late Delivery</v>
      </c>
      <c r="U192" t="str">
        <f>IF(COUNTIF(po_master[PO Number],po_master[[#This Row],[PO Number]])&gt;1, "Duplicate Invoice", "OK")</f>
        <v>OK</v>
      </c>
      <c r="V192" s="5">
        <f>IF(po_master[[#This Row],[Missing Approval]]="Missing Approval", 1, 0)</f>
        <v>0</v>
      </c>
      <c r="W192" s="5">
        <f>IF(po_master[[#This Row],[GR Receipt Status]]="No GR - Not Received", 1, 0)</f>
        <v>0</v>
      </c>
      <c r="X192" s="5">
        <f>IF(po_master[[#This Row],[No invoice]]="No Invoice", 1, 0)</f>
        <v>0</v>
      </c>
      <c r="Y192" s="5">
        <f>IF(po_master[[#This Row],[Date Check]]="Invalid Date", 1, 0)</f>
        <v>0</v>
      </c>
      <c r="Z192" s="5">
        <f>IF(po_master[[#This Row],[Qty Variance Flag]]="Qty Variance", 1, 0)</f>
        <v>0</v>
      </c>
      <c r="AA192" s="5">
        <f>IF(po_master[[#This Row],[Price Variance Flag]]="Price Variance", 1, 0)</f>
        <v>0</v>
      </c>
      <c r="AB192" s="5">
        <f>IF(po_master[[#This Row],[Late Delivery Flag]]="Late Delivery", 1, 0)</f>
        <v>1</v>
      </c>
      <c r="AC192" s="5">
        <f>IF(po_master[[#This Row],[Duplicate Invoice Flag]]="Duplicate Invoice", 1, 0)</f>
        <v>0</v>
      </c>
      <c r="AD192" s="5" t="str">
        <f>TEXT(po_master[[#This Row],[Order Date]],"YYYY-MM")</f>
        <v>2026-05</v>
      </c>
    </row>
    <row r="193" spans="1:30" x14ac:dyDescent="0.25">
      <c r="A193" t="s">
        <v>171</v>
      </c>
      <c r="B193" t="s">
        <v>1482</v>
      </c>
      <c r="C193" s="1">
        <v>46096</v>
      </c>
      <c r="D193">
        <v>126</v>
      </c>
      <c r="E193">
        <v>150.62</v>
      </c>
      <c r="F193" t="s">
        <v>1507</v>
      </c>
      <c r="G193" s="1">
        <v>46104</v>
      </c>
      <c r="H193">
        <v>126</v>
      </c>
      <c r="I193" s="1">
        <v>46102</v>
      </c>
      <c r="J193" t="s">
        <v>860</v>
      </c>
      <c r="K193">
        <v>126</v>
      </c>
      <c r="L193">
        <v>150.62</v>
      </c>
      <c r="M193" s="1">
        <v>46108</v>
      </c>
      <c r="N193" t="str">
        <f>IF(po_master[[#This Row],[Approved By]]="", "Missing Approval", "OK")</f>
        <v>OK</v>
      </c>
      <c r="O193" t="str">
        <f>IF(ISBLANK(po_master[[#This Row],[GR Quantity]]), "No GR - Not received", "OK")</f>
        <v>OK</v>
      </c>
      <c r="P193" t="str">
        <f>IF(po_master[[#This Row],[Promised Delivey Date]]&lt;po_master[[#This Row],[Order Date]], "Invalid", "OK")</f>
        <v>OK</v>
      </c>
      <c r="Q193" t="str">
        <f>IF(ISBLANK(po_master[[#This Row],[Invoice Number]]), "No Invoice", "OK")</f>
        <v>OK</v>
      </c>
      <c r="R193" t="str">
        <f>IF(AND(NOT(ISBLANK(po_master[[#This Row],[GR Quantity]])), po_master[[#This Row],[GR Quantity]]&lt;&gt;po_master[[#This Row],[PO Quantity]]), "Qty Variance", "OK")</f>
        <v>OK</v>
      </c>
      <c r="S193" t="str">
        <f>IF(po_master[[#This Row],[Invoice Unit Price]]&gt;po_master[[#This Row],[PO Unit Price]]*1.01, "Price Variance", "OK")</f>
        <v>OK</v>
      </c>
      <c r="T193" t="str">
        <f>IF(po_master[[#This Row],[Actual Delivery Date]]&gt;po_master[[#This Row],[Promised Delivey Date]], "Late Delivery", "OK")</f>
        <v>OK</v>
      </c>
      <c r="U193" t="str">
        <f>IF(COUNTIF(po_master[PO Number],po_master[[#This Row],[PO Number]])&gt;1, "Duplicate Invoice", "OK")</f>
        <v>OK</v>
      </c>
      <c r="V193" s="5">
        <f>IF(po_master[[#This Row],[Missing Approval]]="Missing Approval", 1, 0)</f>
        <v>0</v>
      </c>
      <c r="W193" s="5">
        <f>IF(po_master[[#This Row],[GR Receipt Status]]="No GR - Not Received", 1, 0)</f>
        <v>0</v>
      </c>
      <c r="X193" s="5">
        <f>IF(po_master[[#This Row],[No invoice]]="No Invoice", 1, 0)</f>
        <v>0</v>
      </c>
      <c r="Y193" s="5">
        <f>IF(po_master[[#This Row],[Date Check]]="Invalid Date", 1, 0)</f>
        <v>0</v>
      </c>
      <c r="Z193" s="5">
        <f>IF(po_master[[#This Row],[Qty Variance Flag]]="Qty Variance", 1, 0)</f>
        <v>0</v>
      </c>
      <c r="AA193" s="5">
        <f>IF(po_master[[#This Row],[Price Variance Flag]]="Price Variance", 1, 0)</f>
        <v>0</v>
      </c>
      <c r="AB193" s="5">
        <f>IF(po_master[[#This Row],[Late Delivery Flag]]="Late Delivery", 1, 0)</f>
        <v>0</v>
      </c>
      <c r="AC193" s="5">
        <f>IF(po_master[[#This Row],[Duplicate Invoice Flag]]="Duplicate Invoice", 1, 0)</f>
        <v>0</v>
      </c>
      <c r="AD193" s="5" t="str">
        <f>TEXT(po_master[[#This Row],[Order Date]],"YYYY-MM")</f>
        <v>2026-03</v>
      </c>
    </row>
    <row r="194" spans="1:30" x14ac:dyDescent="0.25">
      <c r="A194" t="s">
        <v>847</v>
      </c>
      <c r="B194" t="s">
        <v>1471</v>
      </c>
      <c r="C194" s="1">
        <v>46146</v>
      </c>
      <c r="D194">
        <v>186</v>
      </c>
      <c r="E194">
        <v>69.83</v>
      </c>
      <c r="F194" t="s">
        <v>1456</v>
      </c>
      <c r="G194" s="1">
        <v>46163</v>
      </c>
      <c r="I194" s="1"/>
      <c r="J194" t="s">
        <v>848</v>
      </c>
      <c r="K194">
        <v>186</v>
      </c>
      <c r="L194">
        <v>69.83</v>
      </c>
      <c r="M194" s="1">
        <v>46168</v>
      </c>
      <c r="N194" t="str">
        <f>IF(po_master[[#This Row],[Approved By]]="", "Missing Approval", "OK")</f>
        <v>OK</v>
      </c>
      <c r="O194" t="str">
        <f>IF(ISBLANK(po_master[[#This Row],[GR Quantity]]), "No GR - Not received", "OK")</f>
        <v>No GR - Not received</v>
      </c>
      <c r="P194" t="str">
        <f>IF(po_master[[#This Row],[Promised Delivey Date]]&lt;po_master[[#This Row],[Order Date]], "Invalid", "OK")</f>
        <v>OK</v>
      </c>
      <c r="Q194" t="str">
        <f>IF(ISBLANK(po_master[[#This Row],[Invoice Number]]), "No Invoice", "OK")</f>
        <v>OK</v>
      </c>
      <c r="R194" t="str">
        <f>IF(AND(NOT(ISBLANK(po_master[[#This Row],[GR Quantity]])), po_master[[#This Row],[GR Quantity]]&lt;&gt;po_master[[#This Row],[PO Quantity]]), "Qty Variance", "OK")</f>
        <v>OK</v>
      </c>
      <c r="S194" t="str">
        <f>IF(po_master[[#This Row],[Invoice Unit Price]]&gt;po_master[[#This Row],[PO Unit Price]]*1.01, "Price Variance", "OK")</f>
        <v>OK</v>
      </c>
      <c r="T194" t="str">
        <f>IF(po_master[[#This Row],[Actual Delivery Date]]&gt;po_master[[#This Row],[Promised Delivey Date]], "Late Delivery", "OK")</f>
        <v>OK</v>
      </c>
      <c r="U194" t="str">
        <f>IF(COUNTIF(po_master[PO Number],po_master[[#This Row],[PO Number]])&gt;1, "Duplicate Invoice", "OK")</f>
        <v>OK</v>
      </c>
      <c r="V194" s="5">
        <f>IF(po_master[[#This Row],[Missing Approval]]="Missing Approval", 1, 0)</f>
        <v>0</v>
      </c>
      <c r="W194" s="5">
        <f>IF(po_master[[#This Row],[GR Receipt Status]]="No GR - Not Received", 1, 0)</f>
        <v>1</v>
      </c>
      <c r="X194" s="5">
        <f>IF(po_master[[#This Row],[No invoice]]="No Invoice", 1, 0)</f>
        <v>0</v>
      </c>
      <c r="Y194" s="5">
        <f>IF(po_master[[#This Row],[Date Check]]="Invalid Date", 1, 0)</f>
        <v>0</v>
      </c>
      <c r="Z194" s="5">
        <f>IF(po_master[[#This Row],[Qty Variance Flag]]="Qty Variance", 1, 0)</f>
        <v>0</v>
      </c>
      <c r="AA194" s="5">
        <f>IF(po_master[[#This Row],[Price Variance Flag]]="Price Variance", 1, 0)</f>
        <v>0</v>
      </c>
      <c r="AB194" s="5">
        <f>IF(po_master[[#This Row],[Late Delivery Flag]]="Late Delivery", 1, 0)</f>
        <v>0</v>
      </c>
      <c r="AC194" s="5">
        <f>IF(po_master[[#This Row],[Duplicate Invoice Flag]]="Duplicate Invoice", 1, 0)</f>
        <v>0</v>
      </c>
      <c r="AD194" s="5" t="str">
        <f>TEXT(po_master[[#This Row],[Order Date]],"YYYY-MM")</f>
        <v>2026-05</v>
      </c>
    </row>
    <row r="195" spans="1:30" x14ac:dyDescent="0.25">
      <c r="A195" t="s">
        <v>172</v>
      </c>
      <c r="B195" t="s">
        <v>1439</v>
      </c>
      <c r="C195" s="1">
        <v>46048</v>
      </c>
      <c r="D195">
        <v>237</v>
      </c>
      <c r="E195">
        <v>37.44</v>
      </c>
      <c r="F195" t="s">
        <v>1474</v>
      </c>
      <c r="G195" s="1">
        <v>46053</v>
      </c>
      <c r="H195">
        <v>226</v>
      </c>
      <c r="I195" s="1">
        <v>46053</v>
      </c>
      <c r="J195" t="s">
        <v>861</v>
      </c>
      <c r="K195">
        <v>237</v>
      </c>
      <c r="L195">
        <v>42.42</v>
      </c>
      <c r="M195" s="1">
        <v>46063</v>
      </c>
      <c r="N195" t="str">
        <f>IF(po_master[[#This Row],[Approved By]]="", "Missing Approval", "OK")</f>
        <v>OK</v>
      </c>
      <c r="O195" t="str">
        <f>IF(ISBLANK(po_master[[#This Row],[GR Quantity]]), "No GR - Not received", "OK")</f>
        <v>OK</v>
      </c>
      <c r="P195" t="str">
        <f>IF(po_master[[#This Row],[Promised Delivey Date]]&lt;po_master[[#This Row],[Order Date]], "Invalid", "OK")</f>
        <v>OK</v>
      </c>
      <c r="Q195" t="str">
        <f>IF(ISBLANK(po_master[[#This Row],[Invoice Number]]), "No Invoice", "OK")</f>
        <v>OK</v>
      </c>
      <c r="R195" t="str">
        <f>IF(AND(NOT(ISBLANK(po_master[[#This Row],[GR Quantity]])), po_master[[#This Row],[GR Quantity]]&lt;&gt;po_master[[#This Row],[PO Quantity]]), "Qty Variance", "OK")</f>
        <v>Qty Variance</v>
      </c>
      <c r="S195" t="str">
        <f>IF(po_master[[#This Row],[Invoice Unit Price]]&gt;po_master[[#This Row],[PO Unit Price]]*1.01, "Price Variance", "OK")</f>
        <v>Price Variance</v>
      </c>
      <c r="T195" t="str">
        <f>IF(po_master[[#This Row],[Actual Delivery Date]]&gt;po_master[[#This Row],[Promised Delivey Date]], "Late Delivery", "OK")</f>
        <v>OK</v>
      </c>
      <c r="U195" t="str">
        <f>IF(COUNTIF(po_master[PO Number],po_master[[#This Row],[PO Number]])&gt;1, "Duplicate Invoice", "OK")</f>
        <v>OK</v>
      </c>
      <c r="V195" s="5">
        <f>IF(po_master[[#This Row],[Missing Approval]]="Missing Approval", 1, 0)</f>
        <v>0</v>
      </c>
      <c r="W195" s="5">
        <f>IF(po_master[[#This Row],[GR Receipt Status]]="No GR - Not Received", 1, 0)</f>
        <v>0</v>
      </c>
      <c r="X195" s="5">
        <f>IF(po_master[[#This Row],[No invoice]]="No Invoice", 1, 0)</f>
        <v>0</v>
      </c>
      <c r="Y195" s="5">
        <f>IF(po_master[[#This Row],[Date Check]]="Invalid Date", 1, 0)</f>
        <v>0</v>
      </c>
      <c r="Z195" s="5">
        <f>IF(po_master[[#This Row],[Qty Variance Flag]]="Qty Variance", 1, 0)</f>
        <v>1</v>
      </c>
      <c r="AA195" s="5">
        <f>IF(po_master[[#This Row],[Price Variance Flag]]="Price Variance", 1, 0)</f>
        <v>1</v>
      </c>
      <c r="AB195" s="5">
        <f>IF(po_master[[#This Row],[Late Delivery Flag]]="Late Delivery", 1, 0)</f>
        <v>0</v>
      </c>
      <c r="AC195" s="5">
        <f>IF(po_master[[#This Row],[Duplicate Invoice Flag]]="Duplicate Invoice", 1, 0)</f>
        <v>0</v>
      </c>
      <c r="AD195" s="5" t="str">
        <f>TEXT(po_master[[#This Row],[Order Date]],"YYYY-MM")</f>
        <v>2026-01</v>
      </c>
    </row>
    <row r="196" spans="1:30" x14ac:dyDescent="0.25">
      <c r="A196" t="s">
        <v>849</v>
      </c>
      <c r="B196" t="s">
        <v>1489</v>
      </c>
      <c r="C196" s="1">
        <v>46105</v>
      </c>
      <c r="D196">
        <v>455</v>
      </c>
      <c r="E196">
        <v>41.79</v>
      </c>
      <c r="F196" t="s">
        <v>1499</v>
      </c>
      <c r="G196" s="1">
        <v>46117</v>
      </c>
      <c r="I196" s="1"/>
      <c r="J196" t="s">
        <v>850</v>
      </c>
      <c r="K196">
        <v>455</v>
      </c>
      <c r="L196">
        <v>41.79</v>
      </c>
      <c r="M196" s="1">
        <v>46124</v>
      </c>
      <c r="N196" t="str">
        <f>IF(po_master[[#This Row],[Approved By]]="", "Missing Approval", "OK")</f>
        <v>OK</v>
      </c>
      <c r="O196" t="str">
        <f>IF(ISBLANK(po_master[[#This Row],[GR Quantity]]), "No GR - Not received", "OK")</f>
        <v>No GR - Not received</v>
      </c>
      <c r="P196" t="str">
        <f>IF(po_master[[#This Row],[Promised Delivey Date]]&lt;po_master[[#This Row],[Order Date]], "Invalid", "OK")</f>
        <v>OK</v>
      </c>
      <c r="Q196" t="str">
        <f>IF(ISBLANK(po_master[[#This Row],[Invoice Number]]), "No Invoice", "OK")</f>
        <v>OK</v>
      </c>
      <c r="R196" t="str">
        <f>IF(AND(NOT(ISBLANK(po_master[[#This Row],[GR Quantity]])), po_master[[#This Row],[GR Quantity]]&lt;&gt;po_master[[#This Row],[PO Quantity]]), "Qty Variance", "OK")</f>
        <v>OK</v>
      </c>
      <c r="S196" t="str">
        <f>IF(po_master[[#This Row],[Invoice Unit Price]]&gt;po_master[[#This Row],[PO Unit Price]]*1.01, "Price Variance", "OK")</f>
        <v>OK</v>
      </c>
      <c r="T196" t="str">
        <f>IF(po_master[[#This Row],[Actual Delivery Date]]&gt;po_master[[#This Row],[Promised Delivey Date]], "Late Delivery", "OK")</f>
        <v>OK</v>
      </c>
      <c r="U196" t="str">
        <f>IF(COUNTIF(po_master[PO Number],po_master[[#This Row],[PO Number]])&gt;1, "Duplicate Invoice", "OK")</f>
        <v>OK</v>
      </c>
      <c r="V196" s="5">
        <f>IF(po_master[[#This Row],[Missing Approval]]="Missing Approval", 1, 0)</f>
        <v>0</v>
      </c>
      <c r="W196" s="5">
        <f>IF(po_master[[#This Row],[GR Receipt Status]]="No GR - Not Received", 1, 0)</f>
        <v>1</v>
      </c>
      <c r="X196" s="5">
        <f>IF(po_master[[#This Row],[No invoice]]="No Invoice", 1, 0)</f>
        <v>0</v>
      </c>
      <c r="Y196" s="5">
        <f>IF(po_master[[#This Row],[Date Check]]="Invalid Date", 1, 0)</f>
        <v>0</v>
      </c>
      <c r="Z196" s="5">
        <f>IF(po_master[[#This Row],[Qty Variance Flag]]="Qty Variance", 1, 0)</f>
        <v>0</v>
      </c>
      <c r="AA196" s="5">
        <f>IF(po_master[[#This Row],[Price Variance Flag]]="Price Variance", 1, 0)</f>
        <v>0</v>
      </c>
      <c r="AB196" s="5">
        <f>IF(po_master[[#This Row],[Late Delivery Flag]]="Late Delivery", 1, 0)</f>
        <v>0</v>
      </c>
      <c r="AC196" s="5">
        <f>IF(po_master[[#This Row],[Duplicate Invoice Flag]]="Duplicate Invoice", 1, 0)</f>
        <v>0</v>
      </c>
      <c r="AD196" s="5" t="str">
        <f>TEXT(po_master[[#This Row],[Order Date]],"YYYY-MM")</f>
        <v>2026-03</v>
      </c>
    </row>
    <row r="197" spans="1:30" x14ac:dyDescent="0.25">
      <c r="A197" t="s">
        <v>173</v>
      </c>
      <c r="B197" t="s">
        <v>1452</v>
      </c>
      <c r="C197" s="1">
        <v>46106</v>
      </c>
      <c r="D197">
        <v>417</v>
      </c>
      <c r="E197">
        <v>15.94</v>
      </c>
      <c r="F197" t="s">
        <v>1451</v>
      </c>
      <c r="G197" s="1">
        <v>46122</v>
      </c>
      <c r="H197">
        <v>417</v>
      </c>
      <c r="I197" s="1">
        <v>46120</v>
      </c>
      <c r="J197" t="s">
        <v>862</v>
      </c>
      <c r="K197">
        <v>417</v>
      </c>
      <c r="L197">
        <v>15.94</v>
      </c>
      <c r="M197" s="1">
        <v>46131</v>
      </c>
      <c r="N197" t="str">
        <f>IF(po_master[[#This Row],[Approved By]]="", "Missing Approval", "OK")</f>
        <v>OK</v>
      </c>
      <c r="O197" t="str">
        <f>IF(ISBLANK(po_master[[#This Row],[GR Quantity]]), "No GR - Not received", "OK")</f>
        <v>OK</v>
      </c>
      <c r="P197" t="str">
        <f>IF(po_master[[#This Row],[Promised Delivey Date]]&lt;po_master[[#This Row],[Order Date]], "Invalid", "OK")</f>
        <v>OK</v>
      </c>
      <c r="Q197" t="str">
        <f>IF(ISBLANK(po_master[[#This Row],[Invoice Number]]), "No Invoice", "OK")</f>
        <v>OK</v>
      </c>
      <c r="R197" t="str">
        <f>IF(AND(NOT(ISBLANK(po_master[[#This Row],[GR Quantity]])), po_master[[#This Row],[GR Quantity]]&lt;&gt;po_master[[#This Row],[PO Quantity]]), "Qty Variance", "OK")</f>
        <v>OK</v>
      </c>
      <c r="S197" t="str">
        <f>IF(po_master[[#This Row],[Invoice Unit Price]]&gt;po_master[[#This Row],[PO Unit Price]]*1.01, "Price Variance", "OK")</f>
        <v>OK</v>
      </c>
      <c r="T197" t="str">
        <f>IF(po_master[[#This Row],[Actual Delivery Date]]&gt;po_master[[#This Row],[Promised Delivey Date]], "Late Delivery", "OK")</f>
        <v>OK</v>
      </c>
      <c r="U197" t="str">
        <f>IF(COUNTIF(po_master[PO Number],po_master[[#This Row],[PO Number]])&gt;1, "Duplicate Invoice", "OK")</f>
        <v>OK</v>
      </c>
      <c r="V197" s="5">
        <f>IF(po_master[[#This Row],[Missing Approval]]="Missing Approval", 1, 0)</f>
        <v>0</v>
      </c>
      <c r="W197" s="5">
        <f>IF(po_master[[#This Row],[GR Receipt Status]]="No GR - Not Received", 1, 0)</f>
        <v>0</v>
      </c>
      <c r="X197" s="5">
        <f>IF(po_master[[#This Row],[No invoice]]="No Invoice", 1, 0)</f>
        <v>0</v>
      </c>
      <c r="Y197" s="5">
        <f>IF(po_master[[#This Row],[Date Check]]="Invalid Date", 1, 0)</f>
        <v>0</v>
      </c>
      <c r="Z197" s="5">
        <f>IF(po_master[[#This Row],[Qty Variance Flag]]="Qty Variance", 1, 0)</f>
        <v>0</v>
      </c>
      <c r="AA197" s="5">
        <f>IF(po_master[[#This Row],[Price Variance Flag]]="Price Variance", 1, 0)</f>
        <v>0</v>
      </c>
      <c r="AB197" s="5">
        <f>IF(po_master[[#This Row],[Late Delivery Flag]]="Late Delivery", 1, 0)</f>
        <v>0</v>
      </c>
      <c r="AC197" s="5">
        <f>IF(po_master[[#This Row],[Duplicate Invoice Flag]]="Duplicate Invoice", 1, 0)</f>
        <v>0</v>
      </c>
      <c r="AD197" s="5" t="str">
        <f>TEXT(po_master[[#This Row],[Order Date]],"YYYY-MM")</f>
        <v>2026-03</v>
      </c>
    </row>
    <row r="198" spans="1:30" x14ac:dyDescent="0.25">
      <c r="A198" t="s">
        <v>174</v>
      </c>
      <c r="B198" t="s">
        <v>1500</v>
      </c>
      <c r="C198" s="1">
        <v>46060</v>
      </c>
      <c r="D198">
        <v>135</v>
      </c>
      <c r="E198">
        <v>108.58</v>
      </c>
      <c r="F198" t="s">
        <v>1480</v>
      </c>
      <c r="G198" s="1">
        <v>46070</v>
      </c>
      <c r="H198">
        <v>135</v>
      </c>
      <c r="I198" s="1">
        <v>46072</v>
      </c>
      <c r="J198" t="s">
        <v>863</v>
      </c>
      <c r="K198">
        <v>135</v>
      </c>
      <c r="L198">
        <v>108.58</v>
      </c>
      <c r="M198" s="1">
        <v>46080</v>
      </c>
      <c r="N198" t="str">
        <f>IF(po_master[[#This Row],[Approved By]]="", "Missing Approval", "OK")</f>
        <v>OK</v>
      </c>
      <c r="O198" t="str">
        <f>IF(ISBLANK(po_master[[#This Row],[GR Quantity]]), "No GR - Not received", "OK")</f>
        <v>OK</v>
      </c>
      <c r="P198" t="str">
        <f>IF(po_master[[#This Row],[Promised Delivey Date]]&lt;po_master[[#This Row],[Order Date]], "Invalid", "OK")</f>
        <v>OK</v>
      </c>
      <c r="Q198" t="str">
        <f>IF(ISBLANK(po_master[[#This Row],[Invoice Number]]), "No Invoice", "OK")</f>
        <v>OK</v>
      </c>
      <c r="R198" t="str">
        <f>IF(AND(NOT(ISBLANK(po_master[[#This Row],[GR Quantity]])), po_master[[#This Row],[GR Quantity]]&lt;&gt;po_master[[#This Row],[PO Quantity]]), "Qty Variance", "OK")</f>
        <v>OK</v>
      </c>
      <c r="S198" t="str">
        <f>IF(po_master[[#This Row],[Invoice Unit Price]]&gt;po_master[[#This Row],[PO Unit Price]]*1.01, "Price Variance", "OK")</f>
        <v>OK</v>
      </c>
      <c r="T198" t="str">
        <f>IF(po_master[[#This Row],[Actual Delivery Date]]&gt;po_master[[#This Row],[Promised Delivey Date]], "Late Delivery", "OK")</f>
        <v>Late Delivery</v>
      </c>
      <c r="U198" t="str">
        <f>IF(COUNTIF(po_master[PO Number],po_master[[#This Row],[PO Number]])&gt;1, "Duplicate Invoice", "OK")</f>
        <v>OK</v>
      </c>
      <c r="V198" s="5">
        <f>IF(po_master[[#This Row],[Missing Approval]]="Missing Approval", 1, 0)</f>
        <v>0</v>
      </c>
      <c r="W198" s="5">
        <f>IF(po_master[[#This Row],[GR Receipt Status]]="No GR - Not Received", 1, 0)</f>
        <v>0</v>
      </c>
      <c r="X198" s="5">
        <f>IF(po_master[[#This Row],[No invoice]]="No Invoice", 1, 0)</f>
        <v>0</v>
      </c>
      <c r="Y198" s="5">
        <f>IF(po_master[[#This Row],[Date Check]]="Invalid Date", 1, 0)</f>
        <v>0</v>
      </c>
      <c r="Z198" s="5">
        <f>IF(po_master[[#This Row],[Qty Variance Flag]]="Qty Variance", 1, 0)</f>
        <v>0</v>
      </c>
      <c r="AA198" s="5">
        <f>IF(po_master[[#This Row],[Price Variance Flag]]="Price Variance", 1, 0)</f>
        <v>0</v>
      </c>
      <c r="AB198" s="5">
        <f>IF(po_master[[#This Row],[Late Delivery Flag]]="Late Delivery", 1, 0)</f>
        <v>1</v>
      </c>
      <c r="AC198" s="5">
        <f>IF(po_master[[#This Row],[Duplicate Invoice Flag]]="Duplicate Invoice", 1, 0)</f>
        <v>0</v>
      </c>
      <c r="AD198" s="5" t="str">
        <f>TEXT(po_master[[#This Row],[Order Date]],"YYYY-MM")</f>
        <v>2026-02</v>
      </c>
    </row>
    <row r="199" spans="1:30" x14ac:dyDescent="0.25">
      <c r="A199" t="s">
        <v>175</v>
      </c>
      <c r="B199" t="s">
        <v>1460</v>
      </c>
      <c r="C199" s="1">
        <v>46067</v>
      </c>
      <c r="D199">
        <v>50</v>
      </c>
      <c r="E199">
        <v>123.85</v>
      </c>
      <c r="F199" t="s">
        <v>1453</v>
      </c>
      <c r="G199" s="1">
        <v>46079</v>
      </c>
      <c r="H199">
        <v>50</v>
      </c>
      <c r="I199" s="1">
        <v>46077</v>
      </c>
      <c r="J199" t="s">
        <v>864</v>
      </c>
      <c r="K199">
        <v>50</v>
      </c>
      <c r="L199">
        <v>141.85</v>
      </c>
      <c r="M199" s="1">
        <v>46083</v>
      </c>
      <c r="N199" t="str">
        <f>IF(po_master[[#This Row],[Approved By]]="", "Missing Approval", "OK")</f>
        <v>OK</v>
      </c>
      <c r="O199" t="str">
        <f>IF(ISBLANK(po_master[[#This Row],[GR Quantity]]), "No GR - Not received", "OK")</f>
        <v>OK</v>
      </c>
      <c r="P199" t="str">
        <f>IF(po_master[[#This Row],[Promised Delivey Date]]&lt;po_master[[#This Row],[Order Date]], "Invalid", "OK")</f>
        <v>OK</v>
      </c>
      <c r="Q199" t="str">
        <f>IF(ISBLANK(po_master[[#This Row],[Invoice Number]]), "No Invoice", "OK")</f>
        <v>OK</v>
      </c>
      <c r="R199" t="str">
        <f>IF(AND(NOT(ISBLANK(po_master[[#This Row],[GR Quantity]])), po_master[[#This Row],[GR Quantity]]&lt;&gt;po_master[[#This Row],[PO Quantity]]), "Qty Variance", "OK")</f>
        <v>OK</v>
      </c>
      <c r="S199" t="str">
        <f>IF(po_master[[#This Row],[Invoice Unit Price]]&gt;po_master[[#This Row],[PO Unit Price]]*1.01, "Price Variance", "OK")</f>
        <v>Price Variance</v>
      </c>
      <c r="T199" t="str">
        <f>IF(po_master[[#This Row],[Actual Delivery Date]]&gt;po_master[[#This Row],[Promised Delivey Date]], "Late Delivery", "OK")</f>
        <v>OK</v>
      </c>
      <c r="U199" t="str">
        <f>IF(COUNTIF(po_master[PO Number],po_master[[#This Row],[PO Number]])&gt;1, "Duplicate Invoice", "OK")</f>
        <v>OK</v>
      </c>
      <c r="V199" s="5">
        <f>IF(po_master[[#This Row],[Missing Approval]]="Missing Approval", 1, 0)</f>
        <v>0</v>
      </c>
      <c r="W199" s="5">
        <f>IF(po_master[[#This Row],[GR Receipt Status]]="No GR - Not Received", 1, 0)</f>
        <v>0</v>
      </c>
      <c r="X199" s="5">
        <f>IF(po_master[[#This Row],[No invoice]]="No Invoice", 1, 0)</f>
        <v>0</v>
      </c>
      <c r="Y199" s="5">
        <f>IF(po_master[[#This Row],[Date Check]]="Invalid Date", 1, 0)</f>
        <v>0</v>
      </c>
      <c r="Z199" s="5">
        <f>IF(po_master[[#This Row],[Qty Variance Flag]]="Qty Variance", 1, 0)</f>
        <v>0</v>
      </c>
      <c r="AA199" s="5">
        <f>IF(po_master[[#This Row],[Price Variance Flag]]="Price Variance", 1, 0)</f>
        <v>1</v>
      </c>
      <c r="AB199" s="5">
        <f>IF(po_master[[#This Row],[Late Delivery Flag]]="Late Delivery", 1, 0)</f>
        <v>0</v>
      </c>
      <c r="AC199" s="5">
        <f>IF(po_master[[#This Row],[Duplicate Invoice Flag]]="Duplicate Invoice", 1, 0)</f>
        <v>0</v>
      </c>
      <c r="AD199" s="5" t="str">
        <f>TEXT(po_master[[#This Row],[Order Date]],"YYYY-MM")</f>
        <v>2026-02</v>
      </c>
    </row>
    <row r="200" spans="1:30" x14ac:dyDescent="0.25">
      <c r="A200" t="s">
        <v>176</v>
      </c>
      <c r="B200" t="s">
        <v>1489</v>
      </c>
      <c r="C200" s="1">
        <v>46088</v>
      </c>
      <c r="D200">
        <v>351</v>
      </c>
      <c r="E200">
        <v>6.83</v>
      </c>
      <c r="F200" t="s">
        <v>1469</v>
      </c>
      <c r="G200" s="1">
        <v>46102</v>
      </c>
      <c r="H200">
        <v>351</v>
      </c>
      <c r="I200" s="1">
        <v>46104</v>
      </c>
      <c r="J200" t="s">
        <v>867</v>
      </c>
      <c r="K200">
        <v>351</v>
      </c>
      <c r="L200">
        <v>6.83</v>
      </c>
      <c r="M200" s="1">
        <v>46111</v>
      </c>
      <c r="N200" t="str">
        <f>IF(po_master[[#This Row],[Approved By]]="", "Missing Approval", "OK")</f>
        <v>OK</v>
      </c>
      <c r="O200" t="str">
        <f>IF(ISBLANK(po_master[[#This Row],[GR Quantity]]), "No GR - Not received", "OK")</f>
        <v>OK</v>
      </c>
      <c r="P200" t="str">
        <f>IF(po_master[[#This Row],[Promised Delivey Date]]&lt;po_master[[#This Row],[Order Date]], "Invalid", "OK")</f>
        <v>OK</v>
      </c>
      <c r="Q200" t="str">
        <f>IF(ISBLANK(po_master[[#This Row],[Invoice Number]]), "No Invoice", "OK")</f>
        <v>OK</v>
      </c>
      <c r="R200" t="str">
        <f>IF(AND(NOT(ISBLANK(po_master[[#This Row],[GR Quantity]])), po_master[[#This Row],[GR Quantity]]&lt;&gt;po_master[[#This Row],[PO Quantity]]), "Qty Variance", "OK")</f>
        <v>OK</v>
      </c>
      <c r="S200" t="str">
        <f>IF(po_master[[#This Row],[Invoice Unit Price]]&gt;po_master[[#This Row],[PO Unit Price]]*1.01, "Price Variance", "OK")</f>
        <v>OK</v>
      </c>
      <c r="T200" t="str">
        <f>IF(po_master[[#This Row],[Actual Delivery Date]]&gt;po_master[[#This Row],[Promised Delivey Date]], "Late Delivery", "OK")</f>
        <v>Late Delivery</v>
      </c>
      <c r="U200" t="str">
        <f>IF(COUNTIF(po_master[PO Number],po_master[[#This Row],[PO Number]])&gt;1, "Duplicate Invoice", "OK")</f>
        <v>OK</v>
      </c>
      <c r="V200" s="5">
        <f>IF(po_master[[#This Row],[Missing Approval]]="Missing Approval", 1, 0)</f>
        <v>0</v>
      </c>
      <c r="W200" s="5">
        <f>IF(po_master[[#This Row],[GR Receipt Status]]="No GR - Not Received", 1, 0)</f>
        <v>0</v>
      </c>
      <c r="X200" s="5">
        <f>IF(po_master[[#This Row],[No invoice]]="No Invoice", 1, 0)</f>
        <v>0</v>
      </c>
      <c r="Y200" s="5">
        <f>IF(po_master[[#This Row],[Date Check]]="Invalid Date", 1, 0)</f>
        <v>0</v>
      </c>
      <c r="Z200" s="5">
        <f>IF(po_master[[#This Row],[Qty Variance Flag]]="Qty Variance", 1, 0)</f>
        <v>0</v>
      </c>
      <c r="AA200" s="5">
        <f>IF(po_master[[#This Row],[Price Variance Flag]]="Price Variance", 1, 0)</f>
        <v>0</v>
      </c>
      <c r="AB200" s="5">
        <f>IF(po_master[[#This Row],[Late Delivery Flag]]="Late Delivery", 1, 0)</f>
        <v>1</v>
      </c>
      <c r="AC200" s="5">
        <f>IF(po_master[[#This Row],[Duplicate Invoice Flag]]="Duplicate Invoice", 1, 0)</f>
        <v>0</v>
      </c>
      <c r="AD200" s="5" t="str">
        <f>TEXT(po_master[[#This Row],[Order Date]],"YYYY-MM")</f>
        <v>2026-03</v>
      </c>
    </row>
    <row r="201" spans="1:30" x14ac:dyDescent="0.25">
      <c r="A201" t="s">
        <v>177</v>
      </c>
      <c r="B201" t="s">
        <v>1461</v>
      </c>
      <c r="C201" s="1">
        <v>46162</v>
      </c>
      <c r="D201">
        <v>90</v>
      </c>
      <c r="E201">
        <v>19.399999999999999</v>
      </c>
      <c r="F201" t="s">
        <v>1451</v>
      </c>
      <c r="G201" s="1">
        <v>46176</v>
      </c>
      <c r="H201">
        <v>90</v>
      </c>
      <c r="I201" s="1">
        <v>46177</v>
      </c>
      <c r="J201" t="s">
        <v>868</v>
      </c>
      <c r="K201">
        <v>90</v>
      </c>
      <c r="L201">
        <v>19.399999999999999</v>
      </c>
      <c r="M201" s="1">
        <v>46185</v>
      </c>
      <c r="N201" t="str">
        <f>IF(po_master[[#This Row],[Approved By]]="", "Missing Approval", "OK")</f>
        <v>OK</v>
      </c>
      <c r="O201" t="str">
        <f>IF(ISBLANK(po_master[[#This Row],[GR Quantity]]), "No GR - Not received", "OK")</f>
        <v>OK</v>
      </c>
      <c r="P201" t="str">
        <f>IF(po_master[[#This Row],[Promised Delivey Date]]&lt;po_master[[#This Row],[Order Date]], "Invalid", "OK")</f>
        <v>OK</v>
      </c>
      <c r="Q201" t="str">
        <f>IF(ISBLANK(po_master[[#This Row],[Invoice Number]]), "No Invoice", "OK")</f>
        <v>OK</v>
      </c>
      <c r="R201" t="str">
        <f>IF(AND(NOT(ISBLANK(po_master[[#This Row],[GR Quantity]])), po_master[[#This Row],[GR Quantity]]&lt;&gt;po_master[[#This Row],[PO Quantity]]), "Qty Variance", "OK")</f>
        <v>OK</v>
      </c>
      <c r="S201" t="str">
        <f>IF(po_master[[#This Row],[Invoice Unit Price]]&gt;po_master[[#This Row],[PO Unit Price]]*1.01, "Price Variance", "OK")</f>
        <v>OK</v>
      </c>
      <c r="T201" t="str">
        <f>IF(po_master[[#This Row],[Actual Delivery Date]]&gt;po_master[[#This Row],[Promised Delivey Date]], "Late Delivery", "OK")</f>
        <v>Late Delivery</v>
      </c>
      <c r="U201" t="str">
        <f>IF(COUNTIF(po_master[PO Number],po_master[[#This Row],[PO Number]])&gt;1, "Duplicate Invoice", "OK")</f>
        <v>OK</v>
      </c>
      <c r="V201" s="5">
        <f>IF(po_master[[#This Row],[Missing Approval]]="Missing Approval", 1, 0)</f>
        <v>0</v>
      </c>
      <c r="W201" s="5">
        <f>IF(po_master[[#This Row],[GR Receipt Status]]="No GR - Not Received", 1, 0)</f>
        <v>0</v>
      </c>
      <c r="X201" s="5">
        <f>IF(po_master[[#This Row],[No invoice]]="No Invoice", 1, 0)</f>
        <v>0</v>
      </c>
      <c r="Y201" s="5">
        <f>IF(po_master[[#This Row],[Date Check]]="Invalid Date", 1, 0)</f>
        <v>0</v>
      </c>
      <c r="Z201" s="5">
        <f>IF(po_master[[#This Row],[Qty Variance Flag]]="Qty Variance", 1, 0)</f>
        <v>0</v>
      </c>
      <c r="AA201" s="5">
        <f>IF(po_master[[#This Row],[Price Variance Flag]]="Price Variance", 1, 0)</f>
        <v>0</v>
      </c>
      <c r="AB201" s="5">
        <f>IF(po_master[[#This Row],[Late Delivery Flag]]="Late Delivery", 1, 0)</f>
        <v>1</v>
      </c>
      <c r="AC201" s="5">
        <f>IF(po_master[[#This Row],[Duplicate Invoice Flag]]="Duplicate Invoice", 1, 0)</f>
        <v>0</v>
      </c>
      <c r="AD201" s="5" t="str">
        <f>TEXT(po_master[[#This Row],[Order Date]],"YYYY-MM")</f>
        <v>2026-05</v>
      </c>
    </row>
    <row r="202" spans="1:30" x14ac:dyDescent="0.25">
      <c r="A202" t="s">
        <v>178</v>
      </c>
      <c r="B202" t="s">
        <v>1439</v>
      </c>
      <c r="C202" s="1">
        <v>46131</v>
      </c>
      <c r="D202">
        <v>363</v>
      </c>
      <c r="E202">
        <v>53.77</v>
      </c>
      <c r="F202" t="s">
        <v>1459</v>
      </c>
      <c r="G202" s="1">
        <v>46142</v>
      </c>
      <c r="H202">
        <v>363</v>
      </c>
      <c r="I202" s="1">
        <v>46140</v>
      </c>
      <c r="J202" t="s">
        <v>869</v>
      </c>
      <c r="K202">
        <v>363</v>
      </c>
      <c r="L202">
        <v>60.21</v>
      </c>
      <c r="M202" s="1">
        <v>46152</v>
      </c>
      <c r="N202" t="str">
        <f>IF(po_master[[#This Row],[Approved By]]="", "Missing Approval", "OK")</f>
        <v>Missing Approval</v>
      </c>
      <c r="O202" t="str">
        <f>IF(ISBLANK(po_master[[#This Row],[GR Quantity]]), "No GR - Not received", "OK")</f>
        <v>OK</v>
      </c>
      <c r="P202" t="str">
        <f>IF(po_master[[#This Row],[Promised Delivey Date]]&lt;po_master[[#This Row],[Order Date]], "Invalid", "OK")</f>
        <v>OK</v>
      </c>
      <c r="Q202" t="str">
        <f>IF(ISBLANK(po_master[[#This Row],[Invoice Number]]), "No Invoice", "OK")</f>
        <v>OK</v>
      </c>
      <c r="R202" t="str">
        <f>IF(AND(NOT(ISBLANK(po_master[[#This Row],[GR Quantity]])), po_master[[#This Row],[GR Quantity]]&lt;&gt;po_master[[#This Row],[PO Quantity]]), "Qty Variance", "OK")</f>
        <v>OK</v>
      </c>
      <c r="S202" t="str">
        <f>IF(po_master[[#This Row],[Invoice Unit Price]]&gt;po_master[[#This Row],[PO Unit Price]]*1.01, "Price Variance", "OK")</f>
        <v>Price Variance</v>
      </c>
      <c r="T202" t="str">
        <f>IF(po_master[[#This Row],[Actual Delivery Date]]&gt;po_master[[#This Row],[Promised Delivey Date]], "Late Delivery", "OK")</f>
        <v>OK</v>
      </c>
      <c r="U202" t="str">
        <f>IF(COUNTIF(po_master[PO Number],po_master[[#This Row],[PO Number]])&gt;1, "Duplicate Invoice", "OK")</f>
        <v>OK</v>
      </c>
      <c r="V202" s="5">
        <f>IF(po_master[[#This Row],[Missing Approval]]="Missing Approval", 1, 0)</f>
        <v>1</v>
      </c>
      <c r="W202" s="5">
        <f>IF(po_master[[#This Row],[GR Receipt Status]]="No GR - Not Received", 1, 0)</f>
        <v>0</v>
      </c>
      <c r="X202" s="5">
        <f>IF(po_master[[#This Row],[No invoice]]="No Invoice", 1, 0)</f>
        <v>0</v>
      </c>
      <c r="Y202" s="5">
        <f>IF(po_master[[#This Row],[Date Check]]="Invalid Date", 1, 0)</f>
        <v>0</v>
      </c>
      <c r="Z202" s="5">
        <f>IF(po_master[[#This Row],[Qty Variance Flag]]="Qty Variance", 1, 0)</f>
        <v>0</v>
      </c>
      <c r="AA202" s="5">
        <f>IF(po_master[[#This Row],[Price Variance Flag]]="Price Variance", 1, 0)</f>
        <v>1</v>
      </c>
      <c r="AB202" s="5">
        <f>IF(po_master[[#This Row],[Late Delivery Flag]]="Late Delivery", 1, 0)</f>
        <v>0</v>
      </c>
      <c r="AC202" s="5">
        <f>IF(po_master[[#This Row],[Duplicate Invoice Flag]]="Duplicate Invoice", 1, 0)</f>
        <v>0</v>
      </c>
      <c r="AD202" s="5" t="str">
        <f>TEXT(po_master[[#This Row],[Order Date]],"YYYY-MM")</f>
        <v>2026-04</v>
      </c>
    </row>
    <row r="203" spans="1:30" x14ac:dyDescent="0.25">
      <c r="A203" t="s">
        <v>179</v>
      </c>
      <c r="B203" t="s">
        <v>1502</v>
      </c>
      <c r="C203" s="1">
        <v>46146</v>
      </c>
      <c r="D203">
        <v>64</v>
      </c>
      <c r="E203">
        <v>51.26</v>
      </c>
      <c r="F203" t="s">
        <v>1480</v>
      </c>
      <c r="G203" s="1">
        <v>46162</v>
      </c>
      <c r="H203">
        <v>64</v>
      </c>
      <c r="I203" s="1">
        <v>46161</v>
      </c>
      <c r="J203" t="s">
        <v>870</v>
      </c>
      <c r="K203">
        <v>64</v>
      </c>
      <c r="L203">
        <v>51.26</v>
      </c>
      <c r="M203" s="1">
        <v>46163</v>
      </c>
      <c r="N203" t="str">
        <f>IF(po_master[[#This Row],[Approved By]]="", "Missing Approval", "OK")</f>
        <v>OK</v>
      </c>
      <c r="O203" t="str">
        <f>IF(ISBLANK(po_master[[#This Row],[GR Quantity]]), "No GR - Not received", "OK")</f>
        <v>OK</v>
      </c>
      <c r="P203" t="str">
        <f>IF(po_master[[#This Row],[Promised Delivey Date]]&lt;po_master[[#This Row],[Order Date]], "Invalid", "OK")</f>
        <v>OK</v>
      </c>
      <c r="Q203" t="str">
        <f>IF(ISBLANK(po_master[[#This Row],[Invoice Number]]), "No Invoice", "OK")</f>
        <v>OK</v>
      </c>
      <c r="R203" t="str">
        <f>IF(AND(NOT(ISBLANK(po_master[[#This Row],[GR Quantity]])), po_master[[#This Row],[GR Quantity]]&lt;&gt;po_master[[#This Row],[PO Quantity]]), "Qty Variance", "OK")</f>
        <v>OK</v>
      </c>
      <c r="S203" t="str">
        <f>IF(po_master[[#This Row],[Invoice Unit Price]]&gt;po_master[[#This Row],[PO Unit Price]]*1.01, "Price Variance", "OK")</f>
        <v>OK</v>
      </c>
      <c r="T203" t="str">
        <f>IF(po_master[[#This Row],[Actual Delivery Date]]&gt;po_master[[#This Row],[Promised Delivey Date]], "Late Delivery", "OK")</f>
        <v>OK</v>
      </c>
      <c r="U203" t="str">
        <f>IF(COUNTIF(po_master[PO Number],po_master[[#This Row],[PO Number]])&gt;1, "Duplicate Invoice", "OK")</f>
        <v>OK</v>
      </c>
      <c r="V203" s="5">
        <f>IF(po_master[[#This Row],[Missing Approval]]="Missing Approval", 1, 0)</f>
        <v>0</v>
      </c>
      <c r="W203" s="5">
        <f>IF(po_master[[#This Row],[GR Receipt Status]]="No GR - Not Received", 1, 0)</f>
        <v>0</v>
      </c>
      <c r="X203" s="5">
        <f>IF(po_master[[#This Row],[No invoice]]="No Invoice", 1, 0)</f>
        <v>0</v>
      </c>
      <c r="Y203" s="5">
        <f>IF(po_master[[#This Row],[Date Check]]="Invalid Date", 1, 0)</f>
        <v>0</v>
      </c>
      <c r="Z203" s="5">
        <f>IF(po_master[[#This Row],[Qty Variance Flag]]="Qty Variance", 1, 0)</f>
        <v>0</v>
      </c>
      <c r="AA203" s="5">
        <f>IF(po_master[[#This Row],[Price Variance Flag]]="Price Variance", 1, 0)</f>
        <v>0</v>
      </c>
      <c r="AB203" s="5">
        <f>IF(po_master[[#This Row],[Late Delivery Flag]]="Late Delivery", 1, 0)</f>
        <v>0</v>
      </c>
      <c r="AC203" s="5">
        <f>IF(po_master[[#This Row],[Duplicate Invoice Flag]]="Duplicate Invoice", 1, 0)</f>
        <v>0</v>
      </c>
      <c r="AD203" s="5" t="str">
        <f>TEXT(po_master[[#This Row],[Order Date]],"YYYY-MM")</f>
        <v>2026-05</v>
      </c>
    </row>
    <row r="204" spans="1:30" x14ac:dyDescent="0.25">
      <c r="A204" t="s">
        <v>180</v>
      </c>
      <c r="B204" t="s">
        <v>1493</v>
      </c>
      <c r="C204" s="1">
        <v>46098</v>
      </c>
      <c r="D204">
        <v>368</v>
      </c>
      <c r="E204">
        <v>62.57</v>
      </c>
      <c r="F204" t="s">
        <v>1467</v>
      </c>
      <c r="G204" s="1">
        <v>46115</v>
      </c>
      <c r="H204">
        <v>368</v>
      </c>
      <c r="I204" s="1">
        <v>46117</v>
      </c>
      <c r="J204" t="s">
        <v>871</v>
      </c>
      <c r="K204">
        <v>368</v>
      </c>
      <c r="L204">
        <v>62.57</v>
      </c>
      <c r="M204" s="1">
        <v>46120</v>
      </c>
      <c r="N204" t="str">
        <f>IF(po_master[[#This Row],[Approved By]]="", "Missing Approval", "OK")</f>
        <v>OK</v>
      </c>
      <c r="O204" t="str">
        <f>IF(ISBLANK(po_master[[#This Row],[GR Quantity]]), "No GR - Not received", "OK")</f>
        <v>OK</v>
      </c>
      <c r="P204" t="str">
        <f>IF(po_master[[#This Row],[Promised Delivey Date]]&lt;po_master[[#This Row],[Order Date]], "Invalid", "OK")</f>
        <v>OK</v>
      </c>
      <c r="Q204" t="str">
        <f>IF(ISBLANK(po_master[[#This Row],[Invoice Number]]), "No Invoice", "OK")</f>
        <v>OK</v>
      </c>
      <c r="R204" t="str">
        <f>IF(AND(NOT(ISBLANK(po_master[[#This Row],[GR Quantity]])), po_master[[#This Row],[GR Quantity]]&lt;&gt;po_master[[#This Row],[PO Quantity]]), "Qty Variance", "OK")</f>
        <v>OK</v>
      </c>
      <c r="S204" t="str">
        <f>IF(po_master[[#This Row],[Invoice Unit Price]]&gt;po_master[[#This Row],[PO Unit Price]]*1.01, "Price Variance", "OK")</f>
        <v>OK</v>
      </c>
      <c r="T204" t="str">
        <f>IF(po_master[[#This Row],[Actual Delivery Date]]&gt;po_master[[#This Row],[Promised Delivey Date]], "Late Delivery", "OK")</f>
        <v>Late Delivery</v>
      </c>
      <c r="U204" t="str">
        <f>IF(COUNTIF(po_master[PO Number],po_master[[#This Row],[PO Number]])&gt;1, "Duplicate Invoice", "OK")</f>
        <v>OK</v>
      </c>
      <c r="V204" s="5">
        <f>IF(po_master[[#This Row],[Missing Approval]]="Missing Approval", 1, 0)</f>
        <v>0</v>
      </c>
      <c r="W204" s="5">
        <f>IF(po_master[[#This Row],[GR Receipt Status]]="No GR - Not Received", 1, 0)</f>
        <v>0</v>
      </c>
      <c r="X204" s="5">
        <f>IF(po_master[[#This Row],[No invoice]]="No Invoice", 1, 0)</f>
        <v>0</v>
      </c>
      <c r="Y204" s="5">
        <f>IF(po_master[[#This Row],[Date Check]]="Invalid Date", 1, 0)</f>
        <v>0</v>
      </c>
      <c r="Z204" s="5">
        <f>IF(po_master[[#This Row],[Qty Variance Flag]]="Qty Variance", 1, 0)</f>
        <v>0</v>
      </c>
      <c r="AA204" s="5">
        <f>IF(po_master[[#This Row],[Price Variance Flag]]="Price Variance", 1, 0)</f>
        <v>0</v>
      </c>
      <c r="AB204" s="5">
        <f>IF(po_master[[#This Row],[Late Delivery Flag]]="Late Delivery", 1, 0)</f>
        <v>1</v>
      </c>
      <c r="AC204" s="5">
        <f>IF(po_master[[#This Row],[Duplicate Invoice Flag]]="Duplicate Invoice", 1, 0)</f>
        <v>0</v>
      </c>
      <c r="AD204" s="5" t="str">
        <f>TEXT(po_master[[#This Row],[Order Date]],"YYYY-MM")</f>
        <v>2026-03</v>
      </c>
    </row>
    <row r="205" spans="1:30" x14ac:dyDescent="0.25">
      <c r="A205" t="s">
        <v>181</v>
      </c>
      <c r="B205" t="s">
        <v>1511</v>
      </c>
      <c r="C205" s="1">
        <v>46025</v>
      </c>
      <c r="D205">
        <v>299</v>
      </c>
      <c r="E205">
        <v>173.69</v>
      </c>
      <c r="F205" t="s">
        <v>1456</v>
      </c>
      <c r="G205" s="1">
        <v>46031</v>
      </c>
      <c r="H205">
        <v>299</v>
      </c>
      <c r="I205" s="1">
        <v>46030</v>
      </c>
      <c r="J205" t="s">
        <v>872</v>
      </c>
      <c r="K205">
        <v>299</v>
      </c>
      <c r="L205">
        <v>173.69</v>
      </c>
      <c r="M205" s="1">
        <v>46038</v>
      </c>
      <c r="N205" t="str">
        <f>IF(po_master[[#This Row],[Approved By]]="", "Missing Approval", "OK")</f>
        <v>OK</v>
      </c>
      <c r="O205" t="str">
        <f>IF(ISBLANK(po_master[[#This Row],[GR Quantity]]), "No GR - Not received", "OK")</f>
        <v>OK</v>
      </c>
      <c r="P205" t="str">
        <f>IF(po_master[[#This Row],[Promised Delivey Date]]&lt;po_master[[#This Row],[Order Date]], "Invalid", "OK")</f>
        <v>OK</v>
      </c>
      <c r="Q205" t="str">
        <f>IF(ISBLANK(po_master[[#This Row],[Invoice Number]]), "No Invoice", "OK")</f>
        <v>OK</v>
      </c>
      <c r="R205" t="str">
        <f>IF(AND(NOT(ISBLANK(po_master[[#This Row],[GR Quantity]])), po_master[[#This Row],[GR Quantity]]&lt;&gt;po_master[[#This Row],[PO Quantity]]), "Qty Variance", "OK")</f>
        <v>OK</v>
      </c>
      <c r="S205" t="str">
        <f>IF(po_master[[#This Row],[Invoice Unit Price]]&gt;po_master[[#This Row],[PO Unit Price]]*1.01, "Price Variance", "OK")</f>
        <v>OK</v>
      </c>
      <c r="T205" t="str">
        <f>IF(po_master[[#This Row],[Actual Delivery Date]]&gt;po_master[[#This Row],[Promised Delivey Date]], "Late Delivery", "OK")</f>
        <v>OK</v>
      </c>
      <c r="U205" t="str">
        <f>IF(COUNTIF(po_master[PO Number],po_master[[#This Row],[PO Number]])&gt;1, "Duplicate Invoice", "OK")</f>
        <v>OK</v>
      </c>
      <c r="V205" s="5">
        <f>IF(po_master[[#This Row],[Missing Approval]]="Missing Approval", 1, 0)</f>
        <v>0</v>
      </c>
      <c r="W205" s="5">
        <f>IF(po_master[[#This Row],[GR Receipt Status]]="No GR - Not Received", 1, 0)</f>
        <v>0</v>
      </c>
      <c r="X205" s="5">
        <f>IF(po_master[[#This Row],[No invoice]]="No Invoice", 1, 0)</f>
        <v>0</v>
      </c>
      <c r="Y205" s="5">
        <f>IF(po_master[[#This Row],[Date Check]]="Invalid Date", 1, 0)</f>
        <v>0</v>
      </c>
      <c r="Z205" s="5">
        <f>IF(po_master[[#This Row],[Qty Variance Flag]]="Qty Variance", 1, 0)</f>
        <v>0</v>
      </c>
      <c r="AA205" s="5">
        <f>IF(po_master[[#This Row],[Price Variance Flag]]="Price Variance", 1, 0)</f>
        <v>0</v>
      </c>
      <c r="AB205" s="5">
        <f>IF(po_master[[#This Row],[Late Delivery Flag]]="Late Delivery", 1, 0)</f>
        <v>0</v>
      </c>
      <c r="AC205" s="5">
        <f>IF(po_master[[#This Row],[Duplicate Invoice Flag]]="Duplicate Invoice", 1, 0)</f>
        <v>0</v>
      </c>
      <c r="AD205" s="5" t="str">
        <f>TEXT(po_master[[#This Row],[Order Date]],"YYYY-MM")</f>
        <v>2026-01</v>
      </c>
    </row>
    <row r="206" spans="1:30" x14ac:dyDescent="0.25">
      <c r="A206" t="s">
        <v>182</v>
      </c>
      <c r="B206" t="s">
        <v>1468</v>
      </c>
      <c r="C206" s="1">
        <v>46150</v>
      </c>
      <c r="D206">
        <v>436</v>
      </c>
      <c r="E206">
        <v>181.31</v>
      </c>
      <c r="F206" t="s">
        <v>1474</v>
      </c>
      <c r="G206" s="1">
        <v>46162</v>
      </c>
      <c r="H206">
        <v>436</v>
      </c>
      <c r="I206" s="1">
        <v>46163</v>
      </c>
      <c r="J206" t="s">
        <v>873</v>
      </c>
      <c r="K206">
        <v>436</v>
      </c>
      <c r="L206">
        <v>181.31</v>
      </c>
      <c r="M206" s="1">
        <v>46166</v>
      </c>
      <c r="N206" t="str">
        <f>IF(po_master[[#This Row],[Approved By]]="", "Missing Approval", "OK")</f>
        <v>OK</v>
      </c>
      <c r="O206" t="str">
        <f>IF(ISBLANK(po_master[[#This Row],[GR Quantity]]), "No GR - Not received", "OK")</f>
        <v>OK</v>
      </c>
      <c r="P206" t="str">
        <f>IF(po_master[[#This Row],[Promised Delivey Date]]&lt;po_master[[#This Row],[Order Date]], "Invalid", "OK")</f>
        <v>OK</v>
      </c>
      <c r="Q206" t="str">
        <f>IF(ISBLANK(po_master[[#This Row],[Invoice Number]]), "No Invoice", "OK")</f>
        <v>OK</v>
      </c>
      <c r="R206" t="str">
        <f>IF(AND(NOT(ISBLANK(po_master[[#This Row],[GR Quantity]])), po_master[[#This Row],[GR Quantity]]&lt;&gt;po_master[[#This Row],[PO Quantity]]), "Qty Variance", "OK")</f>
        <v>OK</v>
      </c>
      <c r="S206" t="str">
        <f>IF(po_master[[#This Row],[Invoice Unit Price]]&gt;po_master[[#This Row],[PO Unit Price]]*1.01, "Price Variance", "OK")</f>
        <v>OK</v>
      </c>
      <c r="T206" t="str">
        <f>IF(po_master[[#This Row],[Actual Delivery Date]]&gt;po_master[[#This Row],[Promised Delivey Date]], "Late Delivery", "OK")</f>
        <v>Late Delivery</v>
      </c>
      <c r="U206" t="str">
        <f>IF(COUNTIF(po_master[PO Number],po_master[[#This Row],[PO Number]])&gt;1, "Duplicate Invoice", "OK")</f>
        <v>OK</v>
      </c>
      <c r="V206" s="5">
        <f>IF(po_master[[#This Row],[Missing Approval]]="Missing Approval", 1, 0)</f>
        <v>0</v>
      </c>
      <c r="W206" s="5">
        <f>IF(po_master[[#This Row],[GR Receipt Status]]="No GR - Not Received", 1, 0)</f>
        <v>0</v>
      </c>
      <c r="X206" s="5">
        <f>IF(po_master[[#This Row],[No invoice]]="No Invoice", 1, 0)</f>
        <v>0</v>
      </c>
      <c r="Y206" s="5">
        <f>IF(po_master[[#This Row],[Date Check]]="Invalid Date", 1, 0)</f>
        <v>0</v>
      </c>
      <c r="Z206" s="5">
        <f>IF(po_master[[#This Row],[Qty Variance Flag]]="Qty Variance", 1, 0)</f>
        <v>0</v>
      </c>
      <c r="AA206" s="5">
        <f>IF(po_master[[#This Row],[Price Variance Flag]]="Price Variance", 1, 0)</f>
        <v>0</v>
      </c>
      <c r="AB206" s="5">
        <f>IF(po_master[[#This Row],[Late Delivery Flag]]="Late Delivery", 1, 0)</f>
        <v>1</v>
      </c>
      <c r="AC206" s="5">
        <f>IF(po_master[[#This Row],[Duplicate Invoice Flag]]="Duplicate Invoice", 1, 0)</f>
        <v>0</v>
      </c>
      <c r="AD206" s="5" t="str">
        <f>TEXT(po_master[[#This Row],[Order Date]],"YYYY-MM")</f>
        <v>2026-05</v>
      </c>
    </row>
    <row r="207" spans="1:30" x14ac:dyDescent="0.25">
      <c r="A207" t="s">
        <v>183</v>
      </c>
      <c r="B207" t="s">
        <v>1468</v>
      </c>
      <c r="C207" s="1">
        <v>46113</v>
      </c>
      <c r="D207">
        <v>122</v>
      </c>
      <c r="E207">
        <v>129.13999999999999</v>
      </c>
      <c r="F207" t="s">
        <v>1494</v>
      </c>
      <c r="G207" s="1">
        <v>46126</v>
      </c>
      <c r="H207">
        <v>122</v>
      </c>
      <c r="I207" s="1">
        <v>46128</v>
      </c>
      <c r="J207" t="s">
        <v>874</v>
      </c>
      <c r="K207">
        <v>122</v>
      </c>
      <c r="L207">
        <v>129.13999999999999</v>
      </c>
      <c r="M207" s="1">
        <v>46127</v>
      </c>
      <c r="N207" t="str">
        <f>IF(po_master[[#This Row],[Approved By]]="", "Missing Approval", "OK")</f>
        <v>OK</v>
      </c>
      <c r="O207" t="str">
        <f>IF(ISBLANK(po_master[[#This Row],[GR Quantity]]), "No GR - Not received", "OK")</f>
        <v>OK</v>
      </c>
      <c r="P207" t="str">
        <f>IF(po_master[[#This Row],[Promised Delivey Date]]&lt;po_master[[#This Row],[Order Date]], "Invalid", "OK")</f>
        <v>OK</v>
      </c>
      <c r="Q207" t="str">
        <f>IF(ISBLANK(po_master[[#This Row],[Invoice Number]]), "No Invoice", "OK")</f>
        <v>OK</v>
      </c>
      <c r="R207" t="str">
        <f>IF(AND(NOT(ISBLANK(po_master[[#This Row],[GR Quantity]])), po_master[[#This Row],[GR Quantity]]&lt;&gt;po_master[[#This Row],[PO Quantity]]), "Qty Variance", "OK")</f>
        <v>OK</v>
      </c>
      <c r="S207" t="str">
        <f>IF(po_master[[#This Row],[Invoice Unit Price]]&gt;po_master[[#This Row],[PO Unit Price]]*1.01, "Price Variance", "OK")</f>
        <v>OK</v>
      </c>
      <c r="T207" t="str">
        <f>IF(po_master[[#This Row],[Actual Delivery Date]]&gt;po_master[[#This Row],[Promised Delivey Date]], "Late Delivery", "OK")</f>
        <v>Late Delivery</v>
      </c>
      <c r="U207" t="str">
        <f>IF(COUNTIF(po_master[PO Number],po_master[[#This Row],[PO Number]])&gt;1, "Duplicate Invoice", "OK")</f>
        <v>OK</v>
      </c>
      <c r="V207" s="5">
        <f>IF(po_master[[#This Row],[Missing Approval]]="Missing Approval", 1, 0)</f>
        <v>0</v>
      </c>
      <c r="W207" s="5">
        <f>IF(po_master[[#This Row],[GR Receipt Status]]="No GR - Not Received", 1, 0)</f>
        <v>0</v>
      </c>
      <c r="X207" s="5">
        <f>IF(po_master[[#This Row],[No invoice]]="No Invoice", 1, 0)</f>
        <v>0</v>
      </c>
      <c r="Y207" s="5">
        <f>IF(po_master[[#This Row],[Date Check]]="Invalid Date", 1, 0)</f>
        <v>0</v>
      </c>
      <c r="Z207" s="5">
        <f>IF(po_master[[#This Row],[Qty Variance Flag]]="Qty Variance", 1, 0)</f>
        <v>0</v>
      </c>
      <c r="AA207" s="5">
        <f>IF(po_master[[#This Row],[Price Variance Flag]]="Price Variance", 1, 0)</f>
        <v>0</v>
      </c>
      <c r="AB207" s="5">
        <f>IF(po_master[[#This Row],[Late Delivery Flag]]="Late Delivery", 1, 0)</f>
        <v>1</v>
      </c>
      <c r="AC207" s="5">
        <f>IF(po_master[[#This Row],[Duplicate Invoice Flag]]="Duplicate Invoice", 1, 0)</f>
        <v>0</v>
      </c>
      <c r="AD207" s="5" t="str">
        <f>TEXT(po_master[[#This Row],[Order Date]],"YYYY-MM")</f>
        <v>2026-04</v>
      </c>
    </row>
    <row r="208" spans="1:30" x14ac:dyDescent="0.25">
      <c r="A208" t="s">
        <v>184</v>
      </c>
      <c r="B208" t="s">
        <v>1512</v>
      </c>
      <c r="C208" s="1">
        <v>46135</v>
      </c>
      <c r="D208">
        <v>27</v>
      </c>
      <c r="E208">
        <v>118.02</v>
      </c>
      <c r="F208" t="s">
        <v>1490</v>
      </c>
      <c r="G208" s="1">
        <v>46144</v>
      </c>
      <c r="H208">
        <v>27</v>
      </c>
      <c r="I208" s="1">
        <v>46162</v>
      </c>
      <c r="J208" t="s">
        <v>877</v>
      </c>
      <c r="K208">
        <v>27</v>
      </c>
      <c r="L208">
        <v>118.02</v>
      </c>
      <c r="M208" s="1">
        <v>46146</v>
      </c>
      <c r="N208" t="str">
        <f>IF(po_master[[#This Row],[Approved By]]="", "Missing Approval", "OK")</f>
        <v>OK</v>
      </c>
      <c r="O208" t="str">
        <f>IF(ISBLANK(po_master[[#This Row],[GR Quantity]]), "No GR - Not received", "OK")</f>
        <v>OK</v>
      </c>
      <c r="P208" t="str">
        <f>IF(po_master[[#This Row],[Promised Delivey Date]]&lt;po_master[[#This Row],[Order Date]], "Invalid", "OK")</f>
        <v>OK</v>
      </c>
      <c r="Q208" t="str">
        <f>IF(ISBLANK(po_master[[#This Row],[Invoice Number]]), "No Invoice", "OK")</f>
        <v>OK</v>
      </c>
      <c r="R208" t="str">
        <f>IF(AND(NOT(ISBLANK(po_master[[#This Row],[GR Quantity]])), po_master[[#This Row],[GR Quantity]]&lt;&gt;po_master[[#This Row],[PO Quantity]]), "Qty Variance", "OK")</f>
        <v>OK</v>
      </c>
      <c r="S208" t="str">
        <f>IF(po_master[[#This Row],[Invoice Unit Price]]&gt;po_master[[#This Row],[PO Unit Price]]*1.01, "Price Variance", "OK")</f>
        <v>OK</v>
      </c>
      <c r="T208" t="str">
        <f>IF(po_master[[#This Row],[Actual Delivery Date]]&gt;po_master[[#This Row],[Promised Delivey Date]], "Late Delivery", "OK")</f>
        <v>Late Delivery</v>
      </c>
      <c r="U208" t="str">
        <f>IF(COUNTIF(po_master[PO Number],po_master[[#This Row],[PO Number]])&gt;1, "Duplicate Invoice", "OK")</f>
        <v>OK</v>
      </c>
      <c r="V208" s="5">
        <f>IF(po_master[[#This Row],[Missing Approval]]="Missing Approval", 1, 0)</f>
        <v>0</v>
      </c>
      <c r="W208" s="5">
        <f>IF(po_master[[#This Row],[GR Receipt Status]]="No GR - Not Received", 1, 0)</f>
        <v>0</v>
      </c>
      <c r="X208" s="5">
        <f>IF(po_master[[#This Row],[No invoice]]="No Invoice", 1, 0)</f>
        <v>0</v>
      </c>
      <c r="Y208" s="5">
        <f>IF(po_master[[#This Row],[Date Check]]="Invalid Date", 1, 0)</f>
        <v>0</v>
      </c>
      <c r="Z208" s="5">
        <f>IF(po_master[[#This Row],[Qty Variance Flag]]="Qty Variance", 1, 0)</f>
        <v>0</v>
      </c>
      <c r="AA208" s="5">
        <f>IF(po_master[[#This Row],[Price Variance Flag]]="Price Variance", 1, 0)</f>
        <v>0</v>
      </c>
      <c r="AB208" s="5">
        <f>IF(po_master[[#This Row],[Late Delivery Flag]]="Late Delivery", 1, 0)</f>
        <v>1</v>
      </c>
      <c r="AC208" s="5">
        <f>IF(po_master[[#This Row],[Duplicate Invoice Flag]]="Duplicate Invoice", 1, 0)</f>
        <v>0</v>
      </c>
      <c r="AD208" s="5" t="str">
        <f>TEXT(po_master[[#This Row],[Order Date]],"YYYY-MM")</f>
        <v>2026-04</v>
      </c>
    </row>
    <row r="209" spans="1:30" x14ac:dyDescent="0.25">
      <c r="A209" t="s">
        <v>185</v>
      </c>
      <c r="B209" t="s">
        <v>1457</v>
      </c>
      <c r="C209" s="1">
        <v>46098</v>
      </c>
      <c r="D209">
        <v>177</v>
      </c>
      <c r="E209">
        <v>150.76</v>
      </c>
      <c r="F209" t="s">
        <v>1501</v>
      </c>
      <c r="G209" s="1">
        <v>46109</v>
      </c>
      <c r="H209">
        <v>177</v>
      </c>
      <c r="I209" s="1">
        <v>46109</v>
      </c>
      <c r="J209" t="s">
        <v>878</v>
      </c>
      <c r="K209">
        <v>177</v>
      </c>
      <c r="L209">
        <v>150.76</v>
      </c>
      <c r="M209" s="1">
        <v>46114</v>
      </c>
      <c r="N209" t="str">
        <f>IF(po_master[[#This Row],[Approved By]]="", "Missing Approval", "OK")</f>
        <v>OK</v>
      </c>
      <c r="O209" t="str">
        <f>IF(ISBLANK(po_master[[#This Row],[GR Quantity]]), "No GR - Not received", "OK")</f>
        <v>OK</v>
      </c>
      <c r="P209" t="str">
        <f>IF(po_master[[#This Row],[Promised Delivey Date]]&lt;po_master[[#This Row],[Order Date]], "Invalid", "OK")</f>
        <v>OK</v>
      </c>
      <c r="Q209" t="str">
        <f>IF(ISBLANK(po_master[[#This Row],[Invoice Number]]), "No Invoice", "OK")</f>
        <v>OK</v>
      </c>
      <c r="R209" t="str">
        <f>IF(AND(NOT(ISBLANK(po_master[[#This Row],[GR Quantity]])), po_master[[#This Row],[GR Quantity]]&lt;&gt;po_master[[#This Row],[PO Quantity]]), "Qty Variance", "OK")</f>
        <v>OK</v>
      </c>
      <c r="S209" t="str">
        <f>IF(po_master[[#This Row],[Invoice Unit Price]]&gt;po_master[[#This Row],[PO Unit Price]]*1.01, "Price Variance", "OK")</f>
        <v>OK</v>
      </c>
      <c r="T209" t="str">
        <f>IF(po_master[[#This Row],[Actual Delivery Date]]&gt;po_master[[#This Row],[Promised Delivey Date]], "Late Delivery", "OK")</f>
        <v>OK</v>
      </c>
      <c r="U209" t="str">
        <f>IF(COUNTIF(po_master[PO Number],po_master[[#This Row],[PO Number]])&gt;1, "Duplicate Invoice", "OK")</f>
        <v>OK</v>
      </c>
      <c r="V209" s="5">
        <f>IF(po_master[[#This Row],[Missing Approval]]="Missing Approval", 1, 0)</f>
        <v>0</v>
      </c>
      <c r="W209" s="5">
        <f>IF(po_master[[#This Row],[GR Receipt Status]]="No GR - Not Received", 1, 0)</f>
        <v>0</v>
      </c>
      <c r="X209" s="5">
        <f>IF(po_master[[#This Row],[No invoice]]="No Invoice", 1, 0)</f>
        <v>0</v>
      </c>
      <c r="Y209" s="5">
        <f>IF(po_master[[#This Row],[Date Check]]="Invalid Date", 1, 0)</f>
        <v>0</v>
      </c>
      <c r="Z209" s="5">
        <f>IF(po_master[[#This Row],[Qty Variance Flag]]="Qty Variance", 1, 0)</f>
        <v>0</v>
      </c>
      <c r="AA209" s="5">
        <f>IF(po_master[[#This Row],[Price Variance Flag]]="Price Variance", 1, 0)</f>
        <v>0</v>
      </c>
      <c r="AB209" s="5">
        <f>IF(po_master[[#This Row],[Late Delivery Flag]]="Late Delivery", 1, 0)</f>
        <v>0</v>
      </c>
      <c r="AC209" s="5">
        <f>IF(po_master[[#This Row],[Duplicate Invoice Flag]]="Duplicate Invoice", 1, 0)</f>
        <v>0</v>
      </c>
      <c r="AD209" s="5" t="str">
        <f>TEXT(po_master[[#This Row],[Order Date]],"YYYY-MM")</f>
        <v>2026-03</v>
      </c>
    </row>
    <row r="210" spans="1:30" x14ac:dyDescent="0.25">
      <c r="A210" t="s">
        <v>865</v>
      </c>
      <c r="B210" t="s">
        <v>1498</v>
      </c>
      <c r="C210" s="1">
        <v>46172</v>
      </c>
      <c r="D210">
        <v>83</v>
      </c>
      <c r="E210">
        <v>50.28</v>
      </c>
      <c r="F210" t="s">
        <v>1446</v>
      </c>
      <c r="G210" s="1">
        <v>46185</v>
      </c>
      <c r="I210" s="1"/>
      <c r="J210" t="s">
        <v>866</v>
      </c>
      <c r="K210">
        <v>83</v>
      </c>
      <c r="L210">
        <v>50.28</v>
      </c>
      <c r="M210" s="1">
        <v>46194</v>
      </c>
      <c r="N210" t="str">
        <f>IF(po_master[[#This Row],[Approved By]]="", "Missing Approval", "OK")</f>
        <v>OK</v>
      </c>
      <c r="O210" t="str">
        <f>IF(ISBLANK(po_master[[#This Row],[GR Quantity]]), "No GR - Not received", "OK")</f>
        <v>No GR - Not received</v>
      </c>
      <c r="P210" t="str">
        <f>IF(po_master[[#This Row],[Promised Delivey Date]]&lt;po_master[[#This Row],[Order Date]], "Invalid", "OK")</f>
        <v>OK</v>
      </c>
      <c r="Q210" t="str">
        <f>IF(ISBLANK(po_master[[#This Row],[Invoice Number]]), "No Invoice", "OK")</f>
        <v>OK</v>
      </c>
      <c r="R210" t="str">
        <f>IF(AND(NOT(ISBLANK(po_master[[#This Row],[GR Quantity]])), po_master[[#This Row],[GR Quantity]]&lt;&gt;po_master[[#This Row],[PO Quantity]]), "Qty Variance", "OK")</f>
        <v>OK</v>
      </c>
      <c r="S210" t="str">
        <f>IF(po_master[[#This Row],[Invoice Unit Price]]&gt;po_master[[#This Row],[PO Unit Price]]*1.01, "Price Variance", "OK")</f>
        <v>OK</v>
      </c>
      <c r="T210" t="str">
        <f>IF(po_master[[#This Row],[Actual Delivery Date]]&gt;po_master[[#This Row],[Promised Delivey Date]], "Late Delivery", "OK")</f>
        <v>OK</v>
      </c>
      <c r="U210" t="str">
        <f>IF(COUNTIF(po_master[PO Number],po_master[[#This Row],[PO Number]])&gt;1, "Duplicate Invoice", "OK")</f>
        <v>OK</v>
      </c>
      <c r="V210" s="5">
        <f>IF(po_master[[#This Row],[Missing Approval]]="Missing Approval", 1, 0)</f>
        <v>0</v>
      </c>
      <c r="W210" s="5">
        <f>IF(po_master[[#This Row],[GR Receipt Status]]="No GR - Not Received", 1, 0)</f>
        <v>1</v>
      </c>
      <c r="X210" s="5">
        <f>IF(po_master[[#This Row],[No invoice]]="No Invoice", 1, 0)</f>
        <v>0</v>
      </c>
      <c r="Y210" s="5">
        <f>IF(po_master[[#This Row],[Date Check]]="Invalid Date", 1, 0)</f>
        <v>0</v>
      </c>
      <c r="Z210" s="5">
        <f>IF(po_master[[#This Row],[Qty Variance Flag]]="Qty Variance", 1, 0)</f>
        <v>0</v>
      </c>
      <c r="AA210" s="5">
        <f>IF(po_master[[#This Row],[Price Variance Flag]]="Price Variance", 1, 0)</f>
        <v>0</v>
      </c>
      <c r="AB210" s="5">
        <f>IF(po_master[[#This Row],[Late Delivery Flag]]="Late Delivery", 1, 0)</f>
        <v>0</v>
      </c>
      <c r="AC210" s="5">
        <f>IF(po_master[[#This Row],[Duplicate Invoice Flag]]="Duplicate Invoice", 1, 0)</f>
        <v>0</v>
      </c>
      <c r="AD210" s="5" t="str">
        <f>TEXT(po_master[[#This Row],[Order Date]],"YYYY-MM")</f>
        <v>2026-05</v>
      </c>
    </row>
    <row r="211" spans="1:30" x14ac:dyDescent="0.25">
      <c r="A211" t="s">
        <v>186</v>
      </c>
      <c r="B211" t="s">
        <v>1441</v>
      </c>
      <c r="C211" s="1">
        <v>46161</v>
      </c>
      <c r="D211">
        <v>458</v>
      </c>
      <c r="E211">
        <v>194.44</v>
      </c>
      <c r="F211" t="s">
        <v>1504</v>
      </c>
      <c r="G211" s="1">
        <v>46182</v>
      </c>
      <c r="H211">
        <v>458</v>
      </c>
      <c r="I211" s="1">
        <v>46181</v>
      </c>
      <c r="J211" t="s">
        <v>879</v>
      </c>
      <c r="K211">
        <v>458</v>
      </c>
      <c r="L211">
        <v>194.44</v>
      </c>
      <c r="M211" s="1">
        <v>46191</v>
      </c>
      <c r="N211" t="str">
        <f>IF(po_master[[#This Row],[Approved By]]="", "Missing Approval", "OK")</f>
        <v>OK</v>
      </c>
      <c r="O211" t="str">
        <f>IF(ISBLANK(po_master[[#This Row],[GR Quantity]]), "No GR - Not received", "OK")</f>
        <v>OK</v>
      </c>
      <c r="P211" t="str">
        <f>IF(po_master[[#This Row],[Promised Delivey Date]]&lt;po_master[[#This Row],[Order Date]], "Invalid", "OK")</f>
        <v>OK</v>
      </c>
      <c r="Q211" t="str">
        <f>IF(ISBLANK(po_master[[#This Row],[Invoice Number]]), "No Invoice", "OK")</f>
        <v>OK</v>
      </c>
      <c r="R211" t="str">
        <f>IF(AND(NOT(ISBLANK(po_master[[#This Row],[GR Quantity]])), po_master[[#This Row],[GR Quantity]]&lt;&gt;po_master[[#This Row],[PO Quantity]]), "Qty Variance", "OK")</f>
        <v>OK</v>
      </c>
      <c r="S211" t="str">
        <f>IF(po_master[[#This Row],[Invoice Unit Price]]&gt;po_master[[#This Row],[PO Unit Price]]*1.01, "Price Variance", "OK")</f>
        <v>OK</v>
      </c>
      <c r="T211" t="str">
        <f>IF(po_master[[#This Row],[Actual Delivery Date]]&gt;po_master[[#This Row],[Promised Delivey Date]], "Late Delivery", "OK")</f>
        <v>OK</v>
      </c>
      <c r="U211" t="str">
        <f>IF(COUNTIF(po_master[PO Number],po_master[[#This Row],[PO Number]])&gt;1, "Duplicate Invoice", "OK")</f>
        <v>OK</v>
      </c>
      <c r="V211" s="5">
        <f>IF(po_master[[#This Row],[Missing Approval]]="Missing Approval", 1, 0)</f>
        <v>0</v>
      </c>
      <c r="W211" s="5">
        <f>IF(po_master[[#This Row],[GR Receipt Status]]="No GR - Not Received", 1, 0)</f>
        <v>0</v>
      </c>
      <c r="X211" s="5">
        <f>IF(po_master[[#This Row],[No invoice]]="No Invoice", 1, 0)</f>
        <v>0</v>
      </c>
      <c r="Y211" s="5">
        <f>IF(po_master[[#This Row],[Date Check]]="Invalid Date", 1, 0)</f>
        <v>0</v>
      </c>
      <c r="Z211" s="5">
        <f>IF(po_master[[#This Row],[Qty Variance Flag]]="Qty Variance", 1, 0)</f>
        <v>0</v>
      </c>
      <c r="AA211" s="5">
        <f>IF(po_master[[#This Row],[Price Variance Flag]]="Price Variance", 1, 0)</f>
        <v>0</v>
      </c>
      <c r="AB211" s="5">
        <f>IF(po_master[[#This Row],[Late Delivery Flag]]="Late Delivery", 1, 0)</f>
        <v>0</v>
      </c>
      <c r="AC211" s="5">
        <f>IF(po_master[[#This Row],[Duplicate Invoice Flag]]="Duplicate Invoice", 1, 0)</f>
        <v>0</v>
      </c>
      <c r="AD211" s="5" t="str">
        <f>TEXT(po_master[[#This Row],[Order Date]],"YYYY-MM")</f>
        <v>2026-05</v>
      </c>
    </row>
    <row r="212" spans="1:30" x14ac:dyDescent="0.25">
      <c r="A212" t="s">
        <v>187</v>
      </c>
      <c r="B212" t="s">
        <v>1511</v>
      </c>
      <c r="C212" s="1">
        <v>46065</v>
      </c>
      <c r="D212">
        <v>141</v>
      </c>
      <c r="E212">
        <v>183.24</v>
      </c>
      <c r="F212" t="s">
        <v>1487</v>
      </c>
      <c r="G212" s="1">
        <v>46079</v>
      </c>
      <c r="H212">
        <v>141</v>
      </c>
      <c r="I212" s="1">
        <v>46080</v>
      </c>
      <c r="J212" t="s">
        <v>880</v>
      </c>
      <c r="K212">
        <v>141</v>
      </c>
      <c r="L212">
        <v>183.24</v>
      </c>
      <c r="M212" s="1">
        <v>46085</v>
      </c>
      <c r="N212" t="str">
        <f>IF(po_master[[#This Row],[Approved By]]="", "Missing Approval", "OK")</f>
        <v>OK</v>
      </c>
      <c r="O212" t="str">
        <f>IF(ISBLANK(po_master[[#This Row],[GR Quantity]]), "No GR - Not received", "OK")</f>
        <v>OK</v>
      </c>
      <c r="P212" t="str">
        <f>IF(po_master[[#This Row],[Promised Delivey Date]]&lt;po_master[[#This Row],[Order Date]], "Invalid", "OK")</f>
        <v>OK</v>
      </c>
      <c r="Q212" t="str">
        <f>IF(ISBLANK(po_master[[#This Row],[Invoice Number]]), "No Invoice", "OK")</f>
        <v>OK</v>
      </c>
      <c r="R212" t="str">
        <f>IF(AND(NOT(ISBLANK(po_master[[#This Row],[GR Quantity]])), po_master[[#This Row],[GR Quantity]]&lt;&gt;po_master[[#This Row],[PO Quantity]]), "Qty Variance", "OK")</f>
        <v>OK</v>
      </c>
      <c r="S212" t="str">
        <f>IF(po_master[[#This Row],[Invoice Unit Price]]&gt;po_master[[#This Row],[PO Unit Price]]*1.01, "Price Variance", "OK")</f>
        <v>OK</v>
      </c>
      <c r="T212" t="str">
        <f>IF(po_master[[#This Row],[Actual Delivery Date]]&gt;po_master[[#This Row],[Promised Delivey Date]], "Late Delivery", "OK")</f>
        <v>Late Delivery</v>
      </c>
      <c r="U212" t="str">
        <f>IF(COUNTIF(po_master[PO Number],po_master[[#This Row],[PO Number]])&gt;1, "Duplicate Invoice", "OK")</f>
        <v>OK</v>
      </c>
      <c r="V212" s="5">
        <f>IF(po_master[[#This Row],[Missing Approval]]="Missing Approval", 1, 0)</f>
        <v>0</v>
      </c>
      <c r="W212" s="5">
        <f>IF(po_master[[#This Row],[GR Receipt Status]]="No GR - Not Received", 1, 0)</f>
        <v>0</v>
      </c>
      <c r="X212" s="5">
        <f>IF(po_master[[#This Row],[No invoice]]="No Invoice", 1, 0)</f>
        <v>0</v>
      </c>
      <c r="Y212" s="5">
        <f>IF(po_master[[#This Row],[Date Check]]="Invalid Date", 1, 0)</f>
        <v>0</v>
      </c>
      <c r="Z212" s="5">
        <f>IF(po_master[[#This Row],[Qty Variance Flag]]="Qty Variance", 1, 0)</f>
        <v>0</v>
      </c>
      <c r="AA212" s="5">
        <f>IF(po_master[[#This Row],[Price Variance Flag]]="Price Variance", 1, 0)</f>
        <v>0</v>
      </c>
      <c r="AB212" s="5">
        <f>IF(po_master[[#This Row],[Late Delivery Flag]]="Late Delivery", 1, 0)</f>
        <v>1</v>
      </c>
      <c r="AC212" s="5">
        <f>IF(po_master[[#This Row],[Duplicate Invoice Flag]]="Duplicate Invoice", 1, 0)</f>
        <v>0</v>
      </c>
      <c r="AD212" s="5" t="str">
        <f>TEXT(po_master[[#This Row],[Order Date]],"YYYY-MM")</f>
        <v>2026-02</v>
      </c>
    </row>
    <row r="213" spans="1:30" x14ac:dyDescent="0.25">
      <c r="A213" t="s">
        <v>188</v>
      </c>
      <c r="B213" t="s">
        <v>1465</v>
      </c>
      <c r="C213" s="1">
        <v>46109</v>
      </c>
      <c r="D213">
        <v>421</v>
      </c>
      <c r="E213">
        <v>27.46</v>
      </c>
      <c r="F213" t="s">
        <v>1476</v>
      </c>
      <c r="G213" s="1">
        <v>46118</v>
      </c>
      <c r="H213">
        <v>421</v>
      </c>
      <c r="I213" s="1">
        <v>46117</v>
      </c>
      <c r="J213" t="s">
        <v>881</v>
      </c>
      <c r="K213">
        <v>421</v>
      </c>
      <c r="L213">
        <v>27.46</v>
      </c>
      <c r="M213" s="1">
        <v>46126</v>
      </c>
      <c r="N213" t="str">
        <f>IF(po_master[[#This Row],[Approved By]]="", "Missing Approval", "OK")</f>
        <v>OK</v>
      </c>
      <c r="O213" t="str">
        <f>IF(ISBLANK(po_master[[#This Row],[GR Quantity]]), "No GR - Not received", "OK")</f>
        <v>OK</v>
      </c>
      <c r="P213" t="str">
        <f>IF(po_master[[#This Row],[Promised Delivey Date]]&lt;po_master[[#This Row],[Order Date]], "Invalid", "OK")</f>
        <v>OK</v>
      </c>
      <c r="Q213" t="str">
        <f>IF(ISBLANK(po_master[[#This Row],[Invoice Number]]), "No Invoice", "OK")</f>
        <v>OK</v>
      </c>
      <c r="R213" t="str">
        <f>IF(AND(NOT(ISBLANK(po_master[[#This Row],[GR Quantity]])), po_master[[#This Row],[GR Quantity]]&lt;&gt;po_master[[#This Row],[PO Quantity]]), "Qty Variance", "OK")</f>
        <v>OK</v>
      </c>
      <c r="S213" t="str">
        <f>IF(po_master[[#This Row],[Invoice Unit Price]]&gt;po_master[[#This Row],[PO Unit Price]]*1.01, "Price Variance", "OK")</f>
        <v>OK</v>
      </c>
      <c r="T213" t="str">
        <f>IF(po_master[[#This Row],[Actual Delivery Date]]&gt;po_master[[#This Row],[Promised Delivey Date]], "Late Delivery", "OK")</f>
        <v>OK</v>
      </c>
      <c r="U213" t="str">
        <f>IF(COUNTIF(po_master[PO Number],po_master[[#This Row],[PO Number]])&gt;1, "Duplicate Invoice", "OK")</f>
        <v>OK</v>
      </c>
      <c r="V213" s="5">
        <f>IF(po_master[[#This Row],[Missing Approval]]="Missing Approval", 1, 0)</f>
        <v>0</v>
      </c>
      <c r="W213" s="5">
        <f>IF(po_master[[#This Row],[GR Receipt Status]]="No GR - Not Received", 1, 0)</f>
        <v>0</v>
      </c>
      <c r="X213" s="5">
        <f>IF(po_master[[#This Row],[No invoice]]="No Invoice", 1, 0)</f>
        <v>0</v>
      </c>
      <c r="Y213" s="5">
        <f>IF(po_master[[#This Row],[Date Check]]="Invalid Date", 1, 0)</f>
        <v>0</v>
      </c>
      <c r="Z213" s="5">
        <f>IF(po_master[[#This Row],[Qty Variance Flag]]="Qty Variance", 1, 0)</f>
        <v>0</v>
      </c>
      <c r="AA213" s="5">
        <f>IF(po_master[[#This Row],[Price Variance Flag]]="Price Variance", 1, 0)</f>
        <v>0</v>
      </c>
      <c r="AB213" s="5">
        <f>IF(po_master[[#This Row],[Late Delivery Flag]]="Late Delivery", 1, 0)</f>
        <v>0</v>
      </c>
      <c r="AC213" s="5">
        <f>IF(po_master[[#This Row],[Duplicate Invoice Flag]]="Duplicate Invoice", 1, 0)</f>
        <v>0</v>
      </c>
      <c r="AD213" s="5" t="str">
        <f>TEXT(po_master[[#This Row],[Order Date]],"YYYY-MM")</f>
        <v>2026-03</v>
      </c>
    </row>
    <row r="214" spans="1:30" x14ac:dyDescent="0.25">
      <c r="A214" t="s">
        <v>189</v>
      </c>
      <c r="B214" t="s">
        <v>1447</v>
      </c>
      <c r="C214" s="1">
        <v>46124</v>
      </c>
      <c r="D214">
        <v>443</v>
      </c>
      <c r="E214">
        <v>161.88999999999999</v>
      </c>
      <c r="F214" t="s">
        <v>1451</v>
      </c>
      <c r="G214" s="1">
        <v>46131</v>
      </c>
      <c r="H214">
        <v>443</v>
      </c>
      <c r="I214" s="1">
        <v>46137</v>
      </c>
      <c r="J214" t="s">
        <v>882</v>
      </c>
      <c r="K214">
        <v>443</v>
      </c>
      <c r="L214">
        <v>161.88999999999999</v>
      </c>
      <c r="M214" s="1">
        <v>46137</v>
      </c>
      <c r="N214" t="str">
        <f>IF(po_master[[#This Row],[Approved By]]="", "Missing Approval", "OK")</f>
        <v>OK</v>
      </c>
      <c r="O214" t="str">
        <f>IF(ISBLANK(po_master[[#This Row],[GR Quantity]]), "No GR - Not received", "OK")</f>
        <v>OK</v>
      </c>
      <c r="P214" t="str">
        <f>IF(po_master[[#This Row],[Promised Delivey Date]]&lt;po_master[[#This Row],[Order Date]], "Invalid", "OK")</f>
        <v>OK</v>
      </c>
      <c r="Q214" t="str">
        <f>IF(ISBLANK(po_master[[#This Row],[Invoice Number]]), "No Invoice", "OK")</f>
        <v>OK</v>
      </c>
      <c r="R214" t="str">
        <f>IF(AND(NOT(ISBLANK(po_master[[#This Row],[GR Quantity]])), po_master[[#This Row],[GR Quantity]]&lt;&gt;po_master[[#This Row],[PO Quantity]]), "Qty Variance", "OK")</f>
        <v>OK</v>
      </c>
      <c r="S214" t="str">
        <f>IF(po_master[[#This Row],[Invoice Unit Price]]&gt;po_master[[#This Row],[PO Unit Price]]*1.01, "Price Variance", "OK")</f>
        <v>OK</v>
      </c>
      <c r="T214" t="str">
        <f>IF(po_master[[#This Row],[Actual Delivery Date]]&gt;po_master[[#This Row],[Promised Delivey Date]], "Late Delivery", "OK")</f>
        <v>Late Delivery</v>
      </c>
      <c r="U214" t="str">
        <f>IF(COUNTIF(po_master[PO Number],po_master[[#This Row],[PO Number]])&gt;1, "Duplicate Invoice", "OK")</f>
        <v>OK</v>
      </c>
      <c r="V214" s="5">
        <f>IF(po_master[[#This Row],[Missing Approval]]="Missing Approval", 1, 0)</f>
        <v>0</v>
      </c>
      <c r="W214" s="5">
        <f>IF(po_master[[#This Row],[GR Receipt Status]]="No GR - Not Received", 1, 0)</f>
        <v>0</v>
      </c>
      <c r="X214" s="5">
        <f>IF(po_master[[#This Row],[No invoice]]="No Invoice", 1, 0)</f>
        <v>0</v>
      </c>
      <c r="Y214" s="5">
        <f>IF(po_master[[#This Row],[Date Check]]="Invalid Date", 1, 0)</f>
        <v>0</v>
      </c>
      <c r="Z214" s="5">
        <f>IF(po_master[[#This Row],[Qty Variance Flag]]="Qty Variance", 1, 0)</f>
        <v>0</v>
      </c>
      <c r="AA214" s="5">
        <f>IF(po_master[[#This Row],[Price Variance Flag]]="Price Variance", 1, 0)</f>
        <v>0</v>
      </c>
      <c r="AB214" s="5">
        <f>IF(po_master[[#This Row],[Late Delivery Flag]]="Late Delivery", 1, 0)</f>
        <v>1</v>
      </c>
      <c r="AC214" s="5">
        <f>IF(po_master[[#This Row],[Duplicate Invoice Flag]]="Duplicate Invoice", 1, 0)</f>
        <v>0</v>
      </c>
      <c r="AD214" s="5" t="str">
        <f>TEXT(po_master[[#This Row],[Order Date]],"YYYY-MM")</f>
        <v>2026-04</v>
      </c>
    </row>
    <row r="215" spans="1:30" x14ac:dyDescent="0.25">
      <c r="A215" t="s">
        <v>190</v>
      </c>
      <c r="B215" t="s">
        <v>1488</v>
      </c>
      <c r="C215" s="1">
        <v>46026</v>
      </c>
      <c r="D215">
        <v>145</v>
      </c>
      <c r="E215">
        <v>109.63</v>
      </c>
      <c r="F215" t="s">
        <v>1469</v>
      </c>
      <c r="G215" s="1">
        <v>46042</v>
      </c>
      <c r="H215">
        <v>145</v>
      </c>
      <c r="I215" s="1">
        <v>46041</v>
      </c>
      <c r="J215" t="s">
        <v>883</v>
      </c>
      <c r="K215">
        <v>145</v>
      </c>
      <c r="L215">
        <v>109.63</v>
      </c>
      <c r="M215" s="1">
        <v>46052</v>
      </c>
      <c r="N215" t="str">
        <f>IF(po_master[[#This Row],[Approved By]]="", "Missing Approval", "OK")</f>
        <v>OK</v>
      </c>
      <c r="O215" t="str">
        <f>IF(ISBLANK(po_master[[#This Row],[GR Quantity]]), "No GR - Not received", "OK")</f>
        <v>OK</v>
      </c>
      <c r="P215" t="str">
        <f>IF(po_master[[#This Row],[Promised Delivey Date]]&lt;po_master[[#This Row],[Order Date]], "Invalid", "OK")</f>
        <v>OK</v>
      </c>
      <c r="Q215" t="str">
        <f>IF(ISBLANK(po_master[[#This Row],[Invoice Number]]), "No Invoice", "OK")</f>
        <v>OK</v>
      </c>
      <c r="R215" t="str">
        <f>IF(AND(NOT(ISBLANK(po_master[[#This Row],[GR Quantity]])), po_master[[#This Row],[GR Quantity]]&lt;&gt;po_master[[#This Row],[PO Quantity]]), "Qty Variance", "OK")</f>
        <v>OK</v>
      </c>
      <c r="S215" t="str">
        <f>IF(po_master[[#This Row],[Invoice Unit Price]]&gt;po_master[[#This Row],[PO Unit Price]]*1.01, "Price Variance", "OK")</f>
        <v>OK</v>
      </c>
      <c r="T215" t="str">
        <f>IF(po_master[[#This Row],[Actual Delivery Date]]&gt;po_master[[#This Row],[Promised Delivey Date]], "Late Delivery", "OK")</f>
        <v>OK</v>
      </c>
      <c r="U215" t="str">
        <f>IF(COUNTIF(po_master[PO Number],po_master[[#This Row],[PO Number]])&gt;1, "Duplicate Invoice", "OK")</f>
        <v>OK</v>
      </c>
      <c r="V215" s="5">
        <f>IF(po_master[[#This Row],[Missing Approval]]="Missing Approval", 1, 0)</f>
        <v>0</v>
      </c>
      <c r="W215" s="5">
        <f>IF(po_master[[#This Row],[GR Receipt Status]]="No GR - Not Received", 1, 0)</f>
        <v>0</v>
      </c>
      <c r="X215" s="5">
        <f>IF(po_master[[#This Row],[No invoice]]="No Invoice", 1, 0)</f>
        <v>0</v>
      </c>
      <c r="Y215" s="5">
        <f>IF(po_master[[#This Row],[Date Check]]="Invalid Date", 1, 0)</f>
        <v>0</v>
      </c>
      <c r="Z215" s="5">
        <f>IF(po_master[[#This Row],[Qty Variance Flag]]="Qty Variance", 1, 0)</f>
        <v>0</v>
      </c>
      <c r="AA215" s="5">
        <f>IF(po_master[[#This Row],[Price Variance Flag]]="Price Variance", 1, 0)</f>
        <v>0</v>
      </c>
      <c r="AB215" s="5">
        <f>IF(po_master[[#This Row],[Late Delivery Flag]]="Late Delivery", 1, 0)</f>
        <v>0</v>
      </c>
      <c r="AC215" s="5">
        <f>IF(po_master[[#This Row],[Duplicate Invoice Flag]]="Duplicate Invoice", 1, 0)</f>
        <v>0</v>
      </c>
      <c r="AD215" s="5" t="str">
        <f>TEXT(po_master[[#This Row],[Order Date]],"YYYY-MM")</f>
        <v>2026-01</v>
      </c>
    </row>
    <row r="216" spans="1:30" x14ac:dyDescent="0.25">
      <c r="A216" t="s">
        <v>191</v>
      </c>
      <c r="B216" t="s">
        <v>1461</v>
      </c>
      <c r="C216" s="1">
        <v>46090</v>
      </c>
      <c r="D216">
        <v>309</v>
      </c>
      <c r="E216">
        <v>79.3</v>
      </c>
      <c r="F216" t="s">
        <v>1446</v>
      </c>
      <c r="G216" s="1">
        <v>46106</v>
      </c>
      <c r="H216">
        <v>299</v>
      </c>
      <c r="I216" s="1">
        <v>46107</v>
      </c>
      <c r="J216" t="s">
        <v>884</v>
      </c>
      <c r="K216">
        <v>309</v>
      </c>
      <c r="L216">
        <v>79.3</v>
      </c>
      <c r="M216" s="1">
        <v>46109</v>
      </c>
      <c r="N216" t="str">
        <f>IF(po_master[[#This Row],[Approved By]]="", "Missing Approval", "OK")</f>
        <v>OK</v>
      </c>
      <c r="O216" t="str">
        <f>IF(ISBLANK(po_master[[#This Row],[GR Quantity]]), "No GR - Not received", "OK")</f>
        <v>OK</v>
      </c>
      <c r="P216" t="str">
        <f>IF(po_master[[#This Row],[Promised Delivey Date]]&lt;po_master[[#This Row],[Order Date]], "Invalid", "OK")</f>
        <v>OK</v>
      </c>
      <c r="Q216" t="str">
        <f>IF(ISBLANK(po_master[[#This Row],[Invoice Number]]), "No Invoice", "OK")</f>
        <v>OK</v>
      </c>
      <c r="R216" t="str">
        <f>IF(AND(NOT(ISBLANK(po_master[[#This Row],[GR Quantity]])), po_master[[#This Row],[GR Quantity]]&lt;&gt;po_master[[#This Row],[PO Quantity]]), "Qty Variance", "OK")</f>
        <v>Qty Variance</v>
      </c>
      <c r="S216" t="str">
        <f>IF(po_master[[#This Row],[Invoice Unit Price]]&gt;po_master[[#This Row],[PO Unit Price]]*1.01, "Price Variance", "OK")</f>
        <v>OK</v>
      </c>
      <c r="T216" t="str">
        <f>IF(po_master[[#This Row],[Actual Delivery Date]]&gt;po_master[[#This Row],[Promised Delivey Date]], "Late Delivery", "OK")</f>
        <v>Late Delivery</v>
      </c>
      <c r="U216" t="str">
        <f>IF(COUNTIF(po_master[PO Number],po_master[[#This Row],[PO Number]])&gt;1, "Duplicate Invoice", "OK")</f>
        <v>OK</v>
      </c>
      <c r="V216" s="5">
        <f>IF(po_master[[#This Row],[Missing Approval]]="Missing Approval", 1, 0)</f>
        <v>0</v>
      </c>
      <c r="W216" s="5">
        <f>IF(po_master[[#This Row],[GR Receipt Status]]="No GR - Not Received", 1, 0)</f>
        <v>0</v>
      </c>
      <c r="X216" s="5">
        <f>IF(po_master[[#This Row],[No invoice]]="No Invoice", 1, 0)</f>
        <v>0</v>
      </c>
      <c r="Y216" s="5">
        <f>IF(po_master[[#This Row],[Date Check]]="Invalid Date", 1, 0)</f>
        <v>0</v>
      </c>
      <c r="Z216" s="5">
        <f>IF(po_master[[#This Row],[Qty Variance Flag]]="Qty Variance", 1, 0)</f>
        <v>1</v>
      </c>
      <c r="AA216" s="5">
        <f>IF(po_master[[#This Row],[Price Variance Flag]]="Price Variance", 1, 0)</f>
        <v>0</v>
      </c>
      <c r="AB216" s="5">
        <f>IF(po_master[[#This Row],[Late Delivery Flag]]="Late Delivery", 1, 0)</f>
        <v>1</v>
      </c>
      <c r="AC216" s="5">
        <f>IF(po_master[[#This Row],[Duplicate Invoice Flag]]="Duplicate Invoice", 1, 0)</f>
        <v>0</v>
      </c>
      <c r="AD216" s="5" t="str">
        <f>TEXT(po_master[[#This Row],[Order Date]],"YYYY-MM")</f>
        <v>2026-03</v>
      </c>
    </row>
    <row r="217" spans="1:30" x14ac:dyDescent="0.25">
      <c r="A217" t="s">
        <v>192</v>
      </c>
      <c r="B217" t="s">
        <v>1450</v>
      </c>
      <c r="C217" s="1">
        <v>46082</v>
      </c>
      <c r="D217">
        <v>251</v>
      </c>
      <c r="E217">
        <v>9.8800000000000008</v>
      </c>
      <c r="F217" t="s">
        <v>1442</v>
      </c>
      <c r="G217" s="1">
        <v>46097</v>
      </c>
      <c r="H217">
        <v>251</v>
      </c>
      <c r="I217" s="1">
        <v>46096</v>
      </c>
      <c r="J217" t="s">
        <v>885</v>
      </c>
      <c r="K217">
        <v>251</v>
      </c>
      <c r="L217">
        <v>11.08</v>
      </c>
      <c r="M217" s="1">
        <v>46098</v>
      </c>
      <c r="N217" t="str">
        <f>IF(po_master[[#This Row],[Approved By]]="", "Missing Approval", "OK")</f>
        <v>OK</v>
      </c>
      <c r="O217" t="str">
        <f>IF(ISBLANK(po_master[[#This Row],[GR Quantity]]), "No GR - Not received", "OK")</f>
        <v>OK</v>
      </c>
      <c r="P217" t="str">
        <f>IF(po_master[[#This Row],[Promised Delivey Date]]&lt;po_master[[#This Row],[Order Date]], "Invalid", "OK")</f>
        <v>OK</v>
      </c>
      <c r="Q217" t="str">
        <f>IF(ISBLANK(po_master[[#This Row],[Invoice Number]]), "No Invoice", "OK")</f>
        <v>OK</v>
      </c>
      <c r="R217" t="str">
        <f>IF(AND(NOT(ISBLANK(po_master[[#This Row],[GR Quantity]])), po_master[[#This Row],[GR Quantity]]&lt;&gt;po_master[[#This Row],[PO Quantity]]), "Qty Variance", "OK")</f>
        <v>OK</v>
      </c>
      <c r="S217" t="str">
        <f>IF(po_master[[#This Row],[Invoice Unit Price]]&gt;po_master[[#This Row],[PO Unit Price]]*1.01, "Price Variance", "OK")</f>
        <v>Price Variance</v>
      </c>
      <c r="T217" t="str">
        <f>IF(po_master[[#This Row],[Actual Delivery Date]]&gt;po_master[[#This Row],[Promised Delivey Date]], "Late Delivery", "OK")</f>
        <v>OK</v>
      </c>
      <c r="U217" t="str">
        <f>IF(COUNTIF(po_master[PO Number],po_master[[#This Row],[PO Number]])&gt;1, "Duplicate Invoice", "OK")</f>
        <v>OK</v>
      </c>
      <c r="V217" s="5">
        <f>IF(po_master[[#This Row],[Missing Approval]]="Missing Approval", 1, 0)</f>
        <v>0</v>
      </c>
      <c r="W217" s="5">
        <f>IF(po_master[[#This Row],[GR Receipt Status]]="No GR - Not Received", 1, 0)</f>
        <v>0</v>
      </c>
      <c r="X217" s="5">
        <f>IF(po_master[[#This Row],[No invoice]]="No Invoice", 1, 0)</f>
        <v>0</v>
      </c>
      <c r="Y217" s="5">
        <f>IF(po_master[[#This Row],[Date Check]]="Invalid Date", 1, 0)</f>
        <v>0</v>
      </c>
      <c r="Z217" s="5">
        <f>IF(po_master[[#This Row],[Qty Variance Flag]]="Qty Variance", 1, 0)</f>
        <v>0</v>
      </c>
      <c r="AA217" s="5">
        <f>IF(po_master[[#This Row],[Price Variance Flag]]="Price Variance", 1, 0)</f>
        <v>1</v>
      </c>
      <c r="AB217" s="5">
        <f>IF(po_master[[#This Row],[Late Delivery Flag]]="Late Delivery", 1, 0)</f>
        <v>0</v>
      </c>
      <c r="AC217" s="5">
        <f>IF(po_master[[#This Row],[Duplicate Invoice Flag]]="Duplicate Invoice", 1, 0)</f>
        <v>0</v>
      </c>
      <c r="AD217" s="5" t="str">
        <f>TEXT(po_master[[#This Row],[Order Date]],"YYYY-MM")</f>
        <v>2026-03</v>
      </c>
    </row>
    <row r="218" spans="1:30" x14ac:dyDescent="0.25">
      <c r="A218" t="s">
        <v>193</v>
      </c>
      <c r="B218" t="s">
        <v>1497</v>
      </c>
      <c r="C218" s="1">
        <v>46079</v>
      </c>
      <c r="D218">
        <v>341</v>
      </c>
      <c r="E218">
        <v>17.329999999999998</v>
      </c>
      <c r="F218" t="s">
        <v>1469</v>
      </c>
      <c r="G218" s="1">
        <v>46093</v>
      </c>
      <c r="H218">
        <v>341</v>
      </c>
      <c r="I218" s="1">
        <v>46094</v>
      </c>
      <c r="J218" t="s">
        <v>886</v>
      </c>
      <c r="K218">
        <v>341</v>
      </c>
      <c r="L218">
        <v>17.329999999999998</v>
      </c>
      <c r="M218" s="1">
        <v>46101</v>
      </c>
      <c r="N218" t="str">
        <f>IF(po_master[[#This Row],[Approved By]]="", "Missing Approval", "OK")</f>
        <v>OK</v>
      </c>
      <c r="O218" t="str">
        <f>IF(ISBLANK(po_master[[#This Row],[GR Quantity]]), "No GR - Not received", "OK")</f>
        <v>OK</v>
      </c>
      <c r="P218" t="str">
        <f>IF(po_master[[#This Row],[Promised Delivey Date]]&lt;po_master[[#This Row],[Order Date]], "Invalid", "OK")</f>
        <v>OK</v>
      </c>
      <c r="Q218" t="str">
        <f>IF(ISBLANK(po_master[[#This Row],[Invoice Number]]), "No Invoice", "OK")</f>
        <v>OK</v>
      </c>
      <c r="R218" t="str">
        <f>IF(AND(NOT(ISBLANK(po_master[[#This Row],[GR Quantity]])), po_master[[#This Row],[GR Quantity]]&lt;&gt;po_master[[#This Row],[PO Quantity]]), "Qty Variance", "OK")</f>
        <v>OK</v>
      </c>
      <c r="S218" t="str">
        <f>IF(po_master[[#This Row],[Invoice Unit Price]]&gt;po_master[[#This Row],[PO Unit Price]]*1.01, "Price Variance", "OK")</f>
        <v>OK</v>
      </c>
      <c r="T218" t="str">
        <f>IF(po_master[[#This Row],[Actual Delivery Date]]&gt;po_master[[#This Row],[Promised Delivey Date]], "Late Delivery", "OK")</f>
        <v>Late Delivery</v>
      </c>
      <c r="U218" t="str">
        <f>IF(COUNTIF(po_master[PO Number],po_master[[#This Row],[PO Number]])&gt;1, "Duplicate Invoice", "OK")</f>
        <v>OK</v>
      </c>
      <c r="V218" s="5">
        <f>IF(po_master[[#This Row],[Missing Approval]]="Missing Approval", 1, 0)</f>
        <v>0</v>
      </c>
      <c r="W218" s="5">
        <f>IF(po_master[[#This Row],[GR Receipt Status]]="No GR - Not Received", 1, 0)</f>
        <v>0</v>
      </c>
      <c r="X218" s="5">
        <f>IF(po_master[[#This Row],[No invoice]]="No Invoice", 1, 0)</f>
        <v>0</v>
      </c>
      <c r="Y218" s="5">
        <f>IF(po_master[[#This Row],[Date Check]]="Invalid Date", 1, 0)</f>
        <v>0</v>
      </c>
      <c r="Z218" s="5">
        <f>IF(po_master[[#This Row],[Qty Variance Flag]]="Qty Variance", 1, 0)</f>
        <v>0</v>
      </c>
      <c r="AA218" s="5">
        <f>IF(po_master[[#This Row],[Price Variance Flag]]="Price Variance", 1, 0)</f>
        <v>0</v>
      </c>
      <c r="AB218" s="5">
        <f>IF(po_master[[#This Row],[Late Delivery Flag]]="Late Delivery", 1, 0)</f>
        <v>1</v>
      </c>
      <c r="AC218" s="5">
        <f>IF(po_master[[#This Row],[Duplicate Invoice Flag]]="Duplicate Invoice", 1, 0)</f>
        <v>0</v>
      </c>
      <c r="AD218" s="5" t="str">
        <f>TEXT(po_master[[#This Row],[Order Date]],"YYYY-MM")</f>
        <v>2026-02</v>
      </c>
    </row>
    <row r="219" spans="1:30" x14ac:dyDescent="0.25">
      <c r="A219" t="s">
        <v>875</v>
      </c>
      <c r="B219" t="s">
        <v>1461</v>
      </c>
      <c r="C219" s="1">
        <v>46058</v>
      </c>
      <c r="D219">
        <v>331</v>
      </c>
      <c r="E219">
        <v>23.95</v>
      </c>
      <c r="F219" t="s">
        <v>1446</v>
      </c>
      <c r="G219" s="1">
        <v>46064</v>
      </c>
      <c r="I219" s="1"/>
      <c r="J219" t="s">
        <v>876</v>
      </c>
      <c r="K219">
        <v>331</v>
      </c>
      <c r="L219">
        <v>23.95</v>
      </c>
      <c r="M219" s="1">
        <v>46066</v>
      </c>
      <c r="N219" t="str">
        <f>IF(po_master[[#This Row],[Approved By]]="", "Missing Approval", "OK")</f>
        <v>OK</v>
      </c>
      <c r="O219" t="str">
        <f>IF(ISBLANK(po_master[[#This Row],[GR Quantity]]), "No GR - Not received", "OK")</f>
        <v>No GR - Not received</v>
      </c>
      <c r="P219" t="str">
        <f>IF(po_master[[#This Row],[Promised Delivey Date]]&lt;po_master[[#This Row],[Order Date]], "Invalid", "OK")</f>
        <v>OK</v>
      </c>
      <c r="Q219" t="str">
        <f>IF(ISBLANK(po_master[[#This Row],[Invoice Number]]), "No Invoice", "OK")</f>
        <v>OK</v>
      </c>
      <c r="R219" t="str">
        <f>IF(AND(NOT(ISBLANK(po_master[[#This Row],[GR Quantity]])), po_master[[#This Row],[GR Quantity]]&lt;&gt;po_master[[#This Row],[PO Quantity]]), "Qty Variance", "OK")</f>
        <v>OK</v>
      </c>
      <c r="S219" t="str">
        <f>IF(po_master[[#This Row],[Invoice Unit Price]]&gt;po_master[[#This Row],[PO Unit Price]]*1.01, "Price Variance", "OK")</f>
        <v>OK</v>
      </c>
      <c r="T219" t="str">
        <f>IF(po_master[[#This Row],[Actual Delivery Date]]&gt;po_master[[#This Row],[Promised Delivey Date]], "Late Delivery", "OK")</f>
        <v>OK</v>
      </c>
      <c r="U219" t="str">
        <f>IF(COUNTIF(po_master[PO Number],po_master[[#This Row],[PO Number]])&gt;1, "Duplicate Invoice", "OK")</f>
        <v>OK</v>
      </c>
      <c r="V219" s="5">
        <f>IF(po_master[[#This Row],[Missing Approval]]="Missing Approval", 1, 0)</f>
        <v>0</v>
      </c>
      <c r="W219" s="5">
        <f>IF(po_master[[#This Row],[GR Receipt Status]]="No GR - Not Received", 1, 0)</f>
        <v>1</v>
      </c>
      <c r="X219" s="5">
        <f>IF(po_master[[#This Row],[No invoice]]="No Invoice", 1, 0)</f>
        <v>0</v>
      </c>
      <c r="Y219" s="5">
        <f>IF(po_master[[#This Row],[Date Check]]="Invalid Date", 1, 0)</f>
        <v>0</v>
      </c>
      <c r="Z219" s="5">
        <f>IF(po_master[[#This Row],[Qty Variance Flag]]="Qty Variance", 1, 0)</f>
        <v>0</v>
      </c>
      <c r="AA219" s="5">
        <f>IF(po_master[[#This Row],[Price Variance Flag]]="Price Variance", 1, 0)</f>
        <v>0</v>
      </c>
      <c r="AB219" s="5">
        <f>IF(po_master[[#This Row],[Late Delivery Flag]]="Late Delivery", 1, 0)</f>
        <v>0</v>
      </c>
      <c r="AC219" s="5">
        <f>IF(po_master[[#This Row],[Duplicate Invoice Flag]]="Duplicate Invoice", 1, 0)</f>
        <v>0</v>
      </c>
      <c r="AD219" s="5" t="str">
        <f>TEXT(po_master[[#This Row],[Order Date]],"YYYY-MM")</f>
        <v>2026-02</v>
      </c>
    </row>
    <row r="220" spans="1:30" x14ac:dyDescent="0.25">
      <c r="A220" t="s">
        <v>194</v>
      </c>
      <c r="B220" t="s">
        <v>1508</v>
      </c>
      <c r="C220" s="1">
        <v>46127</v>
      </c>
      <c r="D220">
        <v>69</v>
      </c>
      <c r="E220">
        <v>32.26</v>
      </c>
      <c r="F220" t="s">
        <v>1462</v>
      </c>
      <c r="G220" s="1">
        <v>46141</v>
      </c>
      <c r="H220">
        <v>69</v>
      </c>
      <c r="I220" s="1">
        <v>46139</v>
      </c>
      <c r="J220" t="s">
        <v>887</v>
      </c>
      <c r="K220">
        <v>69</v>
      </c>
      <c r="L220">
        <v>32.26</v>
      </c>
      <c r="M220" s="1">
        <v>46143</v>
      </c>
      <c r="N220" t="str">
        <f>IF(po_master[[#This Row],[Approved By]]="", "Missing Approval", "OK")</f>
        <v>OK</v>
      </c>
      <c r="O220" t="str">
        <f>IF(ISBLANK(po_master[[#This Row],[GR Quantity]]), "No GR - Not received", "OK")</f>
        <v>OK</v>
      </c>
      <c r="P220" t="str">
        <f>IF(po_master[[#This Row],[Promised Delivey Date]]&lt;po_master[[#This Row],[Order Date]], "Invalid", "OK")</f>
        <v>OK</v>
      </c>
      <c r="Q220" t="str">
        <f>IF(ISBLANK(po_master[[#This Row],[Invoice Number]]), "No Invoice", "OK")</f>
        <v>OK</v>
      </c>
      <c r="R220" t="str">
        <f>IF(AND(NOT(ISBLANK(po_master[[#This Row],[GR Quantity]])), po_master[[#This Row],[GR Quantity]]&lt;&gt;po_master[[#This Row],[PO Quantity]]), "Qty Variance", "OK")</f>
        <v>OK</v>
      </c>
      <c r="S220" t="str">
        <f>IF(po_master[[#This Row],[Invoice Unit Price]]&gt;po_master[[#This Row],[PO Unit Price]]*1.01, "Price Variance", "OK")</f>
        <v>OK</v>
      </c>
      <c r="T220" t="str">
        <f>IF(po_master[[#This Row],[Actual Delivery Date]]&gt;po_master[[#This Row],[Promised Delivey Date]], "Late Delivery", "OK")</f>
        <v>OK</v>
      </c>
      <c r="U220" t="str">
        <f>IF(COUNTIF(po_master[PO Number],po_master[[#This Row],[PO Number]])&gt;1, "Duplicate Invoice", "OK")</f>
        <v>OK</v>
      </c>
      <c r="V220" s="5">
        <f>IF(po_master[[#This Row],[Missing Approval]]="Missing Approval", 1, 0)</f>
        <v>0</v>
      </c>
      <c r="W220" s="5">
        <f>IF(po_master[[#This Row],[GR Receipt Status]]="No GR - Not Received", 1, 0)</f>
        <v>0</v>
      </c>
      <c r="X220" s="5">
        <f>IF(po_master[[#This Row],[No invoice]]="No Invoice", 1, 0)</f>
        <v>0</v>
      </c>
      <c r="Y220" s="5">
        <f>IF(po_master[[#This Row],[Date Check]]="Invalid Date", 1, 0)</f>
        <v>0</v>
      </c>
      <c r="Z220" s="5">
        <f>IF(po_master[[#This Row],[Qty Variance Flag]]="Qty Variance", 1, 0)</f>
        <v>0</v>
      </c>
      <c r="AA220" s="5">
        <f>IF(po_master[[#This Row],[Price Variance Flag]]="Price Variance", 1, 0)</f>
        <v>0</v>
      </c>
      <c r="AB220" s="5">
        <f>IF(po_master[[#This Row],[Late Delivery Flag]]="Late Delivery", 1, 0)</f>
        <v>0</v>
      </c>
      <c r="AC220" s="5">
        <f>IF(po_master[[#This Row],[Duplicate Invoice Flag]]="Duplicate Invoice", 1, 0)</f>
        <v>0</v>
      </c>
      <c r="AD220" s="5" t="str">
        <f>TEXT(po_master[[#This Row],[Order Date]],"YYYY-MM")</f>
        <v>2026-04</v>
      </c>
    </row>
    <row r="221" spans="1:30" x14ac:dyDescent="0.25">
      <c r="A221" t="s">
        <v>195</v>
      </c>
      <c r="B221" t="s">
        <v>1498</v>
      </c>
      <c r="C221" s="1">
        <v>46052</v>
      </c>
      <c r="D221">
        <v>59</v>
      </c>
      <c r="E221">
        <v>50.79</v>
      </c>
      <c r="F221" t="s">
        <v>1442</v>
      </c>
      <c r="G221" s="1">
        <v>46061</v>
      </c>
      <c r="H221">
        <v>59</v>
      </c>
      <c r="I221" s="1">
        <v>46061</v>
      </c>
      <c r="J221" t="s">
        <v>888</v>
      </c>
      <c r="K221">
        <v>59</v>
      </c>
      <c r="L221">
        <v>50.79</v>
      </c>
      <c r="M221" s="1">
        <v>46069</v>
      </c>
      <c r="N221" t="str">
        <f>IF(po_master[[#This Row],[Approved By]]="", "Missing Approval", "OK")</f>
        <v>OK</v>
      </c>
      <c r="O221" t="str">
        <f>IF(ISBLANK(po_master[[#This Row],[GR Quantity]]), "No GR - Not received", "OK")</f>
        <v>OK</v>
      </c>
      <c r="P221" t="str">
        <f>IF(po_master[[#This Row],[Promised Delivey Date]]&lt;po_master[[#This Row],[Order Date]], "Invalid", "OK")</f>
        <v>OK</v>
      </c>
      <c r="Q221" t="str">
        <f>IF(ISBLANK(po_master[[#This Row],[Invoice Number]]), "No Invoice", "OK")</f>
        <v>OK</v>
      </c>
      <c r="R221" t="str">
        <f>IF(AND(NOT(ISBLANK(po_master[[#This Row],[GR Quantity]])), po_master[[#This Row],[GR Quantity]]&lt;&gt;po_master[[#This Row],[PO Quantity]]), "Qty Variance", "OK")</f>
        <v>OK</v>
      </c>
      <c r="S221" t="str">
        <f>IF(po_master[[#This Row],[Invoice Unit Price]]&gt;po_master[[#This Row],[PO Unit Price]]*1.01, "Price Variance", "OK")</f>
        <v>OK</v>
      </c>
      <c r="T221" t="str">
        <f>IF(po_master[[#This Row],[Actual Delivery Date]]&gt;po_master[[#This Row],[Promised Delivey Date]], "Late Delivery", "OK")</f>
        <v>OK</v>
      </c>
      <c r="U221" t="str">
        <f>IF(COUNTIF(po_master[PO Number],po_master[[#This Row],[PO Number]])&gt;1, "Duplicate Invoice", "OK")</f>
        <v>OK</v>
      </c>
      <c r="V221" s="5">
        <f>IF(po_master[[#This Row],[Missing Approval]]="Missing Approval", 1, 0)</f>
        <v>0</v>
      </c>
      <c r="W221" s="5">
        <f>IF(po_master[[#This Row],[GR Receipt Status]]="No GR - Not Received", 1, 0)</f>
        <v>0</v>
      </c>
      <c r="X221" s="5">
        <f>IF(po_master[[#This Row],[No invoice]]="No Invoice", 1, 0)</f>
        <v>0</v>
      </c>
      <c r="Y221" s="5">
        <f>IF(po_master[[#This Row],[Date Check]]="Invalid Date", 1, 0)</f>
        <v>0</v>
      </c>
      <c r="Z221" s="5">
        <f>IF(po_master[[#This Row],[Qty Variance Flag]]="Qty Variance", 1, 0)</f>
        <v>0</v>
      </c>
      <c r="AA221" s="5">
        <f>IF(po_master[[#This Row],[Price Variance Flag]]="Price Variance", 1, 0)</f>
        <v>0</v>
      </c>
      <c r="AB221" s="5">
        <f>IF(po_master[[#This Row],[Late Delivery Flag]]="Late Delivery", 1, 0)</f>
        <v>0</v>
      </c>
      <c r="AC221" s="5">
        <f>IF(po_master[[#This Row],[Duplicate Invoice Flag]]="Duplicate Invoice", 1, 0)</f>
        <v>0</v>
      </c>
      <c r="AD221" s="5" t="str">
        <f>TEXT(po_master[[#This Row],[Order Date]],"YYYY-MM")</f>
        <v>2026-01</v>
      </c>
    </row>
    <row r="222" spans="1:30" x14ac:dyDescent="0.25">
      <c r="A222" t="s">
        <v>196</v>
      </c>
      <c r="B222" t="s">
        <v>1502</v>
      </c>
      <c r="C222" s="1">
        <v>46139</v>
      </c>
      <c r="D222">
        <v>199</v>
      </c>
      <c r="E222">
        <v>135.74</v>
      </c>
      <c r="F222" t="s">
        <v>1490</v>
      </c>
      <c r="G222" s="1">
        <v>46157</v>
      </c>
      <c r="H222">
        <v>199</v>
      </c>
      <c r="I222" s="1">
        <v>46159</v>
      </c>
      <c r="J222" t="s">
        <v>889</v>
      </c>
      <c r="K222">
        <v>199</v>
      </c>
      <c r="L222">
        <v>135.74</v>
      </c>
      <c r="M222" s="1">
        <v>46164</v>
      </c>
      <c r="N222" t="str">
        <f>IF(po_master[[#This Row],[Approved By]]="", "Missing Approval", "OK")</f>
        <v>OK</v>
      </c>
      <c r="O222" t="str">
        <f>IF(ISBLANK(po_master[[#This Row],[GR Quantity]]), "No GR - Not received", "OK")</f>
        <v>OK</v>
      </c>
      <c r="P222" t="str">
        <f>IF(po_master[[#This Row],[Promised Delivey Date]]&lt;po_master[[#This Row],[Order Date]], "Invalid", "OK")</f>
        <v>OK</v>
      </c>
      <c r="Q222" t="str">
        <f>IF(ISBLANK(po_master[[#This Row],[Invoice Number]]), "No Invoice", "OK")</f>
        <v>OK</v>
      </c>
      <c r="R222" t="str">
        <f>IF(AND(NOT(ISBLANK(po_master[[#This Row],[GR Quantity]])), po_master[[#This Row],[GR Quantity]]&lt;&gt;po_master[[#This Row],[PO Quantity]]), "Qty Variance", "OK")</f>
        <v>OK</v>
      </c>
      <c r="S222" t="str">
        <f>IF(po_master[[#This Row],[Invoice Unit Price]]&gt;po_master[[#This Row],[PO Unit Price]]*1.01, "Price Variance", "OK")</f>
        <v>OK</v>
      </c>
      <c r="T222" t="str">
        <f>IF(po_master[[#This Row],[Actual Delivery Date]]&gt;po_master[[#This Row],[Promised Delivey Date]], "Late Delivery", "OK")</f>
        <v>Late Delivery</v>
      </c>
      <c r="U222" t="str">
        <f>IF(COUNTIF(po_master[PO Number],po_master[[#This Row],[PO Number]])&gt;1, "Duplicate Invoice", "OK")</f>
        <v>OK</v>
      </c>
      <c r="V222" s="5">
        <f>IF(po_master[[#This Row],[Missing Approval]]="Missing Approval", 1, 0)</f>
        <v>0</v>
      </c>
      <c r="W222" s="5">
        <f>IF(po_master[[#This Row],[GR Receipt Status]]="No GR - Not Received", 1, 0)</f>
        <v>0</v>
      </c>
      <c r="X222" s="5">
        <f>IF(po_master[[#This Row],[No invoice]]="No Invoice", 1, 0)</f>
        <v>0</v>
      </c>
      <c r="Y222" s="5">
        <f>IF(po_master[[#This Row],[Date Check]]="Invalid Date", 1, 0)</f>
        <v>0</v>
      </c>
      <c r="Z222" s="5">
        <f>IF(po_master[[#This Row],[Qty Variance Flag]]="Qty Variance", 1, 0)</f>
        <v>0</v>
      </c>
      <c r="AA222" s="5">
        <f>IF(po_master[[#This Row],[Price Variance Flag]]="Price Variance", 1, 0)</f>
        <v>0</v>
      </c>
      <c r="AB222" s="5">
        <f>IF(po_master[[#This Row],[Late Delivery Flag]]="Late Delivery", 1, 0)</f>
        <v>1</v>
      </c>
      <c r="AC222" s="5">
        <f>IF(po_master[[#This Row],[Duplicate Invoice Flag]]="Duplicate Invoice", 1, 0)</f>
        <v>0</v>
      </c>
      <c r="AD222" s="5" t="str">
        <f>TEXT(po_master[[#This Row],[Order Date]],"YYYY-MM")</f>
        <v>2026-04</v>
      </c>
    </row>
    <row r="223" spans="1:30" x14ac:dyDescent="0.25">
      <c r="A223" t="s">
        <v>197</v>
      </c>
      <c r="B223" t="s">
        <v>1443</v>
      </c>
      <c r="C223" s="1">
        <v>46062</v>
      </c>
      <c r="D223">
        <v>463</v>
      </c>
      <c r="E223">
        <v>85.9</v>
      </c>
      <c r="F223" t="s">
        <v>1483</v>
      </c>
      <c r="G223" s="1">
        <v>46082</v>
      </c>
      <c r="H223">
        <v>463</v>
      </c>
      <c r="I223" s="1">
        <v>46080</v>
      </c>
      <c r="J223" t="s">
        <v>890</v>
      </c>
      <c r="K223">
        <v>463</v>
      </c>
      <c r="L223">
        <v>85.9</v>
      </c>
      <c r="M223" s="1">
        <v>46085</v>
      </c>
      <c r="N223" t="str">
        <f>IF(po_master[[#This Row],[Approved By]]="", "Missing Approval", "OK")</f>
        <v>OK</v>
      </c>
      <c r="O223" t="str">
        <f>IF(ISBLANK(po_master[[#This Row],[GR Quantity]]), "No GR - Not received", "OK")</f>
        <v>OK</v>
      </c>
      <c r="P223" t="str">
        <f>IF(po_master[[#This Row],[Promised Delivey Date]]&lt;po_master[[#This Row],[Order Date]], "Invalid", "OK")</f>
        <v>OK</v>
      </c>
      <c r="Q223" t="str">
        <f>IF(ISBLANK(po_master[[#This Row],[Invoice Number]]), "No Invoice", "OK")</f>
        <v>OK</v>
      </c>
      <c r="R223" t="str">
        <f>IF(AND(NOT(ISBLANK(po_master[[#This Row],[GR Quantity]])), po_master[[#This Row],[GR Quantity]]&lt;&gt;po_master[[#This Row],[PO Quantity]]), "Qty Variance", "OK")</f>
        <v>OK</v>
      </c>
      <c r="S223" t="str">
        <f>IF(po_master[[#This Row],[Invoice Unit Price]]&gt;po_master[[#This Row],[PO Unit Price]]*1.01, "Price Variance", "OK")</f>
        <v>OK</v>
      </c>
      <c r="T223" t="str">
        <f>IF(po_master[[#This Row],[Actual Delivery Date]]&gt;po_master[[#This Row],[Promised Delivey Date]], "Late Delivery", "OK")</f>
        <v>OK</v>
      </c>
      <c r="U223" t="str">
        <f>IF(COUNTIF(po_master[PO Number],po_master[[#This Row],[PO Number]])&gt;1, "Duplicate Invoice", "OK")</f>
        <v>OK</v>
      </c>
      <c r="V223" s="5">
        <f>IF(po_master[[#This Row],[Missing Approval]]="Missing Approval", 1, 0)</f>
        <v>0</v>
      </c>
      <c r="W223" s="5">
        <f>IF(po_master[[#This Row],[GR Receipt Status]]="No GR - Not Received", 1, 0)</f>
        <v>0</v>
      </c>
      <c r="X223" s="5">
        <f>IF(po_master[[#This Row],[No invoice]]="No Invoice", 1, 0)</f>
        <v>0</v>
      </c>
      <c r="Y223" s="5">
        <f>IF(po_master[[#This Row],[Date Check]]="Invalid Date", 1, 0)</f>
        <v>0</v>
      </c>
      <c r="Z223" s="5">
        <f>IF(po_master[[#This Row],[Qty Variance Flag]]="Qty Variance", 1, 0)</f>
        <v>0</v>
      </c>
      <c r="AA223" s="5">
        <f>IF(po_master[[#This Row],[Price Variance Flag]]="Price Variance", 1, 0)</f>
        <v>0</v>
      </c>
      <c r="AB223" s="5">
        <f>IF(po_master[[#This Row],[Late Delivery Flag]]="Late Delivery", 1, 0)</f>
        <v>0</v>
      </c>
      <c r="AC223" s="5">
        <f>IF(po_master[[#This Row],[Duplicate Invoice Flag]]="Duplicate Invoice", 1, 0)</f>
        <v>0</v>
      </c>
      <c r="AD223" s="5" t="str">
        <f>TEXT(po_master[[#This Row],[Order Date]],"YYYY-MM")</f>
        <v>2026-02</v>
      </c>
    </row>
    <row r="224" spans="1:30" x14ac:dyDescent="0.25">
      <c r="A224" t="s">
        <v>198</v>
      </c>
      <c r="B224" t="s">
        <v>1497</v>
      </c>
      <c r="C224" s="1">
        <v>46127</v>
      </c>
      <c r="D224">
        <v>490</v>
      </c>
      <c r="E224">
        <v>190.55</v>
      </c>
      <c r="F224" t="s">
        <v>1462</v>
      </c>
      <c r="G224" s="1">
        <v>46143</v>
      </c>
      <c r="H224">
        <v>490</v>
      </c>
      <c r="I224" s="1">
        <v>46143</v>
      </c>
      <c r="J224" t="s">
        <v>891</v>
      </c>
      <c r="K224">
        <v>490</v>
      </c>
      <c r="L224">
        <v>190.55</v>
      </c>
      <c r="M224" s="1">
        <v>46144</v>
      </c>
      <c r="N224" t="str">
        <f>IF(po_master[[#This Row],[Approved By]]="", "Missing Approval", "OK")</f>
        <v>OK</v>
      </c>
      <c r="O224" t="str">
        <f>IF(ISBLANK(po_master[[#This Row],[GR Quantity]]), "No GR - Not received", "OK")</f>
        <v>OK</v>
      </c>
      <c r="P224" t="str">
        <f>IF(po_master[[#This Row],[Promised Delivey Date]]&lt;po_master[[#This Row],[Order Date]], "Invalid", "OK")</f>
        <v>OK</v>
      </c>
      <c r="Q224" t="str">
        <f>IF(ISBLANK(po_master[[#This Row],[Invoice Number]]), "No Invoice", "OK")</f>
        <v>OK</v>
      </c>
      <c r="R224" t="str">
        <f>IF(AND(NOT(ISBLANK(po_master[[#This Row],[GR Quantity]])), po_master[[#This Row],[GR Quantity]]&lt;&gt;po_master[[#This Row],[PO Quantity]]), "Qty Variance", "OK")</f>
        <v>OK</v>
      </c>
      <c r="S224" t="str">
        <f>IF(po_master[[#This Row],[Invoice Unit Price]]&gt;po_master[[#This Row],[PO Unit Price]]*1.01, "Price Variance", "OK")</f>
        <v>OK</v>
      </c>
      <c r="T224" t="str">
        <f>IF(po_master[[#This Row],[Actual Delivery Date]]&gt;po_master[[#This Row],[Promised Delivey Date]], "Late Delivery", "OK")</f>
        <v>OK</v>
      </c>
      <c r="U224" t="str">
        <f>IF(COUNTIF(po_master[PO Number],po_master[[#This Row],[PO Number]])&gt;1, "Duplicate Invoice", "OK")</f>
        <v>OK</v>
      </c>
      <c r="V224" s="5">
        <f>IF(po_master[[#This Row],[Missing Approval]]="Missing Approval", 1, 0)</f>
        <v>0</v>
      </c>
      <c r="W224" s="5">
        <f>IF(po_master[[#This Row],[GR Receipt Status]]="No GR - Not Received", 1, 0)</f>
        <v>0</v>
      </c>
      <c r="X224" s="5">
        <f>IF(po_master[[#This Row],[No invoice]]="No Invoice", 1, 0)</f>
        <v>0</v>
      </c>
      <c r="Y224" s="5">
        <f>IF(po_master[[#This Row],[Date Check]]="Invalid Date", 1, 0)</f>
        <v>0</v>
      </c>
      <c r="Z224" s="5">
        <f>IF(po_master[[#This Row],[Qty Variance Flag]]="Qty Variance", 1, 0)</f>
        <v>0</v>
      </c>
      <c r="AA224" s="5">
        <f>IF(po_master[[#This Row],[Price Variance Flag]]="Price Variance", 1, 0)</f>
        <v>0</v>
      </c>
      <c r="AB224" s="5">
        <f>IF(po_master[[#This Row],[Late Delivery Flag]]="Late Delivery", 1, 0)</f>
        <v>0</v>
      </c>
      <c r="AC224" s="5">
        <f>IF(po_master[[#This Row],[Duplicate Invoice Flag]]="Duplicate Invoice", 1, 0)</f>
        <v>0</v>
      </c>
      <c r="AD224" s="5" t="str">
        <f>TEXT(po_master[[#This Row],[Order Date]],"YYYY-MM")</f>
        <v>2026-04</v>
      </c>
    </row>
    <row r="225" spans="1:30" x14ac:dyDescent="0.25">
      <c r="A225" t="s">
        <v>199</v>
      </c>
      <c r="B225" t="s">
        <v>1461</v>
      </c>
      <c r="C225" s="1">
        <v>46117</v>
      </c>
      <c r="D225">
        <v>288</v>
      </c>
      <c r="E225">
        <v>180.83</v>
      </c>
      <c r="F225" t="s">
        <v>1446</v>
      </c>
      <c r="G225" s="1">
        <v>46133</v>
      </c>
      <c r="H225">
        <v>288</v>
      </c>
      <c r="I225" s="1">
        <v>46132</v>
      </c>
      <c r="J225" t="s">
        <v>894</v>
      </c>
      <c r="K225">
        <v>288</v>
      </c>
      <c r="L225">
        <v>180.83</v>
      </c>
      <c r="M225" s="1">
        <v>46134</v>
      </c>
      <c r="N225" t="str">
        <f>IF(po_master[[#This Row],[Approved By]]="", "Missing Approval", "OK")</f>
        <v>OK</v>
      </c>
      <c r="O225" t="str">
        <f>IF(ISBLANK(po_master[[#This Row],[GR Quantity]]), "No GR - Not received", "OK")</f>
        <v>OK</v>
      </c>
      <c r="P225" t="str">
        <f>IF(po_master[[#This Row],[Promised Delivey Date]]&lt;po_master[[#This Row],[Order Date]], "Invalid", "OK")</f>
        <v>OK</v>
      </c>
      <c r="Q225" t="str">
        <f>IF(ISBLANK(po_master[[#This Row],[Invoice Number]]), "No Invoice", "OK")</f>
        <v>OK</v>
      </c>
      <c r="R225" t="str">
        <f>IF(AND(NOT(ISBLANK(po_master[[#This Row],[GR Quantity]])), po_master[[#This Row],[GR Quantity]]&lt;&gt;po_master[[#This Row],[PO Quantity]]), "Qty Variance", "OK")</f>
        <v>OK</v>
      </c>
      <c r="S225" t="str">
        <f>IF(po_master[[#This Row],[Invoice Unit Price]]&gt;po_master[[#This Row],[PO Unit Price]]*1.01, "Price Variance", "OK")</f>
        <v>OK</v>
      </c>
      <c r="T225" t="str">
        <f>IF(po_master[[#This Row],[Actual Delivery Date]]&gt;po_master[[#This Row],[Promised Delivey Date]], "Late Delivery", "OK")</f>
        <v>OK</v>
      </c>
      <c r="U225" t="str">
        <f>IF(COUNTIF(po_master[PO Number],po_master[[#This Row],[PO Number]])&gt;1, "Duplicate Invoice", "OK")</f>
        <v>OK</v>
      </c>
      <c r="V225" s="5">
        <f>IF(po_master[[#This Row],[Missing Approval]]="Missing Approval", 1, 0)</f>
        <v>0</v>
      </c>
      <c r="W225" s="5">
        <f>IF(po_master[[#This Row],[GR Receipt Status]]="No GR - Not Received", 1, 0)</f>
        <v>0</v>
      </c>
      <c r="X225" s="5">
        <f>IF(po_master[[#This Row],[No invoice]]="No Invoice", 1, 0)</f>
        <v>0</v>
      </c>
      <c r="Y225" s="5">
        <f>IF(po_master[[#This Row],[Date Check]]="Invalid Date", 1, 0)</f>
        <v>0</v>
      </c>
      <c r="Z225" s="5">
        <f>IF(po_master[[#This Row],[Qty Variance Flag]]="Qty Variance", 1, 0)</f>
        <v>0</v>
      </c>
      <c r="AA225" s="5">
        <f>IF(po_master[[#This Row],[Price Variance Flag]]="Price Variance", 1, 0)</f>
        <v>0</v>
      </c>
      <c r="AB225" s="5">
        <f>IF(po_master[[#This Row],[Late Delivery Flag]]="Late Delivery", 1, 0)</f>
        <v>0</v>
      </c>
      <c r="AC225" s="5">
        <f>IF(po_master[[#This Row],[Duplicate Invoice Flag]]="Duplicate Invoice", 1, 0)</f>
        <v>0</v>
      </c>
      <c r="AD225" s="5" t="str">
        <f>TEXT(po_master[[#This Row],[Order Date]],"YYYY-MM")</f>
        <v>2026-04</v>
      </c>
    </row>
    <row r="226" spans="1:30" x14ac:dyDescent="0.25">
      <c r="A226" t="s">
        <v>200</v>
      </c>
      <c r="B226" t="s">
        <v>1475</v>
      </c>
      <c r="C226" s="1">
        <v>46124</v>
      </c>
      <c r="D226">
        <v>151</v>
      </c>
      <c r="E226">
        <v>42.01</v>
      </c>
      <c r="F226" t="s">
        <v>1483</v>
      </c>
      <c r="G226" s="1">
        <v>46143</v>
      </c>
      <c r="H226">
        <v>151</v>
      </c>
      <c r="I226" s="1">
        <v>46143</v>
      </c>
      <c r="J226" t="s">
        <v>895</v>
      </c>
      <c r="K226">
        <v>151</v>
      </c>
      <c r="L226">
        <v>42.01</v>
      </c>
      <c r="M226" s="1">
        <v>46149</v>
      </c>
      <c r="N226" t="str">
        <f>IF(po_master[[#This Row],[Approved By]]="", "Missing Approval", "OK")</f>
        <v>OK</v>
      </c>
      <c r="O226" t="str">
        <f>IF(ISBLANK(po_master[[#This Row],[GR Quantity]]), "No GR - Not received", "OK")</f>
        <v>OK</v>
      </c>
      <c r="P226" t="str">
        <f>IF(po_master[[#This Row],[Promised Delivey Date]]&lt;po_master[[#This Row],[Order Date]], "Invalid", "OK")</f>
        <v>OK</v>
      </c>
      <c r="Q226" t="str">
        <f>IF(ISBLANK(po_master[[#This Row],[Invoice Number]]), "No Invoice", "OK")</f>
        <v>OK</v>
      </c>
      <c r="R226" t="str">
        <f>IF(AND(NOT(ISBLANK(po_master[[#This Row],[GR Quantity]])), po_master[[#This Row],[GR Quantity]]&lt;&gt;po_master[[#This Row],[PO Quantity]]), "Qty Variance", "OK")</f>
        <v>OK</v>
      </c>
      <c r="S226" t="str">
        <f>IF(po_master[[#This Row],[Invoice Unit Price]]&gt;po_master[[#This Row],[PO Unit Price]]*1.01, "Price Variance", "OK")</f>
        <v>OK</v>
      </c>
      <c r="T226" t="str">
        <f>IF(po_master[[#This Row],[Actual Delivery Date]]&gt;po_master[[#This Row],[Promised Delivey Date]], "Late Delivery", "OK")</f>
        <v>OK</v>
      </c>
      <c r="U226" t="str">
        <f>IF(COUNTIF(po_master[PO Number],po_master[[#This Row],[PO Number]])&gt;1, "Duplicate Invoice", "OK")</f>
        <v>OK</v>
      </c>
      <c r="V226" s="5">
        <f>IF(po_master[[#This Row],[Missing Approval]]="Missing Approval", 1, 0)</f>
        <v>0</v>
      </c>
      <c r="W226" s="5">
        <f>IF(po_master[[#This Row],[GR Receipt Status]]="No GR - Not Received", 1, 0)</f>
        <v>0</v>
      </c>
      <c r="X226" s="5">
        <f>IF(po_master[[#This Row],[No invoice]]="No Invoice", 1, 0)</f>
        <v>0</v>
      </c>
      <c r="Y226" s="5">
        <f>IF(po_master[[#This Row],[Date Check]]="Invalid Date", 1, 0)</f>
        <v>0</v>
      </c>
      <c r="Z226" s="5">
        <f>IF(po_master[[#This Row],[Qty Variance Flag]]="Qty Variance", 1, 0)</f>
        <v>0</v>
      </c>
      <c r="AA226" s="5">
        <f>IF(po_master[[#This Row],[Price Variance Flag]]="Price Variance", 1, 0)</f>
        <v>0</v>
      </c>
      <c r="AB226" s="5">
        <f>IF(po_master[[#This Row],[Late Delivery Flag]]="Late Delivery", 1, 0)</f>
        <v>0</v>
      </c>
      <c r="AC226" s="5">
        <f>IF(po_master[[#This Row],[Duplicate Invoice Flag]]="Duplicate Invoice", 1, 0)</f>
        <v>0</v>
      </c>
      <c r="AD226" s="5" t="str">
        <f>TEXT(po_master[[#This Row],[Order Date]],"YYYY-MM")</f>
        <v>2026-04</v>
      </c>
    </row>
    <row r="227" spans="1:30" x14ac:dyDescent="0.25">
      <c r="A227" t="s">
        <v>201</v>
      </c>
      <c r="B227" t="s">
        <v>1457</v>
      </c>
      <c r="C227" s="1">
        <v>46077</v>
      </c>
      <c r="D227">
        <v>338</v>
      </c>
      <c r="E227">
        <v>129.69999999999999</v>
      </c>
      <c r="F227" t="s">
        <v>1448</v>
      </c>
      <c r="G227" s="1">
        <v>46083</v>
      </c>
      <c r="H227">
        <v>338</v>
      </c>
      <c r="I227" s="1">
        <v>46082</v>
      </c>
      <c r="J227" t="s">
        <v>896</v>
      </c>
      <c r="K227">
        <v>338</v>
      </c>
      <c r="L227">
        <v>129.69999999999999</v>
      </c>
      <c r="M227" s="1">
        <v>46088</v>
      </c>
      <c r="N227" t="str">
        <f>IF(po_master[[#This Row],[Approved By]]="", "Missing Approval", "OK")</f>
        <v>OK</v>
      </c>
      <c r="O227" t="str">
        <f>IF(ISBLANK(po_master[[#This Row],[GR Quantity]]), "No GR - Not received", "OK")</f>
        <v>OK</v>
      </c>
      <c r="P227" t="str">
        <f>IF(po_master[[#This Row],[Promised Delivey Date]]&lt;po_master[[#This Row],[Order Date]], "Invalid", "OK")</f>
        <v>OK</v>
      </c>
      <c r="Q227" t="str">
        <f>IF(ISBLANK(po_master[[#This Row],[Invoice Number]]), "No Invoice", "OK")</f>
        <v>OK</v>
      </c>
      <c r="R227" t="str">
        <f>IF(AND(NOT(ISBLANK(po_master[[#This Row],[GR Quantity]])), po_master[[#This Row],[GR Quantity]]&lt;&gt;po_master[[#This Row],[PO Quantity]]), "Qty Variance", "OK")</f>
        <v>OK</v>
      </c>
      <c r="S227" t="str">
        <f>IF(po_master[[#This Row],[Invoice Unit Price]]&gt;po_master[[#This Row],[PO Unit Price]]*1.01, "Price Variance", "OK")</f>
        <v>OK</v>
      </c>
      <c r="T227" t="str">
        <f>IF(po_master[[#This Row],[Actual Delivery Date]]&gt;po_master[[#This Row],[Promised Delivey Date]], "Late Delivery", "OK")</f>
        <v>OK</v>
      </c>
      <c r="U227" t="str">
        <f>IF(COUNTIF(po_master[PO Number],po_master[[#This Row],[PO Number]])&gt;1, "Duplicate Invoice", "OK")</f>
        <v>OK</v>
      </c>
      <c r="V227" s="5">
        <f>IF(po_master[[#This Row],[Missing Approval]]="Missing Approval", 1, 0)</f>
        <v>0</v>
      </c>
      <c r="W227" s="5">
        <f>IF(po_master[[#This Row],[GR Receipt Status]]="No GR - Not Received", 1, 0)</f>
        <v>0</v>
      </c>
      <c r="X227" s="5">
        <f>IF(po_master[[#This Row],[No invoice]]="No Invoice", 1, 0)</f>
        <v>0</v>
      </c>
      <c r="Y227" s="5">
        <f>IF(po_master[[#This Row],[Date Check]]="Invalid Date", 1, 0)</f>
        <v>0</v>
      </c>
      <c r="Z227" s="5">
        <f>IF(po_master[[#This Row],[Qty Variance Flag]]="Qty Variance", 1, 0)</f>
        <v>0</v>
      </c>
      <c r="AA227" s="5">
        <f>IF(po_master[[#This Row],[Price Variance Flag]]="Price Variance", 1, 0)</f>
        <v>0</v>
      </c>
      <c r="AB227" s="5">
        <f>IF(po_master[[#This Row],[Late Delivery Flag]]="Late Delivery", 1, 0)</f>
        <v>0</v>
      </c>
      <c r="AC227" s="5">
        <f>IF(po_master[[#This Row],[Duplicate Invoice Flag]]="Duplicate Invoice", 1, 0)</f>
        <v>0</v>
      </c>
      <c r="AD227" s="5" t="str">
        <f>TEXT(po_master[[#This Row],[Order Date]],"YYYY-MM")</f>
        <v>2026-02</v>
      </c>
    </row>
    <row r="228" spans="1:30" x14ac:dyDescent="0.25">
      <c r="A228" t="s">
        <v>202</v>
      </c>
      <c r="B228" t="s">
        <v>1479</v>
      </c>
      <c r="C228" s="1">
        <v>46085</v>
      </c>
      <c r="D228">
        <v>74</v>
      </c>
      <c r="E228">
        <v>158.46</v>
      </c>
      <c r="F228" t="s">
        <v>1444</v>
      </c>
      <c r="G228" s="1">
        <v>46092</v>
      </c>
      <c r="H228">
        <v>74</v>
      </c>
      <c r="I228" s="1">
        <v>46106</v>
      </c>
      <c r="J228" t="s">
        <v>897</v>
      </c>
      <c r="K228">
        <v>74</v>
      </c>
      <c r="L228">
        <v>158.46</v>
      </c>
      <c r="M228" s="1">
        <v>46100</v>
      </c>
      <c r="N228" t="str">
        <f>IF(po_master[[#This Row],[Approved By]]="", "Missing Approval", "OK")</f>
        <v>OK</v>
      </c>
      <c r="O228" t="str">
        <f>IF(ISBLANK(po_master[[#This Row],[GR Quantity]]), "No GR - Not received", "OK")</f>
        <v>OK</v>
      </c>
      <c r="P228" t="str">
        <f>IF(po_master[[#This Row],[Promised Delivey Date]]&lt;po_master[[#This Row],[Order Date]], "Invalid", "OK")</f>
        <v>OK</v>
      </c>
      <c r="Q228" t="str">
        <f>IF(ISBLANK(po_master[[#This Row],[Invoice Number]]), "No Invoice", "OK")</f>
        <v>OK</v>
      </c>
      <c r="R228" t="str">
        <f>IF(AND(NOT(ISBLANK(po_master[[#This Row],[GR Quantity]])), po_master[[#This Row],[GR Quantity]]&lt;&gt;po_master[[#This Row],[PO Quantity]]), "Qty Variance", "OK")</f>
        <v>OK</v>
      </c>
      <c r="S228" t="str">
        <f>IF(po_master[[#This Row],[Invoice Unit Price]]&gt;po_master[[#This Row],[PO Unit Price]]*1.01, "Price Variance", "OK")</f>
        <v>OK</v>
      </c>
      <c r="T228" t="str">
        <f>IF(po_master[[#This Row],[Actual Delivery Date]]&gt;po_master[[#This Row],[Promised Delivey Date]], "Late Delivery", "OK")</f>
        <v>Late Delivery</v>
      </c>
      <c r="U228" t="str">
        <f>IF(COUNTIF(po_master[PO Number],po_master[[#This Row],[PO Number]])&gt;1, "Duplicate Invoice", "OK")</f>
        <v>OK</v>
      </c>
      <c r="V228" s="5">
        <f>IF(po_master[[#This Row],[Missing Approval]]="Missing Approval", 1, 0)</f>
        <v>0</v>
      </c>
      <c r="W228" s="5">
        <f>IF(po_master[[#This Row],[GR Receipt Status]]="No GR - Not Received", 1, 0)</f>
        <v>0</v>
      </c>
      <c r="X228" s="5">
        <f>IF(po_master[[#This Row],[No invoice]]="No Invoice", 1, 0)</f>
        <v>0</v>
      </c>
      <c r="Y228" s="5">
        <f>IF(po_master[[#This Row],[Date Check]]="Invalid Date", 1, 0)</f>
        <v>0</v>
      </c>
      <c r="Z228" s="5">
        <f>IF(po_master[[#This Row],[Qty Variance Flag]]="Qty Variance", 1, 0)</f>
        <v>0</v>
      </c>
      <c r="AA228" s="5">
        <f>IF(po_master[[#This Row],[Price Variance Flag]]="Price Variance", 1, 0)</f>
        <v>0</v>
      </c>
      <c r="AB228" s="5">
        <f>IF(po_master[[#This Row],[Late Delivery Flag]]="Late Delivery", 1, 0)</f>
        <v>1</v>
      </c>
      <c r="AC228" s="5">
        <f>IF(po_master[[#This Row],[Duplicate Invoice Flag]]="Duplicate Invoice", 1, 0)</f>
        <v>0</v>
      </c>
      <c r="AD228" s="5" t="str">
        <f>TEXT(po_master[[#This Row],[Order Date]],"YYYY-MM")</f>
        <v>2026-03</v>
      </c>
    </row>
    <row r="229" spans="1:30" x14ac:dyDescent="0.25">
      <c r="A229" t="s">
        <v>203</v>
      </c>
      <c r="B229" t="s">
        <v>1454</v>
      </c>
      <c r="C229" s="1">
        <v>46076</v>
      </c>
      <c r="D229">
        <v>310</v>
      </c>
      <c r="E229">
        <v>47.11</v>
      </c>
      <c r="F229" t="s">
        <v>1440</v>
      </c>
      <c r="G229" s="1">
        <v>46091</v>
      </c>
      <c r="H229">
        <v>310</v>
      </c>
      <c r="I229" s="1">
        <v>46107</v>
      </c>
      <c r="J229" t="s">
        <v>898</v>
      </c>
      <c r="K229">
        <v>310</v>
      </c>
      <c r="L229">
        <v>52.95</v>
      </c>
      <c r="M229" s="1">
        <v>46101</v>
      </c>
      <c r="N229" t="str">
        <f>IF(po_master[[#This Row],[Approved By]]="", "Missing Approval", "OK")</f>
        <v>OK</v>
      </c>
      <c r="O229" t="str">
        <f>IF(ISBLANK(po_master[[#This Row],[GR Quantity]]), "No GR - Not received", "OK")</f>
        <v>OK</v>
      </c>
      <c r="P229" t="str">
        <f>IF(po_master[[#This Row],[Promised Delivey Date]]&lt;po_master[[#This Row],[Order Date]], "Invalid", "OK")</f>
        <v>OK</v>
      </c>
      <c r="Q229" t="str">
        <f>IF(ISBLANK(po_master[[#This Row],[Invoice Number]]), "No Invoice", "OK")</f>
        <v>OK</v>
      </c>
      <c r="R229" t="str">
        <f>IF(AND(NOT(ISBLANK(po_master[[#This Row],[GR Quantity]])), po_master[[#This Row],[GR Quantity]]&lt;&gt;po_master[[#This Row],[PO Quantity]]), "Qty Variance", "OK")</f>
        <v>OK</v>
      </c>
      <c r="S229" t="str">
        <f>IF(po_master[[#This Row],[Invoice Unit Price]]&gt;po_master[[#This Row],[PO Unit Price]]*1.01, "Price Variance", "OK")</f>
        <v>Price Variance</v>
      </c>
      <c r="T229" t="str">
        <f>IF(po_master[[#This Row],[Actual Delivery Date]]&gt;po_master[[#This Row],[Promised Delivey Date]], "Late Delivery", "OK")</f>
        <v>Late Delivery</v>
      </c>
      <c r="U229" t="str">
        <f>IF(COUNTIF(po_master[PO Number],po_master[[#This Row],[PO Number]])&gt;1, "Duplicate Invoice", "OK")</f>
        <v>OK</v>
      </c>
      <c r="V229" s="5">
        <f>IF(po_master[[#This Row],[Missing Approval]]="Missing Approval", 1, 0)</f>
        <v>0</v>
      </c>
      <c r="W229" s="5">
        <f>IF(po_master[[#This Row],[GR Receipt Status]]="No GR - Not Received", 1, 0)</f>
        <v>0</v>
      </c>
      <c r="X229" s="5">
        <f>IF(po_master[[#This Row],[No invoice]]="No Invoice", 1, 0)</f>
        <v>0</v>
      </c>
      <c r="Y229" s="5">
        <f>IF(po_master[[#This Row],[Date Check]]="Invalid Date", 1, 0)</f>
        <v>0</v>
      </c>
      <c r="Z229" s="5">
        <f>IF(po_master[[#This Row],[Qty Variance Flag]]="Qty Variance", 1, 0)</f>
        <v>0</v>
      </c>
      <c r="AA229" s="5">
        <f>IF(po_master[[#This Row],[Price Variance Flag]]="Price Variance", 1, 0)</f>
        <v>1</v>
      </c>
      <c r="AB229" s="5">
        <f>IF(po_master[[#This Row],[Late Delivery Flag]]="Late Delivery", 1, 0)</f>
        <v>1</v>
      </c>
      <c r="AC229" s="5">
        <f>IF(po_master[[#This Row],[Duplicate Invoice Flag]]="Duplicate Invoice", 1, 0)</f>
        <v>0</v>
      </c>
      <c r="AD229" s="5" t="str">
        <f>TEXT(po_master[[#This Row],[Order Date]],"YYYY-MM")</f>
        <v>2026-02</v>
      </c>
    </row>
    <row r="230" spans="1:30" x14ac:dyDescent="0.25">
      <c r="A230" t="s">
        <v>204</v>
      </c>
      <c r="B230" t="s">
        <v>1464</v>
      </c>
      <c r="C230" s="1">
        <v>46023</v>
      </c>
      <c r="D230">
        <v>151</v>
      </c>
      <c r="E230">
        <v>172.39</v>
      </c>
      <c r="F230" t="s">
        <v>1485</v>
      </c>
      <c r="G230" s="1">
        <v>46032</v>
      </c>
      <c r="H230">
        <v>151</v>
      </c>
      <c r="I230" s="1">
        <v>46034</v>
      </c>
      <c r="J230" t="s">
        <v>899</v>
      </c>
      <c r="K230">
        <v>151</v>
      </c>
      <c r="L230">
        <v>172.39</v>
      </c>
      <c r="M230" s="1">
        <v>46039</v>
      </c>
      <c r="N230" t="str">
        <f>IF(po_master[[#This Row],[Approved By]]="", "Missing Approval", "OK")</f>
        <v>OK</v>
      </c>
      <c r="O230" t="str">
        <f>IF(ISBLANK(po_master[[#This Row],[GR Quantity]]), "No GR - Not received", "OK")</f>
        <v>OK</v>
      </c>
      <c r="P230" t="str">
        <f>IF(po_master[[#This Row],[Promised Delivey Date]]&lt;po_master[[#This Row],[Order Date]], "Invalid", "OK")</f>
        <v>OK</v>
      </c>
      <c r="Q230" t="str">
        <f>IF(ISBLANK(po_master[[#This Row],[Invoice Number]]), "No Invoice", "OK")</f>
        <v>OK</v>
      </c>
      <c r="R230" t="str">
        <f>IF(AND(NOT(ISBLANK(po_master[[#This Row],[GR Quantity]])), po_master[[#This Row],[GR Quantity]]&lt;&gt;po_master[[#This Row],[PO Quantity]]), "Qty Variance", "OK")</f>
        <v>OK</v>
      </c>
      <c r="S230" t="str">
        <f>IF(po_master[[#This Row],[Invoice Unit Price]]&gt;po_master[[#This Row],[PO Unit Price]]*1.01, "Price Variance", "OK")</f>
        <v>OK</v>
      </c>
      <c r="T230" t="str">
        <f>IF(po_master[[#This Row],[Actual Delivery Date]]&gt;po_master[[#This Row],[Promised Delivey Date]], "Late Delivery", "OK")</f>
        <v>Late Delivery</v>
      </c>
      <c r="U230" t="str">
        <f>IF(COUNTIF(po_master[PO Number],po_master[[#This Row],[PO Number]])&gt;1, "Duplicate Invoice", "OK")</f>
        <v>OK</v>
      </c>
      <c r="V230" s="5">
        <f>IF(po_master[[#This Row],[Missing Approval]]="Missing Approval", 1, 0)</f>
        <v>0</v>
      </c>
      <c r="W230" s="5">
        <f>IF(po_master[[#This Row],[GR Receipt Status]]="No GR - Not Received", 1, 0)</f>
        <v>0</v>
      </c>
      <c r="X230" s="5">
        <f>IF(po_master[[#This Row],[No invoice]]="No Invoice", 1, 0)</f>
        <v>0</v>
      </c>
      <c r="Y230" s="5">
        <f>IF(po_master[[#This Row],[Date Check]]="Invalid Date", 1, 0)</f>
        <v>0</v>
      </c>
      <c r="Z230" s="5">
        <f>IF(po_master[[#This Row],[Qty Variance Flag]]="Qty Variance", 1, 0)</f>
        <v>0</v>
      </c>
      <c r="AA230" s="5">
        <f>IF(po_master[[#This Row],[Price Variance Flag]]="Price Variance", 1, 0)</f>
        <v>0</v>
      </c>
      <c r="AB230" s="5">
        <f>IF(po_master[[#This Row],[Late Delivery Flag]]="Late Delivery", 1, 0)</f>
        <v>1</v>
      </c>
      <c r="AC230" s="5">
        <f>IF(po_master[[#This Row],[Duplicate Invoice Flag]]="Duplicate Invoice", 1, 0)</f>
        <v>0</v>
      </c>
      <c r="AD230" s="5" t="str">
        <f>TEXT(po_master[[#This Row],[Order Date]],"YYYY-MM")</f>
        <v>2026-01</v>
      </c>
    </row>
    <row r="231" spans="1:30" x14ac:dyDescent="0.25">
      <c r="A231" t="s">
        <v>205</v>
      </c>
      <c r="B231" t="s">
        <v>1441</v>
      </c>
      <c r="C231" s="1">
        <v>46026</v>
      </c>
      <c r="D231">
        <v>193</v>
      </c>
      <c r="E231">
        <v>159.05000000000001</v>
      </c>
      <c r="F231" t="s">
        <v>1440</v>
      </c>
      <c r="G231" s="1">
        <v>46041</v>
      </c>
      <c r="H231">
        <v>193</v>
      </c>
      <c r="I231" s="1">
        <v>46039</v>
      </c>
      <c r="J231" t="s">
        <v>902</v>
      </c>
      <c r="K231">
        <v>193</v>
      </c>
      <c r="L231">
        <v>159.05000000000001</v>
      </c>
      <c r="M231" s="1">
        <v>46051</v>
      </c>
      <c r="N231" t="str">
        <f>IF(po_master[[#This Row],[Approved By]]="", "Missing Approval", "OK")</f>
        <v>OK</v>
      </c>
      <c r="O231" t="str">
        <f>IF(ISBLANK(po_master[[#This Row],[GR Quantity]]), "No GR - Not received", "OK")</f>
        <v>OK</v>
      </c>
      <c r="P231" t="str">
        <f>IF(po_master[[#This Row],[Promised Delivey Date]]&lt;po_master[[#This Row],[Order Date]], "Invalid", "OK")</f>
        <v>OK</v>
      </c>
      <c r="Q231" t="str">
        <f>IF(ISBLANK(po_master[[#This Row],[Invoice Number]]), "No Invoice", "OK")</f>
        <v>OK</v>
      </c>
      <c r="R231" t="str">
        <f>IF(AND(NOT(ISBLANK(po_master[[#This Row],[GR Quantity]])), po_master[[#This Row],[GR Quantity]]&lt;&gt;po_master[[#This Row],[PO Quantity]]), "Qty Variance", "OK")</f>
        <v>OK</v>
      </c>
      <c r="S231" t="str">
        <f>IF(po_master[[#This Row],[Invoice Unit Price]]&gt;po_master[[#This Row],[PO Unit Price]]*1.01, "Price Variance", "OK")</f>
        <v>OK</v>
      </c>
      <c r="T231" t="str">
        <f>IF(po_master[[#This Row],[Actual Delivery Date]]&gt;po_master[[#This Row],[Promised Delivey Date]], "Late Delivery", "OK")</f>
        <v>OK</v>
      </c>
      <c r="U231" t="str">
        <f>IF(COUNTIF(po_master[PO Number],po_master[[#This Row],[PO Number]])&gt;1, "Duplicate Invoice", "OK")</f>
        <v>OK</v>
      </c>
      <c r="V231" s="5">
        <f>IF(po_master[[#This Row],[Missing Approval]]="Missing Approval", 1, 0)</f>
        <v>0</v>
      </c>
      <c r="W231" s="5">
        <f>IF(po_master[[#This Row],[GR Receipt Status]]="No GR - Not Received", 1, 0)</f>
        <v>0</v>
      </c>
      <c r="X231" s="5">
        <f>IF(po_master[[#This Row],[No invoice]]="No Invoice", 1, 0)</f>
        <v>0</v>
      </c>
      <c r="Y231" s="5">
        <f>IF(po_master[[#This Row],[Date Check]]="Invalid Date", 1, 0)</f>
        <v>0</v>
      </c>
      <c r="Z231" s="5">
        <f>IF(po_master[[#This Row],[Qty Variance Flag]]="Qty Variance", 1, 0)</f>
        <v>0</v>
      </c>
      <c r="AA231" s="5">
        <f>IF(po_master[[#This Row],[Price Variance Flag]]="Price Variance", 1, 0)</f>
        <v>0</v>
      </c>
      <c r="AB231" s="5">
        <f>IF(po_master[[#This Row],[Late Delivery Flag]]="Late Delivery", 1, 0)</f>
        <v>0</v>
      </c>
      <c r="AC231" s="5">
        <f>IF(po_master[[#This Row],[Duplicate Invoice Flag]]="Duplicate Invoice", 1, 0)</f>
        <v>0</v>
      </c>
      <c r="AD231" s="5" t="str">
        <f>TEXT(po_master[[#This Row],[Order Date]],"YYYY-MM")</f>
        <v>2026-01</v>
      </c>
    </row>
    <row r="232" spans="1:30" x14ac:dyDescent="0.25">
      <c r="A232" t="s">
        <v>206</v>
      </c>
      <c r="B232" t="s">
        <v>1473</v>
      </c>
      <c r="C232" s="1">
        <v>46067</v>
      </c>
      <c r="D232">
        <v>145</v>
      </c>
      <c r="E232">
        <v>15.22</v>
      </c>
      <c r="F232" t="s">
        <v>1490</v>
      </c>
      <c r="G232" s="1">
        <v>46085</v>
      </c>
      <c r="H232">
        <v>145</v>
      </c>
      <c r="I232" s="1">
        <v>46085</v>
      </c>
      <c r="J232" t="s">
        <v>903</v>
      </c>
      <c r="K232">
        <v>145</v>
      </c>
      <c r="L232">
        <v>15.22</v>
      </c>
      <c r="M232" s="1">
        <v>46088</v>
      </c>
      <c r="N232" t="str">
        <f>IF(po_master[[#This Row],[Approved By]]="", "Missing Approval", "OK")</f>
        <v>OK</v>
      </c>
      <c r="O232" t="str">
        <f>IF(ISBLANK(po_master[[#This Row],[GR Quantity]]), "No GR - Not received", "OK")</f>
        <v>OK</v>
      </c>
      <c r="P232" t="str">
        <f>IF(po_master[[#This Row],[Promised Delivey Date]]&lt;po_master[[#This Row],[Order Date]], "Invalid", "OK")</f>
        <v>OK</v>
      </c>
      <c r="Q232" t="str">
        <f>IF(ISBLANK(po_master[[#This Row],[Invoice Number]]), "No Invoice", "OK")</f>
        <v>OK</v>
      </c>
      <c r="R232" t="str">
        <f>IF(AND(NOT(ISBLANK(po_master[[#This Row],[GR Quantity]])), po_master[[#This Row],[GR Quantity]]&lt;&gt;po_master[[#This Row],[PO Quantity]]), "Qty Variance", "OK")</f>
        <v>OK</v>
      </c>
      <c r="S232" t="str">
        <f>IF(po_master[[#This Row],[Invoice Unit Price]]&gt;po_master[[#This Row],[PO Unit Price]]*1.01, "Price Variance", "OK")</f>
        <v>OK</v>
      </c>
      <c r="T232" t="str">
        <f>IF(po_master[[#This Row],[Actual Delivery Date]]&gt;po_master[[#This Row],[Promised Delivey Date]], "Late Delivery", "OK")</f>
        <v>OK</v>
      </c>
      <c r="U232" t="str">
        <f>IF(COUNTIF(po_master[PO Number],po_master[[#This Row],[PO Number]])&gt;1, "Duplicate Invoice", "OK")</f>
        <v>OK</v>
      </c>
      <c r="V232" s="5">
        <f>IF(po_master[[#This Row],[Missing Approval]]="Missing Approval", 1, 0)</f>
        <v>0</v>
      </c>
      <c r="W232" s="5">
        <f>IF(po_master[[#This Row],[GR Receipt Status]]="No GR - Not Received", 1, 0)</f>
        <v>0</v>
      </c>
      <c r="X232" s="5">
        <f>IF(po_master[[#This Row],[No invoice]]="No Invoice", 1, 0)</f>
        <v>0</v>
      </c>
      <c r="Y232" s="5">
        <f>IF(po_master[[#This Row],[Date Check]]="Invalid Date", 1, 0)</f>
        <v>0</v>
      </c>
      <c r="Z232" s="5">
        <f>IF(po_master[[#This Row],[Qty Variance Flag]]="Qty Variance", 1, 0)</f>
        <v>0</v>
      </c>
      <c r="AA232" s="5">
        <f>IF(po_master[[#This Row],[Price Variance Flag]]="Price Variance", 1, 0)</f>
        <v>0</v>
      </c>
      <c r="AB232" s="5">
        <f>IF(po_master[[#This Row],[Late Delivery Flag]]="Late Delivery", 1, 0)</f>
        <v>0</v>
      </c>
      <c r="AC232" s="5">
        <f>IF(po_master[[#This Row],[Duplicate Invoice Flag]]="Duplicate Invoice", 1, 0)</f>
        <v>0</v>
      </c>
      <c r="AD232" s="5" t="str">
        <f>TEXT(po_master[[#This Row],[Order Date]],"YYYY-MM")</f>
        <v>2026-02</v>
      </c>
    </row>
    <row r="233" spans="1:30" x14ac:dyDescent="0.25">
      <c r="A233" t="s">
        <v>207</v>
      </c>
      <c r="B233" t="s">
        <v>1491</v>
      </c>
      <c r="C233" s="1">
        <v>46052</v>
      </c>
      <c r="D233">
        <v>391</v>
      </c>
      <c r="E233">
        <v>17.39</v>
      </c>
      <c r="F233" t="s">
        <v>1469</v>
      </c>
      <c r="G233" s="1">
        <v>46068</v>
      </c>
      <c r="H233">
        <v>391</v>
      </c>
      <c r="I233" s="1">
        <v>46069</v>
      </c>
      <c r="J233" t="s">
        <v>904</v>
      </c>
      <c r="K233">
        <v>391</v>
      </c>
      <c r="L233">
        <v>17.39</v>
      </c>
      <c r="M233" s="1">
        <v>46070</v>
      </c>
      <c r="N233" t="str">
        <f>IF(po_master[[#This Row],[Approved By]]="", "Missing Approval", "OK")</f>
        <v>OK</v>
      </c>
      <c r="O233" t="str">
        <f>IF(ISBLANK(po_master[[#This Row],[GR Quantity]]), "No GR - Not received", "OK")</f>
        <v>OK</v>
      </c>
      <c r="P233" t="str">
        <f>IF(po_master[[#This Row],[Promised Delivey Date]]&lt;po_master[[#This Row],[Order Date]], "Invalid", "OK")</f>
        <v>OK</v>
      </c>
      <c r="Q233" t="str">
        <f>IF(ISBLANK(po_master[[#This Row],[Invoice Number]]), "No Invoice", "OK")</f>
        <v>OK</v>
      </c>
      <c r="R233" t="str">
        <f>IF(AND(NOT(ISBLANK(po_master[[#This Row],[GR Quantity]])), po_master[[#This Row],[GR Quantity]]&lt;&gt;po_master[[#This Row],[PO Quantity]]), "Qty Variance", "OK")</f>
        <v>OK</v>
      </c>
      <c r="S233" t="str">
        <f>IF(po_master[[#This Row],[Invoice Unit Price]]&gt;po_master[[#This Row],[PO Unit Price]]*1.01, "Price Variance", "OK")</f>
        <v>OK</v>
      </c>
      <c r="T233" t="str">
        <f>IF(po_master[[#This Row],[Actual Delivery Date]]&gt;po_master[[#This Row],[Promised Delivey Date]], "Late Delivery", "OK")</f>
        <v>Late Delivery</v>
      </c>
      <c r="U233" t="str">
        <f>IF(COUNTIF(po_master[PO Number],po_master[[#This Row],[PO Number]])&gt;1, "Duplicate Invoice", "OK")</f>
        <v>OK</v>
      </c>
      <c r="V233" s="5">
        <f>IF(po_master[[#This Row],[Missing Approval]]="Missing Approval", 1, 0)</f>
        <v>0</v>
      </c>
      <c r="W233" s="5">
        <f>IF(po_master[[#This Row],[GR Receipt Status]]="No GR - Not Received", 1, 0)</f>
        <v>0</v>
      </c>
      <c r="X233" s="5">
        <f>IF(po_master[[#This Row],[No invoice]]="No Invoice", 1, 0)</f>
        <v>0</v>
      </c>
      <c r="Y233" s="5">
        <f>IF(po_master[[#This Row],[Date Check]]="Invalid Date", 1, 0)</f>
        <v>0</v>
      </c>
      <c r="Z233" s="5">
        <f>IF(po_master[[#This Row],[Qty Variance Flag]]="Qty Variance", 1, 0)</f>
        <v>0</v>
      </c>
      <c r="AA233" s="5">
        <f>IF(po_master[[#This Row],[Price Variance Flag]]="Price Variance", 1, 0)</f>
        <v>0</v>
      </c>
      <c r="AB233" s="5">
        <f>IF(po_master[[#This Row],[Late Delivery Flag]]="Late Delivery", 1, 0)</f>
        <v>1</v>
      </c>
      <c r="AC233" s="5">
        <f>IF(po_master[[#This Row],[Duplicate Invoice Flag]]="Duplicate Invoice", 1, 0)</f>
        <v>0</v>
      </c>
      <c r="AD233" s="5" t="str">
        <f>TEXT(po_master[[#This Row],[Order Date]],"YYYY-MM")</f>
        <v>2026-01</v>
      </c>
    </row>
    <row r="234" spans="1:30" x14ac:dyDescent="0.25">
      <c r="A234" t="s">
        <v>208</v>
      </c>
      <c r="B234" t="s">
        <v>1445</v>
      </c>
      <c r="C234" s="1">
        <v>46050</v>
      </c>
      <c r="D234">
        <v>241</v>
      </c>
      <c r="E234">
        <v>103.25</v>
      </c>
      <c r="F234" t="s">
        <v>1494</v>
      </c>
      <c r="G234" s="1">
        <v>46056</v>
      </c>
      <c r="H234">
        <v>241</v>
      </c>
      <c r="I234" s="1">
        <v>46055</v>
      </c>
      <c r="J234" t="s">
        <v>905</v>
      </c>
      <c r="K234">
        <v>241</v>
      </c>
      <c r="L234">
        <v>103.25</v>
      </c>
      <c r="M234" s="1">
        <v>46060</v>
      </c>
      <c r="N234" t="str">
        <f>IF(po_master[[#This Row],[Approved By]]="", "Missing Approval", "OK")</f>
        <v>OK</v>
      </c>
      <c r="O234" t="str">
        <f>IF(ISBLANK(po_master[[#This Row],[GR Quantity]]), "No GR - Not received", "OK")</f>
        <v>OK</v>
      </c>
      <c r="P234" t="str">
        <f>IF(po_master[[#This Row],[Promised Delivey Date]]&lt;po_master[[#This Row],[Order Date]], "Invalid", "OK")</f>
        <v>OK</v>
      </c>
      <c r="Q234" t="str">
        <f>IF(ISBLANK(po_master[[#This Row],[Invoice Number]]), "No Invoice", "OK")</f>
        <v>OK</v>
      </c>
      <c r="R234" t="str">
        <f>IF(AND(NOT(ISBLANK(po_master[[#This Row],[GR Quantity]])), po_master[[#This Row],[GR Quantity]]&lt;&gt;po_master[[#This Row],[PO Quantity]]), "Qty Variance", "OK")</f>
        <v>OK</v>
      </c>
      <c r="S234" t="str">
        <f>IF(po_master[[#This Row],[Invoice Unit Price]]&gt;po_master[[#This Row],[PO Unit Price]]*1.01, "Price Variance", "OK")</f>
        <v>OK</v>
      </c>
      <c r="T234" t="str">
        <f>IF(po_master[[#This Row],[Actual Delivery Date]]&gt;po_master[[#This Row],[Promised Delivey Date]], "Late Delivery", "OK")</f>
        <v>OK</v>
      </c>
      <c r="U234" t="str">
        <f>IF(COUNTIF(po_master[PO Number],po_master[[#This Row],[PO Number]])&gt;1, "Duplicate Invoice", "OK")</f>
        <v>OK</v>
      </c>
      <c r="V234" s="5">
        <f>IF(po_master[[#This Row],[Missing Approval]]="Missing Approval", 1, 0)</f>
        <v>0</v>
      </c>
      <c r="W234" s="5">
        <f>IF(po_master[[#This Row],[GR Receipt Status]]="No GR - Not Received", 1, 0)</f>
        <v>0</v>
      </c>
      <c r="X234" s="5">
        <f>IF(po_master[[#This Row],[No invoice]]="No Invoice", 1, 0)</f>
        <v>0</v>
      </c>
      <c r="Y234" s="5">
        <f>IF(po_master[[#This Row],[Date Check]]="Invalid Date", 1, 0)</f>
        <v>0</v>
      </c>
      <c r="Z234" s="5">
        <f>IF(po_master[[#This Row],[Qty Variance Flag]]="Qty Variance", 1, 0)</f>
        <v>0</v>
      </c>
      <c r="AA234" s="5">
        <f>IF(po_master[[#This Row],[Price Variance Flag]]="Price Variance", 1, 0)</f>
        <v>0</v>
      </c>
      <c r="AB234" s="5">
        <f>IF(po_master[[#This Row],[Late Delivery Flag]]="Late Delivery", 1, 0)</f>
        <v>0</v>
      </c>
      <c r="AC234" s="5">
        <f>IF(po_master[[#This Row],[Duplicate Invoice Flag]]="Duplicate Invoice", 1, 0)</f>
        <v>0</v>
      </c>
      <c r="AD234" s="5" t="str">
        <f>TEXT(po_master[[#This Row],[Order Date]],"YYYY-MM")</f>
        <v>2026-01</v>
      </c>
    </row>
    <row r="235" spans="1:30" x14ac:dyDescent="0.25">
      <c r="A235" t="s">
        <v>892</v>
      </c>
      <c r="B235" t="s">
        <v>1463</v>
      </c>
      <c r="C235" s="1">
        <v>46136</v>
      </c>
      <c r="D235">
        <v>237</v>
      </c>
      <c r="E235">
        <v>190.36</v>
      </c>
      <c r="F235" t="s">
        <v>1451</v>
      </c>
      <c r="G235" s="1">
        <v>46144</v>
      </c>
      <c r="I235" s="1"/>
      <c r="J235" t="s">
        <v>893</v>
      </c>
      <c r="K235">
        <v>237</v>
      </c>
      <c r="L235">
        <v>190.36</v>
      </c>
      <c r="M235" s="1">
        <v>46148</v>
      </c>
      <c r="N235" t="str">
        <f>IF(po_master[[#This Row],[Approved By]]="", "Missing Approval", "OK")</f>
        <v>OK</v>
      </c>
      <c r="O235" t="str">
        <f>IF(ISBLANK(po_master[[#This Row],[GR Quantity]]), "No GR - Not received", "OK")</f>
        <v>No GR - Not received</v>
      </c>
      <c r="P235" t="str">
        <f>IF(po_master[[#This Row],[Promised Delivey Date]]&lt;po_master[[#This Row],[Order Date]], "Invalid", "OK")</f>
        <v>OK</v>
      </c>
      <c r="Q235" t="str">
        <f>IF(ISBLANK(po_master[[#This Row],[Invoice Number]]), "No Invoice", "OK")</f>
        <v>OK</v>
      </c>
      <c r="R235" t="str">
        <f>IF(AND(NOT(ISBLANK(po_master[[#This Row],[GR Quantity]])), po_master[[#This Row],[GR Quantity]]&lt;&gt;po_master[[#This Row],[PO Quantity]]), "Qty Variance", "OK")</f>
        <v>OK</v>
      </c>
      <c r="S235" t="str">
        <f>IF(po_master[[#This Row],[Invoice Unit Price]]&gt;po_master[[#This Row],[PO Unit Price]]*1.01, "Price Variance", "OK")</f>
        <v>OK</v>
      </c>
      <c r="T235" t="str">
        <f>IF(po_master[[#This Row],[Actual Delivery Date]]&gt;po_master[[#This Row],[Promised Delivey Date]], "Late Delivery", "OK")</f>
        <v>OK</v>
      </c>
      <c r="U235" t="str">
        <f>IF(COUNTIF(po_master[PO Number],po_master[[#This Row],[PO Number]])&gt;1, "Duplicate Invoice", "OK")</f>
        <v>OK</v>
      </c>
      <c r="V235" s="5">
        <f>IF(po_master[[#This Row],[Missing Approval]]="Missing Approval", 1, 0)</f>
        <v>0</v>
      </c>
      <c r="W235" s="5">
        <f>IF(po_master[[#This Row],[GR Receipt Status]]="No GR - Not Received", 1, 0)</f>
        <v>1</v>
      </c>
      <c r="X235" s="5">
        <f>IF(po_master[[#This Row],[No invoice]]="No Invoice", 1, 0)</f>
        <v>0</v>
      </c>
      <c r="Y235" s="5">
        <f>IF(po_master[[#This Row],[Date Check]]="Invalid Date", 1, 0)</f>
        <v>0</v>
      </c>
      <c r="Z235" s="5">
        <f>IF(po_master[[#This Row],[Qty Variance Flag]]="Qty Variance", 1, 0)</f>
        <v>0</v>
      </c>
      <c r="AA235" s="5">
        <f>IF(po_master[[#This Row],[Price Variance Flag]]="Price Variance", 1, 0)</f>
        <v>0</v>
      </c>
      <c r="AB235" s="5">
        <f>IF(po_master[[#This Row],[Late Delivery Flag]]="Late Delivery", 1, 0)</f>
        <v>0</v>
      </c>
      <c r="AC235" s="5">
        <f>IF(po_master[[#This Row],[Duplicate Invoice Flag]]="Duplicate Invoice", 1, 0)</f>
        <v>0</v>
      </c>
      <c r="AD235" s="5" t="str">
        <f>TEXT(po_master[[#This Row],[Order Date]],"YYYY-MM")</f>
        <v>2026-04</v>
      </c>
    </row>
    <row r="236" spans="1:30" x14ac:dyDescent="0.25">
      <c r="A236" t="s">
        <v>209</v>
      </c>
      <c r="B236" t="s">
        <v>1477</v>
      </c>
      <c r="C236" s="1">
        <v>46156</v>
      </c>
      <c r="D236">
        <v>164</v>
      </c>
      <c r="E236">
        <v>94.32</v>
      </c>
      <c r="F236" t="s">
        <v>1448</v>
      </c>
      <c r="G236" s="1">
        <v>46162</v>
      </c>
      <c r="H236">
        <v>164</v>
      </c>
      <c r="I236" s="1">
        <v>46162</v>
      </c>
      <c r="J236" t="s">
        <v>906</v>
      </c>
      <c r="K236">
        <v>164</v>
      </c>
      <c r="L236">
        <v>94.32</v>
      </c>
      <c r="M236" s="1">
        <v>46167</v>
      </c>
      <c r="N236" t="str">
        <f>IF(po_master[[#This Row],[Approved By]]="", "Missing Approval", "OK")</f>
        <v>OK</v>
      </c>
      <c r="O236" t="str">
        <f>IF(ISBLANK(po_master[[#This Row],[GR Quantity]]), "No GR - Not received", "OK")</f>
        <v>OK</v>
      </c>
      <c r="P236" t="str">
        <f>IF(po_master[[#This Row],[Promised Delivey Date]]&lt;po_master[[#This Row],[Order Date]], "Invalid", "OK")</f>
        <v>OK</v>
      </c>
      <c r="Q236" t="str">
        <f>IF(ISBLANK(po_master[[#This Row],[Invoice Number]]), "No Invoice", "OK")</f>
        <v>OK</v>
      </c>
      <c r="R236" t="str">
        <f>IF(AND(NOT(ISBLANK(po_master[[#This Row],[GR Quantity]])), po_master[[#This Row],[GR Quantity]]&lt;&gt;po_master[[#This Row],[PO Quantity]]), "Qty Variance", "OK")</f>
        <v>OK</v>
      </c>
      <c r="S236" t="str">
        <f>IF(po_master[[#This Row],[Invoice Unit Price]]&gt;po_master[[#This Row],[PO Unit Price]]*1.01, "Price Variance", "OK")</f>
        <v>OK</v>
      </c>
      <c r="T236" t="str">
        <f>IF(po_master[[#This Row],[Actual Delivery Date]]&gt;po_master[[#This Row],[Promised Delivey Date]], "Late Delivery", "OK")</f>
        <v>OK</v>
      </c>
      <c r="U236" t="str">
        <f>IF(COUNTIF(po_master[PO Number],po_master[[#This Row],[PO Number]])&gt;1, "Duplicate Invoice", "OK")</f>
        <v>OK</v>
      </c>
      <c r="V236" s="5">
        <f>IF(po_master[[#This Row],[Missing Approval]]="Missing Approval", 1, 0)</f>
        <v>0</v>
      </c>
      <c r="W236" s="5">
        <f>IF(po_master[[#This Row],[GR Receipt Status]]="No GR - Not Received", 1, 0)</f>
        <v>0</v>
      </c>
      <c r="X236" s="5">
        <f>IF(po_master[[#This Row],[No invoice]]="No Invoice", 1, 0)</f>
        <v>0</v>
      </c>
      <c r="Y236" s="5">
        <f>IF(po_master[[#This Row],[Date Check]]="Invalid Date", 1, 0)</f>
        <v>0</v>
      </c>
      <c r="Z236" s="5">
        <f>IF(po_master[[#This Row],[Qty Variance Flag]]="Qty Variance", 1, 0)</f>
        <v>0</v>
      </c>
      <c r="AA236" s="5">
        <f>IF(po_master[[#This Row],[Price Variance Flag]]="Price Variance", 1, 0)</f>
        <v>0</v>
      </c>
      <c r="AB236" s="5">
        <f>IF(po_master[[#This Row],[Late Delivery Flag]]="Late Delivery", 1, 0)</f>
        <v>0</v>
      </c>
      <c r="AC236" s="5">
        <f>IF(po_master[[#This Row],[Duplicate Invoice Flag]]="Duplicate Invoice", 1, 0)</f>
        <v>0</v>
      </c>
      <c r="AD236" s="5" t="str">
        <f>TEXT(po_master[[#This Row],[Order Date]],"YYYY-MM")</f>
        <v>2026-05</v>
      </c>
    </row>
    <row r="237" spans="1:30" x14ac:dyDescent="0.25">
      <c r="A237" t="s">
        <v>210</v>
      </c>
      <c r="B237" t="s">
        <v>1510</v>
      </c>
      <c r="C237" s="1">
        <v>46125</v>
      </c>
      <c r="D237">
        <v>228</v>
      </c>
      <c r="E237">
        <v>138.79</v>
      </c>
      <c r="F237" t="s">
        <v>1487</v>
      </c>
      <c r="G237" s="1">
        <v>46144</v>
      </c>
      <c r="H237">
        <v>228</v>
      </c>
      <c r="I237" s="1">
        <v>46143</v>
      </c>
      <c r="J237" t="s">
        <v>907</v>
      </c>
      <c r="K237">
        <v>228</v>
      </c>
      <c r="L237">
        <v>138.79</v>
      </c>
      <c r="M237" s="1">
        <v>46153</v>
      </c>
      <c r="N237" t="str">
        <f>IF(po_master[[#This Row],[Approved By]]="", "Missing Approval", "OK")</f>
        <v>OK</v>
      </c>
      <c r="O237" t="str">
        <f>IF(ISBLANK(po_master[[#This Row],[GR Quantity]]), "No GR - Not received", "OK")</f>
        <v>OK</v>
      </c>
      <c r="P237" t="str">
        <f>IF(po_master[[#This Row],[Promised Delivey Date]]&lt;po_master[[#This Row],[Order Date]], "Invalid", "OK")</f>
        <v>OK</v>
      </c>
      <c r="Q237" t="str">
        <f>IF(ISBLANK(po_master[[#This Row],[Invoice Number]]), "No Invoice", "OK")</f>
        <v>OK</v>
      </c>
      <c r="R237" t="str">
        <f>IF(AND(NOT(ISBLANK(po_master[[#This Row],[GR Quantity]])), po_master[[#This Row],[GR Quantity]]&lt;&gt;po_master[[#This Row],[PO Quantity]]), "Qty Variance", "OK")</f>
        <v>OK</v>
      </c>
      <c r="S237" t="str">
        <f>IF(po_master[[#This Row],[Invoice Unit Price]]&gt;po_master[[#This Row],[PO Unit Price]]*1.01, "Price Variance", "OK")</f>
        <v>OK</v>
      </c>
      <c r="T237" t="str">
        <f>IF(po_master[[#This Row],[Actual Delivery Date]]&gt;po_master[[#This Row],[Promised Delivey Date]], "Late Delivery", "OK")</f>
        <v>OK</v>
      </c>
      <c r="U237" t="str">
        <f>IF(COUNTIF(po_master[PO Number],po_master[[#This Row],[PO Number]])&gt;1, "Duplicate Invoice", "OK")</f>
        <v>OK</v>
      </c>
      <c r="V237" s="5">
        <f>IF(po_master[[#This Row],[Missing Approval]]="Missing Approval", 1, 0)</f>
        <v>0</v>
      </c>
      <c r="W237" s="5">
        <f>IF(po_master[[#This Row],[GR Receipt Status]]="No GR - Not Received", 1, 0)</f>
        <v>0</v>
      </c>
      <c r="X237" s="5">
        <f>IF(po_master[[#This Row],[No invoice]]="No Invoice", 1, 0)</f>
        <v>0</v>
      </c>
      <c r="Y237" s="5">
        <f>IF(po_master[[#This Row],[Date Check]]="Invalid Date", 1, 0)</f>
        <v>0</v>
      </c>
      <c r="Z237" s="5">
        <f>IF(po_master[[#This Row],[Qty Variance Flag]]="Qty Variance", 1, 0)</f>
        <v>0</v>
      </c>
      <c r="AA237" s="5">
        <f>IF(po_master[[#This Row],[Price Variance Flag]]="Price Variance", 1, 0)</f>
        <v>0</v>
      </c>
      <c r="AB237" s="5">
        <f>IF(po_master[[#This Row],[Late Delivery Flag]]="Late Delivery", 1, 0)</f>
        <v>0</v>
      </c>
      <c r="AC237" s="5">
        <f>IF(po_master[[#This Row],[Duplicate Invoice Flag]]="Duplicate Invoice", 1, 0)</f>
        <v>0</v>
      </c>
      <c r="AD237" s="5" t="str">
        <f>TEXT(po_master[[#This Row],[Order Date]],"YYYY-MM")</f>
        <v>2026-04</v>
      </c>
    </row>
    <row r="238" spans="1:30" x14ac:dyDescent="0.25">
      <c r="A238" t="s">
        <v>211</v>
      </c>
      <c r="B238" t="s">
        <v>1492</v>
      </c>
      <c r="C238" s="1">
        <v>46043</v>
      </c>
      <c r="D238">
        <v>174</v>
      </c>
      <c r="E238">
        <v>123.62</v>
      </c>
      <c r="F238" t="s">
        <v>1476</v>
      </c>
      <c r="G238" s="1">
        <v>46052</v>
      </c>
      <c r="H238">
        <v>174</v>
      </c>
      <c r="I238" s="1">
        <v>46051</v>
      </c>
      <c r="J238" t="s">
        <v>908</v>
      </c>
      <c r="K238">
        <v>174</v>
      </c>
      <c r="L238">
        <v>123.62</v>
      </c>
      <c r="M238" s="1">
        <v>46060</v>
      </c>
      <c r="N238" t="str">
        <f>IF(po_master[[#This Row],[Approved By]]="", "Missing Approval", "OK")</f>
        <v>OK</v>
      </c>
      <c r="O238" t="str">
        <f>IF(ISBLANK(po_master[[#This Row],[GR Quantity]]), "No GR - Not received", "OK")</f>
        <v>OK</v>
      </c>
      <c r="P238" t="str">
        <f>IF(po_master[[#This Row],[Promised Delivey Date]]&lt;po_master[[#This Row],[Order Date]], "Invalid", "OK")</f>
        <v>OK</v>
      </c>
      <c r="Q238" t="str">
        <f>IF(ISBLANK(po_master[[#This Row],[Invoice Number]]), "No Invoice", "OK")</f>
        <v>OK</v>
      </c>
      <c r="R238" t="str">
        <f>IF(AND(NOT(ISBLANK(po_master[[#This Row],[GR Quantity]])), po_master[[#This Row],[GR Quantity]]&lt;&gt;po_master[[#This Row],[PO Quantity]]), "Qty Variance", "OK")</f>
        <v>OK</v>
      </c>
      <c r="S238" t="str">
        <f>IF(po_master[[#This Row],[Invoice Unit Price]]&gt;po_master[[#This Row],[PO Unit Price]]*1.01, "Price Variance", "OK")</f>
        <v>OK</v>
      </c>
      <c r="T238" t="str">
        <f>IF(po_master[[#This Row],[Actual Delivery Date]]&gt;po_master[[#This Row],[Promised Delivey Date]], "Late Delivery", "OK")</f>
        <v>OK</v>
      </c>
      <c r="U238" t="str">
        <f>IF(COUNTIF(po_master[PO Number],po_master[[#This Row],[PO Number]])&gt;1, "Duplicate Invoice", "OK")</f>
        <v>Duplicate Invoice</v>
      </c>
      <c r="V238" s="5">
        <f>IF(po_master[[#This Row],[Missing Approval]]="Missing Approval", 1, 0)</f>
        <v>0</v>
      </c>
      <c r="W238" s="5">
        <f>IF(po_master[[#This Row],[GR Receipt Status]]="No GR - Not Received", 1, 0)</f>
        <v>0</v>
      </c>
      <c r="X238" s="5">
        <f>IF(po_master[[#This Row],[No invoice]]="No Invoice", 1, 0)</f>
        <v>0</v>
      </c>
      <c r="Y238" s="5">
        <f>IF(po_master[[#This Row],[Date Check]]="Invalid Date", 1, 0)</f>
        <v>0</v>
      </c>
      <c r="Z238" s="5">
        <f>IF(po_master[[#This Row],[Qty Variance Flag]]="Qty Variance", 1, 0)</f>
        <v>0</v>
      </c>
      <c r="AA238" s="5">
        <f>IF(po_master[[#This Row],[Price Variance Flag]]="Price Variance", 1, 0)</f>
        <v>0</v>
      </c>
      <c r="AB238" s="5">
        <f>IF(po_master[[#This Row],[Late Delivery Flag]]="Late Delivery", 1, 0)</f>
        <v>0</v>
      </c>
      <c r="AC238" s="5">
        <f>IF(po_master[[#This Row],[Duplicate Invoice Flag]]="Duplicate Invoice", 1, 0)</f>
        <v>1</v>
      </c>
      <c r="AD238" s="5" t="str">
        <f>TEXT(po_master[[#This Row],[Order Date]],"YYYY-MM")</f>
        <v>2026-01</v>
      </c>
    </row>
    <row r="239" spans="1:30" x14ac:dyDescent="0.25">
      <c r="A239" t="s">
        <v>211</v>
      </c>
      <c r="B239" t="s">
        <v>1492</v>
      </c>
      <c r="C239" s="1">
        <v>46043</v>
      </c>
      <c r="D239">
        <v>174</v>
      </c>
      <c r="E239">
        <v>123.62</v>
      </c>
      <c r="F239" t="s">
        <v>1476</v>
      </c>
      <c r="G239" s="1">
        <v>46052</v>
      </c>
      <c r="H239">
        <v>174</v>
      </c>
      <c r="I239" s="1">
        <v>46051</v>
      </c>
      <c r="J239" t="s">
        <v>909</v>
      </c>
      <c r="K239">
        <v>174</v>
      </c>
      <c r="L239">
        <v>123.62</v>
      </c>
      <c r="M239" s="1">
        <v>46064</v>
      </c>
      <c r="N239" t="str">
        <f>IF(po_master[[#This Row],[Approved By]]="", "Missing Approval", "OK")</f>
        <v>OK</v>
      </c>
      <c r="O239" t="str">
        <f>IF(ISBLANK(po_master[[#This Row],[GR Quantity]]), "No GR - Not received", "OK")</f>
        <v>OK</v>
      </c>
      <c r="P239" t="str">
        <f>IF(po_master[[#This Row],[Promised Delivey Date]]&lt;po_master[[#This Row],[Order Date]], "Invalid", "OK")</f>
        <v>OK</v>
      </c>
      <c r="Q239" t="str">
        <f>IF(ISBLANK(po_master[[#This Row],[Invoice Number]]), "No Invoice", "OK")</f>
        <v>OK</v>
      </c>
      <c r="R239" t="str">
        <f>IF(AND(NOT(ISBLANK(po_master[[#This Row],[GR Quantity]])), po_master[[#This Row],[GR Quantity]]&lt;&gt;po_master[[#This Row],[PO Quantity]]), "Qty Variance", "OK")</f>
        <v>OK</v>
      </c>
      <c r="S239" t="str">
        <f>IF(po_master[[#This Row],[Invoice Unit Price]]&gt;po_master[[#This Row],[PO Unit Price]]*1.01, "Price Variance", "OK")</f>
        <v>OK</v>
      </c>
      <c r="T239" t="str">
        <f>IF(po_master[[#This Row],[Actual Delivery Date]]&gt;po_master[[#This Row],[Promised Delivey Date]], "Late Delivery", "OK")</f>
        <v>OK</v>
      </c>
      <c r="U239" t="str">
        <f>IF(COUNTIF(po_master[PO Number],po_master[[#This Row],[PO Number]])&gt;1, "Duplicate Invoice", "OK")</f>
        <v>Duplicate Invoice</v>
      </c>
      <c r="V239" s="5">
        <f>IF(po_master[[#This Row],[Missing Approval]]="Missing Approval", 1, 0)</f>
        <v>0</v>
      </c>
      <c r="W239" s="5">
        <f>IF(po_master[[#This Row],[GR Receipt Status]]="No GR - Not Received", 1, 0)</f>
        <v>0</v>
      </c>
      <c r="X239" s="5">
        <f>IF(po_master[[#This Row],[No invoice]]="No Invoice", 1, 0)</f>
        <v>0</v>
      </c>
      <c r="Y239" s="5">
        <f>IF(po_master[[#This Row],[Date Check]]="Invalid Date", 1, 0)</f>
        <v>0</v>
      </c>
      <c r="Z239" s="5">
        <f>IF(po_master[[#This Row],[Qty Variance Flag]]="Qty Variance", 1, 0)</f>
        <v>0</v>
      </c>
      <c r="AA239" s="5">
        <f>IF(po_master[[#This Row],[Price Variance Flag]]="Price Variance", 1, 0)</f>
        <v>0</v>
      </c>
      <c r="AB239" s="5">
        <f>IF(po_master[[#This Row],[Late Delivery Flag]]="Late Delivery", 1, 0)</f>
        <v>0</v>
      </c>
      <c r="AC239" s="5">
        <f>IF(po_master[[#This Row],[Duplicate Invoice Flag]]="Duplicate Invoice", 1, 0)</f>
        <v>1</v>
      </c>
      <c r="AD239" s="5" t="str">
        <f>TEXT(po_master[[#This Row],[Order Date]],"YYYY-MM")</f>
        <v>2026-01</v>
      </c>
    </row>
    <row r="240" spans="1:30" x14ac:dyDescent="0.25">
      <c r="A240" t="s">
        <v>212</v>
      </c>
      <c r="B240" t="s">
        <v>1511</v>
      </c>
      <c r="C240" s="1">
        <v>46172</v>
      </c>
      <c r="D240">
        <v>290</v>
      </c>
      <c r="E240">
        <v>143.87</v>
      </c>
      <c r="F240" t="s">
        <v>1453</v>
      </c>
      <c r="G240" s="1">
        <v>46193</v>
      </c>
      <c r="H240">
        <v>290</v>
      </c>
      <c r="I240" s="1">
        <v>46195</v>
      </c>
      <c r="J240" t="s">
        <v>910</v>
      </c>
      <c r="K240">
        <v>290</v>
      </c>
      <c r="L240">
        <v>143.87</v>
      </c>
      <c r="M240" s="1">
        <v>46194</v>
      </c>
      <c r="N240" t="str">
        <f>IF(po_master[[#This Row],[Approved By]]="", "Missing Approval", "OK")</f>
        <v>OK</v>
      </c>
      <c r="O240" t="str">
        <f>IF(ISBLANK(po_master[[#This Row],[GR Quantity]]), "No GR - Not received", "OK")</f>
        <v>OK</v>
      </c>
      <c r="P240" t="str">
        <f>IF(po_master[[#This Row],[Promised Delivey Date]]&lt;po_master[[#This Row],[Order Date]], "Invalid", "OK")</f>
        <v>OK</v>
      </c>
      <c r="Q240" t="str">
        <f>IF(ISBLANK(po_master[[#This Row],[Invoice Number]]), "No Invoice", "OK")</f>
        <v>OK</v>
      </c>
      <c r="R240" t="str">
        <f>IF(AND(NOT(ISBLANK(po_master[[#This Row],[GR Quantity]])), po_master[[#This Row],[GR Quantity]]&lt;&gt;po_master[[#This Row],[PO Quantity]]), "Qty Variance", "OK")</f>
        <v>OK</v>
      </c>
      <c r="S240" t="str">
        <f>IF(po_master[[#This Row],[Invoice Unit Price]]&gt;po_master[[#This Row],[PO Unit Price]]*1.01, "Price Variance", "OK")</f>
        <v>OK</v>
      </c>
      <c r="T240" t="str">
        <f>IF(po_master[[#This Row],[Actual Delivery Date]]&gt;po_master[[#This Row],[Promised Delivey Date]], "Late Delivery", "OK")</f>
        <v>Late Delivery</v>
      </c>
      <c r="U240" t="str">
        <f>IF(COUNTIF(po_master[PO Number],po_master[[#This Row],[PO Number]])&gt;1, "Duplicate Invoice", "OK")</f>
        <v>OK</v>
      </c>
      <c r="V240" s="5">
        <f>IF(po_master[[#This Row],[Missing Approval]]="Missing Approval", 1, 0)</f>
        <v>0</v>
      </c>
      <c r="W240" s="5">
        <f>IF(po_master[[#This Row],[GR Receipt Status]]="No GR - Not Received", 1, 0)</f>
        <v>0</v>
      </c>
      <c r="X240" s="5">
        <f>IF(po_master[[#This Row],[No invoice]]="No Invoice", 1, 0)</f>
        <v>0</v>
      </c>
      <c r="Y240" s="5">
        <f>IF(po_master[[#This Row],[Date Check]]="Invalid Date", 1, 0)</f>
        <v>0</v>
      </c>
      <c r="Z240" s="5">
        <f>IF(po_master[[#This Row],[Qty Variance Flag]]="Qty Variance", 1, 0)</f>
        <v>0</v>
      </c>
      <c r="AA240" s="5">
        <f>IF(po_master[[#This Row],[Price Variance Flag]]="Price Variance", 1, 0)</f>
        <v>0</v>
      </c>
      <c r="AB240" s="5">
        <f>IF(po_master[[#This Row],[Late Delivery Flag]]="Late Delivery", 1, 0)</f>
        <v>1</v>
      </c>
      <c r="AC240" s="5">
        <f>IF(po_master[[#This Row],[Duplicate Invoice Flag]]="Duplicate Invoice", 1, 0)</f>
        <v>0</v>
      </c>
      <c r="AD240" s="5" t="str">
        <f>TEXT(po_master[[#This Row],[Order Date]],"YYYY-MM")</f>
        <v>2026-05</v>
      </c>
    </row>
    <row r="241" spans="1:30" x14ac:dyDescent="0.25">
      <c r="A241" t="s">
        <v>213</v>
      </c>
      <c r="B241" t="s">
        <v>1506</v>
      </c>
      <c r="C241" s="1">
        <v>46139</v>
      </c>
      <c r="D241">
        <v>268</v>
      </c>
      <c r="E241">
        <v>123.06</v>
      </c>
      <c r="F241" t="s">
        <v>1483</v>
      </c>
      <c r="G241" s="1">
        <v>46147</v>
      </c>
      <c r="H241">
        <v>268</v>
      </c>
      <c r="I241" s="1">
        <v>46146</v>
      </c>
      <c r="J241" t="s">
        <v>911</v>
      </c>
      <c r="K241">
        <v>268</v>
      </c>
      <c r="L241">
        <v>123.06</v>
      </c>
      <c r="M241" s="1">
        <v>46154</v>
      </c>
      <c r="N241" t="str">
        <f>IF(po_master[[#This Row],[Approved By]]="", "Missing Approval", "OK")</f>
        <v>OK</v>
      </c>
      <c r="O241" t="str">
        <f>IF(ISBLANK(po_master[[#This Row],[GR Quantity]]), "No GR - Not received", "OK")</f>
        <v>OK</v>
      </c>
      <c r="P241" t="str">
        <f>IF(po_master[[#This Row],[Promised Delivey Date]]&lt;po_master[[#This Row],[Order Date]], "Invalid", "OK")</f>
        <v>OK</v>
      </c>
      <c r="Q241" t="str">
        <f>IF(ISBLANK(po_master[[#This Row],[Invoice Number]]), "No Invoice", "OK")</f>
        <v>OK</v>
      </c>
      <c r="R241" t="str">
        <f>IF(AND(NOT(ISBLANK(po_master[[#This Row],[GR Quantity]])), po_master[[#This Row],[GR Quantity]]&lt;&gt;po_master[[#This Row],[PO Quantity]]), "Qty Variance", "OK")</f>
        <v>OK</v>
      </c>
      <c r="S241" t="str">
        <f>IF(po_master[[#This Row],[Invoice Unit Price]]&gt;po_master[[#This Row],[PO Unit Price]]*1.01, "Price Variance", "OK")</f>
        <v>OK</v>
      </c>
      <c r="T241" t="str">
        <f>IF(po_master[[#This Row],[Actual Delivery Date]]&gt;po_master[[#This Row],[Promised Delivey Date]], "Late Delivery", "OK")</f>
        <v>OK</v>
      </c>
      <c r="U241" t="str">
        <f>IF(COUNTIF(po_master[PO Number],po_master[[#This Row],[PO Number]])&gt;1, "Duplicate Invoice", "OK")</f>
        <v>OK</v>
      </c>
      <c r="V241" s="5">
        <f>IF(po_master[[#This Row],[Missing Approval]]="Missing Approval", 1, 0)</f>
        <v>0</v>
      </c>
      <c r="W241" s="5">
        <f>IF(po_master[[#This Row],[GR Receipt Status]]="No GR - Not Received", 1, 0)</f>
        <v>0</v>
      </c>
      <c r="X241" s="5">
        <f>IF(po_master[[#This Row],[No invoice]]="No Invoice", 1, 0)</f>
        <v>0</v>
      </c>
      <c r="Y241" s="5">
        <f>IF(po_master[[#This Row],[Date Check]]="Invalid Date", 1, 0)</f>
        <v>0</v>
      </c>
      <c r="Z241" s="5">
        <f>IF(po_master[[#This Row],[Qty Variance Flag]]="Qty Variance", 1, 0)</f>
        <v>0</v>
      </c>
      <c r="AA241" s="5">
        <f>IF(po_master[[#This Row],[Price Variance Flag]]="Price Variance", 1, 0)</f>
        <v>0</v>
      </c>
      <c r="AB241" s="5">
        <f>IF(po_master[[#This Row],[Late Delivery Flag]]="Late Delivery", 1, 0)</f>
        <v>0</v>
      </c>
      <c r="AC241" s="5">
        <f>IF(po_master[[#This Row],[Duplicate Invoice Flag]]="Duplicate Invoice", 1, 0)</f>
        <v>0</v>
      </c>
      <c r="AD241" s="5" t="str">
        <f>TEXT(po_master[[#This Row],[Order Date]],"YYYY-MM")</f>
        <v>2026-04</v>
      </c>
    </row>
    <row r="242" spans="1:30" x14ac:dyDescent="0.25">
      <c r="A242" t="s">
        <v>214</v>
      </c>
      <c r="B242" t="s">
        <v>1508</v>
      </c>
      <c r="C242" s="1">
        <v>46164</v>
      </c>
      <c r="D242">
        <v>379</v>
      </c>
      <c r="E242">
        <v>173.77</v>
      </c>
      <c r="F242" t="s">
        <v>1507</v>
      </c>
      <c r="G242" s="1">
        <v>46183</v>
      </c>
      <c r="H242">
        <v>379</v>
      </c>
      <c r="I242" s="1">
        <v>46181</v>
      </c>
      <c r="J242" t="s">
        <v>912</v>
      </c>
      <c r="K242">
        <v>379</v>
      </c>
      <c r="L242">
        <v>173.77</v>
      </c>
      <c r="M242" s="1">
        <v>46191</v>
      </c>
      <c r="N242" t="str">
        <f>IF(po_master[[#This Row],[Approved By]]="", "Missing Approval", "OK")</f>
        <v>OK</v>
      </c>
      <c r="O242" t="str">
        <f>IF(ISBLANK(po_master[[#This Row],[GR Quantity]]), "No GR - Not received", "OK")</f>
        <v>OK</v>
      </c>
      <c r="P242" t="str">
        <f>IF(po_master[[#This Row],[Promised Delivey Date]]&lt;po_master[[#This Row],[Order Date]], "Invalid", "OK")</f>
        <v>OK</v>
      </c>
      <c r="Q242" t="str">
        <f>IF(ISBLANK(po_master[[#This Row],[Invoice Number]]), "No Invoice", "OK")</f>
        <v>OK</v>
      </c>
      <c r="R242" t="str">
        <f>IF(AND(NOT(ISBLANK(po_master[[#This Row],[GR Quantity]])), po_master[[#This Row],[GR Quantity]]&lt;&gt;po_master[[#This Row],[PO Quantity]]), "Qty Variance", "OK")</f>
        <v>OK</v>
      </c>
      <c r="S242" t="str">
        <f>IF(po_master[[#This Row],[Invoice Unit Price]]&gt;po_master[[#This Row],[PO Unit Price]]*1.01, "Price Variance", "OK")</f>
        <v>OK</v>
      </c>
      <c r="T242" t="str">
        <f>IF(po_master[[#This Row],[Actual Delivery Date]]&gt;po_master[[#This Row],[Promised Delivey Date]], "Late Delivery", "OK")</f>
        <v>OK</v>
      </c>
      <c r="U242" t="str">
        <f>IF(COUNTIF(po_master[PO Number],po_master[[#This Row],[PO Number]])&gt;1, "Duplicate Invoice", "OK")</f>
        <v>OK</v>
      </c>
      <c r="V242" s="5">
        <f>IF(po_master[[#This Row],[Missing Approval]]="Missing Approval", 1, 0)</f>
        <v>0</v>
      </c>
      <c r="W242" s="5">
        <f>IF(po_master[[#This Row],[GR Receipt Status]]="No GR - Not Received", 1, 0)</f>
        <v>0</v>
      </c>
      <c r="X242" s="5">
        <f>IF(po_master[[#This Row],[No invoice]]="No Invoice", 1, 0)</f>
        <v>0</v>
      </c>
      <c r="Y242" s="5">
        <f>IF(po_master[[#This Row],[Date Check]]="Invalid Date", 1, 0)</f>
        <v>0</v>
      </c>
      <c r="Z242" s="5">
        <f>IF(po_master[[#This Row],[Qty Variance Flag]]="Qty Variance", 1, 0)</f>
        <v>0</v>
      </c>
      <c r="AA242" s="5">
        <f>IF(po_master[[#This Row],[Price Variance Flag]]="Price Variance", 1, 0)</f>
        <v>0</v>
      </c>
      <c r="AB242" s="5">
        <f>IF(po_master[[#This Row],[Late Delivery Flag]]="Late Delivery", 1, 0)</f>
        <v>0</v>
      </c>
      <c r="AC242" s="5">
        <f>IF(po_master[[#This Row],[Duplicate Invoice Flag]]="Duplicate Invoice", 1, 0)</f>
        <v>0</v>
      </c>
      <c r="AD242" s="5" t="str">
        <f>TEXT(po_master[[#This Row],[Order Date]],"YYYY-MM")</f>
        <v>2026-05</v>
      </c>
    </row>
    <row r="243" spans="1:30" x14ac:dyDescent="0.25">
      <c r="A243" t="s">
        <v>215</v>
      </c>
      <c r="B243" t="s">
        <v>1447</v>
      </c>
      <c r="C243" s="1">
        <v>46128</v>
      </c>
      <c r="D243">
        <v>183</v>
      </c>
      <c r="E243">
        <v>166.35</v>
      </c>
      <c r="F243" t="s">
        <v>1453</v>
      </c>
      <c r="G243" s="1">
        <v>46146</v>
      </c>
      <c r="H243">
        <v>183</v>
      </c>
      <c r="I243" s="1">
        <v>46146</v>
      </c>
      <c r="J243" t="s">
        <v>913</v>
      </c>
      <c r="K243">
        <v>183</v>
      </c>
      <c r="L243">
        <v>166.35</v>
      </c>
      <c r="M243" s="1">
        <v>46147</v>
      </c>
      <c r="N243" t="str">
        <f>IF(po_master[[#This Row],[Approved By]]="", "Missing Approval", "OK")</f>
        <v>OK</v>
      </c>
      <c r="O243" t="str">
        <f>IF(ISBLANK(po_master[[#This Row],[GR Quantity]]), "No GR - Not received", "OK")</f>
        <v>OK</v>
      </c>
      <c r="P243" t="str">
        <f>IF(po_master[[#This Row],[Promised Delivey Date]]&lt;po_master[[#This Row],[Order Date]], "Invalid", "OK")</f>
        <v>OK</v>
      </c>
      <c r="Q243" t="str">
        <f>IF(ISBLANK(po_master[[#This Row],[Invoice Number]]), "No Invoice", "OK")</f>
        <v>OK</v>
      </c>
      <c r="R243" t="str">
        <f>IF(AND(NOT(ISBLANK(po_master[[#This Row],[GR Quantity]])), po_master[[#This Row],[GR Quantity]]&lt;&gt;po_master[[#This Row],[PO Quantity]]), "Qty Variance", "OK")</f>
        <v>OK</v>
      </c>
      <c r="S243" t="str">
        <f>IF(po_master[[#This Row],[Invoice Unit Price]]&gt;po_master[[#This Row],[PO Unit Price]]*1.01, "Price Variance", "OK")</f>
        <v>OK</v>
      </c>
      <c r="T243" t="str">
        <f>IF(po_master[[#This Row],[Actual Delivery Date]]&gt;po_master[[#This Row],[Promised Delivey Date]], "Late Delivery", "OK")</f>
        <v>OK</v>
      </c>
      <c r="U243" t="str">
        <f>IF(COUNTIF(po_master[PO Number],po_master[[#This Row],[PO Number]])&gt;1, "Duplicate Invoice", "OK")</f>
        <v>OK</v>
      </c>
      <c r="V243" s="5">
        <f>IF(po_master[[#This Row],[Missing Approval]]="Missing Approval", 1, 0)</f>
        <v>0</v>
      </c>
      <c r="W243" s="5">
        <f>IF(po_master[[#This Row],[GR Receipt Status]]="No GR - Not Received", 1, 0)</f>
        <v>0</v>
      </c>
      <c r="X243" s="5">
        <f>IF(po_master[[#This Row],[No invoice]]="No Invoice", 1, 0)</f>
        <v>0</v>
      </c>
      <c r="Y243" s="5">
        <f>IF(po_master[[#This Row],[Date Check]]="Invalid Date", 1, 0)</f>
        <v>0</v>
      </c>
      <c r="Z243" s="5">
        <f>IF(po_master[[#This Row],[Qty Variance Flag]]="Qty Variance", 1, 0)</f>
        <v>0</v>
      </c>
      <c r="AA243" s="5">
        <f>IF(po_master[[#This Row],[Price Variance Flag]]="Price Variance", 1, 0)</f>
        <v>0</v>
      </c>
      <c r="AB243" s="5">
        <f>IF(po_master[[#This Row],[Late Delivery Flag]]="Late Delivery", 1, 0)</f>
        <v>0</v>
      </c>
      <c r="AC243" s="5">
        <f>IF(po_master[[#This Row],[Duplicate Invoice Flag]]="Duplicate Invoice", 1, 0)</f>
        <v>0</v>
      </c>
      <c r="AD243" s="5" t="str">
        <f>TEXT(po_master[[#This Row],[Order Date]],"YYYY-MM")</f>
        <v>2026-04</v>
      </c>
    </row>
    <row r="244" spans="1:30" x14ac:dyDescent="0.25">
      <c r="A244" t="s">
        <v>900</v>
      </c>
      <c r="B244" t="s">
        <v>1471</v>
      </c>
      <c r="C244" s="1">
        <v>46087</v>
      </c>
      <c r="D244">
        <v>418</v>
      </c>
      <c r="E244">
        <v>39.03</v>
      </c>
      <c r="F244" t="s">
        <v>1467</v>
      </c>
      <c r="G244" s="1">
        <v>46092</v>
      </c>
      <c r="I244" s="1"/>
      <c r="J244" t="s">
        <v>901</v>
      </c>
      <c r="K244">
        <v>418</v>
      </c>
      <c r="L244">
        <v>39.03</v>
      </c>
      <c r="M244" s="1">
        <v>46101</v>
      </c>
      <c r="N244" t="str">
        <f>IF(po_master[[#This Row],[Approved By]]="", "Missing Approval", "OK")</f>
        <v>OK</v>
      </c>
      <c r="O244" t="str">
        <f>IF(ISBLANK(po_master[[#This Row],[GR Quantity]]), "No GR - Not received", "OK")</f>
        <v>No GR - Not received</v>
      </c>
      <c r="P244" t="str">
        <f>IF(po_master[[#This Row],[Promised Delivey Date]]&lt;po_master[[#This Row],[Order Date]], "Invalid", "OK")</f>
        <v>OK</v>
      </c>
      <c r="Q244" t="str">
        <f>IF(ISBLANK(po_master[[#This Row],[Invoice Number]]), "No Invoice", "OK")</f>
        <v>OK</v>
      </c>
      <c r="R244" t="str">
        <f>IF(AND(NOT(ISBLANK(po_master[[#This Row],[GR Quantity]])), po_master[[#This Row],[GR Quantity]]&lt;&gt;po_master[[#This Row],[PO Quantity]]), "Qty Variance", "OK")</f>
        <v>OK</v>
      </c>
      <c r="S244" t="str">
        <f>IF(po_master[[#This Row],[Invoice Unit Price]]&gt;po_master[[#This Row],[PO Unit Price]]*1.01, "Price Variance", "OK")</f>
        <v>OK</v>
      </c>
      <c r="T244" t="str">
        <f>IF(po_master[[#This Row],[Actual Delivery Date]]&gt;po_master[[#This Row],[Promised Delivey Date]], "Late Delivery", "OK")</f>
        <v>OK</v>
      </c>
      <c r="U244" t="str">
        <f>IF(COUNTIF(po_master[PO Number],po_master[[#This Row],[PO Number]])&gt;1, "Duplicate Invoice", "OK")</f>
        <v>OK</v>
      </c>
      <c r="V244" s="5">
        <f>IF(po_master[[#This Row],[Missing Approval]]="Missing Approval", 1, 0)</f>
        <v>0</v>
      </c>
      <c r="W244" s="5">
        <f>IF(po_master[[#This Row],[GR Receipt Status]]="No GR - Not Received", 1, 0)</f>
        <v>1</v>
      </c>
      <c r="X244" s="5">
        <f>IF(po_master[[#This Row],[No invoice]]="No Invoice", 1, 0)</f>
        <v>0</v>
      </c>
      <c r="Y244" s="5">
        <f>IF(po_master[[#This Row],[Date Check]]="Invalid Date", 1, 0)</f>
        <v>0</v>
      </c>
      <c r="Z244" s="5">
        <f>IF(po_master[[#This Row],[Qty Variance Flag]]="Qty Variance", 1, 0)</f>
        <v>0</v>
      </c>
      <c r="AA244" s="5">
        <f>IF(po_master[[#This Row],[Price Variance Flag]]="Price Variance", 1, 0)</f>
        <v>0</v>
      </c>
      <c r="AB244" s="5">
        <f>IF(po_master[[#This Row],[Late Delivery Flag]]="Late Delivery", 1, 0)</f>
        <v>0</v>
      </c>
      <c r="AC244" s="5">
        <f>IF(po_master[[#This Row],[Duplicate Invoice Flag]]="Duplicate Invoice", 1, 0)</f>
        <v>0</v>
      </c>
      <c r="AD244" s="5" t="str">
        <f>TEXT(po_master[[#This Row],[Order Date]],"YYYY-MM")</f>
        <v>2026-03</v>
      </c>
    </row>
    <row r="245" spans="1:30" x14ac:dyDescent="0.25">
      <c r="A245" t="s">
        <v>216</v>
      </c>
      <c r="B245" t="s">
        <v>1477</v>
      </c>
      <c r="C245" s="1">
        <v>46047</v>
      </c>
      <c r="D245">
        <v>170</v>
      </c>
      <c r="E245">
        <v>88.22</v>
      </c>
      <c r="F245" t="s">
        <v>1459</v>
      </c>
      <c r="G245" s="1">
        <v>46060</v>
      </c>
      <c r="H245">
        <v>184</v>
      </c>
      <c r="I245" s="1">
        <v>46061</v>
      </c>
      <c r="J245" t="s">
        <v>914</v>
      </c>
      <c r="K245">
        <v>170</v>
      </c>
      <c r="L245">
        <v>88.22</v>
      </c>
      <c r="M245" s="1">
        <v>46065</v>
      </c>
      <c r="N245" t="str">
        <f>IF(po_master[[#This Row],[Approved By]]="", "Missing Approval", "OK")</f>
        <v>Missing Approval</v>
      </c>
      <c r="O245" t="str">
        <f>IF(ISBLANK(po_master[[#This Row],[GR Quantity]]), "No GR - Not received", "OK")</f>
        <v>OK</v>
      </c>
      <c r="P245" t="str">
        <f>IF(po_master[[#This Row],[Promised Delivey Date]]&lt;po_master[[#This Row],[Order Date]], "Invalid", "OK")</f>
        <v>OK</v>
      </c>
      <c r="Q245" t="str">
        <f>IF(ISBLANK(po_master[[#This Row],[Invoice Number]]), "No Invoice", "OK")</f>
        <v>OK</v>
      </c>
      <c r="R245" t="str">
        <f>IF(AND(NOT(ISBLANK(po_master[[#This Row],[GR Quantity]])), po_master[[#This Row],[GR Quantity]]&lt;&gt;po_master[[#This Row],[PO Quantity]]), "Qty Variance", "OK")</f>
        <v>Qty Variance</v>
      </c>
      <c r="S245" t="str">
        <f>IF(po_master[[#This Row],[Invoice Unit Price]]&gt;po_master[[#This Row],[PO Unit Price]]*1.01, "Price Variance", "OK")</f>
        <v>OK</v>
      </c>
      <c r="T245" t="str">
        <f>IF(po_master[[#This Row],[Actual Delivery Date]]&gt;po_master[[#This Row],[Promised Delivey Date]], "Late Delivery", "OK")</f>
        <v>Late Delivery</v>
      </c>
      <c r="U245" t="str">
        <f>IF(COUNTIF(po_master[PO Number],po_master[[#This Row],[PO Number]])&gt;1, "Duplicate Invoice", "OK")</f>
        <v>OK</v>
      </c>
      <c r="V245" s="5">
        <f>IF(po_master[[#This Row],[Missing Approval]]="Missing Approval", 1, 0)</f>
        <v>1</v>
      </c>
      <c r="W245" s="5">
        <f>IF(po_master[[#This Row],[GR Receipt Status]]="No GR - Not Received", 1, 0)</f>
        <v>0</v>
      </c>
      <c r="X245" s="5">
        <f>IF(po_master[[#This Row],[No invoice]]="No Invoice", 1, 0)</f>
        <v>0</v>
      </c>
      <c r="Y245" s="5">
        <f>IF(po_master[[#This Row],[Date Check]]="Invalid Date", 1, 0)</f>
        <v>0</v>
      </c>
      <c r="Z245" s="5">
        <f>IF(po_master[[#This Row],[Qty Variance Flag]]="Qty Variance", 1, 0)</f>
        <v>1</v>
      </c>
      <c r="AA245" s="5">
        <f>IF(po_master[[#This Row],[Price Variance Flag]]="Price Variance", 1, 0)</f>
        <v>0</v>
      </c>
      <c r="AB245" s="5">
        <f>IF(po_master[[#This Row],[Late Delivery Flag]]="Late Delivery", 1, 0)</f>
        <v>1</v>
      </c>
      <c r="AC245" s="5">
        <f>IF(po_master[[#This Row],[Duplicate Invoice Flag]]="Duplicate Invoice", 1, 0)</f>
        <v>0</v>
      </c>
      <c r="AD245" s="5" t="str">
        <f>TEXT(po_master[[#This Row],[Order Date]],"YYYY-MM")</f>
        <v>2026-01</v>
      </c>
    </row>
    <row r="246" spans="1:30" x14ac:dyDescent="0.25">
      <c r="A246" t="s">
        <v>217</v>
      </c>
      <c r="B246" t="s">
        <v>1496</v>
      </c>
      <c r="C246" s="1">
        <v>46062</v>
      </c>
      <c r="D246">
        <v>361</v>
      </c>
      <c r="E246">
        <v>184.98</v>
      </c>
      <c r="F246" t="s">
        <v>1476</v>
      </c>
      <c r="G246" s="1">
        <v>46069</v>
      </c>
      <c r="H246">
        <v>361</v>
      </c>
      <c r="I246" s="1">
        <v>46069</v>
      </c>
      <c r="J246" t="s">
        <v>915</v>
      </c>
      <c r="K246">
        <v>361</v>
      </c>
      <c r="L246">
        <v>184.98</v>
      </c>
      <c r="M246" s="1">
        <v>46075</v>
      </c>
      <c r="N246" t="str">
        <f>IF(po_master[[#This Row],[Approved By]]="", "Missing Approval", "OK")</f>
        <v>OK</v>
      </c>
      <c r="O246" t="str">
        <f>IF(ISBLANK(po_master[[#This Row],[GR Quantity]]), "No GR - Not received", "OK")</f>
        <v>OK</v>
      </c>
      <c r="P246" t="str">
        <f>IF(po_master[[#This Row],[Promised Delivey Date]]&lt;po_master[[#This Row],[Order Date]], "Invalid", "OK")</f>
        <v>OK</v>
      </c>
      <c r="Q246" t="str">
        <f>IF(ISBLANK(po_master[[#This Row],[Invoice Number]]), "No Invoice", "OK")</f>
        <v>OK</v>
      </c>
      <c r="R246" t="str">
        <f>IF(AND(NOT(ISBLANK(po_master[[#This Row],[GR Quantity]])), po_master[[#This Row],[GR Quantity]]&lt;&gt;po_master[[#This Row],[PO Quantity]]), "Qty Variance", "OK")</f>
        <v>OK</v>
      </c>
      <c r="S246" t="str">
        <f>IF(po_master[[#This Row],[Invoice Unit Price]]&gt;po_master[[#This Row],[PO Unit Price]]*1.01, "Price Variance", "OK")</f>
        <v>OK</v>
      </c>
      <c r="T246" t="str">
        <f>IF(po_master[[#This Row],[Actual Delivery Date]]&gt;po_master[[#This Row],[Promised Delivey Date]], "Late Delivery", "OK")</f>
        <v>OK</v>
      </c>
      <c r="U246" t="str">
        <f>IF(COUNTIF(po_master[PO Number],po_master[[#This Row],[PO Number]])&gt;1, "Duplicate Invoice", "OK")</f>
        <v>Duplicate Invoice</v>
      </c>
      <c r="V246" s="5">
        <f>IF(po_master[[#This Row],[Missing Approval]]="Missing Approval", 1, 0)</f>
        <v>0</v>
      </c>
      <c r="W246" s="5">
        <f>IF(po_master[[#This Row],[GR Receipt Status]]="No GR - Not Received", 1, 0)</f>
        <v>0</v>
      </c>
      <c r="X246" s="5">
        <f>IF(po_master[[#This Row],[No invoice]]="No Invoice", 1, 0)</f>
        <v>0</v>
      </c>
      <c r="Y246" s="5">
        <f>IF(po_master[[#This Row],[Date Check]]="Invalid Date", 1, 0)</f>
        <v>0</v>
      </c>
      <c r="Z246" s="5">
        <f>IF(po_master[[#This Row],[Qty Variance Flag]]="Qty Variance", 1, 0)</f>
        <v>0</v>
      </c>
      <c r="AA246" s="5">
        <f>IF(po_master[[#This Row],[Price Variance Flag]]="Price Variance", 1, 0)</f>
        <v>0</v>
      </c>
      <c r="AB246" s="5">
        <f>IF(po_master[[#This Row],[Late Delivery Flag]]="Late Delivery", 1, 0)</f>
        <v>0</v>
      </c>
      <c r="AC246" s="5">
        <f>IF(po_master[[#This Row],[Duplicate Invoice Flag]]="Duplicate Invoice", 1, 0)</f>
        <v>1</v>
      </c>
      <c r="AD246" s="5" t="str">
        <f>TEXT(po_master[[#This Row],[Order Date]],"YYYY-MM")</f>
        <v>2026-02</v>
      </c>
    </row>
    <row r="247" spans="1:30" x14ac:dyDescent="0.25">
      <c r="A247" t="s">
        <v>217</v>
      </c>
      <c r="B247" t="s">
        <v>1496</v>
      </c>
      <c r="C247" s="1">
        <v>46062</v>
      </c>
      <c r="D247">
        <v>361</v>
      </c>
      <c r="E247">
        <v>184.98</v>
      </c>
      <c r="F247" t="s">
        <v>1476</v>
      </c>
      <c r="G247" s="1">
        <v>46069</v>
      </c>
      <c r="H247">
        <v>361</v>
      </c>
      <c r="I247" s="1">
        <v>46069</v>
      </c>
      <c r="J247" t="s">
        <v>916</v>
      </c>
      <c r="K247">
        <v>361</v>
      </c>
      <c r="L247">
        <v>184.98</v>
      </c>
      <c r="M247" s="1">
        <v>46077</v>
      </c>
      <c r="N247" t="str">
        <f>IF(po_master[[#This Row],[Approved By]]="", "Missing Approval", "OK")</f>
        <v>OK</v>
      </c>
      <c r="O247" t="str">
        <f>IF(ISBLANK(po_master[[#This Row],[GR Quantity]]), "No GR - Not received", "OK")</f>
        <v>OK</v>
      </c>
      <c r="P247" t="str">
        <f>IF(po_master[[#This Row],[Promised Delivey Date]]&lt;po_master[[#This Row],[Order Date]], "Invalid", "OK")</f>
        <v>OK</v>
      </c>
      <c r="Q247" t="str">
        <f>IF(ISBLANK(po_master[[#This Row],[Invoice Number]]), "No Invoice", "OK")</f>
        <v>OK</v>
      </c>
      <c r="R247" t="str">
        <f>IF(AND(NOT(ISBLANK(po_master[[#This Row],[GR Quantity]])), po_master[[#This Row],[GR Quantity]]&lt;&gt;po_master[[#This Row],[PO Quantity]]), "Qty Variance", "OK")</f>
        <v>OK</v>
      </c>
      <c r="S247" t="str">
        <f>IF(po_master[[#This Row],[Invoice Unit Price]]&gt;po_master[[#This Row],[PO Unit Price]]*1.01, "Price Variance", "OK")</f>
        <v>OK</v>
      </c>
      <c r="T247" t="str">
        <f>IF(po_master[[#This Row],[Actual Delivery Date]]&gt;po_master[[#This Row],[Promised Delivey Date]], "Late Delivery", "OK")</f>
        <v>OK</v>
      </c>
      <c r="U247" t="str">
        <f>IF(COUNTIF(po_master[PO Number],po_master[[#This Row],[PO Number]])&gt;1, "Duplicate Invoice", "OK")</f>
        <v>Duplicate Invoice</v>
      </c>
      <c r="V247" s="5">
        <f>IF(po_master[[#This Row],[Missing Approval]]="Missing Approval", 1, 0)</f>
        <v>0</v>
      </c>
      <c r="W247" s="5">
        <f>IF(po_master[[#This Row],[GR Receipt Status]]="No GR - Not Received", 1, 0)</f>
        <v>0</v>
      </c>
      <c r="X247" s="5">
        <f>IF(po_master[[#This Row],[No invoice]]="No Invoice", 1, 0)</f>
        <v>0</v>
      </c>
      <c r="Y247" s="5">
        <f>IF(po_master[[#This Row],[Date Check]]="Invalid Date", 1, 0)</f>
        <v>0</v>
      </c>
      <c r="Z247" s="5">
        <f>IF(po_master[[#This Row],[Qty Variance Flag]]="Qty Variance", 1, 0)</f>
        <v>0</v>
      </c>
      <c r="AA247" s="5">
        <f>IF(po_master[[#This Row],[Price Variance Flag]]="Price Variance", 1, 0)</f>
        <v>0</v>
      </c>
      <c r="AB247" s="5">
        <f>IF(po_master[[#This Row],[Late Delivery Flag]]="Late Delivery", 1, 0)</f>
        <v>0</v>
      </c>
      <c r="AC247" s="5">
        <f>IF(po_master[[#This Row],[Duplicate Invoice Flag]]="Duplicate Invoice", 1, 0)</f>
        <v>1</v>
      </c>
      <c r="AD247" s="5" t="str">
        <f>TEXT(po_master[[#This Row],[Order Date]],"YYYY-MM")</f>
        <v>2026-02</v>
      </c>
    </row>
    <row r="248" spans="1:30" x14ac:dyDescent="0.25">
      <c r="A248" t="s">
        <v>218</v>
      </c>
      <c r="B248" t="s">
        <v>1457</v>
      </c>
      <c r="C248" s="1">
        <v>46046</v>
      </c>
      <c r="D248">
        <v>231</v>
      </c>
      <c r="E248">
        <v>23.83</v>
      </c>
      <c r="F248" t="s">
        <v>1490</v>
      </c>
      <c r="G248" s="1">
        <v>46062</v>
      </c>
      <c r="H248">
        <v>231</v>
      </c>
      <c r="I248" s="1">
        <v>46060</v>
      </c>
      <c r="J248" t="s">
        <v>917</v>
      </c>
      <c r="K248">
        <v>231</v>
      </c>
      <c r="L248">
        <v>23.83</v>
      </c>
      <c r="M248" s="1">
        <v>46072</v>
      </c>
      <c r="N248" t="str">
        <f>IF(po_master[[#This Row],[Approved By]]="", "Missing Approval", "OK")</f>
        <v>OK</v>
      </c>
      <c r="O248" t="str">
        <f>IF(ISBLANK(po_master[[#This Row],[GR Quantity]]), "No GR - Not received", "OK")</f>
        <v>OK</v>
      </c>
      <c r="P248" t="str">
        <f>IF(po_master[[#This Row],[Promised Delivey Date]]&lt;po_master[[#This Row],[Order Date]], "Invalid", "OK")</f>
        <v>OK</v>
      </c>
      <c r="Q248" t="str">
        <f>IF(ISBLANK(po_master[[#This Row],[Invoice Number]]), "No Invoice", "OK")</f>
        <v>OK</v>
      </c>
      <c r="R248" t="str">
        <f>IF(AND(NOT(ISBLANK(po_master[[#This Row],[GR Quantity]])), po_master[[#This Row],[GR Quantity]]&lt;&gt;po_master[[#This Row],[PO Quantity]]), "Qty Variance", "OK")</f>
        <v>OK</v>
      </c>
      <c r="S248" t="str">
        <f>IF(po_master[[#This Row],[Invoice Unit Price]]&gt;po_master[[#This Row],[PO Unit Price]]*1.01, "Price Variance", "OK")</f>
        <v>OK</v>
      </c>
      <c r="T248" t="str">
        <f>IF(po_master[[#This Row],[Actual Delivery Date]]&gt;po_master[[#This Row],[Promised Delivey Date]], "Late Delivery", "OK")</f>
        <v>OK</v>
      </c>
      <c r="U248" t="str">
        <f>IF(COUNTIF(po_master[PO Number],po_master[[#This Row],[PO Number]])&gt;1, "Duplicate Invoice", "OK")</f>
        <v>OK</v>
      </c>
      <c r="V248" s="5">
        <f>IF(po_master[[#This Row],[Missing Approval]]="Missing Approval", 1, 0)</f>
        <v>0</v>
      </c>
      <c r="W248" s="5">
        <f>IF(po_master[[#This Row],[GR Receipt Status]]="No GR - Not Received", 1, 0)</f>
        <v>0</v>
      </c>
      <c r="X248" s="5">
        <f>IF(po_master[[#This Row],[No invoice]]="No Invoice", 1, 0)</f>
        <v>0</v>
      </c>
      <c r="Y248" s="5">
        <f>IF(po_master[[#This Row],[Date Check]]="Invalid Date", 1, 0)</f>
        <v>0</v>
      </c>
      <c r="Z248" s="5">
        <f>IF(po_master[[#This Row],[Qty Variance Flag]]="Qty Variance", 1, 0)</f>
        <v>0</v>
      </c>
      <c r="AA248" s="5">
        <f>IF(po_master[[#This Row],[Price Variance Flag]]="Price Variance", 1, 0)</f>
        <v>0</v>
      </c>
      <c r="AB248" s="5">
        <f>IF(po_master[[#This Row],[Late Delivery Flag]]="Late Delivery", 1, 0)</f>
        <v>0</v>
      </c>
      <c r="AC248" s="5">
        <f>IF(po_master[[#This Row],[Duplicate Invoice Flag]]="Duplicate Invoice", 1, 0)</f>
        <v>0</v>
      </c>
      <c r="AD248" s="5" t="str">
        <f>TEXT(po_master[[#This Row],[Order Date]],"YYYY-MM")</f>
        <v>2026-01</v>
      </c>
    </row>
    <row r="249" spans="1:30" x14ac:dyDescent="0.25">
      <c r="A249" t="s">
        <v>219</v>
      </c>
      <c r="B249" t="s">
        <v>1441</v>
      </c>
      <c r="C249" s="1">
        <v>46165</v>
      </c>
      <c r="D249">
        <v>40</v>
      </c>
      <c r="E249">
        <v>119.36</v>
      </c>
      <c r="F249" t="s">
        <v>1442</v>
      </c>
      <c r="G249" s="1">
        <v>46180</v>
      </c>
      <c r="H249">
        <v>40</v>
      </c>
      <c r="I249" s="1">
        <v>46182</v>
      </c>
      <c r="J249" t="s">
        <v>918</v>
      </c>
      <c r="K249">
        <v>40</v>
      </c>
      <c r="L249">
        <v>119.36</v>
      </c>
      <c r="M249" s="1">
        <v>46184</v>
      </c>
      <c r="N249" t="str">
        <f>IF(po_master[[#This Row],[Approved By]]="", "Missing Approval", "OK")</f>
        <v>OK</v>
      </c>
      <c r="O249" t="str">
        <f>IF(ISBLANK(po_master[[#This Row],[GR Quantity]]), "No GR - Not received", "OK")</f>
        <v>OK</v>
      </c>
      <c r="P249" t="str">
        <f>IF(po_master[[#This Row],[Promised Delivey Date]]&lt;po_master[[#This Row],[Order Date]], "Invalid", "OK")</f>
        <v>OK</v>
      </c>
      <c r="Q249" t="str">
        <f>IF(ISBLANK(po_master[[#This Row],[Invoice Number]]), "No Invoice", "OK")</f>
        <v>OK</v>
      </c>
      <c r="R249" t="str">
        <f>IF(AND(NOT(ISBLANK(po_master[[#This Row],[GR Quantity]])), po_master[[#This Row],[GR Quantity]]&lt;&gt;po_master[[#This Row],[PO Quantity]]), "Qty Variance", "OK")</f>
        <v>OK</v>
      </c>
      <c r="S249" t="str">
        <f>IF(po_master[[#This Row],[Invoice Unit Price]]&gt;po_master[[#This Row],[PO Unit Price]]*1.01, "Price Variance", "OK")</f>
        <v>OK</v>
      </c>
      <c r="T249" t="str">
        <f>IF(po_master[[#This Row],[Actual Delivery Date]]&gt;po_master[[#This Row],[Promised Delivey Date]], "Late Delivery", "OK")</f>
        <v>Late Delivery</v>
      </c>
      <c r="U249" t="str">
        <f>IF(COUNTIF(po_master[PO Number],po_master[[#This Row],[PO Number]])&gt;1, "Duplicate Invoice", "OK")</f>
        <v>OK</v>
      </c>
      <c r="V249" s="5">
        <f>IF(po_master[[#This Row],[Missing Approval]]="Missing Approval", 1, 0)</f>
        <v>0</v>
      </c>
      <c r="W249" s="5">
        <f>IF(po_master[[#This Row],[GR Receipt Status]]="No GR - Not Received", 1, 0)</f>
        <v>0</v>
      </c>
      <c r="X249" s="5">
        <f>IF(po_master[[#This Row],[No invoice]]="No Invoice", 1, 0)</f>
        <v>0</v>
      </c>
      <c r="Y249" s="5">
        <f>IF(po_master[[#This Row],[Date Check]]="Invalid Date", 1, 0)</f>
        <v>0</v>
      </c>
      <c r="Z249" s="5">
        <f>IF(po_master[[#This Row],[Qty Variance Flag]]="Qty Variance", 1, 0)</f>
        <v>0</v>
      </c>
      <c r="AA249" s="5">
        <f>IF(po_master[[#This Row],[Price Variance Flag]]="Price Variance", 1, 0)</f>
        <v>0</v>
      </c>
      <c r="AB249" s="5">
        <f>IF(po_master[[#This Row],[Late Delivery Flag]]="Late Delivery", 1, 0)</f>
        <v>1</v>
      </c>
      <c r="AC249" s="5">
        <f>IF(po_master[[#This Row],[Duplicate Invoice Flag]]="Duplicate Invoice", 1, 0)</f>
        <v>0</v>
      </c>
      <c r="AD249" s="5" t="str">
        <f>TEXT(po_master[[#This Row],[Order Date]],"YYYY-MM")</f>
        <v>2026-05</v>
      </c>
    </row>
    <row r="250" spans="1:30" x14ac:dyDescent="0.25">
      <c r="A250" t="s">
        <v>220</v>
      </c>
      <c r="B250" t="s">
        <v>1484</v>
      </c>
      <c r="C250" s="1">
        <v>46054</v>
      </c>
      <c r="D250">
        <v>220</v>
      </c>
      <c r="E250">
        <v>73.95</v>
      </c>
      <c r="F250" t="s">
        <v>1467</v>
      </c>
      <c r="G250" s="1">
        <v>46072</v>
      </c>
      <c r="H250">
        <v>220</v>
      </c>
      <c r="I250" s="1">
        <v>46070</v>
      </c>
      <c r="J250" t="s">
        <v>919</v>
      </c>
      <c r="K250">
        <v>220</v>
      </c>
      <c r="L250">
        <v>73.95</v>
      </c>
      <c r="M250" s="1">
        <v>46074</v>
      </c>
      <c r="N250" t="str">
        <f>IF(po_master[[#This Row],[Approved By]]="", "Missing Approval", "OK")</f>
        <v>OK</v>
      </c>
      <c r="O250" t="str">
        <f>IF(ISBLANK(po_master[[#This Row],[GR Quantity]]), "No GR - Not received", "OK")</f>
        <v>OK</v>
      </c>
      <c r="P250" t="str">
        <f>IF(po_master[[#This Row],[Promised Delivey Date]]&lt;po_master[[#This Row],[Order Date]], "Invalid", "OK")</f>
        <v>OK</v>
      </c>
      <c r="Q250" t="str">
        <f>IF(ISBLANK(po_master[[#This Row],[Invoice Number]]), "No Invoice", "OK")</f>
        <v>OK</v>
      </c>
      <c r="R250" t="str">
        <f>IF(AND(NOT(ISBLANK(po_master[[#This Row],[GR Quantity]])), po_master[[#This Row],[GR Quantity]]&lt;&gt;po_master[[#This Row],[PO Quantity]]), "Qty Variance", "OK")</f>
        <v>OK</v>
      </c>
      <c r="S250" t="str">
        <f>IF(po_master[[#This Row],[Invoice Unit Price]]&gt;po_master[[#This Row],[PO Unit Price]]*1.01, "Price Variance", "OK")</f>
        <v>OK</v>
      </c>
      <c r="T250" t="str">
        <f>IF(po_master[[#This Row],[Actual Delivery Date]]&gt;po_master[[#This Row],[Promised Delivey Date]], "Late Delivery", "OK")</f>
        <v>OK</v>
      </c>
      <c r="U250" t="str">
        <f>IF(COUNTIF(po_master[PO Number],po_master[[#This Row],[PO Number]])&gt;1, "Duplicate Invoice", "OK")</f>
        <v>OK</v>
      </c>
      <c r="V250" s="5">
        <f>IF(po_master[[#This Row],[Missing Approval]]="Missing Approval", 1, 0)</f>
        <v>0</v>
      </c>
      <c r="W250" s="5">
        <f>IF(po_master[[#This Row],[GR Receipt Status]]="No GR - Not Received", 1, 0)</f>
        <v>0</v>
      </c>
      <c r="X250" s="5">
        <f>IF(po_master[[#This Row],[No invoice]]="No Invoice", 1, 0)</f>
        <v>0</v>
      </c>
      <c r="Y250" s="5">
        <f>IF(po_master[[#This Row],[Date Check]]="Invalid Date", 1, 0)</f>
        <v>0</v>
      </c>
      <c r="Z250" s="5">
        <f>IF(po_master[[#This Row],[Qty Variance Flag]]="Qty Variance", 1, 0)</f>
        <v>0</v>
      </c>
      <c r="AA250" s="5">
        <f>IF(po_master[[#This Row],[Price Variance Flag]]="Price Variance", 1, 0)</f>
        <v>0</v>
      </c>
      <c r="AB250" s="5">
        <f>IF(po_master[[#This Row],[Late Delivery Flag]]="Late Delivery", 1, 0)</f>
        <v>0</v>
      </c>
      <c r="AC250" s="5">
        <f>IF(po_master[[#This Row],[Duplicate Invoice Flag]]="Duplicate Invoice", 1, 0)</f>
        <v>0</v>
      </c>
      <c r="AD250" s="5" t="str">
        <f>TEXT(po_master[[#This Row],[Order Date]],"YYYY-MM")</f>
        <v>2026-02</v>
      </c>
    </row>
    <row r="251" spans="1:30" x14ac:dyDescent="0.25">
      <c r="A251" t="s">
        <v>221</v>
      </c>
      <c r="B251" t="s">
        <v>1477</v>
      </c>
      <c r="C251" s="1">
        <v>46036</v>
      </c>
      <c r="D251">
        <v>157</v>
      </c>
      <c r="E251">
        <v>122.08</v>
      </c>
      <c r="F251" t="s">
        <v>1451</v>
      </c>
      <c r="G251" s="1">
        <v>46044</v>
      </c>
      <c r="H251">
        <v>157</v>
      </c>
      <c r="I251" s="1">
        <v>46046</v>
      </c>
      <c r="J251" t="s">
        <v>920</v>
      </c>
      <c r="K251">
        <v>157</v>
      </c>
      <c r="L251">
        <v>122.08</v>
      </c>
      <c r="M251" s="1">
        <v>46050</v>
      </c>
      <c r="N251" t="str">
        <f>IF(po_master[[#This Row],[Approved By]]="", "Missing Approval", "OK")</f>
        <v>OK</v>
      </c>
      <c r="O251" t="str">
        <f>IF(ISBLANK(po_master[[#This Row],[GR Quantity]]), "No GR - Not received", "OK")</f>
        <v>OK</v>
      </c>
      <c r="P251" t="str">
        <f>IF(po_master[[#This Row],[Promised Delivey Date]]&lt;po_master[[#This Row],[Order Date]], "Invalid", "OK")</f>
        <v>OK</v>
      </c>
      <c r="Q251" t="str">
        <f>IF(ISBLANK(po_master[[#This Row],[Invoice Number]]), "No Invoice", "OK")</f>
        <v>OK</v>
      </c>
      <c r="R251" t="str">
        <f>IF(AND(NOT(ISBLANK(po_master[[#This Row],[GR Quantity]])), po_master[[#This Row],[GR Quantity]]&lt;&gt;po_master[[#This Row],[PO Quantity]]), "Qty Variance", "OK")</f>
        <v>OK</v>
      </c>
      <c r="S251" t="str">
        <f>IF(po_master[[#This Row],[Invoice Unit Price]]&gt;po_master[[#This Row],[PO Unit Price]]*1.01, "Price Variance", "OK")</f>
        <v>OK</v>
      </c>
      <c r="T251" t="str">
        <f>IF(po_master[[#This Row],[Actual Delivery Date]]&gt;po_master[[#This Row],[Promised Delivey Date]], "Late Delivery", "OK")</f>
        <v>Late Delivery</v>
      </c>
      <c r="U251" t="str">
        <f>IF(COUNTIF(po_master[PO Number],po_master[[#This Row],[PO Number]])&gt;1, "Duplicate Invoice", "OK")</f>
        <v>OK</v>
      </c>
      <c r="V251" s="5">
        <f>IF(po_master[[#This Row],[Missing Approval]]="Missing Approval", 1, 0)</f>
        <v>0</v>
      </c>
      <c r="W251" s="5">
        <f>IF(po_master[[#This Row],[GR Receipt Status]]="No GR - Not Received", 1, 0)</f>
        <v>0</v>
      </c>
      <c r="X251" s="5">
        <f>IF(po_master[[#This Row],[No invoice]]="No Invoice", 1, 0)</f>
        <v>0</v>
      </c>
      <c r="Y251" s="5">
        <f>IF(po_master[[#This Row],[Date Check]]="Invalid Date", 1, 0)</f>
        <v>0</v>
      </c>
      <c r="Z251" s="5">
        <f>IF(po_master[[#This Row],[Qty Variance Flag]]="Qty Variance", 1, 0)</f>
        <v>0</v>
      </c>
      <c r="AA251" s="5">
        <f>IF(po_master[[#This Row],[Price Variance Flag]]="Price Variance", 1, 0)</f>
        <v>0</v>
      </c>
      <c r="AB251" s="5">
        <f>IF(po_master[[#This Row],[Late Delivery Flag]]="Late Delivery", 1, 0)</f>
        <v>1</v>
      </c>
      <c r="AC251" s="5">
        <f>IF(po_master[[#This Row],[Duplicate Invoice Flag]]="Duplicate Invoice", 1, 0)</f>
        <v>0</v>
      </c>
      <c r="AD251" s="5" t="str">
        <f>TEXT(po_master[[#This Row],[Order Date]],"YYYY-MM")</f>
        <v>2026-01</v>
      </c>
    </row>
    <row r="252" spans="1:30" x14ac:dyDescent="0.25">
      <c r="A252" t="s">
        <v>222</v>
      </c>
      <c r="B252" t="s">
        <v>1493</v>
      </c>
      <c r="C252" s="1">
        <v>46152</v>
      </c>
      <c r="D252">
        <v>118</v>
      </c>
      <c r="E252">
        <v>35.17</v>
      </c>
      <c r="F252" t="s">
        <v>1487</v>
      </c>
      <c r="G252" s="1">
        <v>46164</v>
      </c>
      <c r="H252">
        <v>118</v>
      </c>
      <c r="I252" s="1">
        <v>46163</v>
      </c>
      <c r="J252" t="s">
        <v>921</v>
      </c>
      <c r="K252">
        <v>118</v>
      </c>
      <c r="L252">
        <v>35.17</v>
      </c>
      <c r="M252" s="1">
        <v>46166</v>
      </c>
      <c r="N252" t="str">
        <f>IF(po_master[[#This Row],[Approved By]]="", "Missing Approval", "OK")</f>
        <v>OK</v>
      </c>
      <c r="O252" t="str">
        <f>IF(ISBLANK(po_master[[#This Row],[GR Quantity]]), "No GR - Not received", "OK")</f>
        <v>OK</v>
      </c>
      <c r="P252" t="str">
        <f>IF(po_master[[#This Row],[Promised Delivey Date]]&lt;po_master[[#This Row],[Order Date]], "Invalid", "OK")</f>
        <v>OK</v>
      </c>
      <c r="Q252" t="str">
        <f>IF(ISBLANK(po_master[[#This Row],[Invoice Number]]), "No Invoice", "OK")</f>
        <v>OK</v>
      </c>
      <c r="R252" t="str">
        <f>IF(AND(NOT(ISBLANK(po_master[[#This Row],[GR Quantity]])), po_master[[#This Row],[GR Quantity]]&lt;&gt;po_master[[#This Row],[PO Quantity]]), "Qty Variance", "OK")</f>
        <v>OK</v>
      </c>
      <c r="S252" t="str">
        <f>IF(po_master[[#This Row],[Invoice Unit Price]]&gt;po_master[[#This Row],[PO Unit Price]]*1.01, "Price Variance", "OK")</f>
        <v>OK</v>
      </c>
      <c r="T252" t="str">
        <f>IF(po_master[[#This Row],[Actual Delivery Date]]&gt;po_master[[#This Row],[Promised Delivey Date]], "Late Delivery", "OK")</f>
        <v>OK</v>
      </c>
      <c r="U252" t="str">
        <f>IF(COUNTIF(po_master[PO Number],po_master[[#This Row],[PO Number]])&gt;1, "Duplicate Invoice", "OK")</f>
        <v>Duplicate Invoice</v>
      </c>
      <c r="V252" s="5">
        <f>IF(po_master[[#This Row],[Missing Approval]]="Missing Approval", 1, 0)</f>
        <v>0</v>
      </c>
      <c r="W252" s="5">
        <f>IF(po_master[[#This Row],[GR Receipt Status]]="No GR - Not Received", 1, 0)</f>
        <v>0</v>
      </c>
      <c r="X252" s="5">
        <f>IF(po_master[[#This Row],[No invoice]]="No Invoice", 1, 0)</f>
        <v>0</v>
      </c>
      <c r="Y252" s="5">
        <f>IF(po_master[[#This Row],[Date Check]]="Invalid Date", 1, 0)</f>
        <v>0</v>
      </c>
      <c r="Z252" s="5">
        <f>IF(po_master[[#This Row],[Qty Variance Flag]]="Qty Variance", 1, 0)</f>
        <v>0</v>
      </c>
      <c r="AA252" s="5">
        <f>IF(po_master[[#This Row],[Price Variance Flag]]="Price Variance", 1, 0)</f>
        <v>0</v>
      </c>
      <c r="AB252" s="5">
        <f>IF(po_master[[#This Row],[Late Delivery Flag]]="Late Delivery", 1, 0)</f>
        <v>0</v>
      </c>
      <c r="AC252" s="5">
        <f>IF(po_master[[#This Row],[Duplicate Invoice Flag]]="Duplicate Invoice", 1, 0)</f>
        <v>1</v>
      </c>
      <c r="AD252" s="5" t="str">
        <f>TEXT(po_master[[#This Row],[Order Date]],"YYYY-MM")</f>
        <v>2026-05</v>
      </c>
    </row>
    <row r="253" spans="1:30" x14ac:dyDescent="0.25">
      <c r="A253" t="s">
        <v>222</v>
      </c>
      <c r="B253" t="s">
        <v>1493</v>
      </c>
      <c r="C253" s="1">
        <v>46152</v>
      </c>
      <c r="D253">
        <v>118</v>
      </c>
      <c r="E253">
        <v>35.17</v>
      </c>
      <c r="F253" t="s">
        <v>1487</v>
      </c>
      <c r="G253" s="1">
        <v>46164</v>
      </c>
      <c r="H253">
        <v>118</v>
      </c>
      <c r="I253" s="1">
        <v>46163</v>
      </c>
      <c r="J253" t="s">
        <v>922</v>
      </c>
      <c r="K253">
        <v>118</v>
      </c>
      <c r="L253">
        <v>35.17</v>
      </c>
      <c r="M253" s="1">
        <v>46170</v>
      </c>
      <c r="N253" t="str">
        <f>IF(po_master[[#This Row],[Approved By]]="", "Missing Approval", "OK")</f>
        <v>OK</v>
      </c>
      <c r="O253" t="str">
        <f>IF(ISBLANK(po_master[[#This Row],[GR Quantity]]), "No GR - Not received", "OK")</f>
        <v>OK</v>
      </c>
      <c r="P253" t="str">
        <f>IF(po_master[[#This Row],[Promised Delivey Date]]&lt;po_master[[#This Row],[Order Date]], "Invalid", "OK")</f>
        <v>OK</v>
      </c>
      <c r="Q253" t="str">
        <f>IF(ISBLANK(po_master[[#This Row],[Invoice Number]]), "No Invoice", "OK")</f>
        <v>OK</v>
      </c>
      <c r="R253" t="str">
        <f>IF(AND(NOT(ISBLANK(po_master[[#This Row],[GR Quantity]])), po_master[[#This Row],[GR Quantity]]&lt;&gt;po_master[[#This Row],[PO Quantity]]), "Qty Variance", "OK")</f>
        <v>OK</v>
      </c>
      <c r="S253" t="str">
        <f>IF(po_master[[#This Row],[Invoice Unit Price]]&gt;po_master[[#This Row],[PO Unit Price]]*1.01, "Price Variance", "OK")</f>
        <v>OK</v>
      </c>
      <c r="T253" t="str">
        <f>IF(po_master[[#This Row],[Actual Delivery Date]]&gt;po_master[[#This Row],[Promised Delivey Date]], "Late Delivery", "OK")</f>
        <v>OK</v>
      </c>
      <c r="U253" t="str">
        <f>IF(COUNTIF(po_master[PO Number],po_master[[#This Row],[PO Number]])&gt;1, "Duplicate Invoice", "OK")</f>
        <v>Duplicate Invoice</v>
      </c>
      <c r="V253" s="5">
        <f>IF(po_master[[#This Row],[Missing Approval]]="Missing Approval", 1, 0)</f>
        <v>0</v>
      </c>
      <c r="W253" s="5">
        <f>IF(po_master[[#This Row],[GR Receipt Status]]="No GR - Not Received", 1, 0)</f>
        <v>0</v>
      </c>
      <c r="X253" s="5">
        <f>IF(po_master[[#This Row],[No invoice]]="No Invoice", 1, 0)</f>
        <v>0</v>
      </c>
      <c r="Y253" s="5">
        <f>IF(po_master[[#This Row],[Date Check]]="Invalid Date", 1, 0)</f>
        <v>0</v>
      </c>
      <c r="Z253" s="5">
        <f>IF(po_master[[#This Row],[Qty Variance Flag]]="Qty Variance", 1, 0)</f>
        <v>0</v>
      </c>
      <c r="AA253" s="5">
        <f>IF(po_master[[#This Row],[Price Variance Flag]]="Price Variance", 1, 0)</f>
        <v>0</v>
      </c>
      <c r="AB253" s="5">
        <f>IF(po_master[[#This Row],[Late Delivery Flag]]="Late Delivery", 1, 0)</f>
        <v>0</v>
      </c>
      <c r="AC253" s="5">
        <f>IF(po_master[[#This Row],[Duplicate Invoice Flag]]="Duplicate Invoice", 1, 0)</f>
        <v>1</v>
      </c>
      <c r="AD253" s="5" t="str">
        <f>TEXT(po_master[[#This Row],[Order Date]],"YYYY-MM")</f>
        <v>2026-05</v>
      </c>
    </row>
    <row r="254" spans="1:30" x14ac:dyDescent="0.25">
      <c r="A254" t="s">
        <v>223</v>
      </c>
      <c r="B254" t="s">
        <v>1450</v>
      </c>
      <c r="C254" s="1">
        <v>46112</v>
      </c>
      <c r="D254">
        <v>442</v>
      </c>
      <c r="E254">
        <v>113.47</v>
      </c>
      <c r="F254" t="s">
        <v>1483</v>
      </c>
      <c r="G254" s="1">
        <v>46125</v>
      </c>
      <c r="H254">
        <v>442</v>
      </c>
      <c r="I254" s="1">
        <v>46124</v>
      </c>
      <c r="J254" t="s">
        <v>923</v>
      </c>
      <c r="K254">
        <v>442</v>
      </c>
      <c r="L254">
        <v>113.47</v>
      </c>
      <c r="M254" s="1">
        <v>46135</v>
      </c>
      <c r="N254" t="str">
        <f>IF(po_master[[#This Row],[Approved By]]="", "Missing Approval", "OK")</f>
        <v>OK</v>
      </c>
      <c r="O254" t="str">
        <f>IF(ISBLANK(po_master[[#This Row],[GR Quantity]]), "No GR - Not received", "OK")</f>
        <v>OK</v>
      </c>
      <c r="P254" t="str">
        <f>IF(po_master[[#This Row],[Promised Delivey Date]]&lt;po_master[[#This Row],[Order Date]], "Invalid", "OK")</f>
        <v>OK</v>
      </c>
      <c r="Q254" t="str">
        <f>IF(ISBLANK(po_master[[#This Row],[Invoice Number]]), "No Invoice", "OK")</f>
        <v>OK</v>
      </c>
      <c r="R254" t="str">
        <f>IF(AND(NOT(ISBLANK(po_master[[#This Row],[GR Quantity]])), po_master[[#This Row],[GR Quantity]]&lt;&gt;po_master[[#This Row],[PO Quantity]]), "Qty Variance", "OK")</f>
        <v>OK</v>
      </c>
      <c r="S254" t="str">
        <f>IF(po_master[[#This Row],[Invoice Unit Price]]&gt;po_master[[#This Row],[PO Unit Price]]*1.01, "Price Variance", "OK")</f>
        <v>OK</v>
      </c>
      <c r="T254" t="str">
        <f>IF(po_master[[#This Row],[Actual Delivery Date]]&gt;po_master[[#This Row],[Promised Delivey Date]], "Late Delivery", "OK")</f>
        <v>OK</v>
      </c>
      <c r="U254" t="str">
        <f>IF(COUNTIF(po_master[PO Number],po_master[[#This Row],[PO Number]])&gt;1, "Duplicate Invoice", "OK")</f>
        <v>OK</v>
      </c>
      <c r="V254" s="5">
        <f>IF(po_master[[#This Row],[Missing Approval]]="Missing Approval", 1, 0)</f>
        <v>0</v>
      </c>
      <c r="W254" s="5">
        <f>IF(po_master[[#This Row],[GR Receipt Status]]="No GR - Not Received", 1, 0)</f>
        <v>0</v>
      </c>
      <c r="X254" s="5">
        <f>IF(po_master[[#This Row],[No invoice]]="No Invoice", 1, 0)</f>
        <v>0</v>
      </c>
      <c r="Y254" s="5">
        <f>IF(po_master[[#This Row],[Date Check]]="Invalid Date", 1, 0)</f>
        <v>0</v>
      </c>
      <c r="Z254" s="5">
        <f>IF(po_master[[#This Row],[Qty Variance Flag]]="Qty Variance", 1, 0)</f>
        <v>0</v>
      </c>
      <c r="AA254" s="5">
        <f>IF(po_master[[#This Row],[Price Variance Flag]]="Price Variance", 1, 0)</f>
        <v>0</v>
      </c>
      <c r="AB254" s="5">
        <f>IF(po_master[[#This Row],[Late Delivery Flag]]="Late Delivery", 1, 0)</f>
        <v>0</v>
      </c>
      <c r="AC254" s="5">
        <f>IF(po_master[[#This Row],[Duplicate Invoice Flag]]="Duplicate Invoice", 1, 0)</f>
        <v>0</v>
      </c>
      <c r="AD254" s="5" t="str">
        <f>TEXT(po_master[[#This Row],[Order Date]],"YYYY-MM")</f>
        <v>2026-03</v>
      </c>
    </row>
    <row r="255" spans="1:30" x14ac:dyDescent="0.25">
      <c r="A255" t="s">
        <v>224</v>
      </c>
      <c r="B255" t="s">
        <v>1493</v>
      </c>
      <c r="C255" s="1">
        <v>46080</v>
      </c>
      <c r="D255">
        <v>423</v>
      </c>
      <c r="E255">
        <v>88.68</v>
      </c>
      <c r="F255" t="s">
        <v>1442</v>
      </c>
      <c r="G255" s="1">
        <v>46085</v>
      </c>
      <c r="H255">
        <v>423</v>
      </c>
      <c r="I255" s="1">
        <v>46085</v>
      </c>
      <c r="J255" t="s">
        <v>924</v>
      </c>
      <c r="K255">
        <v>423</v>
      </c>
      <c r="L255">
        <v>88.68</v>
      </c>
      <c r="M255" s="1">
        <v>46090</v>
      </c>
      <c r="N255" t="str">
        <f>IF(po_master[[#This Row],[Approved By]]="", "Missing Approval", "OK")</f>
        <v>OK</v>
      </c>
      <c r="O255" t="str">
        <f>IF(ISBLANK(po_master[[#This Row],[GR Quantity]]), "No GR - Not received", "OK")</f>
        <v>OK</v>
      </c>
      <c r="P255" t="str">
        <f>IF(po_master[[#This Row],[Promised Delivey Date]]&lt;po_master[[#This Row],[Order Date]], "Invalid", "OK")</f>
        <v>OK</v>
      </c>
      <c r="Q255" t="str">
        <f>IF(ISBLANK(po_master[[#This Row],[Invoice Number]]), "No Invoice", "OK")</f>
        <v>OK</v>
      </c>
      <c r="R255" t="str">
        <f>IF(AND(NOT(ISBLANK(po_master[[#This Row],[GR Quantity]])), po_master[[#This Row],[GR Quantity]]&lt;&gt;po_master[[#This Row],[PO Quantity]]), "Qty Variance", "OK")</f>
        <v>OK</v>
      </c>
      <c r="S255" t="str">
        <f>IF(po_master[[#This Row],[Invoice Unit Price]]&gt;po_master[[#This Row],[PO Unit Price]]*1.01, "Price Variance", "OK")</f>
        <v>OK</v>
      </c>
      <c r="T255" t="str">
        <f>IF(po_master[[#This Row],[Actual Delivery Date]]&gt;po_master[[#This Row],[Promised Delivey Date]], "Late Delivery", "OK")</f>
        <v>OK</v>
      </c>
      <c r="U255" t="str">
        <f>IF(COUNTIF(po_master[PO Number],po_master[[#This Row],[PO Number]])&gt;1, "Duplicate Invoice", "OK")</f>
        <v>OK</v>
      </c>
      <c r="V255" s="5">
        <f>IF(po_master[[#This Row],[Missing Approval]]="Missing Approval", 1, 0)</f>
        <v>0</v>
      </c>
      <c r="W255" s="5">
        <f>IF(po_master[[#This Row],[GR Receipt Status]]="No GR - Not Received", 1, 0)</f>
        <v>0</v>
      </c>
      <c r="X255" s="5">
        <f>IF(po_master[[#This Row],[No invoice]]="No Invoice", 1, 0)</f>
        <v>0</v>
      </c>
      <c r="Y255" s="5">
        <f>IF(po_master[[#This Row],[Date Check]]="Invalid Date", 1, 0)</f>
        <v>0</v>
      </c>
      <c r="Z255" s="5">
        <f>IF(po_master[[#This Row],[Qty Variance Flag]]="Qty Variance", 1, 0)</f>
        <v>0</v>
      </c>
      <c r="AA255" s="5">
        <f>IF(po_master[[#This Row],[Price Variance Flag]]="Price Variance", 1, 0)</f>
        <v>0</v>
      </c>
      <c r="AB255" s="5">
        <f>IF(po_master[[#This Row],[Late Delivery Flag]]="Late Delivery", 1, 0)</f>
        <v>0</v>
      </c>
      <c r="AC255" s="5">
        <f>IF(po_master[[#This Row],[Duplicate Invoice Flag]]="Duplicate Invoice", 1, 0)</f>
        <v>0</v>
      </c>
      <c r="AD255" s="5" t="str">
        <f>TEXT(po_master[[#This Row],[Order Date]],"YYYY-MM")</f>
        <v>2026-02</v>
      </c>
    </row>
    <row r="256" spans="1:30" x14ac:dyDescent="0.25">
      <c r="A256" t="s">
        <v>225</v>
      </c>
      <c r="B256" t="s">
        <v>1468</v>
      </c>
      <c r="C256" s="1">
        <v>46091</v>
      </c>
      <c r="D256">
        <v>24</v>
      </c>
      <c r="E256">
        <v>40.18</v>
      </c>
      <c r="F256" t="s">
        <v>1499</v>
      </c>
      <c r="G256" s="1">
        <v>46105</v>
      </c>
      <c r="H256">
        <v>24</v>
      </c>
      <c r="I256" s="1">
        <v>46104</v>
      </c>
      <c r="J256" t="s">
        <v>925</v>
      </c>
      <c r="K256">
        <v>24</v>
      </c>
      <c r="L256">
        <v>40.18</v>
      </c>
      <c r="M256" s="1">
        <v>46111</v>
      </c>
      <c r="N256" t="str">
        <f>IF(po_master[[#This Row],[Approved By]]="", "Missing Approval", "OK")</f>
        <v>OK</v>
      </c>
      <c r="O256" t="str">
        <f>IF(ISBLANK(po_master[[#This Row],[GR Quantity]]), "No GR - Not received", "OK")</f>
        <v>OK</v>
      </c>
      <c r="P256" t="str">
        <f>IF(po_master[[#This Row],[Promised Delivey Date]]&lt;po_master[[#This Row],[Order Date]], "Invalid", "OK")</f>
        <v>OK</v>
      </c>
      <c r="Q256" t="str">
        <f>IF(ISBLANK(po_master[[#This Row],[Invoice Number]]), "No Invoice", "OK")</f>
        <v>OK</v>
      </c>
      <c r="R256" t="str">
        <f>IF(AND(NOT(ISBLANK(po_master[[#This Row],[GR Quantity]])), po_master[[#This Row],[GR Quantity]]&lt;&gt;po_master[[#This Row],[PO Quantity]]), "Qty Variance", "OK")</f>
        <v>OK</v>
      </c>
      <c r="S256" t="str">
        <f>IF(po_master[[#This Row],[Invoice Unit Price]]&gt;po_master[[#This Row],[PO Unit Price]]*1.01, "Price Variance", "OK")</f>
        <v>OK</v>
      </c>
      <c r="T256" t="str">
        <f>IF(po_master[[#This Row],[Actual Delivery Date]]&gt;po_master[[#This Row],[Promised Delivey Date]], "Late Delivery", "OK")</f>
        <v>OK</v>
      </c>
      <c r="U256" t="str">
        <f>IF(COUNTIF(po_master[PO Number],po_master[[#This Row],[PO Number]])&gt;1, "Duplicate Invoice", "OK")</f>
        <v>OK</v>
      </c>
      <c r="V256" s="5">
        <f>IF(po_master[[#This Row],[Missing Approval]]="Missing Approval", 1, 0)</f>
        <v>0</v>
      </c>
      <c r="W256" s="5">
        <f>IF(po_master[[#This Row],[GR Receipt Status]]="No GR - Not Received", 1, 0)</f>
        <v>0</v>
      </c>
      <c r="X256" s="5">
        <f>IF(po_master[[#This Row],[No invoice]]="No Invoice", 1, 0)</f>
        <v>0</v>
      </c>
      <c r="Y256" s="5">
        <f>IF(po_master[[#This Row],[Date Check]]="Invalid Date", 1, 0)</f>
        <v>0</v>
      </c>
      <c r="Z256" s="5">
        <f>IF(po_master[[#This Row],[Qty Variance Flag]]="Qty Variance", 1, 0)</f>
        <v>0</v>
      </c>
      <c r="AA256" s="5">
        <f>IF(po_master[[#This Row],[Price Variance Flag]]="Price Variance", 1, 0)</f>
        <v>0</v>
      </c>
      <c r="AB256" s="5">
        <f>IF(po_master[[#This Row],[Late Delivery Flag]]="Late Delivery", 1, 0)</f>
        <v>0</v>
      </c>
      <c r="AC256" s="5">
        <f>IF(po_master[[#This Row],[Duplicate Invoice Flag]]="Duplicate Invoice", 1, 0)</f>
        <v>0</v>
      </c>
      <c r="AD256" s="5" t="str">
        <f>TEXT(po_master[[#This Row],[Order Date]],"YYYY-MM")</f>
        <v>2026-03</v>
      </c>
    </row>
    <row r="257" spans="1:30" x14ac:dyDescent="0.25">
      <c r="A257" t="s">
        <v>226</v>
      </c>
      <c r="B257" t="s">
        <v>1492</v>
      </c>
      <c r="C257" s="1">
        <v>46059</v>
      </c>
      <c r="D257">
        <v>389</v>
      </c>
      <c r="E257">
        <v>128.47</v>
      </c>
      <c r="F257" t="s">
        <v>1448</v>
      </c>
      <c r="G257" s="1">
        <v>46066</v>
      </c>
      <c r="H257">
        <v>389</v>
      </c>
      <c r="I257" s="1">
        <v>46068</v>
      </c>
      <c r="J257" t="s">
        <v>928</v>
      </c>
      <c r="K257">
        <v>389</v>
      </c>
      <c r="L257">
        <v>128.47</v>
      </c>
      <c r="M257" s="1">
        <v>46076</v>
      </c>
      <c r="N257" t="str">
        <f>IF(po_master[[#This Row],[Approved By]]="", "Missing Approval", "OK")</f>
        <v>OK</v>
      </c>
      <c r="O257" t="str">
        <f>IF(ISBLANK(po_master[[#This Row],[GR Quantity]]), "No GR - Not received", "OK")</f>
        <v>OK</v>
      </c>
      <c r="P257" t="str">
        <f>IF(po_master[[#This Row],[Promised Delivey Date]]&lt;po_master[[#This Row],[Order Date]], "Invalid", "OK")</f>
        <v>OK</v>
      </c>
      <c r="Q257" t="str">
        <f>IF(ISBLANK(po_master[[#This Row],[Invoice Number]]), "No Invoice", "OK")</f>
        <v>OK</v>
      </c>
      <c r="R257" t="str">
        <f>IF(AND(NOT(ISBLANK(po_master[[#This Row],[GR Quantity]])), po_master[[#This Row],[GR Quantity]]&lt;&gt;po_master[[#This Row],[PO Quantity]]), "Qty Variance", "OK")</f>
        <v>OK</v>
      </c>
      <c r="S257" t="str">
        <f>IF(po_master[[#This Row],[Invoice Unit Price]]&gt;po_master[[#This Row],[PO Unit Price]]*1.01, "Price Variance", "OK")</f>
        <v>OK</v>
      </c>
      <c r="T257" t="str">
        <f>IF(po_master[[#This Row],[Actual Delivery Date]]&gt;po_master[[#This Row],[Promised Delivey Date]], "Late Delivery", "OK")</f>
        <v>Late Delivery</v>
      </c>
      <c r="U257" t="str">
        <f>IF(COUNTIF(po_master[PO Number],po_master[[#This Row],[PO Number]])&gt;1, "Duplicate Invoice", "OK")</f>
        <v>OK</v>
      </c>
      <c r="V257" s="5">
        <f>IF(po_master[[#This Row],[Missing Approval]]="Missing Approval", 1, 0)</f>
        <v>0</v>
      </c>
      <c r="W257" s="5">
        <f>IF(po_master[[#This Row],[GR Receipt Status]]="No GR - Not Received", 1, 0)</f>
        <v>0</v>
      </c>
      <c r="X257" s="5">
        <f>IF(po_master[[#This Row],[No invoice]]="No Invoice", 1, 0)</f>
        <v>0</v>
      </c>
      <c r="Y257" s="5">
        <f>IF(po_master[[#This Row],[Date Check]]="Invalid Date", 1, 0)</f>
        <v>0</v>
      </c>
      <c r="Z257" s="5">
        <f>IF(po_master[[#This Row],[Qty Variance Flag]]="Qty Variance", 1, 0)</f>
        <v>0</v>
      </c>
      <c r="AA257" s="5">
        <f>IF(po_master[[#This Row],[Price Variance Flag]]="Price Variance", 1, 0)</f>
        <v>0</v>
      </c>
      <c r="AB257" s="5">
        <f>IF(po_master[[#This Row],[Late Delivery Flag]]="Late Delivery", 1, 0)</f>
        <v>1</v>
      </c>
      <c r="AC257" s="5">
        <f>IF(po_master[[#This Row],[Duplicate Invoice Flag]]="Duplicate Invoice", 1, 0)</f>
        <v>0</v>
      </c>
      <c r="AD257" s="5" t="str">
        <f>TEXT(po_master[[#This Row],[Order Date]],"YYYY-MM")</f>
        <v>2026-02</v>
      </c>
    </row>
    <row r="258" spans="1:30" x14ac:dyDescent="0.25">
      <c r="A258" t="s">
        <v>227</v>
      </c>
      <c r="B258" t="s">
        <v>1465</v>
      </c>
      <c r="C258" s="1">
        <v>46158</v>
      </c>
      <c r="D258">
        <v>120</v>
      </c>
      <c r="E258">
        <v>78.36</v>
      </c>
      <c r="F258" t="s">
        <v>1469</v>
      </c>
      <c r="G258" s="1">
        <v>46173</v>
      </c>
      <c r="H258">
        <v>120</v>
      </c>
      <c r="I258" s="1">
        <v>46172</v>
      </c>
      <c r="J258" t="s">
        <v>929</v>
      </c>
      <c r="K258">
        <v>120</v>
      </c>
      <c r="L258">
        <v>78.36</v>
      </c>
      <c r="M258" s="1">
        <v>46181</v>
      </c>
      <c r="N258" t="str">
        <f>IF(po_master[[#This Row],[Approved By]]="", "Missing Approval", "OK")</f>
        <v>OK</v>
      </c>
      <c r="O258" t="str">
        <f>IF(ISBLANK(po_master[[#This Row],[GR Quantity]]), "No GR - Not received", "OK")</f>
        <v>OK</v>
      </c>
      <c r="P258" t="str">
        <f>IF(po_master[[#This Row],[Promised Delivey Date]]&lt;po_master[[#This Row],[Order Date]], "Invalid", "OK")</f>
        <v>OK</v>
      </c>
      <c r="Q258" t="str">
        <f>IF(ISBLANK(po_master[[#This Row],[Invoice Number]]), "No Invoice", "OK")</f>
        <v>OK</v>
      </c>
      <c r="R258" t="str">
        <f>IF(AND(NOT(ISBLANK(po_master[[#This Row],[GR Quantity]])), po_master[[#This Row],[GR Quantity]]&lt;&gt;po_master[[#This Row],[PO Quantity]]), "Qty Variance", "OK")</f>
        <v>OK</v>
      </c>
      <c r="S258" t="str">
        <f>IF(po_master[[#This Row],[Invoice Unit Price]]&gt;po_master[[#This Row],[PO Unit Price]]*1.01, "Price Variance", "OK")</f>
        <v>OK</v>
      </c>
      <c r="T258" t="str">
        <f>IF(po_master[[#This Row],[Actual Delivery Date]]&gt;po_master[[#This Row],[Promised Delivey Date]], "Late Delivery", "OK")</f>
        <v>OK</v>
      </c>
      <c r="U258" t="str">
        <f>IF(COUNTIF(po_master[PO Number],po_master[[#This Row],[PO Number]])&gt;1, "Duplicate Invoice", "OK")</f>
        <v>OK</v>
      </c>
      <c r="V258" s="5">
        <f>IF(po_master[[#This Row],[Missing Approval]]="Missing Approval", 1, 0)</f>
        <v>0</v>
      </c>
      <c r="W258" s="5">
        <f>IF(po_master[[#This Row],[GR Receipt Status]]="No GR - Not Received", 1, 0)</f>
        <v>0</v>
      </c>
      <c r="X258" s="5">
        <f>IF(po_master[[#This Row],[No invoice]]="No Invoice", 1, 0)</f>
        <v>0</v>
      </c>
      <c r="Y258" s="5">
        <f>IF(po_master[[#This Row],[Date Check]]="Invalid Date", 1, 0)</f>
        <v>0</v>
      </c>
      <c r="Z258" s="5">
        <f>IF(po_master[[#This Row],[Qty Variance Flag]]="Qty Variance", 1, 0)</f>
        <v>0</v>
      </c>
      <c r="AA258" s="5">
        <f>IF(po_master[[#This Row],[Price Variance Flag]]="Price Variance", 1, 0)</f>
        <v>0</v>
      </c>
      <c r="AB258" s="5">
        <f>IF(po_master[[#This Row],[Late Delivery Flag]]="Late Delivery", 1, 0)</f>
        <v>0</v>
      </c>
      <c r="AC258" s="5">
        <f>IF(po_master[[#This Row],[Duplicate Invoice Flag]]="Duplicate Invoice", 1, 0)</f>
        <v>0</v>
      </c>
      <c r="AD258" s="5" t="str">
        <f>TEXT(po_master[[#This Row],[Order Date]],"YYYY-MM")</f>
        <v>2026-05</v>
      </c>
    </row>
    <row r="259" spans="1:30" x14ac:dyDescent="0.25">
      <c r="A259" t="s">
        <v>228</v>
      </c>
      <c r="B259" t="s">
        <v>1460</v>
      </c>
      <c r="C259" s="1">
        <v>46117</v>
      </c>
      <c r="D259">
        <v>169</v>
      </c>
      <c r="E259">
        <v>145.71</v>
      </c>
      <c r="F259" t="s">
        <v>1456</v>
      </c>
      <c r="G259" s="1">
        <v>46124</v>
      </c>
      <c r="H259">
        <v>169</v>
      </c>
      <c r="I259" s="1">
        <v>46125</v>
      </c>
      <c r="J259" t="s">
        <v>930</v>
      </c>
      <c r="K259">
        <v>169</v>
      </c>
      <c r="L259">
        <v>154.32</v>
      </c>
      <c r="M259" s="1">
        <v>46125</v>
      </c>
      <c r="N259" t="str">
        <f>IF(po_master[[#This Row],[Approved By]]="", "Missing Approval", "OK")</f>
        <v>OK</v>
      </c>
      <c r="O259" t="str">
        <f>IF(ISBLANK(po_master[[#This Row],[GR Quantity]]), "No GR - Not received", "OK")</f>
        <v>OK</v>
      </c>
      <c r="P259" t="str">
        <f>IF(po_master[[#This Row],[Promised Delivey Date]]&lt;po_master[[#This Row],[Order Date]], "Invalid", "OK")</f>
        <v>OK</v>
      </c>
      <c r="Q259" t="str">
        <f>IF(ISBLANK(po_master[[#This Row],[Invoice Number]]), "No Invoice", "OK")</f>
        <v>OK</v>
      </c>
      <c r="R259" t="str">
        <f>IF(AND(NOT(ISBLANK(po_master[[#This Row],[GR Quantity]])), po_master[[#This Row],[GR Quantity]]&lt;&gt;po_master[[#This Row],[PO Quantity]]), "Qty Variance", "OK")</f>
        <v>OK</v>
      </c>
      <c r="S259" t="str">
        <f>IF(po_master[[#This Row],[Invoice Unit Price]]&gt;po_master[[#This Row],[PO Unit Price]]*1.01, "Price Variance", "OK")</f>
        <v>Price Variance</v>
      </c>
      <c r="T259" t="str">
        <f>IF(po_master[[#This Row],[Actual Delivery Date]]&gt;po_master[[#This Row],[Promised Delivey Date]], "Late Delivery", "OK")</f>
        <v>Late Delivery</v>
      </c>
      <c r="U259" t="str">
        <f>IF(COUNTIF(po_master[PO Number],po_master[[#This Row],[PO Number]])&gt;1, "Duplicate Invoice", "OK")</f>
        <v>OK</v>
      </c>
      <c r="V259" s="5">
        <f>IF(po_master[[#This Row],[Missing Approval]]="Missing Approval", 1, 0)</f>
        <v>0</v>
      </c>
      <c r="W259" s="5">
        <f>IF(po_master[[#This Row],[GR Receipt Status]]="No GR - Not Received", 1, 0)</f>
        <v>0</v>
      </c>
      <c r="X259" s="5">
        <f>IF(po_master[[#This Row],[No invoice]]="No Invoice", 1, 0)</f>
        <v>0</v>
      </c>
      <c r="Y259" s="5">
        <f>IF(po_master[[#This Row],[Date Check]]="Invalid Date", 1, 0)</f>
        <v>0</v>
      </c>
      <c r="Z259" s="5">
        <f>IF(po_master[[#This Row],[Qty Variance Flag]]="Qty Variance", 1, 0)</f>
        <v>0</v>
      </c>
      <c r="AA259" s="5">
        <f>IF(po_master[[#This Row],[Price Variance Flag]]="Price Variance", 1, 0)</f>
        <v>1</v>
      </c>
      <c r="AB259" s="5">
        <f>IF(po_master[[#This Row],[Late Delivery Flag]]="Late Delivery", 1, 0)</f>
        <v>1</v>
      </c>
      <c r="AC259" s="5">
        <f>IF(po_master[[#This Row],[Duplicate Invoice Flag]]="Duplicate Invoice", 1, 0)</f>
        <v>0</v>
      </c>
      <c r="AD259" s="5" t="str">
        <f>TEXT(po_master[[#This Row],[Order Date]],"YYYY-MM")</f>
        <v>2026-04</v>
      </c>
    </row>
    <row r="260" spans="1:30" x14ac:dyDescent="0.25">
      <c r="A260" t="s">
        <v>229</v>
      </c>
      <c r="B260" t="s">
        <v>1475</v>
      </c>
      <c r="C260" s="1">
        <v>46062</v>
      </c>
      <c r="D260">
        <v>90</v>
      </c>
      <c r="E260">
        <v>152.11000000000001</v>
      </c>
      <c r="F260" t="s">
        <v>1462</v>
      </c>
      <c r="G260" s="1">
        <v>46069</v>
      </c>
      <c r="H260">
        <v>90</v>
      </c>
      <c r="I260" s="1">
        <v>46071</v>
      </c>
      <c r="J260" t="s">
        <v>931</v>
      </c>
      <c r="K260">
        <v>90</v>
      </c>
      <c r="L260">
        <v>152.11000000000001</v>
      </c>
      <c r="M260" s="1">
        <v>46071</v>
      </c>
      <c r="N260" t="str">
        <f>IF(po_master[[#This Row],[Approved By]]="", "Missing Approval", "OK")</f>
        <v>OK</v>
      </c>
      <c r="O260" t="str">
        <f>IF(ISBLANK(po_master[[#This Row],[GR Quantity]]), "No GR - Not received", "OK")</f>
        <v>OK</v>
      </c>
      <c r="P260" t="str">
        <f>IF(po_master[[#This Row],[Promised Delivey Date]]&lt;po_master[[#This Row],[Order Date]], "Invalid", "OK")</f>
        <v>OK</v>
      </c>
      <c r="Q260" t="str">
        <f>IF(ISBLANK(po_master[[#This Row],[Invoice Number]]), "No Invoice", "OK")</f>
        <v>OK</v>
      </c>
      <c r="R260" t="str">
        <f>IF(AND(NOT(ISBLANK(po_master[[#This Row],[GR Quantity]])), po_master[[#This Row],[GR Quantity]]&lt;&gt;po_master[[#This Row],[PO Quantity]]), "Qty Variance", "OK")</f>
        <v>OK</v>
      </c>
      <c r="S260" t="str">
        <f>IF(po_master[[#This Row],[Invoice Unit Price]]&gt;po_master[[#This Row],[PO Unit Price]]*1.01, "Price Variance", "OK")</f>
        <v>OK</v>
      </c>
      <c r="T260" t="str">
        <f>IF(po_master[[#This Row],[Actual Delivery Date]]&gt;po_master[[#This Row],[Promised Delivey Date]], "Late Delivery", "OK")</f>
        <v>Late Delivery</v>
      </c>
      <c r="U260" t="str">
        <f>IF(COUNTIF(po_master[PO Number],po_master[[#This Row],[PO Number]])&gt;1, "Duplicate Invoice", "OK")</f>
        <v>OK</v>
      </c>
      <c r="V260" s="5">
        <f>IF(po_master[[#This Row],[Missing Approval]]="Missing Approval", 1, 0)</f>
        <v>0</v>
      </c>
      <c r="W260" s="5">
        <f>IF(po_master[[#This Row],[GR Receipt Status]]="No GR - Not Received", 1, 0)</f>
        <v>0</v>
      </c>
      <c r="X260" s="5">
        <f>IF(po_master[[#This Row],[No invoice]]="No Invoice", 1, 0)</f>
        <v>0</v>
      </c>
      <c r="Y260" s="5">
        <f>IF(po_master[[#This Row],[Date Check]]="Invalid Date", 1, 0)</f>
        <v>0</v>
      </c>
      <c r="Z260" s="5">
        <f>IF(po_master[[#This Row],[Qty Variance Flag]]="Qty Variance", 1, 0)</f>
        <v>0</v>
      </c>
      <c r="AA260" s="5">
        <f>IF(po_master[[#This Row],[Price Variance Flag]]="Price Variance", 1, 0)</f>
        <v>0</v>
      </c>
      <c r="AB260" s="5">
        <f>IF(po_master[[#This Row],[Late Delivery Flag]]="Late Delivery", 1, 0)</f>
        <v>1</v>
      </c>
      <c r="AC260" s="5">
        <f>IF(po_master[[#This Row],[Duplicate Invoice Flag]]="Duplicate Invoice", 1, 0)</f>
        <v>0</v>
      </c>
      <c r="AD260" s="5" t="str">
        <f>TEXT(po_master[[#This Row],[Order Date]],"YYYY-MM")</f>
        <v>2026-02</v>
      </c>
    </row>
    <row r="261" spans="1:30" x14ac:dyDescent="0.25">
      <c r="A261" t="s">
        <v>230</v>
      </c>
      <c r="B261" t="s">
        <v>1511</v>
      </c>
      <c r="C261" s="1">
        <v>46136</v>
      </c>
      <c r="D261">
        <v>348</v>
      </c>
      <c r="E261">
        <v>87.68</v>
      </c>
      <c r="F261" t="s">
        <v>1494</v>
      </c>
      <c r="G261" s="1">
        <v>46155</v>
      </c>
      <c r="H261">
        <v>348</v>
      </c>
      <c r="I261" s="1">
        <v>46153</v>
      </c>
      <c r="J261" t="s">
        <v>932</v>
      </c>
      <c r="K261">
        <v>348</v>
      </c>
      <c r="L261">
        <v>102.62</v>
      </c>
      <c r="M261" s="1">
        <v>46156</v>
      </c>
      <c r="N261" t="str">
        <f>IF(po_master[[#This Row],[Approved By]]="", "Missing Approval", "OK")</f>
        <v>OK</v>
      </c>
      <c r="O261" t="str">
        <f>IF(ISBLANK(po_master[[#This Row],[GR Quantity]]), "No GR - Not received", "OK")</f>
        <v>OK</v>
      </c>
      <c r="P261" t="str">
        <f>IF(po_master[[#This Row],[Promised Delivey Date]]&lt;po_master[[#This Row],[Order Date]], "Invalid", "OK")</f>
        <v>OK</v>
      </c>
      <c r="Q261" t="str">
        <f>IF(ISBLANK(po_master[[#This Row],[Invoice Number]]), "No Invoice", "OK")</f>
        <v>OK</v>
      </c>
      <c r="R261" t="str">
        <f>IF(AND(NOT(ISBLANK(po_master[[#This Row],[GR Quantity]])), po_master[[#This Row],[GR Quantity]]&lt;&gt;po_master[[#This Row],[PO Quantity]]), "Qty Variance", "OK")</f>
        <v>OK</v>
      </c>
      <c r="S261" t="str">
        <f>IF(po_master[[#This Row],[Invoice Unit Price]]&gt;po_master[[#This Row],[PO Unit Price]]*1.01, "Price Variance", "OK")</f>
        <v>Price Variance</v>
      </c>
      <c r="T261" t="str">
        <f>IF(po_master[[#This Row],[Actual Delivery Date]]&gt;po_master[[#This Row],[Promised Delivey Date]], "Late Delivery", "OK")</f>
        <v>OK</v>
      </c>
      <c r="U261" t="str">
        <f>IF(COUNTIF(po_master[PO Number],po_master[[#This Row],[PO Number]])&gt;1, "Duplicate Invoice", "OK")</f>
        <v>OK</v>
      </c>
      <c r="V261" s="5">
        <f>IF(po_master[[#This Row],[Missing Approval]]="Missing Approval", 1, 0)</f>
        <v>0</v>
      </c>
      <c r="W261" s="5">
        <f>IF(po_master[[#This Row],[GR Receipt Status]]="No GR - Not Received", 1, 0)</f>
        <v>0</v>
      </c>
      <c r="X261" s="5">
        <f>IF(po_master[[#This Row],[No invoice]]="No Invoice", 1, 0)</f>
        <v>0</v>
      </c>
      <c r="Y261" s="5">
        <f>IF(po_master[[#This Row],[Date Check]]="Invalid Date", 1, 0)</f>
        <v>0</v>
      </c>
      <c r="Z261" s="5">
        <f>IF(po_master[[#This Row],[Qty Variance Flag]]="Qty Variance", 1, 0)</f>
        <v>0</v>
      </c>
      <c r="AA261" s="5">
        <f>IF(po_master[[#This Row],[Price Variance Flag]]="Price Variance", 1, 0)</f>
        <v>1</v>
      </c>
      <c r="AB261" s="5">
        <f>IF(po_master[[#This Row],[Late Delivery Flag]]="Late Delivery", 1, 0)</f>
        <v>0</v>
      </c>
      <c r="AC261" s="5">
        <f>IF(po_master[[#This Row],[Duplicate Invoice Flag]]="Duplicate Invoice", 1, 0)</f>
        <v>0</v>
      </c>
      <c r="AD261" s="5" t="str">
        <f>TEXT(po_master[[#This Row],[Order Date]],"YYYY-MM")</f>
        <v>2026-04</v>
      </c>
    </row>
    <row r="262" spans="1:30" x14ac:dyDescent="0.25">
      <c r="A262" t="s">
        <v>231</v>
      </c>
      <c r="B262" t="s">
        <v>1495</v>
      </c>
      <c r="C262" s="1">
        <v>46092</v>
      </c>
      <c r="D262">
        <v>120</v>
      </c>
      <c r="E262">
        <v>152.21</v>
      </c>
      <c r="F262" t="s">
        <v>1483</v>
      </c>
      <c r="G262" s="1">
        <v>46108</v>
      </c>
      <c r="H262">
        <v>120</v>
      </c>
      <c r="I262" s="1">
        <v>46106</v>
      </c>
      <c r="J262" t="s">
        <v>933</v>
      </c>
      <c r="K262">
        <v>120</v>
      </c>
      <c r="L262">
        <v>152.21</v>
      </c>
      <c r="M262" s="1">
        <v>46110</v>
      </c>
      <c r="N262" t="str">
        <f>IF(po_master[[#This Row],[Approved By]]="", "Missing Approval", "OK")</f>
        <v>OK</v>
      </c>
      <c r="O262" t="str">
        <f>IF(ISBLANK(po_master[[#This Row],[GR Quantity]]), "No GR - Not received", "OK")</f>
        <v>OK</v>
      </c>
      <c r="P262" t="str">
        <f>IF(po_master[[#This Row],[Promised Delivey Date]]&lt;po_master[[#This Row],[Order Date]], "Invalid", "OK")</f>
        <v>OK</v>
      </c>
      <c r="Q262" t="str">
        <f>IF(ISBLANK(po_master[[#This Row],[Invoice Number]]), "No Invoice", "OK")</f>
        <v>OK</v>
      </c>
      <c r="R262" t="str">
        <f>IF(AND(NOT(ISBLANK(po_master[[#This Row],[GR Quantity]])), po_master[[#This Row],[GR Quantity]]&lt;&gt;po_master[[#This Row],[PO Quantity]]), "Qty Variance", "OK")</f>
        <v>OK</v>
      </c>
      <c r="S262" t="str">
        <f>IF(po_master[[#This Row],[Invoice Unit Price]]&gt;po_master[[#This Row],[PO Unit Price]]*1.01, "Price Variance", "OK")</f>
        <v>OK</v>
      </c>
      <c r="T262" t="str">
        <f>IF(po_master[[#This Row],[Actual Delivery Date]]&gt;po_master[[#This Row],[Promised Delivey Date]], "Late Delivery", "OK")</f>
        <v>OK</v>
      </c>
      <c r="U262" t="str">
        <f>IF(COUNTIF(po_master[PO Number],po_master[[#This Row],[PO Number]])&gt;1, "Duplicate Invoice", "OK")</f>
        <v>OK</v>
      </c>
      <c r="V262" s="5">
        <f>IF(po_master[[#This Row],[Missing Approval]]="Missing Approval", 1, 0)</f>
        <v>0</v>
      </c>
      <c r="W262" s="5">
        <f>IF(po_master[[#This Row],[GR Receipt Status]]="No GR - Not Received", 1, 0)</f>
        <v>0</v>
      </c>
      <c r="X262" s="5">
        <f>IF(po_master[[#This Row],[No invoice]]="No Invoice", 1, 0)</f>
        <v>0</v>
      </c>
      <c r="Y262" s="5">
        <f>IF(po_master[[#This Row],[Date Check]]="Invalid Date", 1, 0)</f>
        <v>0</v>
      </c>
      <c r="Z262" s="5">
        <f>IF(po_master[[#This Row],[Qty Variance Flag]]="Qty Variance", 1, 0)</f>
        <v>0</v>
      </c>
      <c r="AA262" s="5">
        <f>IF(po_master[[#This Row],[Price Variance Flag]]="Price Variance", 1, 0)</f>
        <v>0</v>
      </c>
      <c r="AB262" s="5">
        <f>IF(po_master[[#This Row],[Late Delivery Flag]]="Late Delivery", 1, 0)</f>
        <v>0</v>
      </c>
      <c r="AC262" s="5">
        <f>IF(po_master[[#This Row],[Duplicate Invoice Flag]]="Duplicate Invoice", 1, 0)</f>
        <v>0</v>
      </c>
      <c r="AD262" s="5" t="str">
        <f>TEXT(po_master[[#This Row],[Order Date]],"YYYY-MM")</f>
        <v>2026-03</v>
      </c>
    </row>
    <row r="263" spans="1:30" x14ac:dyDescent="0.25">
      <c r="A263" t="s">
        <v>232</v>
      </c>
      <c r="B263" t="s">
        <v>1500</v>
      </c>
      <c r="C263" s="1">
        <v>46051</v>
      </c>
      <c r="D263">
        <v>155</v>
      </c>
      <c r="E263">
        <v>137.25</v>
      </c>
      <c r="F263" t="s">
        <v>1480</v>
      </c>
      <c r="G263" s="1">
        <v>46071</v>
      </c>
      <c r="H263">
        <v>155</v>
      </c>
      <c r="I263" s="1">
        <v>46069</v>
      </c>
      <c r="J263" t="s">
        <v>934</v>
      </c>
      <c r="K263">
        <v>155</v>
      </c>
      <c r="L263">
        <v>145.19</v>
      </c>
      <c r="M263" s="1">
        <v>46078</v>
      </c>
      <c r="N263" t="str">
        <f>IF(po_master[[#This Row],[Approved By]]="", "Missing Approval", "OK")</f>
        <v>OK</v>
      </c>
      <c r="O263" t="str">
        <f>IF(ISBLANK(po_master[[#This Row],[GR Quantity]]), "No GR - Not received", "OK")</f>
        <v>OK</v>
      </c>
      <c r="P263" t="str">
        <f>IF(po_master[[#This Row],[Promised Delivey Date]]&lt;po_master[[#This Row],[Order Date]], "Invalid", "OK")</f>
        <v>OK</v>
      </c>
      <c r="Q263" t="str">
        <f>IF(ISBLANK(po_master[[#This Row],[Invoice Number]]), "No Invoice", "OK")</f>
        <v>OK</v>
      </c>
      <c r="R263" t="str">
        <f>IF(AND(NOT(ISBLANK(po_master[[#This Row],[GR Quantity]])), po_master[[#This Row],[GR Quantity]]&lt;&gt;po_master[[#This Row],[PO Quantity]]), "Qty Variance", "OK")</f>
        <v>OK</v>
      </c>
      <c r="S263" t="str">
        <f>IF(po_master[[#This Row],[Invoice Unit Price]]&gt;po_master[[#This Row],[PO Unit Price]]*1.01, "Price Variance", "OK")</f>
        <v>Price Variance</v>
      </c>
      <c r="T263" t="str">
        <f>IF(po_master[[#This Row],[Actual Delivery Date]]&gt;po_master[[#This Row],[Promised Delivey Date]], "Late Delivery", "OK")</f>
        <v>OK</v>
      </c>
      <c r="U263" t="str">
        <f>IF(COUNTIF(po_master[PO Number],po_master[[#This Row],[PO Number]])&gt;1, "Duplicate Invoice", "OK")</f>
        <v>OK</v>
      </c>
      <c r="V263" s="5">
        <f>IF(po_master[[#This Row],[Missing Approval]]="Missing Approval", 1, 0)</f>
        <v>0</v>
      </c>
      <c r="W263" s="5">
        <f>IF(po_master[[#This Row],[GR Receipt Status]]="No GR - Not Received", 1, 0)</f>
        <v>0</v>
      </c>
      <c r="X263" s="5">
        <f>IF(po_master[[#This Row],[No invoice]]="No Invoice", 1, 0)</f>
        <v>0</v>
      </c>
      <c r="Y263" s="5">
        <f>IF(po_master[[#This Row],[Date Check]]="Invalid Date", 1, 0)</f>
        <v>0</v>
      </c>
      <c r="Z263" s="5">
        <f>IF(po_master[[#This Row],[Qty Variance Flag]]="Qty Variance", 1, 0)</f>
        <v>0</v>
      </c>
      <c r="AA263" s="5">
        <f>IF(po_master[[#This Row],[Price Variance Flag]]="Price Variance", 1, 0)</f>
        <v>1</v>
      </c>
      <c r="AB263" s="5">
        <f>IF(po_master[[#This Row],[Late Delivery Flag]]="Late Delivery", 1, 0)</f>
        <v>0</v>
      </c>
      <c r="AC263" s="5">
        <f>IF(po_master[[#This Row],[Duplicate Invoice Flag]]="Duplicate Invoice", 1, 0)</f>
        <v>0</v>
      </c>
      <c r="AD263" s="5" t="str">
        <f>TEXT(po_master[[#This Row],[Order Date]],"YYYY-MM")</f>
        <v>2026-01</v>
      </c>
    </row>
    <row r="264" spans="1:30" x14ac:dyDescent="0.25">
      <c r="A264" t="s">
        <v>233</v>
      </c>
      <c r="B264" t="s">
        <v>1491</v>
      </c>
      <c r="C264" s="1">
        <v>46101</v>
      </c>
      <c r="D264">
        <v>33</v>
      </c>
      <c r="E264">
        <v>48</v>
      </c>
      <c r="F264" t="s">
        <v>1494</v>
      </c>
      <c r="G264" s="1">
        <v>46107</v>
      </c>
      <c r="H264">
        <v>33</v>
      </c>
      <c r="I264" s="1">
        <v>46105</v>
      </c>
      <c r="J264" t="s">
        <v>935</v>
      </c>
      <c r="K264">
        <v>33</v>
      </c>
      <c r="L264">
        <v>48</v>
      </c>
      <c r="M264" s="1">
        <v>46114</v>
      </c>
      <c r="N264" t="str">
        <f>IF(po_master[[#This Row],[Approved By]]="", "Missing Approval", "OK")</f>
        <v>OK</v>
      </c>
      <c r="O264" t="str">
        <f>IF(ISBLANK(po_master[[#This Row],[GR Quantity]]), "No GR - Not received", "OK")</f>
        <v>OK</v>
      </c>
      <c r="P264" t="str">
        <f>IF(po_master[[#This Row],[Promised Delivey Date]]&lt;po_master[[#This Row],[Order Date]], "Invalid", "OK")</f>
        <v>OK</v>
      </c>
      <c r="Q264" t="str">
        <f>IF(ISBLANK(po_master[[#This Row],[Invoice Number]]), "No Invoice", "OK")</f>
        <v>OK</v>
      </c>
      <c r="R264" t="str">
        <f>IF(AND(NOT(ISBLANK(po_master[[#This Row],[GR Quantity]])), po_master[[#This Row],[GR Quantity]]&lt;&gt;po_master[[#This Row],[PO Quantity]]), "Qty Variance", "OK")</f>
        <v>OK</v>
      </c>
      <c r="S264" t="str">
        <f>IF(po_master[[#This Row],[Invoice Unit Price]]&gt;po_master[[#This Row],[PO Unit Price]]*1.01, "Price Variance", "OK")</f>
        <v>OK</v>
      </c>
      <c r="T264" t="str">
        <f>IF(po_master[[#This Row],[Actual Delivery Date]]&gt;po_master[[#This Row],[Promised Delivey Date]], "Late Delivery", "OK")</f>
        <v>OK</v>
      </c>
      <c r="U264" t="str">
        <f>IF(COUNTIF(po_master[PO Number],po_master[[#This Row],[PO Number]])&gt;1, "Duplicate Invoice", "OK")</f>
        <v>OK</v>
      </c>
      <c r="V264" s="5">
        <f>IF(po_master[[#This Row],[Missing Approval]]="Missing Approval", 1, 0)</f>
        <v>0</v>
      </c>
      <c r="W264" s="5">
        <f>IF(po_master[[#This Row],[GR Receipt Status]]="No GR - Not Received", 1, 0)</f>
        <v>0</v>
      </c>
      <c r="X264" s="5">
        <f>IF(po_master[[#This Row],[No invoice]]="No Invoice", 1, 0)</f>
        <v>0</v>
      </c>
      <c r="Y264" s="5">
        <f>IF(po_master[[#This Row],[Date Check]]="Invalid Date", 1, 0)</f>
        <v>0</v>
      </c>
      <c r="Z264" s="5">
        <f>IF(po_master[[#This Row],[Qty Variance Flag]]="Qty Variance", 1, 0)</f>
        <v>0</v>
      </c>
      <c r="AA264" s="5">
        <f>IF(po_master[[#This Row],[Price Variance Flag]]="Price Variance", 1, 0)</f>
        <v>0</v>
      </c>
      <c r="AB264" s="5">
        <f>IF(po_master[[#This Row],[Late Delivery Flag]]="Late Delivery", 1, 0)</f>
        <v>0</v>
      </c>
      <c r="AC264" s="5">
        <f>IF(po_master[[#This Row],[Duplicate Invoice Flag]]="Duplicate Invoice", 1, 0)</f>
        <v>0</v>
      </c>
      <c r="AD264" s="5" t="str">
        <f>TEXT(po_master[[#This Row],[Order Date]],"YYYY-MM")</f>
        <v>2026-03</v>
      </c>
    </row>
    <row r="265" spans="1:30" x14ac:dyDescent="0.25">
      <c r="A265" t="s">
        <v>234</v>
      </c>
      <c r="B265" t="s">
        <v>1481</v>
      </c>
      <c r="C265" s="1">
        <v>46075</v>
      </c>
      <c r="D265">
        <v>164</v>
      </c>
      <c r="E265">
        <v>189.34</v>
      </c>
      <c r="F265" t="s">
        <v>1456</v>
      </c>
      <c r="G265" s="1">
        <v>46084</v>
      </c>
      <c r="H265">
        <v>164</v>
      </c>
      <c r="I265" s="1">
        <v>46084</v>
      </c>
      <c r="J265" t="s">
        <v>936</v>
      </c>
      <c r="K265">
        <v>164</v>
      </c>
      <c r="L265">
        <v>189.34</v>
      </c>
      <c r="M265" s="1">
        <v>46094</v>
      </c>
      <c r="N265" t="str">
        <f>IF(po_master[[#This Row],[Approved By]]="", "Missing Approval", "OK")</f>
        <v>OK</v>
      </c>
      <c r="O265" t="str">
        <f>IF(ISBLANK(po_master[[#This Row],[GR Quantity]]), "No GR - Not received", "OK")</f>
        <v>OK</v>
      </c>
      <c r="P265" t="str">
        <f>IF(po_master[[#This Row],[Promised Delivey Date]]&lt;po_master[[#This Row],[Order Date]], "Invalid", "OK")</f>
        <v>OK</v>
      </c>
      <c r="Q265" t="str">
        <f>IF(ISBLANK(po_master[[#This Row],[Invoice Number]]), "No Invoice", "OK")</f>
        <v>OK</v>
      </c>
      <c r="R265" t="str">
        <f>IF(AND(NOT(ISBLANK(po_master[[#This Row],[GR Quantity]])), po_master[[#This Row],[GR Quantity]]&lt;&gt;po_master[[#This Row],[PO Quantity]]), "Qty Variance", "OK")</f>
        <v>OK</v>
      </c>
      <c r="S265" t="str">
        <f>IF(po_master[[#This Row],[Invoice Unit Price]]&gt;po_master[[#This Row],[PO Unit Price]]*1.01, "Price Variance", "OK")</f>
        <v>OK</v>
      </c>
      <c r="T265" t="str">
        <f>IF(po_master[[#This Row],[Actual Delivery Date]]&gt;po_master[[#This Row],[Promised Delivey Date]], "Late Delivery", "OK")</f>
        <v>OK</v>
      </c>
      <c r="U265" t="str">
        <f>IF(COUNTIF(po_master[PO Number],po_master[[#This Row],[PO Number]])&gt;1, "Duplicate Invoice", "OK")</f>
        <v>Duplicate Invoice</v>
      </c>
      <c r="V265" s="5">
        <f>IF(po_master[[#This Row],[Missing Approval]]="Missing Approval", 1, 0)</f>
        <v>0</v>
      </c>
      <c r="W265" s="5">
        <f>IF(po_master[[#This Row],[GR Receipt Status]]="No GR - Not Received", 1, 0)</f>
        <v>0</v>
      </c>
      <c r="X265" s="5">
        <f>IF(po_master[[#This Row],[No invoice]]="No Invoice", 1, 0)</f>
        <v>0</v>
      </c>
      <c r="Y265" s="5">
        <f>IF(po_master[[#This Row],[Date Check]]="Invalid Date", 1, 0)</f>
        <v>0</v>
      </c>
      <c r="Z265" s="5">
        <f>IF(po_master[[#This Row],[Qty Variance Flag]]="Qty Variance", 1, 0)</f>
        <v>0</v>
      </c>
      <c r="AA265" s="5">
        <f>IF(po_master[[#This Row],[Price Variance Flag]]="Price Variance", 1, 0)</f>
        <v>0</v>
      </c>
      <c r="AB265" s="5">
        <f>IF(po_master[[#This Row],[Late Delivery Flag]]="Late Delivery", 1, 0)</f>
        <v>0</v>
      </c>
      <c r="AC265" s="5">
        <f>IF(po_master[[#This Row],[Duplicate Invoice Flag]]="Duplicate Invoice", 1, 0)</f>
        <v>1</v>
      </c>
      <c r="AD265" s="5" t="str">
        <f>TEXT(po_master[[#This Row],[Order Date]],"YYYY-MM")</f>
        <v>2026-02</v>
      </c>
    </row>
    <row r="266" spans="1:30" x14ac:dyDescent="0.25">
      <c r="A266" t="s">
        <v>234</v>
      </c>
      <c r="B266" t="s">
        <v>1481</v>
      </c>
      <c r="C266" s="1">
        <v>46075</v>
      </c>
      <c r="D266">
        <v>164</v>
      </c>
      <c r="E266">
        <v>189.34</v>
      </c>
      <c r="F266" t="s">
        <v>1456</v>
      </c>
      <c r="G266" s="1">
        <v>46084</v>
      </c>
      <c r="H266">
        <v>164</v>
      </c>
      <c r="I266" s="1">
        <v>46084</v>
      </c>
      <c r="J266" t="s">
        <v>937</v>
      </c>
      <c r="K266">
        <v>164</v>
      </c>
      <c r="L266">
        <v>189.34</v>
      </c>
      <c r="M266" s="1">
        <v>46098</v>
      </c>
      <c r="N266" t="str">
        <f>IF(po_master[[#This Row],[Approved By]]="", "Missing Approval", "OK")</f>
        <v>OK</v>
      </c>
      <c r="O266" t="str">
        <f>IF(ISBLANK(po_master[[#This Row],[GR Quantity]]), "No GR - Not received", "OK")</f>
        <v>OK</v>
      </c>
      <c r="P266" t="str">
        <f>IF(po_master[[#This Row],[Promised Delivey Date]]&lt;po_master[[#This Row],[Order Date]], "Invalid", "OK")</f>
        <v>OK</v>
      </c>
      <c r="Q266" t="str">
        <f>IF(ISBLANK(po_master[[#This Row],[Invoice Number]]), "No Invoice", "OK")</f>
        <v>OK</v>
      </c>
      <c r="R266" t="str">
        <f>IF(AND(NOT(ISBLANK(po_master[[#This Row],[GR Quantity]])), po_master[[#This Row],[GR Quantity]]&lt;&gt;po_master[[#This Row],[PO Quantity]]), "Qty Variance", "OK")</f>
        <v>OK</v>
      </c>
      <c r="S266" t="str">
        <f>IF(po_master[[#This Row],[Invoice Unit Price]]&gt;po_master[[#This Row],[PO Unit Price]]*1.01, "Price Variance", "OK")</f>
        <v>OK</v>
      </c>
      <c r="T266" t="str">
        <f>IF(po_master[[#This Row],[Actual Delivery Date]]&gt;po_master[[#This Row],[Promised Delivey Date]], "Late Delivery", "OK")</f>
        <v>OK</v>
      </c>
      <c r="U266" t="str">
        <f>IF(COUNTIF(po_master[PO Number],po_master[[#This Row],[PO Number]])&gt;1, "Duplicate Invoice", "OK")</f>
        <v>Duplicate Invoice</v>
      </c>
      <c r="V266" s="5">
        <f>IF(po_master[[#This Row],[Missing Approval]]="Missing Approval", 1, 0)</f>
        <v>0</v>
      </c>
      <c r="W266" s="5">
        <f>IF(po_master[[#This Row],[GR Receipt Status]]="No GR - Not Received", 1, 0)</f>
        <v>0</v>
      </c>
      <c r="X266" s="5">
        <f>IF(po_master[[#This Row],[No invoice]]="No Invoice", 1, 0)</f>
        <v>0</v>
      </c>
      <c r="Y266" s="5">
        <f>IF(po_master[[#This Row],[Date Check]]="Invalid Date", 1, 0)</f>
        <v>0</v>
      </c>
      <c r="Z266" s="5">
        <f>IF(po_master[[#This Row],[Qty Variance Flag]]="Qty Variance", 1, 0)</f>
        <v>0</v>
      </c>
      <c r="AA266" s="5">
        <f>IF(po_master[[#This Row],[Price Variance Flag]]="Price Variance", 1, 0)</f>
        <v>0</v>
      </c>
      <c r="AB266" s="5">
        <f>IF(po_master[[#This Row],[Late Delivery Flag]]="Late Delivery", 1, 0)</f>
        <v>0</v>
      </c>
      <c r="AC266" s="5">
        <f>IF(po_master[[#This Row],[Duplicate Invoice Flag]]="Duplicate Invoice", 1, 0)</f>
        <v>1</v>
      </c>
      <c r="AD266" s="5" t="str">
        <f>TEXT(po_master[[#This Row],[Order Date]],"YYYY-MM")</f>
        <v>2026-02</v>
      </c>
    </row>
    <row r="267" spans="1:30" x14ac:dyDescent="0.25">
      <c r="A267" t="s">
        <v>235</v>
      </c>
      <c r="B267" t="s">
        <v>1470</v>
      </c>
      <c r="C267" s="1">
        <v>46097</v>
      </c>
      <c r="D267">
        <v>177</v>
      </c>
      <c r="E267">
        <v>28.4</v>
      </c>
      <c r="F267" t="s">
        <v>1459</v>
      </c>
      <c r="G267" s="1">
        <v>46115</v>
      </c>
      <c r="H267">
        <v>177</v>
      </c>
      <c r="I267" s="1">
        <v>46113</v>
      </c>
      <c r="J267" t="s">
        <v>938</v>
      </c>
      <c r="K267">
        <v>177</v>
      </c>
      <c r="L267">
        <v>28.4</v>
      </c>
      <c r="M267" s="1">
        <v>46122</v>
      </c>
      <c r="N267" t="str">
        <f>IF(po_master[[#This Row],[Approved By]]="", "Missing Approval", "OK")</f>
        <v>Missing Approval</v>
      </c>
      <c r="O267" t="str">
        <f>IF(ISBLANK(po_master[[#This Row],[GR Quantity]]), "No GR - Not received", "OK")</f>
        <v>OK</v>
      </c>
      <c r="P267" t="str">
        <f>IF(po_master[[#This Row],[Promised Delivey Date]]&lt;po_master[[#This Row],[Order Date]], "Invalid", "OK")</f>
        <v>OK</v>
      </c>
      <c r="Q267" t="str">
        <f>IF(ISBLANK(po_master[[#This Row],[Invoice Number]]), "No Invoice", "OK")</f>
        <v>OK</v>
      </c>
      <c r="R267" t="str">
        <f>IF(AND(NOT(ISBLANK(po_master[[#This Row],[GR Quantity]])), po_master[[#This Row],[GR Quantity]]&lt;&gt;po_master[[#This Row],[PO Quantity]]), "Qty Variance", "OK")</f>
        <v>OK</v>
      </c>
      <c r="S267" t="str">
        <f>IF(po_master[[#This Row],[Invoice Unit Price]]&gt;po_master[[#This Row],[PO Unit Price]]*1.01, "Price Variance", "OK")</f>
        <v>OK</v>
      </c>
      <c r="T267" t="str">
        <f>IF(po_master[[#This Row],[Actual Delivery Date]]&gt;po_master[[#This Row],[Promised Delivey Date]], "Late Delivery", "OK")</f>
        <v>OK</v>
      </c>
      <c r="U267" t="str">
        <f>IF(COUNTIF(po_master[PO Number],po_master[[#This Row],[PO Number]])&gt;1, "Duplicate Invoice", "OK")</f>
        <v>OK</v>
      </c>
      <c r="V267" s="5">
        <f>IF(po_master[[#This Row],[Missing Approval]]="Missing Approval", 1, 0)</f>
        <v>1</v>
      </c>
      <c r="W267" s="5">
        <f>IF(po_master[[#This Row],[GR Receipt Status]]="No GR - Not Received", 1, 0)</f>
        <v>0</v>
      </c>
      <c r="X267" s="5">
        <f>IF(po_master[[#This Row],[No invoice]]="No Invoice", 1, 0)</f>
        <v>0</v>
      </c>
      <c r="Y267" s="5">
        <f>IF(po_master[[#This Row],[Date Check]]="Invalid Date", 1, 0)</f>
        <v>0</v>
      </c>
      <c r="Z267" s="5">
        <f>IF(po_master[[#This Row],[Qty Variance Flag]]="Qty Variance", 1, 0)</f>
        <v>0</v>
      </c>
      <c r="AA267" s="5">
        <f>IF(po_master[[#This Row],[Price Variance Flag]]="Price Variance", 1, 0)</f>
        <v>0</v>
      </c>
      <c r="AB267" s="5">
        <f>IF(po_master[[#This Row],[Late Delivery Flag]]="Late Delivery", 1, 0)</f>
        <v>0</v>
      </c>
      <c r="AC267" s="5">
        <f>IF(po_master[[#This Row],[Duplicate Invoice Flag]]="Duplicate Invoice", 1, 0)</f>
        <v>0</v>
      </c>
      <c r="AD267" s="5" t="str">
        <f>TEXT(po_master[[#This Row],[Order Date]],"YYYY-MM")</f>
        <v>2026-03</v>
      </c>
    </row>
    <row r="268" spans="1:30" x14ac:dyDescent="0.25">
      <c r="A268" t="s">
        <v>236</v>
      </c>
      <c r="B268" t="s">
        <v>1486</v>
      </c>
      <c r="C268" s="1">
        <v>46056</v>
      </c>
      <c r="D268">
        <v>204</v>
      </c>
      <c r="E268">
        <v>108.85</v>
      </c>
      <c r="F268" t="s">
        <v>1440</v>
      </c>
      <c r="G268" s="1">
        <v>46077</v>
      </c>
      <c r="H268">
        <v>204</v>
      </c>
      <c r="I268" s="1">
        <v>46085</v>
      </c>
      <c r="J268" t="s">
        <v>939</v>
      </c>
      <c r="K268">
        <v>204</v>
      </c>
      <c r="L268">
        <v>108.85</v>
      </c>
      <c r="M268" s="1">
        <v>46083</v>
      </c>
      <c r="N268" t="str">
        <f>IF(po_master[[#This Row],[Approved By]]="", "Missing Approval", "OK")</f>
        <v>OK</v>
      </c>
      <c r="O268" t="str">
        <f>IF(ISBLANK(po_master[[#This Row],[GR Quantity]]), "No GR - Not received", "OK")</f>
        <v>OK</v>
      </c>
      <c r="P268" t="str">
        <f>IF(po_master[[#This Row],[Promised Delivey Date]]&lt;po_master[[#This Row],[Order Date]], "Invalid", "OK")</f>
        <v>OK</v>
      </c>
      <c r="Q268" t="str">
        <f>IF(ISBLANK(po_master[[#This Row],[Invoice Number]]), "No Invoice", "OK")</f>
        <v>OK</v>
      </c>
      <c r="R268" t="str">
        <f>IF(AND(NOT(ISBLANK(po_master[[#This Row],[GR Quantity]])), po_master[[#This Row],[GR Quantity]]&lt;&gt;po_master[[#This Row],[PO Quantity]]), "Qty Variance", "OK")</f>
        <v>OK</v>
      </c>
      <c r="S268" t="str">
        <f>IF(po_master[[#This Row],[Invoice Unit Price]]&gt;po_master[[#This Row],[PO Unit Price]]*1.01, "Price Variance", "OK")</f>
        <v>OK</v>
      </c>
      <c r="T268" t="str">
        <f>IF(po_master[[#This Row],[Actual Delivery Date]]&gt;po_master[[#This Row],[Promised Delivey Date]], "Late Delivery", "OK")</f>
        <v>Late Delivery</v>
      </c>
      <c r="U268" t="str">
        <f>IF(COUNTIF(po_master[PO Number],po_master[[#This Row],[PO Number]])&gt;1, "Duplicate Invoice", "OK")</f>
        <v>OK</v>
      </c>
      <c r="V268" s="5">
        <f>IF(po_master[[#This Row],[Missing Approval]]="Missing Approval", 1, 0)</f>
        <v>0</v>
      </c>
      <c r="W268" s="5">
        <f>IF(po_master[[#This Row],[GR Receipt Status]]="No GR - Not Received", 1, 0)</f>
        <v>0</v>
      </c>
      <c r="X268" s="5">
        <f>IF(po_master[[#This Row],[No invoice]]="No Invoice", 1, 0)</f>
        <v>0</v>
      </c>
      <c r="Y268" s="5">
        <f>IF(po_master[[#This Row],[Date Check]]="Invalid Date", 1, 0)</f>
        <v>0</v>
      </c>
      <c r="Z268" s="5">
        <f>IF(po_master[[#This Row],[Qty Variance Flag]]="Qty Variance", 1, 0)</f>
        <v>0</v>
      </c>
      <c r="AA268" s="5">
        <f>IF(po_master[[#This Row],[Price Variance Flag]]="Price Variance", 1, 0)</f>
        <v>0</v>
      </c>
      <c r="AB268" s="5">
        <f>IF(po_master[[#This Row],[Late Delivery Flag]]="Late Delivery", 1, 0)</f>
        <v>1</v>
      </c>
      <c r="AC268" s="5">
        <f>IF(po_master[[#This Row],[Duplicate Invoice Flag]]="Duplicate Invoice", 1, 0)</f>
        <v>0</v>
      </c>
      <c r="AD268" s="5" t="str">
        <f>TEXT(po_master[[#This Row],[Order Date]],"YYYY-MM")</f>
        <v>2026-02</v>
      </c>
    </row>
    <row r="269" spans="1:30" x14ac:dyDescent="0.25">
      <c r="A269" t="s">
        <v>237</v>
      </c>
      <c r="B269" t="s">
        <v>1454</v>
      </c>
      <c r="C269" s="1">
        <v>46113</v>
      </c>
      <c r="D269">
        <v>46</v>
      </c>
      <c r="E269">
        <v>82.43</v>
      </c>
      <c r="F269" t="s">
        <v>1490</v>
      </c>
      <c r="G269" s="1">
        <v>46119</v>
      </c>
      <c r="H269">
        <v>46</v>
      </c>
      <c r="I269" s="1">
        <v>46137</v>
      </c>
      <c r="J269" t="s">
        <v>940</v>
      </c>
      <c r="K269">
        <v>46</v>
      </c>
      <c r="L269">
        <v>82.43</v>
      </c>
      <c r="M269" s="1">
        <v>46120</v>
      </c>
      <c r="N269" t="str">
        <f>IF(po_master[[#This Row],[Approved By]]="", "Missing Approval", "OK")</f>
        <v>OK</v>
      </c>
      <c r="O269" t="str">
        <f>IF(ISBLANK(po_master[[#This Row],[GR Quantity]]), "No GR - Not received", "OK")</f>
        <v>OK</v>
      </c>
      <c r="P269" t="str">
        <f>IF(po_master[[#This Row],[Promised Delivey Date]]&lt;po_master[[#This Row],[Order Date]], "Invalid", "OK")</f>
        <v>OK</v>
      </c>
      <c r="Q269" t="str">
        <f>IF(ISBLANK(po_master[[#This Row],[Invoice Number]]), "No Invoice", "OK")</f>
        <v>OK</v>
      </c>
      <c r="R269" t="str">
        <f>IF(AND(NOT(ISBLANK(po_master[[#This Row],[GR Quantity]])), po_master[[#This Row],[GR Quantity]]&lt;&gt;po_master[[#This Row],[PO Quantity]]), "Qty Variance", "OK")</f>
        <v>OK</v>
      </c>
      <c r="S269" t="str">
        <f>IF(po_master[[#This Row],[Invoice Unit Price]]&gt;po_master[[#This Row],[PO Unit Price]]*1.01, "Price Variance", "OK")</f>
        <v>OK</v>
      </c>
      <c r="T269" t="str">
        <f>IF(po_master[[#This Row],[Actual Delivery Date]]&gt;po_master[[#This Row],[Promised Delivey Date]], "Late Delivery", "OK")</f>
        <v>Late Delivery</v>
      </c>
      <c r="U269" t="str">
        <f>IF(COUNTIF(po_master[PO Number],po_master[[#This Row],[PO Number]])&gt;1, "Duplicate Invoice", "OK")</f>
        <v>OK</v>
      </c>
      <c r="V269" s="5">
        <f>IF(po_master[[#This Row],[Missing Approval]]="Missing Approval", 1, 0)</f>
        <v>0</v>
      </c>
      <c r="W269" s="5">
        <f>IF(po_master[[#This Row],[GR Receipt Status]]="No GR - Not Received", 1, 0)</f>
        <v>0</v>
      </c>
      <c r="X269" s="5">
        <f>IF(po_master[[#This Row],[No invoice]]="No Invoice", 1, 0)</f>
        <v>0</v>
      </c>
      <c r="Y269" s="5">
        <f>IF(po_master[[#This Row],[Date Check]]="Invalid Date", 1, 0)</f>
        <v>0</v>
      </c>
      <c r="Z269" s="5">
        <f>IF(po_master[[#This Row],[Qty Variance Flag]]="Qty Variance", 1, 0)</f>
        <v>0</v>
      </c>
      <c r="AA269" s="5">
        <f>IF(po_master[[#This Row],[Price Variance Flag]]="Price Variance", 1, 0)</f>
        <v>0</v>
      </c>
      <c r="AB269" s="5">
        <f>IF(po_master[[#This Row],[Late Delivery Flag]]="Late Delivery", 1, 0)</f>
        <v>1</v>
      </c>
      <c r="AC269" s="5">
        <f>IF(po_master[[#This Row],[Duplicate Invoice Flag]]="Duplicate Invoice", 1, 0)</f>
        <v>0</v>
      </c>
      <c r="AD269" s="5" t="str">
        <f>TEXT(po_master[[#This Row],[Order Date]],"YYYY-MM")</f>
        <v>2026-04</v>
      </c>
    </row>
    <row r="270" spans="1:30" x14ac:dyDescent="0.25">
      <c r="A270" t="s">
        <v>238</v>
      </c>
      <c r="B270" t="s">
        <v>1500</v>
      </c>
      <c r="C270" s="1">
        <v>46027</v>
      </c>
      <c r="D270">
        <v>245</v>
      </c>
      <c r="E270">
        <v>184.63</v>
      </c>
      <c r="F270" t="s">
        <v>1472</v>
      </c>
      <c r="G270" s="1">
        <v>46045</v>
      </c>
      <c r="H270">
        <v>264</v>
      </c>
      <c r="I270" s="1">
        <v>46044</v>
      </c>
      <c r="J270" t="s">
        <v>941</v>
      </c>
      <c r="K270">
        <v>245</v>
      </c>
      <c r="L270">
        <v>184.63</v>
      </c>
      <c r="M270" s="1">
        <v>46049</v>
      </c>
      <c r="N270" t="str">
        <f>IF(po_master[[#This Row],[Approved By]]="", "Missing Approval", "OK")</f>
        <v>OK</v>
      </c>
      <c r="O270" t="str">
        <f>IF(ISBLANK(po_master[[#This Row],[GR Quantity]]), "No GR - Not received", "OK")</f>
        <v>OK</v>
      </c>
      <c r="P270" t="str">
        <f>IF(po_master[[#This Row],[Promised Delivey Date]]&lt;po_master[[#This Row],[Order Date]], "Invalid", "OK")</f>
        <v>OK</v>
      </c>
      <c r="Q270" t="str">
        <f>IF(ISBLANK(po_master[[#This Row],[Invoice Number]]), "No Invoice", "OK")</f>
        <v>OK</v>
      </c>
      <c r="R270" t="str">
        <f>IF(AND(NOT(ISBLANK(po_master[[#This Row],[GR Quantity]])), po_master[[#This Row],[GR Quantity]]&lt;&gt;po_master[[#This Row],[PO Quantity]]), "Qty Variance", "OK")</f>
        <v>Qty Variance</v>
      </c>
      <c r="S270" t="str">
        <f>IF(po_master[[#This Row],[Invoice Unit Price]]&gt;po_master[[#This Row],[PO Unit Price]]*1.01, "Price Variance", "OK")</f>
        <v>OK</v>
      </c>
      <c r="T270" t="str">
        <f>IF(po_master[[#This Row],[Actual Delivery Date]]&gt;po_master[[#This Row],[Promised Delivey Date]], "Late Delivery", "OK")</f>
        <v>OK</v>
      </c>
      <c r="U270" t="str">
        <f>IF(COUNTIF(po_master[PO Number],po_master[[#This Row],[PO Number]])&gt;1, "Duplicate Invoice", "OK")</f>
        <v>OK</v>
      </c>
      <c r="V270" s="5">
        <f>IF(po_master[[#This Row],[Missing Approval]]="Missing Approval", 1, 0)</f>
        <v>0</v>
      </c>
      <c r="W270" s="5">
        <f>IF(po_master[[#This Row],[GR Receipt Status]]="No GR - Not Received", 1, 0)</f>
        <v>0</v>
      </c>
      <c r="X270" s="5">
        <f>IF(po_master[[#This Row],[No invoice]]="No Invoice", 1, 0)</f>
        <v>0</v>
      </c>
      <c r="Y270" s="5">
        <f>IF(po_master[[#This Row],[Date Check]]="Invalid Date", 1, 0)</f>
        <v>0</v>
      </c>
      <c r="Z270" s="5">
        <f>IF(po_master[[#This Row],[Qty Variance Flag]]="Qty Variance", 1, 0)</f>
        <v>1</v>
      </c>
      <c r="AA270" s="5">
        <f>IF(po_master[[#This Row],[Price Variance Flag]]="Price Variance", 1, 0)</f>
        <v>0</v>
      </c>
      <c r="AB270" s="5">
        <f>IF(po_master[[#This Row],[Late Delivery Flag]]="Late Delivery", 1, 0)</f>
        <v>0</v>
      </c>
      <c r="AC270" s="5">
        <f>IF(po_master[[#This Row],[Duplicate Invoice Flag]]="Duplicate Invoice", 1, 0)</f>
        <v>0</v>
      </c>
      <c r="AD270" s="5" t="str">
        <f>TEXT(po_master[[#This Row],[Order Date]],"YYYY-MM")</f>
        <v>2026-01</v>
      </c>
    </row>
    <row r="271" spans="1:30" x14ac:dyDescent="0.25">
      <c r="A271" t="s">
        <v>926</v>
      </c>
      <c r="B271" t="s">
        <v>1479</v>
      </c>
      <c r="C271" s="1">
        <v>46112</v>
      </c>
      <c r="D271">
        <v>13</v>
      </c>
      <c r="E271">
        <v>40.369999999999997</v>
      </c>
      <c r="F271" t="s">
        <v>1485</v>
      </c>
      <c r="G271" s="1">
        <v>46129</v>
      </c>
      <c r="I271" s="1"/>
      <c r="J271" t="s">
        <v>927</v>
      </c>
      <c r="K271">
        <v>13</v>
      </c>
      <c r="L271">
        <v>40.369999999999997</v>
      </c>
      <c r="M271" s="1">
        <v>46138</v>
      </c>
      <c r="N271" t="str">
        <f>IF(po_master[[#This Row],[Approved By]]="", "Missing Approval", "OK")</f>
        <v>OK</v>
      </c>
      <c r="O271" t="str">
        <f>IF(ISBLANK(po_master[[#This Row],[GR Quantity]]), "No GR - Not received", "OK")</f>
        <v>No GR - Not received</v>
      </c>
      <c r="P271" t="str">
        <f>IF(po_master[[#This Row],[Promised Delivey Date]]&lt;po_master[[#This Row],[Order Date]], "Invalid", "OK")</f>
        <v>OK</v>
      </c>
      <c r="Q271" t="str">
        <f>IF(ISBLANK(po_master[[#This Row],[Invoice Number]]), "No Invoice", "OK")</f>
        <v>OK</v>
      </c>
      <c r="R271" t="str">
        <f>IF(AND(NOT(ISBLANK(po_master[[#This Row],[GR Quantity]])), po_master[[#This Row],[GR Quantity]]&lt;&gt;po_master[[#This Row],[PO Quantity]]), "Qty Variance", "OK")</f>
        <v>OK</v>
      </c>
      <c r="S271" t="str">
        <f>IF(po_master[[#This Row],[Invoice Unit Price]]&gt;po_master[[#This Row],[PO Unit Price]]*1.01, "Price Variance", "OK")</f>
        <v>OK</v>
      </c>
      <c r="T271" t="str">
        <f>IF(po_master[[#This Row],[Actual Delivery Date]]&gt;po_master[[#This Row],[Promised Delivey Date]], "Late Delivery", "OK")</f>
        <v>OK</v>
      </c>
      <c r="U271" t="str">
        <f>IF(COUNTIF(po_master[PO Number],po_master[[#This Row],[PO Number]])&gt;1, "Duplicate Invoice", "OK")</f>
        <v>OK</v>
      </c>
      <c r="V271" s="5">
        <f>IF(po_master[[#This Row],[Missing Approval]]="Missing Approval", 1, 0)</f>
        <v>0</v>
      </c>
      <c r="W271" s="5">
        <f>IF(po_master[[#This Row],[GR Receipt Status]]="No GR - Not Received", 1, 0)</f>
        <v>1</v>
      </c>
      <c r="X271" s="5">
        <f>IF(po_master[[#This Row],[No invoice]]="No Invoice", 1, 0)</f>
        <v>0</v>
      </c>
      <c r="Y271" s="5">
        <f>IF(po_master[[#This Row],[Date Check]]="Invalid Date", 1, 0)</f>
        <v>0</v>
      </c>
      <c r="Z271" s="5">
        <f>IF(po_master[[#This Row],[Qty Variance Flag]]="Qty Variance", 1, 0)</f>
        <v>0</v>
      </c>
      <c r="AA271" s="5">
        <f>IF(po_master[[#This Row],[Price Variance Flag]]="Price Variance", 1, 0)</f>
        <v>0</v>
      </c>
      <c r="AB271" s="5">
        <f>IF(po_master[[#This Row],[Late Delivery Flag]]="Late Delivery", 1, 0)</f>
        <v>0</v>
      </c>
      <c r="AC271" s="5">
        <f>IF(po_master[[#This Row],[Duplicate Invoice Flag]]="Duplicate Invoice", 1, 0)</f>
        <v>0</v>
      </c>
      <c r="AD271" s="5" t="str">
        <f>TEXT(po_master[[#This Row],[Order Date]],"YYYY-MM")</f>
        <v>2026-03</v>
      </c>
    </row>
    <row r="272" spans="1:30" x14ac:dyDescent="0.25">
      <c r="A272" t="s">
        <v>239</v>
      </c>
      <c r="B272" t="s">
        <v>1493</v>
      </c>
      <c r="C272" s="1">
        <v>46126</v>
      </c>
      <c r="D272">
        <v>373</v>
      </c>
      <c r="E272">
        <v>129.83000000000001</v>
      </c>
      <c r="F272" t="s">
        <v>1474</v>
      </c>
      <c r="G272" s="1">
        <v>46134</v>
      </c>
      <c r="H272">
        <v>373</v>
      </c>
      <c r="I272" s="1">
        <v>46133</v>
      </c>
      <c r="J272" t="s">
        <v>942</v>
      </c>
      <c r="K272">
        <v>373</v>
      </c>
      <c r="L272">
        <v>150.21</v>
      </c>
      <c r="M272" s="1">
        <v>46144</v>
      </c>
      <c r="N272" t="str">
        <f>IF(po_master[[#This Row],[Approved By]]="", "Missing Approval", "OK")</f>
        <v>OK</v>
      </c>
      <c r="O272" t="str">
        <f>IF(ISBLANK(po_master[[#This Row],[GR Quantity]]), "No GR - Not received", "OK")</f>
        <v>OK</v>
      </c>
      <c r="P272" t="str">
        <f>IF(po_master[[#This Row],[Promised Delivey Date]]&lt;po_master[[#This Row],[Order Date]], "Invalid", "OK")</f>
        <v>OK</v>
      </c>
      <c r="Q272" t="str">
        <f>IF(ISBLANK(po_master[[#This Row],[Invoice Number]]), "No Invoice", "OK")</f>
        <v>OK</v>
      </c>
      <c r="R272" t="str">
        <f>IF(AND(NOT(ISBLANK(po_master[[#This Row],[GR Quantity]])), po_master[[#This Row],[GR Quantity]]&lt;&gt;po_master[[#This Row],[PO Quantity]]), "Qty Variance", "OK")</f>
        <v>OK</v>
      </c>
      <c r="S272" t="str">
        <f>IF(po_master[[#This Row],[Invoice Unit Price]]&gt;po_master[[#This Row],[PO Unit Price]]*1.01, "Price Variance", "OK")</f>
        <v>Price Variance</v>
      </c>
      <c r="T272" t="str">
        <f>IF(po_master[[#This Row],[Actual Delivery Date]]&gt;po_master[[#This Row],[Promised Delivey Date]], "Late Delivery", "OK")</f>
        <v>OK</v>
      </c>
      <c r="U272" t="str">
        <f>IF(COUNTIF(po_master[PO Number],po_master[[#This Row],[PO Number]])&gt;1, "Duplicate Invoice", "OK")</f>
        <v>OK</v>
      </c>
      <c r="V272" s="5">
        <f>IF(po_master[[#This Row],[Missing Approval]]="Missing Approval", 1, 0)</f>
        <v>0</v>
      </c>
      <c r="W272" s="5">
        <f>IF(po_master[[#This Row],[GR Receipt Status]]="No GR - Not Received", 1, 0)</f>
        <v>0</v>
      </c>
      <c r="X272" s="5">
        <f>IF(po_master[[#This Row],[No invoice]]="No Invoice", 1, 0)</f>
        <v>0</v>
      </c>
      <c r="Y272" s="5">
        <f>IF(po_master[[#This Row],[Date Check]]="Invalid Date", 1, 0)</f>
        <v>0</v>
      </c>
      <c r="Z272" s="5">
        <f>IF(po_master[[#This Row],[Qty Variance Flag]]="Qty Variance", 1, 0)</f>
        <v>0</v>
      </c>
      <c r="AA272" s="5">
        <f>IF(po_master[[#This Row],[Price Variance Flag]]="Price Variance", 1, 0)</f>
        <v>1</v>
      </c>
      <c r="AB272" s="5">
        <f>IF(po_master[[#This Row],[Late Delivery Flag]]="Late Delivery", 1, 0)</f>
        <v>0</v>
      </c>
      <c r="AC272" s="5">
        <f>IF(po_master[[#This Row],[Duplicate Invoice Flag]]="Duplicate Invoice", 1, 0)</f>
        <v>0</v>
      </c>
      <c r="AD272" s="5" t="str">
        <f>TEXT(po_master[[#This Row],[Order Date]],"YYYY-MM")</f>
        <v>2026-04</v>
      </c>
    </row>
    <row r="273" spans="1:30" x14ac:dyDescent="0.25">
      <c r="A273" t="s">
        <v>240</v>
      </c>
      <c r="B273" t="s">
        <v>1488</v>
      </c>
      <c r="C273" s="1">
        <v>46028</v>
      </c>
      <c r="D273">
        <v>176</v>
      </c>
      <c r="E273">
        <v>38.520000000000003</v>
      </c>
      <c r="F273" t="s">
        <v>1494</v>
      </c>
      <c r="G273" s="1">
        <v>46047</v>
      </c>
      <c r="H273">
        <v>176</v>
      </c>
      <c r="I273" s="1">
        <v>46048</v>
      </c>
      <c r="J273" t="s">
        <v>943</v>
      </c>
      <c r="K273">
        <v>176</v>
      </c>
      <c r="L273">
        <v>38.520000000000003</v>
      </c>
      <c r="M273" s="1">
        <v>46057</v>
      </c>
      <c r="N273" t="str">
        <f>IF(po_master[[#This Row],[Approved By]]="", "Missing Approval", "OK")</f>
        <v>OK</v>
      </c>
      <c r="O273" t="str">
        <f>IF(ISBLANK(po_master[[#This Row],[GR Quantity]]), "No GR - Not received", "OK")</f>
        <v>OK</v>
      </c>
      <c r="P273" t="str">
        <f>IF(po_master[[#This Row],[Promised Delivey Date]]&lt;po_master[[#This Row],[Order Date]], "Invalid", "OK")</f>
        <v>OK</v>
      </c>
      <c r="Q273" t="str">
        <f>IF(ISBLANK(po_master[[#This Row],[Invoice Number]]), "No Invoice", "OK")</f>
        <v>OK</v>
      </c>
      <c r="R273" t="str">
        <f>IF(AND(NOT(ISBLANK(po_master[[#This Row],[GR Quantity]])), po_master[[#This Row],[GR Quantity]]&lt;&gt;po_master[[#This Row],[PO Quantity]]), "Qty Variance", "OK")</f>
        <v>OK</v>
      </c>
      <c r="S273" t="str">
        <f>IF(po_master[[#This Row],[Invoice Unit Price]]&gt;po_master[[#This Row],[PO Unit Price]]*1.01, "Price Variance", "OK")</f>
        <v>OK</v>
      </c>
      <c r="T273" t="str">
        <f>IF(po_master[[#This Row],[Actual Delivery Date]]&gt;po_master[[#This Row],[Promised Delivey Date]], "Late Delivery", "OK")</f>
        <v>Late Delivery</v>
      </c>
      <c r="U273" t="str">
        <f>IF(COUNTIF(po_master[PO Number],po_master[[#This Row],[PO Number]])&gt;1, "Duplicate Invoice", "OK")</f>
        <v>OK</v>
      </c>
      <c r="V273" s="5">
        <f>IF(po_master[[#This Row],[Missing Approval]]="Missing Approval", 1, 0)</f>
        <v>0</v>
      </c>
      <c r="W273" s="5">
        <f>IF(po_master[[#This Row],[GR Receipt Status]]="No GR - Not Received", 1, 0)</f>
        <v>0</v>
      </c>
      <c r="X273" s="5">
        <f>IF(po_master[[#This Row],[No invoice]]="No Invoice", 1, 0)</f>
        <v>0</v>
      </c>
      <c r="Y273" s="5">
        <f>IF(po_master[[#This Row],[Date Check]]="Invalid Date", 1, 0)</f>
        <v>0</v>
      </c>
      <c r="Z273" s="5">
        <f>IF(po_master[[#This Row],[Qty Variance Flag]]="Qty Variance", 1, 0)</f>
        <v>0</v>
      </c>
      <c r="AA273" s="5">
        <f>IF(po_master[[#This Row],[Price Variance Flag]]="Price Variance", 1, 0)</f>
        <v>0</v>
      </c>
      <c r="AB273" s="5">
        <f>IF(po_master[[#This Row],[Late Delivery Flag]]="Late Delivery", 1, 0)</f>
        <v>1</v>
      </c>
      <c r="AC273" s="5">
        <f>IF(po_master[[#This Row],[Duplicate Invoice Flag]]="Duplicate Invoice", 1, 0)</f>
        <v>0</v>
      </c>
      <c r="AD273" s="5" t="str">
        <f>TEXT(po_master[[#This Row],[Order Date]],"YYYY-MM")</f>
        <v>2026-01</v>
      </c>
    </row>
    <row r="274" spans="1:30" x14ac:dyDescent="0.25">
      <c r="A274" t="s">
        <v>241</v>
      </c>
      <c r="B274" t="s">
        <v>1449</v>
      </c>
      <c r="C274" s="1">
        <v>46115</v>
      </c>
      <c r="D274">
        <v>55</v>
      </c>
      <c r="E274">
        <v>90.16</v>
      </c>
      <c r="F274" t="s">
        <v>1483</v>
      </c>
      <c r="G274" s="1">
        <v>46127</v>
      </c>
      <c r="H274">
        <v>55</v>
      </c>
      <c r="I274" s="1">
        <v>46129</v>
      </c>
      <c r="J274" t="s">
        <v>944</v>
      </c>
      <c r="K274">
        <v>55</v>
      </c>
      <c r="L274">
        <v>90.16</v>
      </c>
      <c r="M274" s="1">
        <v>46133</v>
      </c>
      <c r="N274" t="str">
        <f>IF(po_master[[#This Row],[Approved By]]="", "Missing Approval", "OK")</f>
        <v>OK</v>
      </c>
      <c r="O274" t="str">
        <f>IF(ISBLANK(po_master[[#This Row],[GR Quantity]]), "No GR - Not received", "OK")</f>
        <v>OK</v>
      </c>
      <c r="P274" t="str">
        <f>IF(po_master[[#This Row],[Promised Delivey Date]]&lt;po_master[[#This Row],[Order Date]], "Invalid", "OK")</f>
        <v>OK</v>
      </c>
      <c r="Q274" t="str">
        <f>IF(ISBLANK(po_master[[#This Row],[Invoice Number]]), "No Invoice", "OK")</f>
        <v>OK</v>
      </c>
      <c r="R274" t="str">
        <f>IF(AND(NOT(ISBLANK(po_master[[#This Row],[GR Quantity]])), po_master[[#This Row],[GR Quantity]]&lt;&gt;po_master[[#This Row],[PO Quantity]]), "Qty Variance", "OK")</f>
        <v>OK</v>
      </c>
      <c r="S274" t="str">
        <f>IF(po_master[[#This Row],[Invoice Unit Price]]&gt;po_master[[#This Row],[PO Unit Price]]*1.01, "Price Variance", "OK")</f>
        <v>OK</v>
      </c>
      <c r="T274" t="str">
        <f>IF(po_master[[#This Row],[Actual Delivery Date]]&gt;po_master[[#This Row],[Promised Delivey Date]], "Late Delivery", "OK")</f>
        <v>Late Delivery</v>
      </c>
      <c r="U274" t="str">
        <f>IF(COUNTIF(po_master[PO Number],po_master[[#This Row],[PO Number]])&gt;1, "Duplicate Invoice", "OK")</f>
        <v>OK</v>
      </c>
      <c r="V274" s="5">
        <f>IF(po_master[[#This Row],[Missing Approval]]="Missing Approval", 1, 0)</f>
        <v>0</v>
      </c>
      <c r="W274" s="5">
        <f>IF(po_master[[#This Row],[GR Receipt Status]]="No GR - Not Received", 1, 0)</f>
        <v>0</v>
      </c>
      <c r="X274" s="5">
        <f>IF(po_master[[#This Row],[No invoice]]="No Invoice", 1, 0)</f>
        <v>0</v>
      </c>
      <c r="Y274" s="5">
        <f>IF(po_master[[#This Row],[Date Check]]="Invalid Date", 1, 0)</f>
        <v>0</v>
      </c>
      <c r="Z274" s="5">
        <f>IF(po_master[[#This Row],[Qty Variance Flag]]="Qty Variance", 1, 0)</f>
        <v>0</v>
      </c>
      <c r="AA274" s="5">
        <f>IF(po_master[[#This Row],[Price Variance Flag]]="Price Variance", 1, 0)</f>
        <v>0</v>
      </c>
      <c r="AB274" s="5">
        <f>IF(po_master[[#This Row],[Late Delivery Flag]]="Late Delivery", 1, 0)</f>
        <v>1</v>
      </c>
      <c r="AC274" s="5">
        <f>IF(po_master[[#This Row],[Duplicate Invoice Flag]]="Duplicate Invoice", 1, 0)</f>
        <v>0</v>
      </c>
      <c r="AD274" s="5" t="str">
        <f>TEXT(po_master[[#This Row],[Order Date]],"YYYY-MM")</f>
        <v>2026-04</v>
      </c>
    </row>
    <row r="275" spans="1:30" x14ac:dyDescent="0.25">
      <c r="A275" t="s">
        <v>242</v>
      </c>
      <c r="B275" t="s">
        <v>1500</v>
      </c>
      <c r="C275" s="1">
        <v>46173</v>
      </c>
      <c r="D275">
        <v>215</v>
      </c>
      <c r="E275">
        <v>107.17</v>
      </c>
      <c r="F275" t="s">
        <v>1453</v>
      </c>
      <c r="G275" s="1">
        <v>46187</v>
      </c>
      <c r="H275">
        <v>215</v>
      </c>
      <c r="I275" s="1">
        <v>46185</v>
      </c>
      <c r="J275" t="s">
        <v>945</v>
      </c>
      <c r="K275">
        <v>215</v>
      </c>
      <c r="L275">
        <v>107.17</v>
      </c>
      <c r="M275" s="1">
        <v>46195</v>
      </c>
      <c r="N275" t="str">
        <f>IF(po_master[[#This Row],[Approved By]]="", "Missing Approval", "OK")</f>
        <v>OK</v>
      </c>
      <c r="O275" t="str">
        <f>IF(ISBLANK(po_master[[#This Row],[GR Quantity]]), "No GR - Not received", "OK")</f>
        <v>OK</v>
      </c>
      <c r="P275" t="str">
        <f>IF(po_master[[#This Row],[Promised Delivey Date]]&lt;po_master[[#This Row],[Order Date]], "Invalid", "OK")</f>
        <v>OK</v>
      </c>
      <c r="Q275" t="str">
        <f>IF(ISBLANK(po_master[[#This Row],[Invoice Number]]), "No Invoice", "OK")</f>
        <v>OK</v>
      </c>
      <c r="R275" t="str">
        <f>IF(AND(NOT(ISBLANK(po_master[[#This Row],[GR Quantity]])), po_master[[#This Row],[GR Quantity]]&lt;&gt;po_master[[#This Row],[PO Quantity]]), "Qty Variance", "OK")</f>
        <v>OK</v>
      </c>
      <c r="S275" t="str">
        <f>IF(po_master[[#This Row],[Invoice Unit Price]]&gt;po_master[[#This Row],[PO Unit Price]]*1.01, "Price Variance", "OK")</f>
        <v>OK</v>
      </c>
      <c r="T275" t="str">
        <f>IF(po_master[[#This Row],[Actual Delivery Date]]&gt;po_master[[#This Row],[Promised Delivey Date]], "Late Delivery", "OK")</f>
        <v>OK</v>
      </c>
      <c r="U275" t="str">
        <f>IF(COUNTIF(po_master[PO Number],po_master[[#This Row],[PO Number]])&gt;1, "Duplicate Invoice", "OK")</f>
        <v>OK</v>
      </c>
      <c r="V275" s="5">
        <f>IF(po_master[[#This Row],[Missing Approval]]="Missing Approval", 1, 0)</f>
        <v>0</v>
      </c>
      <c r="W275" s="5">
        <f>IF(po_master[[#This Row],[GR Receipt Status]]="No GR - Not Received", 1, 0)</f>
        <v>0</v>
      </c>
      <c r="X275" s="5">
        <f>IF(po_master[[#This Row],[No invoice]]="No Invoice", 1, 0)</f>
        <v>0</v>
      </c>
      <c r="Y275" s="5">
        <f>IF(po_master[[#This Row],[Date Check]]="Invalid Date", 1, 0)</f>
        <v>0</v>
      </c>
      <c r="Z275" s="5">
        <f>IF(po_master[[#This Row],[Qty Variance Flag]]="Qty Variance", 1, 0)</f>
        <v>0</v>
      </c>
      <c r="AA275" s="5">
        <f>IF(po_master[[#This Row],[Price Variance Flag]]="Price Variance", 1, 0)</f>
        <v>0</v>
      </c>
      <c r="AB275" s="5">
        <f>IF(po_master[[#This Row],[Late Delivery Flag]]="Late Delivery", 1, 0)</f>
        <v>0</v>
      </c>
      <c r="AC275" s="5">
        <f>IF(po_master[[#This Row],[Duplicate Invoice Flag]]="Duplicate Invoice", 1, 0)</f>
        <v>0</v>
      </c>
      <c r="AD275" s="5" t="str">
        <f>TEXT(po_master[[#This Row],[Order Date]],"YYYY-MM")</f>
        <v>2026-05</v>
      </c>
    </row>
    <row r="276" spans="1:30" x14ac:dyDescent="0.25">
      <c r="A276" t="s">
        <v>243</v>
      </c>
      <c r="B276" t="s">
        <v>1465</v>
      </c>
      <c r="C276" s="1">
        <v>46109</v>
      </c>
      <c r="D276">
        <v>123</v>
      </c>
      <c r="E276">
        <v>69.95</v>
      </c>
      <c r="F276" t="s">
        <v>1501</v>
      </c>
      <c r="G276" s="1">
        <v>46116</v>
      </c>
      <c r="H276">
        <v>123</v>
      </c>
      <c r="I276" s="1">
        <v>46115</v>
      </c>
      <c r="J276" t="s">
        <v>946</v>
      </c>
      <c r="K276">
        <v>123</v>
      </c>
      <c r="L276">
        <v>69.95</v>
      </c>
      <c r="M276" s="1">
        <v>46117</v>
      </c>
      <c r="N276" t="str">
        <f>IF(po_master[[#This Row],[Approved By]]="", "Missing Approval", "OK")</f>
        <v>OK</v>
      </c>
      <c r="O276" t="str">
        <f>IF(ISBLANK(po_master[[#This Row],[GR Quantity]]), "No GR - Not received", "OK")</f>
        <v>OK</v>
      </c>
      <c r="P276" t="str">
        <f>IF(po_master[[#This Row],[Promised Delivey Date]]&lt;po_master[[#This Row],[Order Date]], "Invalid", "OK")</f>
        <v>OK</v>
      </c>
      <c r="Q276" t="str">
        <f>IF(ISBLANK(po_master[[#This Row],[Invoice Number]]), "No Invoice", "OK")</f>
        <v>OK</v>
      </c>
      <c r="R276" t="str">
        <f>IF(AND(NOT(ISBLANK(po_master[[#This Row],[GR Quantity]])), po_master[[#This Row],[GR Quantity]]&lt;&gt;po_master[[#This Row],[PO Quantity]]), "Qty Variance", "OK")</f>
        <v>OK</v>
      </c>
      <c r="S276" t="str">
        <f>IF(po_master[[#This Row],[Invoice Unit Price]]&gt;po_master[[#This Row],[PO Unit Price]]*1.01, "Price Variance", "OK")</f>
        <v>OK</v>
      </c>
      <c r="T276" t="str">
        <f>IF(po_master[[#This Row],[Actual Delivery Date]]&gt;po_master[[#This Row],[Promised Delivey Date]], "Late Delivery", "OK")</f>
        <v>OK</v>
      </c>
      <c r="U276" t="str">
        <f>IF(COUNTIF(po_master[PO Number],po_master[[#This Row],[PO Number]])&gt;1, "Duplicate Invoice", "OK")</f>
        <v>OK</v>
      </c>
      <c r="V276" s="5">
        <f>IF(po_master[[#This Row],[Missing Approval]]="Missing Approval", 1, 0)</f>
        <v>0</v>
      </c>
      <c r="W276" s="5">
        <f>IF(po_master[[#This Row],[GR Receipt Status]]="No GR - Not Received", 1, 0)</f>
        <v>0</v>
      </c>
      <c r="X276" s="5">
        <f>IF(po_master[[#This Row],[No invoice]]="No Invoice", 1, 0)</f>
        <v>0</v>
      </c>
      <c r="Y276" s="5">
        <f>IF(po_master[[#This Row],[Date Check]]="Invalid Date", 1, 0)</f>
        <v>0</v>
      </c>
      <c r="Z276" s="5">
        <f>IF(po_master[[#This Row],[Qty Variance Flag]]="Qty Variance", 1, 0)</f>
        <v>0</v>
      </c>
      <c r="AA276" s="5">
        <f>IF(po_master[[#This Row],[Price Variance Flag]]="Price Variance", 1, 0)</f>
        <v>0</v>
      </c>
      <c r="AB276" s="5">
        <f>IF(po_master[[#This Row],[Late Delivery Flag]]="Late Delivery", 1, 0)</f>
        <v>0</v>
      </c>
      <c r="AC276" s="5">
        <f>IF(po_master[[#This Row],[Duplicate Invoice Flag]]="Duplicate Invoice", 1, 0)</f>
        <v>0</v>
      </c>
      <c r="AD276" s="5" t="str">
        <f>TEXT(po_master[[#This Row],[Order Date]],"YYYY-MM")</f>
        <v>2026-03</v>
      </c>
    </row>
    <row r="277" spans="1:30" x14ac:dyDescent="0.25">
      <c r="A277" t="s">
        <v>244</v>
      </c>
      <c r="B277" t="s">
        <v>1445</v>
      </c>
      <c r="C277" s="1">
        <v>46052</v>
      </c>
      <c r="D277">
        <v>281</v>
      </c>
      <c r="E277">
        <v>104.44</v>
      </c>
      <c r="F277" t="s">
        <v>1456</v>
      </c>
      <c r="G277" s="1">
        <v>46068</v>
      </c>
      <c r="H277">
        <v>281</v>
      </c>
      <c r="I277" s="1">
        <v>46066</v>
      </c>
      <c r="J277" t="s">
        <v>947</v>
      </c>
      <c r="K277">
        <v>281</v>
      </c>
      <c r="L277">
        <v>104.44</v>
      </c>
      <c r="M277" s="1">
        <v>46075</v>
      </c>
      <c r="N277" t="str">
        <f>IF(po_master[[#This Row],[Approved By]]="", "Missing Approval", "OK")</f>
        <v>OK</v>
      </c>
      <c r="O277" t="str">
        <f>IF(ISBLANK(po_master[[#This Row],[GR Quantity]]), "No GR - Not received", "OK")</f>
        <v>OK</v>
      </c>
      <c r="P277" t="str">
        <f>IF(po_master[[#This Row],[Promised Delivey Date]]&lt;po_master[[#This Row],[Order Date]], "Invalid", "OK")</f>
        <v>OK</v>
      </c>
      <c r="Q277" t="str">
        <f>IF(ISBLANK(po_master[[#This Row],[Invoice Number]]), "No Invoice", "OK")</f>
        <v>OK</v>
      </c>
      <c r="R277" t="str">
        <f>IF(AND(NOT(ISBLANK(po_master[[#This Row],[GR Quantity]])), po_master[[#This Row],[GR Quantity]]&lt;&gt;po_master[[#This Row],[PO Quantity]]), "Qty Variance", "OK")</f>
        <v>OK</v>
      </c>
      <c r="S277" t="str">
        <f>IF(po_master[[#This Row],[Invoice Unit Price]]&gt;po_master[[#This Row],[PO Unit Price]]*1.01, "Price Variance", "OK")</f>
        <v>OK</v>
      </c>
      <c r="T277" t="str">
        <f>IF(po_master[[#This Row],[Actual Delivery Date]]&gt;po_master[[#This Row],[Promised Delivey Date]], "Late Delivery", "OK")</f>
        <v>OK</v>
      </c>
      <c r="U277" t="str">
        <f>IF(COUNTIF(po_master[PO Number],po_master[[#This Row],[PO Number]])&gt;1, "Duplicate Invoice", "OK")</f>
        <v>OK</v>
      </c>
      <c r="V277" s="5">
        <f>IF(po_master[[#This Row],[Missing Approval]]="Missing Approval", 1, 0)</f>
        <v>0</v>
      </c>
      <c r="W277" s="5">
        <f>IF(po_master[[#This Row],[GR Receipt Status]]="No GR - Not Received", 1, 0)</f>
        <v>0</v>
      </c>
      <c r="X277" s="5">
        <f>IF(po_master[[#This Row],[No invoice]]="No Invoice", 1, 0)</f>
        <v>0</v>
      </c>
      <c r="Y277" s="5">
        <f>IF(po_master[[#This Row],[Date Check]]="Invalid Date", 1, 0)</f>
        <v>0</v>
      </c>
      <c r="Z277" s="5">
        <f>IF(po_master[[#This Row],[Qty Variance Flag]]="Qty Variance", 1, 0)</f>
        <v>0</v>
      </c>
      <c r="AA277" s="5">
        <f>IF(po_master[[#This Row],[Price Variance Flag]]="Price Variance", 1, 0)</f>
        <v>0</v>
      </c>
      <c r="AB277" s="5">
        <f>IF(po_master[[#This Row],[Late Delivery Flag]]="Late Delivery", 1, 0)</f>
        <v>0</v>
      </c>
      <c r="AC277" s="5">
        <f>IF(po_master[[#This Row],[Duplicate Invoice Flag]]="Duplicate Invoice", 1, 0)</f>
        <v>0</v>
      </c>
      <c r="AD277" s="5" t="str">
        <f>TEXT(po_master[[#This Row],[Order Date]],"YYYY-MM")</f>
        <v>2026-01</v>
      </c>
    </row>
    <row r="278" spans="1:30" x14ac:dyDescent="0.25">
      <c r="A278" t="s">
        <v>245</v>
      </c>
      <c r="B278" t="s">
        <v>1503</v>
      </c>
      <c r="C278" s="1">
        <v>46060</v>
      </c>
      <c r="D278">
        <v>130</v>
      </c>
      <c r="E278">
        <v>25.05</v>
      </c>
      <c r="F278" t="s">
        <v>1458</v>
      </c>
      <c r="G278" s="1">
        <v>46071</v>
      </c>
      <c r="H278">
        <v>130</v>
      </c>
      <c r="I278" s="1">
        <v>46072</v>
      </c>
      <c r="J278" t="s">
        <v>948</v>
      </c>
      <c r="K278">
        <v>130</v>
      </c>
      <c r="L278">
        <v>25.05</v>
      </c>
      <c r="M278" s="1">
        <v>46077</v>
      </c>
      <c r="N278" t="str">
        <f>IF(po_master[[#This Row],[Approved By]]="", "Missing Approval", "OK")</f>
        <v>OK</v>
      </c>
      <c r="O278" t="str">
        <f>IF(ISBLANK(po_master[[#This Row],[GR Quantity]]), "No GR - Not received", "OK")</f>
        <v>OK</v>
      </c>
      <c r="P278" t="str">
        <f>IF(po_master[[#This Row],[Promised Delivey Date]]&lt;po_master[[#This Row],[Order Date]], "Invalid", "OK")</f>
        <v>OK</v>
      </c>
      <c r="Q278" t="str">
        <f>IF(ISBLANK(po_master[[#This Row],[Invoice Number]]), "No Invoice", "OK")</f>
        <v>OK</v>
      </c>
      <c r="R278" t="str">
        <f>IF(AND(NOT(ISBLANK(po_master[[#This Row],[GR Quantity]])), po_master[[#This Row],[GR Quantity]]&lt;&gt;po_master[[#This Row],[PO Quantity]]), "Qty Variance", "OK")</f>
        <v>OK</v>
      </c>
      <c r="S278" t="str">
        <f>IF(po_master[[#This Row],[Invoice Unit Price]]&gt;po_master[[#This Row],[PO Unit Price]]*1.01, "Price Variance", "OK")</f>
        <v>OK</v>
      </c>
      <c r="T278" t="str">
        <f>IF(po_master[[#This Row],[Actual Delivery Date]]&gt;po_master[[#This Row],[Promised Delivey Date]], "Late Delivery", "OK")</f>
        <v>Late Delivery</v>
      </c>
      <c r="U278" t="str">
        <f>IF(COUNTIF(po_master[PO Number],po_master[[#This Row],[PO Number]])&gt;1, "Duplicate Invoice", "OK")</f>
        <v>OK</v>
      </c>
      <c r="V278" s="5">
        <f>IF(po_master[[#This Row],[Missing Approval]]="Missing Approval", 1, 0)</f>
        <v>0</v>
      </c>
      <c r="W278" s="5">
        <f>IF(po_master[[#This Row],[GR Receipt Status]]="No GR - Not Received", 1, 0)</f>
        <v>0</v>
      </c>
      <c r="X278" s="5">
        <f>IF(po_master[[#This Row],[No invoice]]="No Invoice", 1, 0)</f>
        <v>0</v>
      </c>
      <c r="Y278" s="5">
        <f>IF(po_master[[#This Row],[Date Check]]="Invalid Date", 1, 0)</f>
        <v>0</v>
      </c>
      <c r="Z278" s="5">
        <f>IF(po_master[[#This Row],[Qty Variance Flag]]="Qty Variance", 1, 0)</f>
        <v>0</v>
      </c>
      <c r="AA278" s="5">
        <f>IF(po_master[[#This Row],[Price Variance Flag]]="Price Variance", 1, 0)</f>
        <v>0</v>
      </c>
      <c r="AB278" s="5">
        <f>IF(po_master[[#This Row],[Late Delivery Flag]]="Late Delivery", 1, 0)</f>
        <v>1</v>
      </c>
      <c r="AC278" s="5">
        <f>IF(po_master[[#This Row],[Duplicate Invoice Flag]]="Duplicate Invoice", 1, 0)</f>
        <v>0</v>
      </c>
      <c r="AD278" s="5" t="str">
        <f>TEXT(po_master[[#This Row],[Order Date]],"YYYY-MM")</f>
        <v>2026-02</v>
      </c>
    </row>
    <row r="279" spans="1:30" x14ac:dyDescent="0.25">
      <c r="A279" t="s">
        <v>246</v>
      </c>
      <c r="B279" t="s">
        <v>1486</v>
      </c>
      <c r="C279" s="1">
        <v>46062</v>
      </c>
      <c r="D279">
        <v>399</v>
      </c>
      <c r="E279">
        <v>153.03</v>
      </c>
      <c r="F279" t="s">
        <v>1476</v>
      </c>
      <c r="G279" s="1">
        <v>46072</v>
      </c>
      <c r="H279">
        <v>399</v>
      </c>
      <c r="I279" s="1">
        <v>46085</v>
      </c>
      <c r="J279" t="s">
        <v>949</v>
      </c>
      <c r="K279">
        <v>399</v>
      </c>
      <c r="L279">
        <v>153.03</v>
      </c>
      <c r="M279" s="1">
        <v>46075</v>
      </c>
      <c r="N279" t="str">
        <f>IF(po_master[[#This Row],[Approved By]]="", "Missing Approval", "OK")</f>
        <v>OK</v>
      </c>
      <c r="O279" t="str">
        <f>IF(ISBLANK(po_master[[#This Row],[GR Quantity]]), "No GR - Not received", "OK")</f>
        <v>OK</v>
      </c>
      <c r="P279" t="str">
        <f>IF(po_master[[#This Row],[Promised Delivey Date]]&lt;po_master[[#This Row],[Order Date]], "Invalid", "OK")</f>
        <v>OK</v>
      </c>
      <c r="Q279" t="str">
        <f>IF(ISBLANK(po_master[[#This Row],[Invoice Number]]), "No Invoice", "OK")</f>
        <v>OK</v>
      </c>
      <c r="R279" t="str">
        <f>IF(AND(NOT(ISBLANK(po_master[[#This Row],[GR Quantity]])), po_master[[#This Row],[GR Quantity]]&lt;&gt;po_master[[#This Row],[PO Quantity]]), "Qty Variance", "OK")</f>
        <v>OK</v>
      </c>
      <c r="S279" t="str">
        <f>IF(po_master[[#This Row],[Invoice Unit Price]]&gt;po_master[[#This Row],[PO Unit Price]]*1.01, "Price Variance", "OK")</f>
        <v>OK</v>
      </c>
      <c r="T279" t="str">
        <f>IF(po_master[[#This Row],[Actual Delivery Date]]&gt;po_master[[#This Row],[Promised Delivey Date]], "Late Delivery", "OK")</f>
        <v>Late Delivery</v>
      </c>
      <c r="U279" t="str">
        <f>IF(COUNTIF(po_master[PO Number],po_master[[#This Row],[PO Number]])&gt;1, "Duplicate Invoice", "OK")</f>
        <v>OK</v>
      </c>
      <c r="V279" s="5">
        <f>IF(po_master[[#This Row],[Missing Approval]]="Missing Approval", 1, 0)</f>
        <v>0</v>
      </c>
      <c r="W279" s="5">
        <f>IF(po_master[[#This Row],[GR Receipt Status]]="No GR - Not Received", 1, 0)</f>
        <v>0</v>
      </c>
      <c r="X279" s="5">
        <f>IF(po_master[[#This Row],[No invoice]]="No Invoice", 1, 0)</f>
        <v>0</v>
      </c>
      <c r="Y279" s="5">
        <f>IF(po_master[[#This Row],[Date Check]]="Invalid Date", 1, 0)</f>
        <v>0</v>
      </c>
      <c r="Z279" s="5">
        <f>IF(po_master[[#This Row],[Qty Variance Flag]]="Qty Variance", 1, 0)</f>
        <v>0</v>
      </c>
      <c r="AA279" s="5">
        <f>IF(po_master[[#This Row],[Price Variance Flag]]="Price Variance", 1, 0)</f>
        <v>0</v>
      </c>
      <c r="AB279" s="5">
        <f>IF(po_master[[#This Row],[Late Delivery Flag]]="Late Delivery", 1, 0)</f>
        <v>1</v>
      </c>
      <c r="AC279" s="5">
        <f>IF(po_master[[#This Row],[Duplicate Invoice Flag]]="Duplicate Invoice", 1, 0)</f>
        <v>0</v>
      </c>
      <c r="AD279" s="5" t="str">
        <f>TEXT(po_master[[#This Row],[Order Date]],"YYYY-MM")</f>
        <v>2026-02</v>
      </c>
    </row>
    <row r="280" spans="1:30" x14ac:dyDescent="0.25">
      <c r="A280" t="s">
        <v>247</v>
      </c>
      <c r="B280" t="s">
        <v>1461</v>
      </c>
      <c r="C280" s="1">
        <v>46167</v>
      </c>
      <c r="D280">
        <v>339</v>
      </c>
      <c r="E280">
        <v>128.88</v>
      </c>
      <c r="F280" t="s">
        <v>1494</v>
      </c>
      <c r="G280" s="1">
        <v>46182</v>
      </c>
      <c r="H280">
        <v>339</v>
      </c>
      <c r="I280" s="1">
        <v>46180</v>
      </c>
      <c r="J280" t="s">
        <v>952</v>
      </c>
      <c r="K280">
        <v>339</v>
      </c>
      <c r="L280">
        <v>128.88</v>
      </c>
      <c r="M280" s="1">
        <v>46191</v>
      </c>
      <c r="N280" t="str">
        <f>IF(po_master[[#This Row],[Approved By]]="", "Missing Approval", "OK")</f>
        <v>OK</v>
      </c>
      <c r="O280" t="str">
        <f>IF(ISBLANK(po_master[[#This Row],[GR Quantity]]), "No GR - Not received", "OK")</f>
        <v>OK</v>
      </c>
      <c r="P280" t="str">
        <f>IF(po_master[[#This Row],[Promised Delivey Date]]&lt;po_master[[#This Row],[Order Date]], "Invalid", "OK")</f>
        <v>OK</v>
      </c>
      <c r="Q280" t="str">
        <f>IF(ISBLANK(po_master[[#This Row],[Invoice Number]]), "No Invoice", "OK")</f>
        <v>OK</v>
      </c>
      <c r="R280" t="str">
        <f>IF(AND(NOT(ISBLANK(po_master[[#This Row],[GR Quantity]])), po_master[[#This Row],[GR Quantity]]&lt;&gt;po_master[[#This Row],[PO Quantity]]), "Qty Variance", "OK")</f>
        <v>OK</v>
      </c>
      <c r="S280" t="str">
        <f>IF(po_master[[#This Row],[Invoice Unit Price]]&gt;po_master[[#This Row],[PO Unit Price]]*1.01, "Price Variance", "OK")</f>
        <v>OK</v>
      </c>
      <c r="T280" t="str">
        <f>IF(po_master[[#This Row],[Actual Delivery Date]]&gt;po_master[[#This Row],[Promised Delivey Date]], "Late Delivery", "OK")</f>
        <v>OK</v>
      </c>
      <c r="U280" t="str">
        <f>IF(COUNTIF(po_master[PO Number],po_master[[#This Row],[PO Number]])&gt;1, "Duplicate Invoice", "OK")</f>
        <v>OK</v>
      </c>
      <c r="V280" s="5">
        <f>IF(po_master[[#This Row],[Missing Approval]]="Missing Approval", 1, 0)</f>
        <v>0</v>
      </c>
      <c r="W280" s="5">
        <f>IF(po_master[[#This Row],[GR Receipt Status]]="No GR - Not Received", 1, 0)</f>
        <v>0</v>
      </c>
      <c r="X280" s="5">
        <f>IF(po_master[[#This Row],[No invoice]]="No Invoice", 1, 0)</f>
        <v>0</v>
      </c>
      <c r="Y280" s="5">
        <f>IF(po_master[[#This Row],[Date Check]]="Invalid Date", 1, 0)</f>
        <v>0</v>
      </c>
      <c r="Z280" s="5">
        <f>IF(po_master[[#This Row],[Qty Variance Flag]]="Qty Variance", 1, 0)</f>
        <v>0</v>
      </c>
      <c r="AA280" s="5">
        <f>IF(po_master[[#This Row],[Price Variance Flag]]="Price Variance", 1, 0)</f>
        <v>0</v>
      </c>
      <c r="AB280" s="5">
        <f>IF(po_master[[#This Row],[Late Delivery Flag]]="Late Delivery", 1, 0)</f>
        <v>0</v>
      </c>
      <c r="AC280" s="5">
        <f>IF(po_master[[#This Row],[Duplicate Invoice Flag]]="Duplicate Invoice", 1, 0)</f>
        <v>0</v>
      </c>
      <c r="AD280" s="5" t="str">
        <f>TEXT(po_master[[#This Row],[Order Date]],"YYYY-MM")</f>
        <v>2026-05</v>
      </c>
    </row>
    <row r="281" spans="1:30" x14ac:dyDescent="0.25">
      <c r="A281" t="s">
        <v>248</v>
      </c>
      <c r="B281" t="s">
        <v>1439</v>
      </c>
      <c r="C281" s="1">
        <v>46103</v>
      </c>
      <c r="D281">
        <v>87</v>
      </c>
      <c r="E281">
        <v>90.75</v>
      </c>
      <c r="F281" t="s">
        <v>1487</v>
      </c>
      <c r="G281" s="1">
        <v>46122</v>
      </c>
      <c r="H281">
        <v>87</v>
      </c>
      <c r="I281" s="1">
        <v>46123</v>
      </c>
      <c r="J281" t="s">
        <v>953</v>
      </c>
      <c r="K281">
        <v>87</v>
      </c>
      <c r="L281">
        <v>90.75</v>
      </c>
      <c r="M281" s="1">
        <v>46123</v>
      </c>
      <c r="N281" t="str">
        <f>IF(po_master[[#This Row],[Approved By]]="", "Missing Approval", "OK")</f>
        <v>OK</v>
      </c>
      <c r="O281" t="str">
        <f>IF(ISBLANK(po_master[[#This Row],[GR Quantity]]), "No GR - Not received", "OK")</f>
        <v>OK</v>
      </c>
      <c r="P281" t="str">
        <f>IF(po_master[[#This Row],[Promised Delivey Date]]&lt;po_master[[#This Row],[Order Date]], "Invalid", "OK")</f>
        <v>OK</v>
      </c>
      <c r="Q281" t="str">
        <f>IF(ISBLANK(po_master[[#This Row],[Invoice Number]]), "No Invoice", "OK")</f>
        <v>OK</v>
      </c>
      <c r="R281" t="str">
        <f>IF(AND(NOT(ISBLANK(po_master[[#This Row],[GR Quantity]])), po_master[[#This Row],[GR Quantity]]&lt;&gt;po_master[[#This Row],[PO Quantity]]), "Qty Variance", "OK")</f>
        <v>OK</v>
      </c>
      <c r="S281" t="str">
        <f>IF(po_master[[#This Row],[Invoice Unit Price]]&gt;po_master[[#This Row],[PO Unit Price]]*1.01, "Price Variance", "OK")</f>
        <v>OK</v>
      </c>
      <c r="T281" t="str">
        <f>IF(po_master[[#This Row],[Actual Delivery Date]]&gt;po_master[[#This Row],[Promised Delivey Date]], "Late Delivery", "OK")</f>
        <v>Late Delivery</v>
      </c>
      <c r="U281" t="str">
        <f>IF(COUNTIF(po_master[PO Number],po_master[[#This Row],[PO Number]])&gt;1, "Duplicate Invoice", "OK")</f>
        <v>OK</v>
      </c>
      <c r="V281" s="5">
        <f>IF(po_master[[#This Row],[Missing Approval]]="Missing Approval", 1, 0)</f>
        <v>0</v>
      </c>
      <c r="W281" s="5">
        <f>IF(po_master[[#This Row],[GR Receipt Status]]="No GR - Not Received", 1, 0)</f>
        <v>0</v>
      </c>
      <c r="X281" s="5">
        <f>IF(po_master[[#This Row],[No invoice]]="No Invoice", 1, 0)</f>
        <v>0</v>
      </c>
      <c r="Y281" s="5">
        <f>IF(po_master[[#This Row],[Date Check]]="Invalid Date", 1, 0)</f>
        <v>0</v>
      </c>
      <c r="Z281" s="5">
        <f>IF(po_master[[#This Row],[Qty Variance Flag]]="Qty Variance", 1, 0)</f>
        <v>0</v>
      </c>
      <c r="AA281" s="5">
        <f>IF(po_master[[#This Row],[Price Variance Flag]]="Price Variance", 1, 0)</f>
        <v>0</v>
      </c>
      <c r="AB281" s="5">
        <f>IF(po_master[[#This Row],[Late Delivery Flag]]="Late Delivery", 1, 0)</f>
        <v>1</v>
      </c>
      <c r="AC281" s="5">
        <f>IF(po_master[[#This Row],[Duplicate Invoice Flag]]="Duplicate Invoice", 1, 0)</f>
        <v>0</v>
      </c>
      <c r="AD281" s="5" t="str">
        <f>TEXT(po_master[[#This Row],[Order Date]],"YYYY-MM")</f>
        <v>2026-03</v>
      </c>
    </row>
    <row r="282" spans="1:30" x14ac:dyDescent="0.25">
      <c r="A282" t="s">
        <v>249</v>
      </c>
      <c r="B282" t="s">
        <v>1439</v>
      </c>
      <c r="C282" s="1">
        <v>46100</v>
      </c>
      <c r="D282">
        <v>417</v>
      </c>
      <c r="E282">
        <v>58.56</v>
      </c>
      <c r="F282" t="s">
        <v>1462</v>
      </c>
      <c r="G282" s="1">
        <v>46116</v>
      </c>
      <c r="H282">
        <v>417</v>
      </c>
      <c r="I282" s="1">
        <v>46114</v>
      </c>
      <c r="J282" t="s">
        <v>954</v>
      </c>
      <c r="K282">
        <v>417</v>
      </c>
      <c r="L282">
        <v>58.56</v>
      </c>
      <c r="M282" s="1">
        <v>46125</v>
      </c>
      <c r="N282" t="str">
        <f>IF(po_master[[#This Row],[Approved By]]="", "Missing Approval", "OK")</f>
        <v>OK</v>
      </c>
      <c r="O282" t="str">
        <f>IF(ISBLANK(po_master[[#This Row],[GR Quantity]]), "No GR - Not received", "OK")</f>
        <v>OK</v>
      </c>
      <c r="P282" t="str">
        <f>IF(po_master[[#This Row],[Promised Delivey Date]]&lt;po_master[[#This Row],[Order Date]], "Invalid", "OK")</f>
        <v>OK</v>
      </c>
      <c r="Q282" t="str">
        <f>IF(ISBLANK(po_master[[#This Row],[Invoice Number]]), "No Invoice", "OK")</f>
        <v>OK</v>
      </c>
      <c r="R282" t="str">
        <f>IF(AND(NOT(ISBLANK(po_master[[#This Row],[GR Quantity]])), po_master[[#This Row],[GR Quantity]]&lt;&gt;po_master[[#This Row],[PO Quantity]]), "Qty Variance", "OK")</f>
        <v>OK</v>
      </c>
      <c r="S282" t="str">
        <f>IF(po_master[[#This Row],[Invoice Unit Price]]&gt;po_master[[#This Row],[PO Unit Price]]*1.01, "Price Variance", "OK")</f>
        <v>OK</v>
      </c>
      <c r="T282" t="str">
        <f>IF(po_master[[#This Row],[Actual Delivery Date]]&gt;po_master[[#This Row],[Promised Delivey Date]], "Late Delivery", "OK")</f>
        <v>OK</v>
      </c>
      <c r="U282" t="str">
        <f>IF(COUNTIF(po_master[PO Number],po_master[[#This Row],[PO Number]])&gt;1, "Duplicate Invoice", "OK")</f>
        <v>OK</v>
      </c>
      <c r="V282" s="5">
        <f>IF(po_master[[#This Row],[Missing Approval]]="Missing Approval", 1, 0)</f>
        <v>0</v>
      </c>
      <c r="W282" s="5">
        <f>IF(po_master[[#This Row],[GR Receipt Status]]="No GR - Not Received", 1, 0)</f>
        <v>0</v>
      </c>
      <c r="X282" s="5">
        <f>IF(po_master[[#This Row],[No invoice]]="No Invoice", 1, 0)</f>
        <v>0</v>
      </c>
      <c r="Y282" s="5">
        <f>IF(po_master[[#This Row],[Date Check]]="Invalid Date", 1, 0)</f>
        <v>0</v>
      </c>
      <c r="Z282" s="5">
        <f>IF(po_master[[#This Row],[Qty Variance Flag]]="Qty Variance", 1, 0)</f>
        <v>0</v>
      </c>
      <c r="AA282" s="5">
        <f>IF(po_master[[#This Row],[Price Variance Flag]]="Price Variance", 1, 0)</f>
        <v>0</v>
      </c>
      <c r="AB282" s="5">
        <f>IF(po_master[[#This Row],[Late Delivery Flag]]="Late Delivery", 1, 0)</f>
        <v>0</v>
      </c>
      <c r="AC282" s="5">
        <f>IF(po_master[[#This Row],[Duplicate Invoice Flag]]="Duplicate Invoice", 1, 0)</f>
        <v>0</v>
      </c>
      <c r="AD282" s="5" t="str">
        <f>TEXT(po_master[[#This Row],[Order Date]],"YYYY-MM")</f>
        <v>2026-03</v>
      </c>
    </row>
    <row r="283" spans="1:30" x14ac:dyDescent="0.25">
      <c r="A283" t="s">
        <v>250</v>
      </c>
      <c r="B283" t="s">
        <v>1445</v>
      </c>
      <c r="C283" s="1">
        <v>46041</v>
      </c>
      <c r="D283">
        <v>168</v>
      </c>
      <c r="E283">
        <v>95.04</v>
      </c>
      <c r="F283" t="s">
        <v>1462</v>
      </c>
      <c r="G283" s="1">
        <v>46047</v>
      </c>
      <c r="H283">
        <v>168</v>
      </c>
      <c r="I283" s="1">
        <v>46049</v>
      </c>
      <c r="J283" t="s">
        <v>955</v>
      </c>
      <c r="K283">
        <v>168</v>
      </c>
      <c r="L283">
        <v>95.04</v>
      </c>
      <c r="M283" s="1">
        <v>46051</v>
      </c>
      <c r="N283" t="str">
        <f>IF(po_master[[#This Row],[Approved By]]="", "Missing Approval", "OK")</f>
        <v>OK</v>
      </c>
      <c r="O283" t="str">
        <f>IF(ISBLANK(po_master[[#This Row],[GR Quantity]]), "No GR - Not received", "OK")</f>
        <v>OK</v>
      </c>
      <c r="P283" t="str">
        <f>IF(po_master[[#This Row],[Promised Delivey Date]]&lt;po_master[[#This Row],[Order Date]], "Invalid", "OK")</f>
        <v>OK</v>
      </c>
      <c r="Q283" t="str">
        <f>IF(ISBLANK(po_master[[#This Row],[Invoice Number]]), "No Invoice", "OK")</f>
        <v>OK</v>
      </c>
      <c r="R283" t="str">
        <f>IF(AND(NOT(ISBLANK(po_master[[#This Row],[GR Quantity]])), po_master[[#This Row],[GR Quantity]]&lt;&gt;po_master[[#This Row],[PO Quantity]]), "Qty Variance", "OK")</f>
        <v>OK</v>
      </c>
      <c r="S283" t="str">
        <f>IF(po_master[[#This Row],[Invoice Unit Price]]&gt;po_master[[#This Row],[PO Unit Price]]*1.01, "Price Variance", "OK")</f>
        <v>OK</v>
      </c>
      <c r="T283" t="str">
        <f>IF(po_master[[#This Row],[Actual Delivery Date]]&gt;po_master[[#This Row],[Promised Delivey Date]], "Late Delivery", "OK")</f>
        <v>Late Delivery</v>
      </c>
      <c r="U283" t="str">
        <f>IF(COUNTIF(po_master[PO Number],po_master[[#This Row],[PO Number]])&gt;1, "Duplicate Invoice", "OK")</f>
        <v>OK</v>
      </c>
      <c r="V283" s="5">
        <f>IF(po_master[[#This Row],[Missing Approval]]="Missing Approval", 1, 0)</f>
        <v>0</v>
      </c>
      <c r="W283" s="5">
        <f>IF(po_master[[#This Row],[GR Receipt Status]]="No GR - Not Received", 1, 0)</f>
        <v>0</v>
      </c>
      <c r="X283" s="5">
        <f>IF(po_master[[#This Row],[No invoice]]="No Invoice", 1, 0)</f>
        <v>0</v>
      </c>
      <c r="Y283" s="5">
        <f>IF(po_master[[#This Row],[Date Check]]="Invalid Date", 1, 0)</f>
        <v>0</v>
      </c>
      <c r="Z283" s="5">
        <f>IF(po_master[[#This Row],[Qty Variance Flag]]="Qty Variance", 1, 0)</f>
        <v>0</v>
      </c>
      <c r="AA283" s="5">
        <f>IF(po_master[[#This Row],[Price Variance Flag]]="Price Variance", 1, 0)</f>
        <v>0</v>
      </c>
      <c r="AB283" s="5">
        <f>IF(po_master[[#This Row],[Late Delivery Flag]]="Late Delivery", 1, 0)</f>
        <v>1</v>
      </c>
      <c r="AC283" s="5">
        <f>IF(po_master[[#This Row],[Duplicate Invoice Flag]]="Duplicate Invoice", 1, 0)</f>
        <v>0</v>
      </c>
      <c r="AD283" s="5" t="str">
        <f>TEXT(po_master[[#This Row],[Order Date]],"YYYY-MM")</f>
        <v>2026-01</v>
      </c>
    </row>
    <row r="284" spans="1:30" x14ac:dyDescent="0.25">
      <c r="A284" t="s">
        <v>251</v>
      </c>
      <c r="B284" t="s">
        <v>1496</v>
      </c>
      <c r="C284" s="1">
        <v>46096</v>
      </c>
      <c r="D284">
        <v>49</v>
      </c>
      <c r="E284">
        <v>130.71</v>
      </c>
      <c r="F284" t="s">
        <v>1476</v>
      </c>
      <c r="G284" s="1">
        <v>46117</v>
      </c>
      <c r="H284">
        <v>49</v>
      </c>
      <c r="I284" s="1">
        <v>46115</v>
      </c>
      <c r="J284" t="s">
        <v>956</v>
      </c>
      <c r="K284">
        <v>49</v>
      </c>
      <c r="L284">
        <v>130.71</v>
      </c>
      <c r="M284" s="1">
        <v>46121</v>
      </c>
      <c r="N284" t="str">
        <f>IF(po_master[[#This Row],[Approved By]]="", "Missing Approval", "OK")</f>
        <v>OK</v>
      </c>
      <c r="O284" t="str">
        <f>IF(ISBLANK(po_master[[#This Row],[GR Quantity]]), "No GR - Not received", "OK")</f>
        <v>OK</v>
      </c>
      <c r="P284" t="str">
        <f>IF(po_master[[#This Row],[Promised Delivey Date]]&lt;po_master[[#This Row],[Order Date]], "Invalid", "OK")</f>
        <v>OK</v>
      </c>
      <c r="Q284" t="str">
        <f>IF(ISBLANK(po_master[[#This Row],[Invoice Number]]), "No Invoice", "OK")</f>
        <v>OK</v>
      </c>
      <c r="R284" t="str">
        <f>IF(AND(NOT(ISBLANK(po_master[[#This Row],[GR Quantity]])), po_master[[#This Row],[GR Quantity]]&lt;&gt;po_master[[#This Row],[PO Quantity]]), "Qty Variance", "OK")</f>
        <v>OK</v>
      </c>
      <c r="S284" t="str">
        <f>IF(po_master[[#This Row],[Invoice Unit Price]]&gt;po_master[[#This Row],[PO Unit Price]]*1.01, "Price Variance", "OK")</f>
        <v>OK</v>
      </c>
      <c r="T284" t="str">
        <f>IF(po_master[[#This Row],[Actual Delivery Date]]&gt;po_master[[#This Row],[Promised Delivey Date]], "Late Delivery", "OK")</f>
        <v>OK</v>
      </c>
      <c r="U284" t="str">
        <f>IF(COUNTIF(po_master[PO Number],po_master[[#This Row],[PO Number]])&gt;1, "Duplicate Invoice", "OK")</f>
        <v>OK</v>
      </c>
      <c r="V284" s="5">
        <f>IF(po_master[[#This Row],[Missing Approval]]="Missing Approval", 1, 0)</f>
        <v>0</v>
      </c>
      <c r="W284" s="5">
        <f>IF(po_master[[#This Row],[GR Receipt Status]]="No GR - Not Received", 1, 0)</f>
        <v>0</v>
      </c>
      <c r="X284" s="5">
        <f>IF(po_master[[#This Row],[No invoice]]="No Invoice", 1, 0)</f>
        <v>0</v>
      </c>
      <c r="Y284" s="5">
        <f>IF(po_master[[#This Row],[Date Check]]="Invalid Date", 1, 0)</f>
        <v>0</v>
      </c>
      <c r="Z284" s="5">
        <f>IF(po_master[[#This Row],[Qty Variance Flag]]="Qty Variance", 1, 0)</f>
        <v>0</v>
      </c>
      <c r="AA284" s="5">
        <f>IF(po_master[[#This Row],[Price Variance Flag]]="Price Variance", 1, 0)</f>
        <v>0</v>
      </c>
      <c r="AB284" s="5">
        <f>IF(po_master[[#This Row],[Late Delivery Flag]]="Late Delivery", 1, 0)</f>
        <v>0</v>
      </c>
      <c r="AC284" s="5">
        <f>IF(po_master[[#This Row],[Duplicate Invoice Flag]]="Duplicate Invoice", 1, 0)</f>
        <v>0</v>
      </c>
      <c r="AD284" s="5" t="str">
        <f>TEXT(po_master[[#This Row],[Order Date]],"YYYY-MM")</f>
        <v>2026-03</v>
      </c>
    </row>
    <row r="285" spans="1:30" x14ac:dyDescent="0.25">
      <c r="A285" t="s">
        <v>252</v>
      </c>
      <c r="B285" t="s">
        <v>1478</v>
      </c>
      <c r="C285" s="1">
        <v>46169</v>
      </c>
      <c r="D285">
        <v>343</v>
      </c>
      <c r="E285">
        <v>41.71</v>
      </c>
      <c r="F285" t="s">
        <v>1494</v>
      </c>
      <c r="G285" s="1">
        <v>46189</v>
      </c>
      <c r="H285">
        <v>343</v>
      </c>
      <c r="I285" s="1">
        <v>46191</v>
      </c>
      <c r="J285" t="s">
        <v>959</v>
      </c>
      <c r="K285">
        <v>343</v>
      </c>
      <c r="L285">
        <v>41.71</v>
      </c>
      <c r="M285" s="1">
        <v>46199</v>
      </c>
      <c r="N285" t="str">
        <f>IF(po_master[[#This Row],[Approved By]]="", "Missing Approval", "OK")</f>
        <v>OK</v>
      </c>
      <c r="O285" t="str">
        <f>IF(ISBLANK(po_master[[#This Row],[GR Quantity]]), "No GR - Not received", "OK")</f>
        <v>OK</v>
      </c>
      <c r="P285" t="str">
        <f>IF(po_master[[#This Row],[Promised Delivey Date]]&lt;po_master[[#This Row],[Order Date]], "Invalid", "OK")</f>
        <v>OK</v>
      </c>
      <c r="Q285" t="str">
        <f>IF(ISBLANK(po_master[[#This Row],[Invoice Number]]), "No Invoice", "OK")</f>
        <v>OK</v>
      </c>
      <c r="R285" t="str">
        <f>IF(AND(NOT(ISBLANK(po_master[[#This Row],[GR Quantity]])), po_master[[#This Row],[GR Quantity]]&lt;&gt;po_master[[#This Row],[PO Quantity]]), "Qty Variance", "OK")</f>
        <v>OK</v>
      </c>
      <c r="S285" t="str">
        <f>IF(po_master[[#This Row],[Invoice Unit Price]]&gt;po_master[[#This Row],[PO Unit Price]]*1.01, "Price Variance", "OK")</f>
        <v>OK</v>
      </c>
      <c r="T285" t="str">
        <f>IF(po_master[[#This Row],[Actual Delivery Date]]&gt;po_master[[#This Row],[Promised Delivey Date]], "Late Delivery", "OK")</f>
        <v>Late Delivery</v>
      </c>
      <c r="U285" t="str">
        <f>IF(COUNTIF(po_master[PO Number],po_master[[#This Row],[PO Number]])&gt;1, "Duplicate Invoice", "OK")</f>
        <v>OK</v>
      </c>
      <c r="V285" s="5">
        <f>IF(po_master[[#This Row],[Missing Approval]]="Missing Approval", 1, 0)</f>
        <v>0</v>
      </c>
      <c r="W285" s="5">
        <f>IF(po_master[[#This Row],[GR Receipt Status]]="No GR - Not Received", 1, 0)</f>
        <v>0</v>
      </c>
      <c r="X285" s="5">
        <f>IF(po_master[[#This Row],[No invoice]]="No Invoice", 1, 0)</f>
        <v>0</v>
      </c>
      <c r="Y285" s="5">
        <f>IF(po_master[[#This Row],[Date Check]]="Invalid Date", 1, 0)</f>
        <v>0</v>
      </c>
      <c r="Z285" s="5">
        <f>IF(po_master[[#This Row],[Qty Variance Flag]]="Qty Variance", 1, 0)</f>
        <v>0</v>
      </c>
      <c r="AA285" s="5">
        <f>IF(po_master[[#This Row],[Price Variance Flag]]="Price Variance", 1, 0)</f>
        <v>0</v>
      </c>
      <c r="AB285" s="5">
        <f>IF(po_master[[#This Row],[Late Delivery Flag]]="Late Delivery", 1, 0)</f>
        <v>1</v>
      </c>
      <c r="AC285" s="5">
        <f>IF(po_master[[#This Row],[Duplicate Invoice Flag]]="Duplicate Invoice", 1, 0)</f>
        <v>0</v>
      </c>
      <c r="AD285" s="5" t="str">
        <f>TEXT(po_master[[#This Row],[Order Date]],"YYYY-MM")</f>
        <v>2026-05</v>
      </c>
    </row>
    <row r="286" spans="1:30" x14ac:dyDescent="0.25">
      <c r="A286" t="s">
        <v>253</v>
      </c>
      <c r="B286" t="s">
        <v>1445</v>
      </c>
      <c r="C286" s="1">
        <v>46061</v>
      </c>
      <c r="D286">
        <v>500</v>
      </c>
      <c r="E286">
        <v>17.07</v>
      </c>
      <c r="F286" t="s">
        <v>1483</v>
      </c>
      <c r="G286" s="1">
        <v>46076</v>
      </c>
      <c r="H286">
        <v>506</v>
      </c>
      <c r="I286" s="1">
        <v>46075</v>
      </c>
      <c r="J286" t="s">
        <v>960</v>
      </c>
      <c r="K286">
        <v>500</v>
      </c>
      <c r="L286">
        <v>17.07</v>
      </c>
      <c r="M286" s="1">
        <v>46086</v>
      </c>
      <c r="N286" t="str">
        <f>IF(po_master[[#This Row],[Approved By]]="", "Missing Approval", "OK")</f>
        <v>OK</v>
      </c>
      <c r="O286" t="str">
        <f>IF(ISBLANK(po_master[[#This Row],[GR Quantity]]), "No GR - Not received", "OK")</f>
        <v>OK</v>
      </c>
      <c r="P286" t="str">
        <f>IF(po_master[[#This Row],[Promised Delivey Date]]&lt;po_master[[#This Row],[Order Date]], "Invalid", "OK")</f>
        <v>OK</v>
      </c>
      <c r="Q286" t="str">
        <f>IF(ISBLANK(po_master[[#This Row],[Invoice Number]]), "No Invoice", "OK")</f>
        <v>OK</v>
      </c>
      <c r="R286" t="str">
        <f>IF(AND(NOT(ISBLANK(po_master[[#This Row],[GR Quantity]])), po_master[[#This Row],[GR Quantity]]&lt;&gt;po_master[[#This Row],[PO Quantity]]), "Qty Variance", "OK")</f>
        <v>Qty Variance</v>
      </c>
      <c r="S286" t="str">
        <f>IF(po_master[[#This Row],[Invoice Unit Price]]&gt;po_master[[#This Row],[PO Unit Price]]*1.01, "Price Variance", "OK")</f>
        <v>OK</v>
      </c>
      <c r="T286" t="str">
        <f>IF(po_master[[#This Row],[Actual Delivery Date]]&gt;po_master[[#This Row],[Promised Delivey Date]], "Late Delivery", "OK")</f>
        <v>OK</v>
      </c>
      <c r="U286" t="str">
        <f>IF(COUNTIF(po_master[PO Number],po_master[[#This Row],[PO Number]])&gt;1, "Duplicate Invoice", "OK")</f>
        <v>OK</v>
      </c>
      <c r="V286" s="5">
        <f>IF(po_master[[#This Row],[Missing Approval]]="Missing Approval", 1, 0)</f>
        <v>0</v>
      </c>
      <c r="W286" s="5">
        <f>IF(po_master[[#This Row],[GR Receipt Status]]="No GR - Not Received", 1, 0)</f>
        <v>0</v>
      </c>
      <c r="X286" s="5">
        <f>IF(po_master[[#This Row],[No invoice]]="No Invoice", 1, 0)</f>
        <v>0</v>
      </c>
      <c r="Y286" s="5">
        <f>IF(po_master[[#This Row],[Date Check]]="Invalid Date", 1, 0)</f>
        <v>0</v>
      </c>
      <c r="Z286" s="5">
        <f>IF(po_master[[#This Row],[Qty Variance Flag]]="Qty Variance", 1, 0)</f>
        <v>1</v>
      </c>
      <c r="AA286" s="5">
        <f>IF(po_master[[#This Row],[Price Variance Flag]]="Price Variance", 1, 0)</f>
        <v>0</v>
      </c>
      <c r="AB286" s="5">
        <f>IF(po_master[[#This Row],[Late Delivery Flag]]="Late Delivery", 1, 0)</f>
        <v>0</v>
      </c>
      <c r="AC286" s="5">
        <f>IF(po_master[[#This Row],[Duplicate Invoice Flag]]="Duplicate Invoice", 1, 0)</f>
        <v>0</v>
      </c>
      <c r="AD286" s="5" t="str">
        <f>TEXT(po_master[[#This Row],[Order Date]],"YYYY-MM")</f>
        <v>2026-02</v>
      </c>
    </row>
    <row r="287" spans="1:30" x14ac:dyDescent="0.25">
      <c r="A287" t="s">
        <v>254</v>
      </c>
      <c r="B287" t="s">
        <v>1455</v>
      </c>
      <c r="C287" s="1">
        <v>46044</v>
      </c>
      <c r="D287">
        <v>268</v>
      </c>
      <c r="E287">
        <v>130.99</v>
      </c>
      <c r="F287" t="s">
        <v>1462</v>
      </c>
      <c r="G287" s="1">
        <v>46056</v>
      </c>
      <c r="H287">
        <v>268</v>
      </c>
      <c r="I287" s="1">
        <v>46058</v>
      </c>
      <c r="J287" t="s">
        <v>961</v>
      </c>
      <c r="K287">
        <v>268</v>
      </c>
      <c r="L287">
        <v>130.99</v>
      </c>
      <c r="M287" s="1">
        <v>46063</v>
      </c>
      <c r="N287" t="str">
        <f>IF(po_master[[#This Row],[Approved By]]="", "Missing Approval", "OK")</f>
        <v>OK</v>
      </c>
      <c r="O287" t="str">
        <f>IF(ISBLANK(po_master[[#This Row],[GR Quantity]]), "No GR - Not received", "OK")</f>
        <v>OK</v>
      </c>
      <c r="P287" t="str">
        <f>IF(po_master[[#This Row],[Promised Delivey Date]]&lt;po_master[[#This Row],[Order Date]], "Invalid", "OK")</f>
        <v>OK</v>
      </c>
      <c r="Q287" t="str">
        <f>IF(ISBLANK(po_master[[#This Row],[Invoice Number]]), "No Invoice", "OK")</f>
        <v>OK</v>
      </c>
      <c r="R287" t="str">
        <f>IF(AND(NOT(ISBLANK(po_master[[#This Row],[GR Quantity]])), po_master[[#This Row],[GR Quantity]]&lt;&gt;po_master[[#This Row],[PO Quantity]]), "Qty Variance", "OK")</f>
        <v>OK</v>
      </c>
      <c r="S287" t="str">
        <f>IF(po_master[[#This Row],[Invoice Unit Price]]&gt;po_master[[#This Row],[PO Unit Price]]*1.01, "Price Variance", "OK")</f>
        <v>OK</v>
      </c>
      <c r="T287" t="str">
        <f>IF(po_master[[#This Row],[Actual Delivery Date]]&gt;po_master[[#This Row],[Promised Delivey Date]], "Late Delivery", "OK")</f>
        <v>Late Delivery</v>
      </c>
      <c r="U287" t="str">
        <f>IF(COUNTIF(po_master[PO Number],po_master[[#This Row],[PO Number]])&gt;1, "Duplicate Invoice", "OK")</f>
        <v>OK</v>
      </c>
      <c r="V287" s="5">
        <f>IF(po_master[[#This Row],[Missing Approval]]="Missing Approval", 1, 0)</f>
        <v>0</v>
      </c>
      <c r="W287" s="5">
        <f>IF(po_master[[#This Row],[GR Receipt Status]]="No GR - Not Received", 1, 0)</f>
        <v>0</v>
      </c>
      <c r="X287" s="5">
        <f>IF(po_master[[#This Row],[No invoice]]="No Invoice", 1, 0)</f>
        <v>0</v>
      </c>
      <c r="Y287" s="5">
        <f>IF(po_master[[#This Row],[Date Check]]="Invalid Date", 1, 0)</f>
        <v>0</v>
      </c>
      <c r="Z287" s="5">
        <f>IF(po_master[[#This Row],[Qty Variance Flag]]="Qty Variance", 1, 0)</f>
        <v>0</v>
      </c>
      <c r="AA287" s="5">
        <f>IF(po_master[[#This Row],[Price Variance Flag]]="Price Variance", 1, 0)</f>
        <v>0</v>
      </c>
      <c r="AB287" s="5">
        <f>IF(po_master[[#This Row],[Late Delivery Flag]]="Late Delivery", 1, 0)</f>
        <v>1</v>
      </c>
      <c r="AC287" s="5">
        <f>IF(po_master[[#This Row],[Duplicate Invoice Flag]]="Duplicate Invoice", 1, 0)</f>
        <v>0</v>
      </c>
      <c r="AD287" s="5" t="str">
        <f>TEXT(po_master[[#This Row],[Order Date]],"YYYY-MM")</f>
        <v>2026-01</v>
      </c>
    </row>
    <row r="288" spans="1:30" x14ac:dyDescent="0.25">
      <c r="A288" t="s">
        <v>255</v>
      </c>
      <c r="B288" t="s">
        <v>1455</v>
      </c>
      <c r="C288" s="1">
        <v>46135</v>
      </c>
      <c r="D288">
        <v>234</v>
      </c>
      <c r="E288">
        <v>107.19</v>
      </c>
      <c r="F288" t="s">
        <v>1459</v>
      </c>
      <c r="G288" s="1">
        <v>46145</v>
      </c>
      <c r="H288">
        <v>234</v>
      </c>
      <c r="I288" s="1">
        <v>46147</v>
      </c>
      <c r="J288" t="s">
        <v>962</v>
      </c>
      <c r="K288">
        <v>234</v>
      </c>
      <c r="L288">
        <v>107.19</v>
      </c>
      <c r="M288" s="1">
        <v>46146</v>
      </c>
      <c r="N288" t="str">
        <f>IF(po_master[[#This Row],[Approved By]]="", "Missing Approval", "OK")</f>
        <v>Missing Approval</v>
      </c>
      <c r="O288" t="str">
        <f>IF(ISBLANK(po_master[[#This Row],[GR Quantity]]), "No GR - Not received", "OK")</f>
        <v>OK</v>
      </c>
      <c r="P288" t="str">
        <f>IF(po_master[[#This Row],[Promised Delivey Date]]&lt;po_master[[#This Row],[Order Date]], "Invalid", "OK")</f>
        <v>OK</v>
      </c>
      <c r="Q288" t="str">
        <f>IF(ISBLANK(po_master[[#This Row],[Invoice Number]]), "No Invoice", "OK")</f>
        <v>OK</v>
      </c>
      <c r="R288" t="str">
        <f>IF(AND(NOT(ISBLANK(po_master[[#This Row],[GR Quantity]])), po_master[[#This Row],[GR Quantity]]&lt;&gt;po_master[[#This Row],[PO Quantity]]), "Qty Variance", "OK")</f>
        <v>OK</v>
      </c>
      <c r="S288" t="str">
        <f>IF(po_master[[#This Row],[Invoice Unit Price]]&gt;po_master[[#This Row],[PO Unit Price]]*1.01, "Price Variance", "OK")</f>
        <v>OK</v>
      </c>
      <c r="T288" t="str">
        <f>IF(po_master[[#This Row],[Actual Delivery Date]]&gt;po_master[[#This Row],[Promised Delivey Date]], "Late Delivery", "OK")</f>
        <v>Late Delivery</v>
      </c>
      <c r="U288" t="str">
        <f>IF(COUNTIF(po_master[PO Number],po_master[[#This Row],[PO Number]])&gt;1, "Duplicate Invoice", "OK")</f>
        <v>OK</v>
      </c>
      <c r="V288" s="5">
        <f>IF(po_master[[#This Row],[Missing Approval]]="Missing Approval", 1, 0)</f>
        <v>1</v>
      </c>
      <c r="W288" s="5">
        <f>IF(po_master[[#This Row],[GR Receipt Status]]="No GR - Not Received", 1, 0)</f>
        <v>0</v>
      </c>
      <c r="X288" s="5">
        <f>IF(po_master[[#This Row],[No invoice]]="No Invoice", 1, 0)</f>
        <v>0</v>
      </c>
      <c r="Y288" s="5">
        <f>IF(po_master[[#This Row],[Date Check]]="Invalid Date", 1, 0)</f>
        <v>0</v>
      </c>
      <c r="Z288" s="5">
        <f>IF(po_master[[#This Row],[Qty Variance Flag]]="Qty Variance", 1, 0)</f>
        <v>0</v>
      </c>
      <c r="AA288" s="5">
        <f>IF(po_master[[#This Row],[Price Variance Flag]]="Price Variance", 1, 0)</f>
        <v>0</v>
      </c>
      <c r="AB288" s="5">
        <f>IF(po_master[[#This Row],[Late Delivery Flag]]="Late Delivery", 1, 0)</f>
        <v>1</v>
      </c>
      <c r="AC288" s="5">
        <f>IF(po_master[[#This Row],[Duplicate Invoice Flag]]="Duplicate Invoice", 1, 0)</f>
        <v>0</v>
      </c>
      <c r="AD288" s="5" t="str">
        <f>TEXT(po_master[[#This Row],[Order Date]],"YYYY-MM")</f>
        <v>2026-04</v>
      </c>
    </row>
    <row r="289" spans="1:30" x14ac:dyDescent="0.25">
      <c r="A289" t="s">
        <v>256</v>
      </c>
      <c r="B289" t="s">
        <v>1461</v>
      </c>
      <c r="C289" s="1">
        <v>46036</v>
      </c>
      <c r="D289">
        <v>414</v>
      </c>
      <c r="E289">
        <v>128.02000000000001</v>
      </c>
      <c r="F289" t="s">
        <v>1459</v>
      </c>
      <c r="G289" s="1">
        <v>46043</v>
      </c>
      <c r="H289">
        <v>414</v>
      </c>
      <c r="I289" s="1">
        <v>46044</v>
      </c>
      <c r="J289" t="s">
        <v>965</v>
      </c>
      <c r="K289">
        <v>414</v>
      </c>
      <c r="L289">
        <v>128.02000000000001</v>
      </c>
      <c r="M289" s="1">
        <v>46047</v>
      </c>
      <c r="N289" t="str">
        <f>IF(po_master[[#This Row],[Approved By]]="", "Missing Approval", "OK")</f>
        <v>Missing Approval</v>
      </c>
      <c r="O289" t="str">
        <f>IF(ISBLANK(po_master[[#This Row],[GR Quantity]]), "No GR - Not received", "OK")</f>
        <v>OK</v>
      </c>
      <c r="P289" t="str">
        <f>IF(po_master[[#This Row],[Promised Delivey Date]]&lt;po_master[[#This Row],[Order Date]], "Invalid", "OK")</f>
        <v>OK</v>
      </c>
      <c r="Q289" t="str">
        <f>IF(ISBLANK(po_master[[#This Row],[Invoice Number]]), "No Invoice", "OK")</f>
        <v>OK</v>
      </c>
      <c r="R289" t="str">
        <f>IF(AND(NOT(ISBLANK(po_master[[#This Row],[GR Quantity]])), po_master[[#This Row],[GR Quantity]]&lt;&gt;po_master[[#This Row],[PO Quantity]]), "Qty Variance", "OK")</f>
        <v>OK</v>
      </c>
      <c r="S289" t="str">
        <f>IF(po_master[[#This Row],[Invoice Unit Price]]&gt;po_master[[#This Row],[PO Unit Price]]*1.01, "Price Variance", "OK")</f>
        <v>OK</v>
      </c>
      <c r="T289" t="str">
        <f>IF(po_master[[#This Row],[Actual Delivery Date]]&gt;po_master[[#This Row],[Promised Delivey Date]], "Late Delivery", "OK")</f>
        <v>Late Delivery</v>
      </c>
      <c r="U289" t="str">
        <f>IF(COUNTIF(po_master[PO Number],po_master[[#This Row],[PO Number]])&gt;1, "Duplicate Invoice", "OK")</f>
        <v>OK</v>
      </c>
      <c r="V289" s="5">
        <f>IF(po_master[[#This Row],[Missing Approval]]="Missing Approval", 1, 0)</f>
        <v>1</v>
      </c>
      <c r="W289" s="5">
        <f>IF(po_master[[#This Row],[GR Receipt Status]]="No GR - Not Received", 1, 0)</f>
        <v>0</v>
      </c>
      <c r="X289" s="5">
        <f>IF(po_master[[#This Row],[No invoice]]="No Invoice", 1, 0)</f>
        <v>0</v>
      </c>
      <c r="Y289" s="5">
        <f>IF(po_master[[#This Row],[Date Check]]="Invalid Date", 1, 0)</f>
        <v>0</v>
      </c>
      <c r="Z289" s="5">
        <f>IF(po_master[[#This Row],[Qty Variance Flag]]="Qty Variance", 1, 0)</f>
        <v>0</v>
      </c>
      <c r="AA289" s="5">
        <f>IF(po_master[[#This Row],[Price Variance Flag]]="Price Variance", 1, 0)</f>
        <v>0</v>
      </c>
      <c r="AB289" s="5">
        <f>IF(po_master[[#This Row],[Late Delivery Flag]]="Late Delivery", 1, 0)</f>
        <v>1</v>
      </c>
      <c r="AC289" s="5">
        <f>IF(po_master[[#This Row],[Duplicate Invoice Flag]]="Duplicate Invoice", 1, 0)</f>
        <v>0</v>
      </c>
      <c r="AD289" s="5" t="str">
        <f>TEXT(po_master[[#This Row],[Order Date]],"YYYY-MM")</f>
        <v>2026-01</v>
      </c>
    </row>
    <row r="290" spans="1:30" x14ac:dyDescent="0.25">
      <c r="A290" t="s">
        <v>257</v>
      </c>
      <c r="B290" t="s">
        <v>1479</v>
      </c>
      <c r="C290" s="1">
        <v>46047</v>
      </c>
      <c r="D290">
        <v>295</v>
      </c>
      <c r="E290">
        <v>137.28</v>
      </c>
      <c r="F290" t="s">
        <v>1474</v>
      </c>
      <c r="G290" s="1">
        <v>46060</v>
      </c>
      <c r="H290">
        <v>295</v>
      </c>
      <c r="I290" s="1">
        <v>46058</v>
      </c>
      <c r="J290" t="s">
        <v>966</v>
      </c>
      <c r="K290">
        <v>295</v>
      </c>
      <c r="L290">
        <v>137.28</v>
      </c>
      <c r="M290" s="1">
        <v>46066</v>
      </c>
      <c r="N290" t="str">
        <f>IF(po_master[[#This Row],[Approved By]]="", "Missing Approval", "OK")</f>
        <v>OK</v>
      </c>
      <c r="O290" t="str">
        <f>IF(ISBLANK(po_master[[#This Row],[GR Quantity]]), "No GR - Not received", "OK")</f>
        <v>OK</v>
      </c>
      <c r="P290" t="str">
        <f>IF(po_master[[#This Row],[Promised Delivey Date]]&lt;po_master[[#This Row],[Order Date]], "Invalid", "OK")</f>
        <v>OK</v>
      </c>
      <c r="Q290" t="str">
        <f>IF(ISBLANK(po_master[[#This Row],[Invoice Number]]), "No Invoice", "OK")</f>
        <v>OK</v>
      </c>
      <c r="R290" t="str">
        <f>IF(AND(NOT(ISBLANK(po_master[[#This Row],[GR Quantity]])), po_master[[#This Row],[GR Quantity]]&lt;&gt;po_master[[#This Row],[PO Quantity]]), "Qty Variance", "OK")</f>
        <v>OK</v>
      </c>
      <c r="S290" t="str">
        <f>IF(po_master[[#This Row],[Invoice Unit Price]]&gt;po_master[[#This Row],[PO Unit Price]]*1.01, "Price Variance", "OK")</f>
        <v>OK</v>
      </c>
      <c r="T290" t="str">
        <f>IF(po_master[[#This Row],[Actual Delivery Date]]&gt;po_master[[#This Row],[Promised Delivey Date]], "Late Delivery", "OK")</f>
        <v>OK</v>
      </c>
      <c r="U290" t="str">
        <f>IF(COUNTIF(po_master[PO Number],po_master[[#This Row],[PO Number]])&gt;1, "Duplicate Invoice", "OK")</f>
        <v>OK</v>
      </c>
      <c r="V290" s="5">
        <f>IF(po_master[[#This Row],[Missing Approval]]="Missing Approval", 1, 0)</f>
        <v>0</v>
      </c>
      <c r="W290" s="5">
        <f>IF(po_master[[#This Row],[GR Receipt Status]]="No GR - Not Received", 1, 0)</f>
        <v>0</v>
      </c>
      <c r="X290" s="5">
        <f>IF(po_master[[#This Row],[No invoice]]="No Invoice", 1, 0)</f>
        <v>0</v>
      </c>
      <c r="Y290" s="5">
        <f>IF(po_master[[#This Row],[Date Check]]="Invalid Date", 1, 0)</f>
        <v>0</v>
      </c>
      <c r="Z290" s="5">
        <f>IF(po_master[[#This Row],[Qty Variance Flag]]="Qty Variance", 1, 0)</f>
        <v>0</v>
      </c>
      <c r="AA290" s="5">
        <f>IF(po_master[[#This Row],[Price Variance Flag]]="Price Variance", 1, 0)</f>
        <v>0</v>
      </c>
      <c r="AB290" s="5">
        <f>IF(po_master[[#This Row],[Late Delivery Flag]]="Late Delivery", 1, 0)</f>
        <v>0</v>
      </c>
      <c r="AC290" s="5">
        <f>IF(po_master[[#This Row],[Duplicate Invoice Flag]]="Duplicate Invoice", 1, 0)</f>
        <v>0</v>
      </c>
      <c r="AD290" s="5" t="str">
        <f>TEXT(po_master[[#This Row],[Order Date]],"YYYY-MM")</f>
        <v>2026-01</v>
      </c>
    </row>
    <row r="291" spans="1:30" x14ac:dyDescent="0.25">
      <c r="A291" t="s">
        <v>258</v>
      </c>
      <c r="B291" t="s">
        <v>1477</v>
      </c>
      <c r="C291" s="1">
        <v>46061</v>
      </c>
      <c r="D291">
        <v>180</v>
      </c>
      <c r="E291">
        <v>20.89</v>
      </c>
      <c r="F291" t="s">
        <v>1467</v>
      </c>
      <c r="G291" s="1">
        <v>46070</v>
      </c>
      <c r="H291">
        <v>180</v>
      </c>
      <c r="I291" s="1">
        <v>46070</v>
      </c>
      <c r="J291" t="s">
        <v>967</v>
      </c>
      <c r="K291">
        <v>180</v>
      </c>
      <c r="L291">
        <v>20.89</v>
      </c>
      <c r="M291" s="1">
        <v>46077</v>
      </c>
      <c r="N291" t="str">
        <f>IF(po_master[[#This Row],[Approved By]]="", "Missing Approval", "OK")</f>
        <v>OK</v>
      </c>
      <c r="O291" t="str">
        <f>IF(ISBLANK(po_master[[#This Row],[GR Quantity]]), "No GR - Not received", "OK")</f>
        <v>OK</v>
      </c>
      <c r="P291" t="str">
        <f>IF(po_master[[#This Row],[Promised Delivey Date]]&lt;po_master[[#This Row],[Order Date]], "Invalid", "OK")</f>
        <v>OK</v>
      </c>
      <c r="Q291" t="str">
        <f>IF(ISBLANK(po_master[[#This Row],[Invoice Number]]), "No Invoice", "OK")</f>
        <v>OK</v>
      </c>
      <c r="R291" t="str">
        <f>IF(AND(NOT(ISBLANK(po_master[[#This Row],[GR Quantity]])), po_master[[#This Row],[GR Quantity]]&lt;&gt;po_master[[#This Row],[PO Quantity]]), "Qty Variance", "OK")</f>
        <v>OK</v>
      </c>
      <c r="S291" t="str">
        <f>IF(po_master[[#This Row],[Invoice Unit Price]]&gt;po_master[[#This Row],[PO Unit Price]]*1.01, "Price Variance", "OK")</f>
        <v>OK</v>
      </c>
      <c r="T291" t="str">
        <f>IF(po_master[[#This Row],[Actual Delivery Date]]&gt;po_master[[#This Row],[Promised Delivey Date]], "Late Delivery", "OK")</f>
        <v>OK</v>
      </c>
      <c r="U291" t="str">
        <f>IF(COUNTIF(po_master[PO Number],po_master[[#This Row],[PO Number]])&gt;1, "Duplicate Invoice", "OK")</f>
        <v>OK</v>
      </c>
      <c r="V291" s="5">
        <f>IF(po_master[[#This Row],[Missing Approval]]="Missing Approval", 1, 0)</f>
        <v>0</v>
      </c>
      <c r="W291" s="5">
        <f>IF(po_master[[#This Row],[GR Receipt Status]]="No GR - Not Received", 1, 0)</f>
        <v>0</v>
      </c>
      <c r="X291" s="5">
        <f>IF(po_master[[#This Row],[No invoice]]="No Invoice", 1, 0)</f>
        <v>0</v>
      </c>
      <c r="Y291" s="5">
        <f>IF(po_master[[#This Row],[Date Check]]="Invalid Date", 1, 0)</f>
        <v>0</v>
      </c>
      <c r="Z291" s="5">
        <f>IF(po_master[[#This Row],[Qty Variance Flag]]="Qty Variance", 1, 0)</f>
        <v>0</v>
      </c>
      <c r="AA291" s="5">
        <f>IF(po_master[[#This Row],[Price Variance Flag]]="Price Variance", 1, 0)</f>
        <v>0</v>
      </c>
      <c r="AB291" s="5">
        <f>IF(po_master[[#This Row],[Late Delivery Flag]]="Late Delivery", 1, 0)</f>
        <v>0</v>
      </c>
      <c r="AC291" s="5">
        <f>IF(po_master[[#This Row],[Duplicate Invoice Flag]]="Duplicate Invoice", 1, 0)</f>
        <v>0</v>
      </c>
      <c r="AD291" s="5" t="str">
        <f>TEXT(po_master[[#This Row],[Order Date]],"YYYY-MM")</f>
        <v>2026-02</v>
      </c>
    </row>
    <row r="292" spans="1:30" x14ac:dyDescent="0.25">
      <c r="A292" t="s">
        <v>259</v>
      </c>
      <c r="B292" t="s">
        <v>1503</v>
      </c>
      <c r="C292" s="1">
        <v>46102</v>
      </c>
      <c r="D292">
        <v>345</v>
      </c>
      <c r="E292">
        <v>141.19999999999999</v>
      </c>
      <c r="F292" t="s">
        <v>1453</v>
      </c>
      <c r="G292" s="1">
        <v>46111</v>
      </c>
      <c r="H292">
        <v>345</v>
      </c>
      <c r="I292" s="1">
        <v>46110</v>
      </c>
      <c r="J292" t="s">
        <v>968</v>
      </c>
      <c r="K292">
        <v>345</v>
      </c>
      <c r="L292">
        <v>141.19999999999999</v>
      </c>
      <c r="M292" s="1">
        <v>46117</v>
      </c>
      <c r="N292" t="str">
        <f>IF(po_master[[#This Row],[Approved By]]="", "Missing Approval", "OK")</f>
        <v>OK</v>
      </c>
      <c r="O292" t="str">
        <f>IF(ISBLANK(po_master[[#This Row],[GR Quantity]]), "No GR - Not received", "OK")</f>
        <v>OK</v>
      </c>
      <c r="P292" t="str">
        <f>IF(po_master[[#This Row],[Promised Delivey Date]]&lt;po_master[[#This Row],[Order Date]], "Invalid", "OK")</f>
        <v>OK</v>
      </c>
      <c r="Q292" t="str">
        <f>IF(ISBLANK(po_master[[#This Row],[Invoice Number]]), "No Invoice", "OK")</f>
        <v>OK</v>
      </c>
      <c r="R292" t="str">
        <f>IF(AND(NOT(ISBLANK(po_master[[#This Row],[GR Quantity]])), po_master[[#This Row],[GR Quantity]]&lt;&gt;po_master[[#This Row],[PO Quantity]]), "Qty Variance", "OK")</f>
        <v>OK</v>
      </c>
      <c r="S292" t="str">
        <f>IF(po_master[[#This Row],[Invoice Unit Price]]&gt;po_master[[#This Row],[PO Unit Price]]*1.01, "Price Variance", "OK")</f>
        <v>OK</v>
      </c>
      <c r="T292" t="str">
        <f>IF(po_master[[#This Row],[Actual Delivery Date]]&gt;po_master[[#This Row],[Promised Delivey Date]], "Late Delivery", "OK")</f>
        <v>OK</v>
      </c>
      <c r="U292" t="str">
        <f>IF(COUNTIF(po_master[PO Number],po_master[[#This Row],[PO Number]])&gt;1, "Duplicate Invoice", "OK")</f>
        <v>Duplicate Invoice</v>
      </c>
      <c r="V292" s="5">
        <f>IF(po_master[[#This Row],[Missing Approval]]="Missing Approval", 1, 0)</f>
        <v>0</v>
      </c>
      <c r="W292" s="5">
        <f>IF(po_master[[#This Row],[GR Receipt Status]]="No GR - Not Received", 1, 0)</f>
        <v>0</v>
      </c>
      <c r="X292" s="5">
        <f>IF(po_master[[#This Row],[No invoice]]="No Invoice", 1, 0)</f>
        <v>0</v>
      </c>
      <c r="Y292" s="5">
        <f>IF(po_master[[#This Row],[Date Check]]="Invalid Date", 1, 0)</f>
        <v>0</v>
      </c>
      <c r="Z292" s="5">
        <f>IF(po_master[[#This Row],[Qty Variance Flag]]="Qty Variance", 1, 0)</f>
        <v>0</v>
      </c>
      <c r="AA292" s="5">
        <f>IF(po_master[[#This Row],[Price Variance Flag]]="Price Variance", 1, 0)</f>
        <v>0</v>
      </c>
      <c r="AB292" s="5">
        <f>IF(po_master[[#This Row],[Late Delivery Flag]]="Late Delivery", 1, 0)</f>
        <v>0</v>
      </c>
      <c r="AC292" s="5">
        <f>IF(po_master[[#This Row],[Duplicate Invoice Flag]]="Duplicate Invoice", 1, 0)</f>
        <v>1</v>
      </c>
      <c r="AD292" s="5" t="str">
        <f>TEXT(po_master[[#This Row],[Order Date]],"YYYY-MM")</f>
        <v>2026-03</v>
      </c>
    </row>
    <row r="293" spans="1:30" x14ac:dyDescent="0.25">
      <c r="A293" t="s">
        <v>259</v>
      </c>
      <c r="B293" t="s">
        <v>1503</v>
      </c>
      <c r="C293" s="1">
        <v>46102</v>
      </c>
      <c r="D293">
        <v>345</v>
      </c>
      <c r="E293">
        <v>141.19999999999999</v>
      </c>
      <c r="F293" t="s">
        <v>1453</v>
      </c>
      <c r="G293" s="1">
        <v>46111</v>
      </c>
      <c r="H293">
        <v>345</v>
      </c>
      <c r="I293" s="1">
        <v>46110</v>
      </c>
      <c r="J293" t="s">
        <v>969</v>
      </c>
      <c r="K293">
        <v>345</v>
      </c>
      <c r="L293">
        <v>141.19999999999999</v>
      </c>
      <c r="M293" s="1">
        <v>46120</v>
      </c>
      <c r="N293" t="str">
        <f>IF(po_master[[#This Row],[Approved By]]="", "Missing Approval", "OK")</f>
        <v>OK</v>
      </c>
      <c r="O293" t="str">
        <f>IF(ISBLANK(po_master[[#This Row],[GR Quantity]]), "No GR - Not received", "OK")</f>
        <v>OK</v>
      </c>
      <c r="P293" t="str">
        <f>IF(po_master[[#This Row],[Promised Delivey Date]]&lt;po_master[[#This Row],[Order Date]], "Invalid", "OK")</f>
        <v>OK</v>
      </c>
      <c r="Q293" t="str">
        <f>IF(ISBLANK(po_master[[#This Row],[Invoice Number]]), "No Invoice", "OK")</f>
        <v>OK</v>
      </c>
      <c r="R293" t="str">
        <f>IF(AND(NOT(ISBLANK(po_master[[#This Row],[GR Quantity]])), po_master[[#This Row],[GR Quantity]]&lt;&gt;po_master[[#This Row],[PO Quantity]]), "Qty Variance", "OK")</f>
        <v>OK</v>
      </c>
      <c r="S293" t="str">
        <f>IF(po_master[[#This Row],[Invoice Unit Price]]&gt;po_master[[#This Row],[PO Unit Price]]*1.01, "Price Variance", "OK")</f>
        <v>OK</v>
      </c>
      <c r="T293" t="str">
        <f>IF(po_master[[#This Row],[Actual Delivery Date]]&gt;po_master[[#This Row],[Promised Delivey Date]], "Late Delivery", "OK")</f>
        <v>OK</v>
      </c>
      <c r="U293" t="str">
        <f>IF(COUNTIF(po_master[PO Number],po_master[[#This Row],[PO Number]])&gt;1, "Duplicate Invoice", "OK")</f>
        <v>Duplicate Invoice</v>
      </c>
      <c r="V293" s="5">
        <f>IF(po_master[[#This Row],[Missing Approval]]="Missing Approval", 1, 0)</f>
        <v>0</v>
      </c>
      <c r="W293" s="5">
        <f>IF(po_master[[#This Row],[GR Receipt Status]]="No GR - Not Received", 1, 0)</f>
        <v>0</v>
      </c>
      <c r="X293" s="5">
        <f>IF(po_master[[#This Row],[No invoice]]="No Invoice", 1, 0)</f>
        <v>0</v>
      </c>
      <c r="Y293" s="5">
        <f>IF(po_master[[#This Row],[Date Check]]="Invalid Date", 1, 0)</f>
        <v>0</v>
      </c>
      <c r="Z293" s="5">
        <f>IF(po_master[[#This Row],[Qty Variance Flag]]="Qty Variance", 1, 0)</f>
        <v>0</v>
      </c>
      <c r="AA293" s="5">
        <f>IF(po_master[[#This Row],[Price Variance Flag]]="Price Variance", 1, 0)</f>
        <v>0</v>
      </c>
      <c r="AB293" s="5">
        <f>IF(po_master[[#This Row],[Late Delivery Flag]]="Late Delivery", 1, 0)</f>
        <v>0</v>
      </c>
      <c r="AC293" s="5">
        <f>IF(po_master[[#This Row],[Duplicate Invoice Flag]]="Duplicate Invoice", 1, 0)</f>
        <v>1</v>
      </c>
      <c r="AD293" s="5" t="str">
        <f>TEXT(po_master[[#This Row],[Order Date]],"YYYY-MM")</f>
        <v>2026-03</v>
      </c>
    </row>
    <row r="294" spans="1:30" x14ac:dyDescent="0.25">
      <c r="A294" t="s">
        <v>260</v>
      </c>
      <c r="B294" t="s">
        <v>1468</v>
      </c>
      <c r="C294" s="1">
        <v>46044</v>
      </c>
      <c r="D294">
        <v>168</v>
      </c>
      <c r="E294">
        <v>113.99</v>
      </c>
      <c r="F294" t="s">
        <v>1446</v>
      </c>
      <c r="G294" s="1">
        <v>46059</v>
      </c>
      <c r="H294">
        <v>168</v>
      </c>
      <c r="I294" s="1">
        <v>46061</v>
      </c>
      <c r="J294" t="s">
        <v>970</v>
      </c>
      <c r="K294">
        <v>168</v>
      </c>
      <c r="L294">
        <v>121.66</v>
      </c>
      <c r="M294" s="1">
        <v>46064</v>
      </c>
      <c r="N294" t="str">
        <f>IF(po_master[[#This Row],[Approved By]]="", "Missing Approval", "OK")</f>
        <v>OK</v>
      </c>
      <c r="O294" t="str">
        <f>IF(ISBLANK(po_master[[#This Row],[GR Quantity]]), "No GR - Not received", "OK")</f>
        <v>OK</v>
      </c>
      <c r="P294" t="str">
        <f>IF(po_master[[#This Row],[Promised Delivey Date]]&lt;po_master[[#This Row],[Order Date]], "Invalid", "OK")</f>
        <v>OK</v>
      </c>
      <c r="Q294" t="str">
        <f>IF(ISBLANK(po_master[[#This Row],[Invoice Number]]), "No Invoice", "OK")</f>
        <v>OK</v>
      </c>
      <c r="R294" t="str">
        <f>IF(AND(NOT(ISBLANK(po_master[[#This Row],[GR Quantity]])), po_master[[#This Row],[GR Quantity]]&lt;&gt;po_master[[#This Row],[PO Quantity]]), "Qty Variance", "OK")</f>
        <v>OK</v>
      </c>
      <c r="S294" t="str">
        <f>IF(po_master[[#This Row],[Invoice Unit Price]]&gt;po_master[[#This Row],[PO Unit Price]]*1.01, "Price Variance", "OK")</f>
        <v>Price Variance</v>
      </c>
      <c r="T294" t="str">
        <f>IF(po_master[[#This Row],[Actual Delivery Date]]&gt;po_master[[#This Row],[Promised Delivey Date]], "Late Delivery", "OK")</f>
        <v>Late Delivery</v>
      </c>
      <c r="U294" t="str">
        <f>IF(COUNTIF(po_master[PO Number],po_master[[#This Row],[PO Number]])&gt;1, "Duplicate Invoice", "OK")</f>
        <v>OK</v>
      </c>
      <c r="V294" s="5">
        <f>IF(po_master[[#This Row],[Missing Approval]]="Missing Approval", 1, 0)</f>
        <v>0</v>
      </c>
      <c r="W294" s="5">
        <f>IF(po_master[[#This Row],[GR Receipt Status]]="No GR - Not Received", 1, 0)</f>
        <v>0</v>
      </c>
      <c r="X294" s="5">
        <f>IF(po_master[[#This Row],[No invoice]]="No Invoice", 1, 0)</f>
        <v>0</v>
      </c>
      <c r="Y294" s="5">
        <f>IF(po_master[[#This Row],[Date Check]]="Invalid Date", 1, 0)</f>
        <v>0</v>
      </c>
      <c r="Z294" s="5">
        <f>IF(po_master[[#This Row],[Qty Variance Flag]]="Qty Variance", 1, 0)</f>
        <v>0</v>
      </c>
      <c r="AA294" s="5">
        <f>IF(po_master[[#This Row],[Price Variance Flag]]="Price Variance", 1, 0)</f>
        <v>1</v>
      </c>
      <c r="AB294" s="5">
        <f>IF(po_master[[#This Row],[Late Delivery Flag]]="Late Delivery", 1, 0)</f>
        <v>1</v>
      </c>
      <c r="AC294" s="5">
        <f>IF(po_master[[#This Row],[Duplicate Invoice Flag]]="Duplicate Invoice", 1, 0)</f>
        <v>0</v>
      </c>
      <c r="AD294" s="5" t="str">
        <f>TEXT(po_master[[#This Row],[Order Date]],"YYYY-MM")</f>
        <v>2026-01</v>
      </c>
    </row>
    <row r="295" spans="1:30" x14ac:dyDescent="0.25">
      <c r="A295" t="s">
        <v>950</v>
      </c>
      <c r="B295" t="s">
        <v>1439</v>
      </c>
      <c r="C295" s="1">
        <v>46149</v>
      </c>
      <c r="D295">
        <v>247</v>
      </c>
      <c r="E295">
        <v>152.12</v>
      </c>
      <c r="F295" t="s">
        <v>1456</v>
      </c>
      <c r="G295" s="1">
        <v>46168</v>
      </c>
      <c r="I295" s="1"/>
      <c r="J295" t="s">
        <v>951</v>
      </c>
      <c r="K295">
        <v>247</v>
      </c>
      <c r="L295">
        <v>152.12</v>
      </c>
      <c r="M295" s="1">
        <v>46174</v>
      </c>
      <c r="N295" t="str">
        <f>IF(po_master[[#This Row],[Approved By]]="", "Missing Approval", "OK")</f>
        <v>OK</v>
      </c>
      <c r="O295" t="str">
        <f>IF(ISBLANK(po_master[[#This Row],[GR Quantity]]), "No GR - Not received", "OK")</f>
        <v>No GR - Not received</v>
      </c>
      <c r="P295" t="str">
        <f>IF(po_master[[#This Row],[Promised Delivey Date]]&lt;po_master[[#This Row],[Order Date]], "Invalid", "OK")</f>
        <v>OK</v>
      </c>
      <c r="Q295" t="str">
        <f>IF(ISBLANK(po_master[[#This Row],[Invoice Number]]), "No Invoice", "OK")</f>
        <v>OK</v>
      </c>
      <c r="R295" t="str">
        <f>IF(AND(NOT(ISBLANK(po_master[[#This Row],[GR Quantity]])), po_master[[#This Row],[GR Quantity]]&lt;&gt;po_master[[#This Row],[PO Quantity]]), "Qty Variance", "OK")</f>
        <v>OK</v>
      </c>
      <c r="S295" t="str">
        <f>IF(po_master[[#This Row],[Invoice Unit Price]]&gt;po_master[[#This Row],[PO Unit Price]]*1.01, "Price Variance", "OK")</f>
        <v>OK</v>
      </c>
      <c r="T295" t="str">
        <f>IF(po_master[[#This Row],[Actual Delivery Date]]&gt;po_master[[#This Row],[Promised Delivey Date]], "Late Delivery", "OK")</f>
        <v>OK</v>
      </c>
      <c r="U295" t="str">
        <f>IF(COUNTIF(po_master[PO Number],po_master[[#This Row],[PO Number]])&gt;1, "Duplicate Invoice", "OK")</f>
        <v>OK</v>
      </c>
      <c r="V295" s="5">
        <f>IF(po_master[[#This Row],[Missing Approval]]="Missing Approval", 1, 0)</f>
        <v>0</v>
      </c>
      <c r="W295" s="5">
        <f>IF(po_master[[#This Row],[GR Receipt Status]]="No GR - Not Received", 1, 0)</f>
        <v>1</v>
      </c>
      <c r="X295" s="5">
        <f>IF(po_master[[#This Row],[No invoice]]="No Invoice", 1, 0)</f>
        <v>0</v>
      </c>
      <c r="Y295" s="5">
        <f>IF(po_master[[#This Row],[Date Check]]="Invalid Date", 1, 0)</f>
        <v>0</v>
      </c>
      <c r="Z295" s="5">
        <f>IF(po_master[[#This Row],[Qty Variance Flag]]="Qty Variance", 1, 0)</f>
        <v>0</v>
      </c>
      <c r="AA295" s="5">
        <f>IF(po_master[[#This Row],[Price Variance Flag]]="Price Variance", 1, 0)</f>
        <v>0</v>
      </c>
      <c r="AB295" s="5">
        <f>IF(po_master[[#This Row],[Late Delivery Flag]]="Late Delivery", 1, 0)</f>
        <v>0</v>
      </c>
      <c r="AC295" s="5">
        <f>IF(po_master[[#This Row],[Duplicate Invoice Flag]]="Duplicate Invoice", 1, 0)</f>
        <v>0</v>
      </c>
      <c r="AD295" s="5" t="str">
        <f>TEXT(po_master[[#This Row],[Order Date]],"YYYY-MM")</f>
        <v>2026-05</v>
      </c>
    </row>
    <row r="296" spans="1:30" x14ac:dyDescent="0.25">
      <c r="A296" t="s">
        <v>261</v>
      </c>
      <c r="B296" t="s">
        <v>1441</v>
      </c>
      <c r="C296" s="1">
        <v>46157</v>
      </c>
      <c r="D296">
        <v>57</v>
      </c>
      <c r="E296">
        <v>130.97</v>
      </c>
      <c r="F296" t="s">
        <v>1507</v>
      </c>
      <c r="G296" s="1">
        <v>46178</v>
      </c>
      <c r="H296">
        <v>57</v>
      </c>
      <c r="I296" s="1">
        <v>46178</v>
      </c>
      <c r="J296" t="s">
        <v>971</v>
      </c>
      <c r="K296">
        <v>57</v>
      </c>
      <c r="L296">
        <v>130.97</v>
      </c>
      <c r="M296" s="1">
        <v>46184</v>
      </c>
      <c r="N296" t="str">
        <f>IF(po_master[[#This Row],[Approved By]]="", "Missing Approval", "OK")</f>
        <v>OK</v>
      </c>
      <c r="O296" t="str">
        <f>IF(ISBLANK(po_master[[#This Row],[GR Quantity]]), "No GR - Not received", "OK")</f>
        <v>OK</v>
      </c>
      <c r="P296" t="str">
        <f>IF(po_master[[#This Row],[Promised Delivey Date]]&lt;po_master[[#This Row],[Order Date]], "Invalid", "OK")</f>
        <v>OK</v>
      </c>
      <c r="Q296" t="str">
        <f>IF(ISBLANK(po_master[[#This Row],[Invoice Number]]), "No Invoice", "OK")</f>
        <v>OK</v>
      </c>
      <c r="R296" t="str">
        <f>IF(AND(NOT(ISBLANK(po_master[[#This Row],[GR Quantity]])), po_master[[#This Row],[GR Quantity]]&lt;&gt;po_master[[#This Row],[PO Quantity]]), "Qty Variance", "OK")</f>
        <v>OK</v>
      </c>
      <c r="S296" t="str">
        <f>IF(po_master[[#This Row],[Invoice Unit Price]]&gt;po_master[[#This Row],[PO Unit Price]]*1.01, "Price Variance", "OK")</f>
        <v>OK</v>
      </c>
      <c r="T296" t="str">
        <f>IF(po_master[[#This Row],[Actual Delivery Date]]&gt;po_master[[#This Row],[Promised Delivey Date]], "Late Delivery", "OK")</f>
        <v>OK</v>
      </c>
      <c r="U296" t="str">
        <f>IF(COUNTIF(po_master[PO Number],po_master[[#This Row],[PO Number]])&gt;1, "Duplicate Invoice", "OK")</f>
        <v>OK</v>
      </c>
      <c r="V296" s="5">
        <f>IF(po_master[[#This Row],[Missing Approval]]="Missing Approval", 1, 0)</f>
        <v>0</v>
      </c>
      <c r="W296" s="5">
        <f>IF(po_master[[#This Row],[GR Receipt Status]]="No GR - Not Received", 1, 0)</f>
        <v>0</v>
      </c>
      <c r="X296" s="5">
        <f>IF(po_master[[#This Row],[No invoice]]="No Invoice", 1, 0)</f>
        <v>0</v>
      </c>
      <c r="Y296" s="5">
        <f>IF(po_master[[#This Row],[Date Check]]="Invalid Date", 1, 0)</f>
        <v>0</v>
      </c>
      <c r="Z296" s="5">
        <f>IF(po_master[[#This Row],[Qty Variance Flag]]="Qty Variance", 1, 0)</f>
        <v>0</v>
      </c>
      <c r="AA296" s="5">
        <f>IF(po_master[[#This Row],[Price Variance Flag]]="Price Variance", 1, 0)</f>
        <v>0</v>
      </c>
      <c r="AB296" s="5">
        <f>IF(po_master[[#This Row],[Late Delivery Flag]]="Late Delivery", 1, 0)</f>
        <v>0</v>
      </c>
      <c r="AC296" s="5">
        <f>IF(po_master[[#This Row],[Duplicate Invoice Flag]]="Duplicate Invoice", 1, 0)</f>
        <v>0</v>
      </c>
      <c r="AD296" s="5" t="str">
        <f>TEXT(po_master[[#This Row],[Order Date]],"YYYY-MM")</f>
        <v>2026-05</v>
      </c>
    </row>
    <row r="297" spans="1:30" x14ac:dyDescent="0.25">
      <c r="A297" t="s">
        <v>262</v>
      </c>
      <c r="B297" t="s">
        <v>1496</v>
      </c>
      <c r="C297" s="1">
        <v>46027</v>
      </c>
      <c r="D297">
        <v>195</v>
      </c>
      <c r="E297">
        <v>65.23</v>
      </c>
      <c r="F297" t="s">
        <v>1444</v>
      </c>
      <c r="G297" s="1">
        <v>46042</v>
      </c>
      <c r="H297">
        <v>195</v>
      </c>
      <c r="I297" s="1">
        <v>46044</v>
      </c>
      <c r="J297" t="s">
        <v>972</v>
      </c>
      <c r="K297">
        <v>195</v>
      </c>
      <c r="L297">
        <v>70.430000000000007</v>
      </c>
      <c r="M297" s="1">
        <v>46045</v>
      </c>
      <c r="N297" t="str">
        <f>IF(po_master[[#This Row],[Approved By]]="", "Missing Approval", "OK")</f>
        <v>OK</v>
      </c>
      <c r="O297" t="str">
        <f>IF(ISBLANK(po_master[[#This Row],[GR Quantity]]), "No GR - Not received", "OK")</f>
        <v>OK</v>
      </c>
      <c r="P297" t="str">
        <f>IF(po_master[[#This Row],[Promised Delivey Date]]&lt;po_master[[#This Row],[Order Date]], "Invalid", "OK")</f>
        <v>OK</v>
      </c>
      <c r="Q297" t="str">
        <f>IF(ISBLANK(po_master[[#This Row],[Invoice Number]]), "No Invoice", "OK")</f>
        <v>OK</v>
      </c>
      <c r="R297" t="str">
        <f>IF(AND(NOT(ISBLANK(po_master[[#This Row],[GR Quantity]])), po_master[[#This Row],[GR Quantity]]&lt;&gt;po_master[[#This Row],[PO Quantity]]), "Qty Variance", "OK")</f>
        <v>OK</v>
      </c>
      <c r="S297" t="str">
        <f>IF(po_master[[#This Row],[Invoice Unit Price]]&gt;po_master[[#This Row],[PO Unit Price]]*1.01, "Price Variance", "OK")</f>
        <v>Price Variance</v>
      </c>
      <c r="T297" t="str">
        <f>IF(po_master[[#This Row],[Actual Delivery Date]]&gt;po_master[[#This Row],[Promised Delivey Date]], "Late Delivery", "OK")</f>
        <v>Late Delivery</v>
      </c>
      <c r="U297" t="str">
        <f>IF(COUNTIF(po_master[PO Number],po_master[[#This Row],[PO Number]])&gt;1, "Duplicate Invoice", "OK")</f>
        <v>OK</v>
      </c>
      <c r="V297" s="5">
        <f>IF(po_master[[#This Row],[Missing Approval]]="Missing Approval", 1, 0)</f>
        <v>0</v>
      </c>
      <c r="W297" s="5">
        <f>IF(po_master[[#This Row],[GR Receipt Status]]="No GR - Not Received", 1, 0)</f>
        <v>0</v>
      </c>
      <c r="X297" s="5">
        <f>IF(po_master[[#This Row],[No invoice]]="No Invoice", 1, 0)</f>
        <v>0</v>
      </c>
      <c r="Y297" s="5">
        <f>IF(po_master[[#This Row],[Date Check]]="Invalid Date", 1, 0)</f>
        <v>0</v>
      </c>
      <c r="Z297" s="5">
        <f>IF(po_master[[#This Row],[Qty Variance Flag]]="Qty Variance", 1, 0)</f>
        <v>0</v>
      </c>
      <c r="AA297" s="5">
        <f>IF(po_master[[#This Row],[Price Variance Flag]]="Price Variance", 1, 0)</f>
        <v>1</v>
      </c>
      <c r="AB297" s="5">
        <f>IF(po_master[[#This Row],[Late Delivery Flag]]="Late Delivery", 1, 0)</f>
        <v>1</v>
      </c>
      <c r="AC297" s="5">
        <f>IF(po_master[[#This Row],[Duplicate Invoice Flag]]="Duplicate Invoice", 1, 0)</f>
        <v>0</v>
      </c>
      <c r="AD297" s="5" t="str">
        <f>TEXT(po_master[[#This Row],[Order Date]],"YYYY-MM")</f>
        <v>2026-01</v>
      </c>
    </row>
    <row r="298" spans="1:30" x14ac:dyDescent="0.25">
      <c r="A298" t="s">
        <v>263</v>
      </c>
      <c r="B298" t="s">
        <v>1498</v>
      </c>
      <c r="C298" s="1">
        <v>46072</v>
      </c>
      <c r="D298">
        <v>125</v>
      </c>
      <c r="E298">
        <v>200</v>
      </c>
      <c r="F298" t="s">
        <v>1485</v>
      </c>
      <c r="G298" s="1">
        <v>46079</v>
      </c>
      <c r="H298">
        <v>125</v>
      </c>
      <c r="I298" s="1">
        <v>46081</v>
      </c>
      <c r="J298" t="s">
        <v>973</v>
      </c>
      <c r="K298">
        <v>125</v>
      </c>
      <c r="L298">
        <v>200</v>
      </c>
      <c r="M298" s="1">
        <v>46082</v>
      </c>
      <c r="N298" t="str">
        <f>IF(po_master[[#This Row],[Approved By]]="", "Missing Approval", "OK")</f>
        <v>OK</v>
      </c>
      <c r="O298" t="str">
        <f>IF(ISBLANK(po_master[[#This Row],[GR Quantity]]), "No GR - Not received", "OK")</f>
        <v>OK</v>
      </c>
      <c r="P298" t="str">
        <f>IF(po_master[[#This Row],[Promised Delivey Date]]&lt;po_master[[#This Row],[Order Date]], "Invalid", "OK")</f>
        <v>OK</v>
      </c>
      <c r="Q298" t="str">
        <f>IF(ISBLANK(po_master[[#This Row],[Invoice Number]]), "No Invoice", "OK")</f>
        <v>OK</v>
      </c>
      <c r="R298" t="str">
        <f>IF(AND(NOT(ISBLANK(po_master[[#This Row],[GR Quantity]])), po_master[[#This Row],[GR Quantity]]&lt;&gt;po_master[[#This Row],[PO Quantity]]), "Qty Variance", "OK")</f>
        <v>OK</v>
      </c>
      <c r="S298" t="str">
        <f>IF(po_master[[#This Row],[Invoice Unit Price]]&gt;po_master[[#This Row],[PO Unit Price]]*1.01, "Price Variance", "OK")</f>
        <v>OK</v>
      </c>
      <c r="T298" t="str">
        <f>IF(po_master[[#This Row],[Actual Delivery Date]]&gt;po_master[[#This Row],[Promised Delivey Date]], "Late Delivery", "OK")</f>
        <v>Late Delivery</v>
      </c>
      <c r="U298" t="str">
        <f>IF(COUNTIF(po_master[PO Number],po_master[[#This Row],[PO Number]])&gt;1, "Duplicate Invoice", "OK")</f>
        <v>OK</v>
      </c>
      <c r="V298" s="5">
        <f>IF(po_master[[#This Row],[Missing Approval]]="Missing Approval", 1, 0)</f>
        <v>0</v>
      </c>
      <c r="W298" s="5">
        <f>IF(po_master[[#This Row],[GR Receipt Status]]="No GR - Not Received", 1, 0)</f>
        <v>0</v>
      </c>
      <c r="X298" s="5">
        <f>IF(po_master[[#This Row],[No invoice]]="No Invoice", 1, 0)</f>
        <v>0</v>
      </c>
      <c r="Y298" s="5">
        <f>IF(po_master[[#This Row],[Date Check]]="Invalid Date", 1, 0)</f>
        <v>0</v>
      </c>
      <c r="Z298" s="5">
        <f>IF(po_master[[#This Row],[Qty Variance Flag]]="Qty Variance", 1, 0)</f>
        <v>0</v>
      </c>
      <c r="AA298" s="5">
        <f>IF(po_master[[#This Row],[Price Variance Flag]]="Price Variance", 1, 0)</f>
        <v>0</v>
      </c>
      <c r="AB298" s="5">
        <f>IF(po_master[[#This Row],[Late Delivery Flag]]="Late Delivery", 1, 0)</f>
        <v>1</v>
      </c>
      <c r="AC298" s="5">
        <f>IF(po_master[[#This Row],[Duplicate Invoice Flag]]="Duplicate Invoice", 1, 0)</f>
        <v>0</v>
      </c>
      <c r="AD298" s="5" t="str">
        <f>TEXT(po_master[[#This Row],[Order Date]],"YYYY-MM")</f>
        <v>2026-02</v>
      </c>
    </row>
    <row r="299" spans="1:30" x14ac:dyDescent="0.25">
      <c r="A299" t="s">
        <v>264</v>
      </c>
      <c r="B299" t="s">
        <v>1506</v>
      </c>
      <c r="C299" s="1">
        <v>46048</v>
      </c>
      <c r="D299">
        <v>269</v>
      </c>
      <c r="E299">
        <v>155.32</v>
      </c>
      <c r="F299" t="s">
        <v>1490</v>
      </c>
      <c r="G299" s="1">
        <v>46069</v>
      </c>
      <c r="H299">
        <v>269</v>
      </c>
      <c r="I299" s="1">
        <v>46068</v>
      </c>
      <c r="J299" t="s">
        <v>974</v>
      </c>
      <c r="K299">
        <v>269</v>
      </c>
      <c r="L299">
        <v>155.32</v>
      </c>
      <c r="M299" s="1">
        <v>46072</v>
      </c>
      <c r="N299" t="str">
        <f>IF(po_master[[#This Row],[Approved By]]="", "Missing Approval", "OK")</f>
        <v>OK</v>
      </c>
      <c r="O299" t="str">
        <f>IF(ISBLANK(po_master[[#This Row],[GR Quantity]]), "No GR - Not received", "OK")</f>
        <v>OK</v>
      </c>
      <c r="P299" t="str">
        <f>IF(po_master[[#This Row],[Promised Delivey Date]]&lt;po_master[[#This Row],[Order Date]], "Invalid", "OK")</f>
        <v>OK</v>
      </c>
      <c r="Q299" t="str">
        <f>IF(ISBLANK(po_master[[#This Row],[Invoice Number]]), "No Invoice", "OK")</f>
        <v>OK</v>
      </c>
      <c r="R299" t="str">
        <f>IF(AND(NOT(ISBLANK(po_master[[#This Row],[GR Quantity]])), po_master[[#This Row],[GR Quantity]]&lt;&gt;po_master[[#This Row],[PO Quantity]]), "Qty Variance", "OK")</f>
        <v>OK</v>
      </c>
      <c r="S299" t="str">
        <f>IF(po_master[[#This Row],[Invoice Unit Price]]&gt;po_master[[#This Row],[PO Unit Price]]*1.01, "Price Variance", "OK")</f>
        <v>OK</v>
      </c>
      <c r="T299" t="str">
        <f>IF(po_master[[#This Row],[Actual Delivery Date]]&gt;po_master[[#This Row],[Promised Delivey Date]], "Late Delivery", "OK")</f>
        <v>OK</v>
      </c>
      <c r="U299" t="str">
        <f>IF(COUNTIF(po_master[PO Number],po_master[[#This Row],[PO Number]])&gt;1, "Duplicate Invoice", "OK")</f>
        <v>OK</v>
      </c>
      <c r="V299" s="5">
        <f>IF(po_master[[#This Row],[Missing Approval]]="Missing Approval", 1, 0)</f>
        <v>0</v>
      </c>
      <c r="W299" s="5">
        <f>IF(po_master[[#This Row],[GR Receipt Status]]="No GR - Not Received", 1, 0)</f>
        <v>0</v>
      </c>
      <c r="X299" s="5">
        <f>IF(po_master[[#This Row],[No invoice]]="No Invoice", 1, 0)</f>
        <v>0</v>
      </c>
      <c r="Y299" s="5">
        <f>IF(po_master[[#This Row],[Date Check]]="Invalid Date", 1, 0)</f>
        <v>0</v>
      </c>
      <c r="Z299" s="5">
        <f>IF(po_master[[#This Row],[Qty Variance Flag]]="Qty Variance", 1, 0)</f>
        <v>0</v>
      </c>
      <c r="AA299" s="5">
        <f>IF(po_master[[#This Row],[Price Variance Flag]]="Price Variance", 1, 0)</f>
        <v>0</v>
      </c>
      <c r="AB299" s="5">
        <f>IF(po_master[[#This Row],[Late Delivery Flag]]="Late Delivery", 1, 0)</f>
        <v>0</v>
      </c>
      <c r="AC299" s="5">
        <f>IF(po_master[[#This Row],[Duplicate Invoice Flag]]="Duplicate Invoice", 1, 0)</f>
        <v>0</v>
      </c>
      <c r="AD299" s="5" t="str">
        <f>TEXT(po_master[[#This Row],[Order Date]],"YYYY-MM")</f>
        <v>2026-01</v>
      </c>
    </row>
    <row r="300" spans="1:30" x14ac:dyDescent="0.25">
      <c r="A300" t="s">
        <v>265</v>
      </c>
      <c r="B300" t="s">
        <v>1452</v>
      </c>
      <c r="C300" s="1">
        <v>46109</v>
      </c>
      <c r="D300">
        <v>458</v>
      </c>
      <c r="E300">
        <v>154.43</v>
      </c>
      <c r="F300" t="s">
        <v>1485</v>
      </c>
      <c r="G300" s="1">
        <v>46126</v>
      </c>
      <c r="H300">
        <v>458</v>
      </c>
      <c r="I300" s="1">
        <v>46131</v>
      </c>
      <c r="J300" t="s">
        <v>975</v>
      </c>
      <c r="K300">
        <v>458</v>
      </c>
      <c r="L300">
        <v>154.43</v>
      </c>
      <c r="M300" s="1">
        <v>46131</v>
      </c>
      <c r="N300" t="str">
        <f>IF(po_master[[#This Row],[Approved By]]="", "Missing Approval", "OK")</f>
        <v>OK</v>
      </c>
      <c r="O300" t="str">
        <f>IF(ISBLANK(po_master[[#This Row],[GR Quantity]]), "No GR - Not received", "OK")</f>
        <v>OK</v>
      </c>
      <c r="P300" t="str">
        <f>IF(po_master[[#This Row],[Promised Delivey Date]]&lt;po_master[[#This Row],[Order Date]], "Invalid", "OK")</f>
        <v>OK</v>
      </c>
      <c r="Q300" t="str">
        <f>IF(ISBLANK(po_master[[#This Row],[Invoice Number]]), "No Invoice", "OK")</f>
        <v>OK</v>
      </c>
      <c r="R300" t="str">
        <f>IF(AND(NOT(ISBLANK(po_master[[#This Row],[GR Quantity]])), po_master[[#This Row],[GR Quantity]]&lt;&gt;po_master[[#This Row],[PO Quantity]]), "Qty Variance", "OK")</f>
        <v>OK</v>
      </c>
      <c r="S300" t="str">
        <f>IF(po_master[[#This Row],[Invoice Unit Price]]&gt;po_master[[#This Row],[PO Unit Price]]*1.01, "Price Variance", "OK")</f>
        <v>OK</v>
      </c>
      <c r="T300" t="str">
        <f>IF(po_master[[#This Row],[Actual Delivery Date]]&gt;po_master[[#This Row],[Promised Delivey Date]], "Late Delivery", "OK")</f>
        <v>Late Delivery</v>
      </c>
      <c r="U300" t="str">
        <f>IF(COUNTIF(po_master[PO Number],po_master[[#This Row],[PO Number]])&gt;1, "Duplicate Invoice", "OK")</f>
        <v>OK</v>
      </c>
      <c r="V300" s="5">
        <f>IF(po_master[[#This Row],[Missing Approval]]="Missing Approval", 1, 0)</f>
        <v>0</v>
      </c>
      <c r="W300" s="5">
        <f>IF(po_master[[#This Row],[GR Receipt Status]]="No GR - Not Received", 1, 0)</f>
        <v>0</v>
      </c>
      <c r="X300" s="5">
        <f>IF(po_master[[#This Row],[No invoice]]="No Invoice", 1, 0)</f>
        <v>0</v>
      </c>
      <c r="Y300" s="5">
        <f>IF(po_master[[#This Row],[Date Check]]="Invalid Date", 1, 0)</f>
        <v>0</v>
      </c>
      <c r="Z300" s="5">
        <f>IF(po_master[[#This Row],[Qty Variance Flag]]="Qty Variance", 1, 0)</f>
        <v>0</v>
      </c>
      <c r="AA300" s="5">
        <f>IF(po_master[[#This Row],[Price Variance Flag]]="Price Variance", 1, 0)</f>
        <v>0</v>
      </c>
      <c r="AB300" s="5">
        <f>IF(po_master[[#This Row],[Late Delivery Flag]]="Late Delivery", 1, 0)</f>
        <v>1</v>
      </c>
      <c r="AC300" s="5">
        <f>IF(po_master[[#This Row],[Duplicate Invoice Flag]]="Duplicate Invoice", 1, 0)</f>
        <v>0</v>
      </c>
      <c r="AD300" s="5" t="str">
        <f>TEXT(po_master[[#This Row],[Order Date]],"YYYY-MM")</f>
        <v>2026-03</v>
      </c>
    </row>
    <row r="301" spans="1:30" x14ac:dyDescent="0.25">
      <c r="A301" t="s">
        <v>266</v>
      </c>
      <c r="B301" t="s">
        <v>1464</v>
      </c>
      <c r="C301" s="1">
        <v>46064</v>
      </c>
      <c r="D301">
        <v>102</v>
      </c>
      <c r="E301">
        <v>167.11</v>
      </c>
      <c r="F301" t="s">
        <v>1456</v>
      </c>
      <c r="G301" s="1">
        <v>46074</v>
      </c>
      <c r="H301">
        <v>102</v>
      </c>
      <c r="I301" s="1">
        <v>46073</v>
      </c>
      <c r="J301" t="s">
        <v>976</v>
      </c>
      <c r="K301">
        <v>102</v>
      </c>
      <c r="L301">
        <v>192.45</v>
      </c>
      <c r="M301" s="1">
        <v>46081</v>
      </c>
      <c r="N301" t="str">
        <f>IF(po_master[[#This Row],[Approved By]]="", "Missing Approval", "OK")</f>
        <v>OK</v>
      </c>
      <c r="O301" t="str">
        <f>IF(ISBLANK(po_master[[#This Row],[GR Quantity]]), "No GR - Not received", "OK")</f>
        <v>OK</v>
      </c>
      <c r="P301" t="str">
        <f>IF(po_master[[#This Row],[Promised Delivey Date]]&lt;po_master[[#This Row],[Order Date]], "Invalid", "OK")</f>
        <v>OK</v>
      </c>
      <c r="Q301" t="str">
        <f>IF(ISBLANK(po_master[[#This Row],[Invoice Number]]), "No Invoice", "OK")</f>
        <v>OK</v>
      </c>
      <c r="R301" t="str">
        <f>IF(AND(NOT(ISBLANK(po_master[[#This Row],[GR Quantity]])), po_master[[#This Row],[GR Quantity]]&lt;&gt;po_master[[#This Row],[PO Quantity]]), "Qty Variance", "OK")</f>
        <v>OK</v>
      </c>
      <c r="S301" t="str">
        <f>IF(po_master[[#This Row],[Invoice Unit Price]]&gt;po_master[[#This Row],[PO Unit Price]]*1.01, "Price Variance", "OK")</f>
        <v>Price Variance</v>
      </c>
      <c r="T301" t="str">
        <f>IF(po_master[[#This Row],[Actual Delivery Date]]&gt;po_master[[#This Row],[Promised Delivey Date]], "Late Delivery", "OK")</f>
        <v>OK</v>
      </c>
      <c r="U301" t="str">
        <f>IF(COUNTIF(po_master[PO Number],po_master[[#This Row],[PO Number]])&gt;1, "Duplicate Invoice", "OK")</f>
        <v>OK</v>
      </c>
      <c r="V301" s="5">
        <f>IF(po_master[[#This Row],[Missing Approval]]="Missing Approval", 1, 0)</f>
        <v>0</v>
      </c>
      <c r="W301" s="5">
        <f>IF(po_master[[#This Row],[GR Receipt Status]]="No GR - Not Received", 1, 0)</f>
        <v>0</v>
      </c>
      <c r="X301" s="5">
        <f>IF(po_master[[#This Row],[No invoice]]="No Invoice", 1, 0)</f>
        <v>0</v>
      </c>
      <c r="Y301" s="5">
        <f>IF(po_master[[#This Row],[Date Check]]="Invalid Date", 1, 0)</f>
        <v>0</v>
      </c>
      <c r="Z301" s="5">
        <f>IF(po_master[[#This Row],[Qty Variance Flag]]="Qty Variance", 1, 0)</f>
        <v>0</v>
      </c>
      <c r="AA301" s="5">
        <f>IF(po_master[[#This Row],[Price Variance Flag]]="Price Variance", 1, 0)</f>
        <v>1</v>
      </c>
      <c r="AB301" s="5">
        <f>IF(po_master[[#This Row],[Late Delivery Flag]]="Late Delivery", 1, 0)</f>
        <v>0</v>
      </c>
      <c r="AC301" s="5">
        <f>IF(po_master[[#This Row],[Duplicate Invoice Flag]]="Duplicate Invoice", 1, 0)</f>
        <v>0</v>
      </c>
      <c r="AD301" s="5" t="str">
        <f>TEXT(po_master[[#This Row],[Order Date]],"YYYY-MM")</f>
        <v>2026-02</v>
      </c>
    </row>
    <row r="302" spans="1:30" x14ac:dyDescent="0.25">
      <c r="A302" t="s">
        <v>957</v>
      </c>
      <c r="B302" t="s">
        <v>1502</v>
      </c>
      <c r="C302" s="1">
        <v>46141</v>
      </c>
      <c r="D302">
        <v>307</v>
      </c>
      <c r="E302">
        <v>113.09</v>
      </c>
      <c r="F302" t="s">
        <v>1490</v>
      </c>
      <c r="G302" s="1">
        <v>46147</v>
      </c>
      <c r="I302" s="1"/>
      <c r="J302" t="s">
        <v>958</v>
      </c>
      <c r="K302">
        <v>307</v>
      </c>
      <c r="L302">
        <v>113.09</v>
      </c>
      <c r="M302" s="1">
        <v>46155</v>
      </c>
      <c r="N302" t="str">
        <f>IF(po_master[[#This Row],[Approved By]]="", "Missing Approval", "OK")</f>
        <v>OK</v>
      </c>
      <c r="O302" t="str">
        <f>IF(ISBLANK(po_master[[#This Row],[GR Quantity]]), "No GR - Not received", "OK")</f>
        <v>No GR - Not received</v>
      </c>
      <c r="P302" t="str">
        <f>IF(po_master[[#This Row],[Promised Delivey Date]]&lt;po_master[[#This Row],[Order Date]], "Invalid", "OK")</f>
        <v>OK</v>
      </c>
      <c r="Q302" t="str">
        <f>IF(ISBLANK(po_master[[#This Row],[Invoice Number]]), "No Invoice", "OK")</f>
        <v>OK</v>
      </c>
      <c r="R302" t="str">
        <f>IF(AND(NOT(ISBLANK(po_master[[#This Row],[GR Quantity]])), po_master[[#This Row],[GR Quantity]]&lt;&gt;po_master[[#This Row],[PO Quantity]]), "Qty Variance", "OK")</f>
        <v>OK</v>
      </c>
      <c r="S302" t="str">
        <f>IF(po_master[[#This Row],[Invoice Unit Price]]&gt;po_master[[#This Row],[PO Unit Price]]*1.01, "Price Variance", "OK")</f>
        <v>OK</v>
      </c>
      <c r="T302" t="str">
        <f>IF(po_master[[#This Row],[Actual Delivery Date]]&gt;po_master[[#This Row],[Promised Delivey Date]], "Late Delivery", "OK")</f>
        <v>OK</v>
      </c>
      <c r="U302" t="str">
        <f>IF(COUNTIF(po_master[PO Number],po_master[[#This Row],[PO Number]])&gt;1, "Duplicate Invoice", "OK")</f>
        <v>OK</v>
      </c>
      <c r="V302" s="5">
        <f>IF(po_master[[#This Row],[Missing Approval]]="Missing Approval", 1, 0)</f>
        <v>0</v>
      </c>
      <c r="W302" s="5">
        <f>IF(po_master[[#This Row],[GR Receipt Status]]="No GR - Not Received", 1, 0)</f>
        <v>1</v>
      </c>
      <c r="X302" s="5">
        <f>IF(po_master[[#This Row],[No invoice]]="No Invoice", 1, 0)</f>
        <v>0</v>
      </c>
      <c r="Y302" s="5">
        <f>IF(po_master[[#This Row],[Date Check]]="Invalid Date", 1, 0)</f>
        <v>0</v>
      </c>
      <c r="Z302" s="5">
        <f>IF(po_master[[#This Row],[Qty Variance Flag]]="Qty Variance", 1, 0)</f>
        <v>0</v>
      </c>
      <c r="AA302" s="5">
        <f>IF(po_master[[#This Row],[Price Variance Flag]]="Price Variance", 1, 0)</f>
        <v>0</v>
      </c>
      <c r="AB302" s="5">
        <f>IF(po_master[[#This Row],[Late Delivery Flag]]="Late Delivery", 1, 0)</f>
        <v>0</v>
      </c>
      <c r="AC302" s="5">
        <f>IF(po_master[[#This Row],[Duplicate Invoice Flag]]="Duplicate Invoice", 1, 0)</f>
        <v>0</v>
      </c>
      <c r="AD302" s="5" t="str">
        <f>TEXT(po_master[[#This Row],[Order Date]],"YYYY-MM")</f>
        <v>2026-04</v>
      </c>
    </row>
    <row r="303" spans="1:30" x14ac:dyDescent="0.25">
      <c r="A303" t="s">
        <v>267</v>
      </c>
      <c r="B303" t="s">
        <v>1477</v>
      </c>
      <c r="C303" s="1">
        <v>46135</v>
      </c>
      <c r="D303">
        <v>32</v>
      </c>
      <c r="E303">
        <v>85.12</v>
      </c>
      <c r="F303" t="s">
        <v>1467</v>
      </c>
      <c r="G303" s="1">
        <v>46147</v>
      </c>
      <c r="H303">
        <v>32</v>
      </c>
      <c r="I303" s="1">
        <v>46147</v>
      </c>
      <c r="J303" t="s">
        <v>977</v>
      </c>
      <c r="K303">
        <v>32</v>
      </c>
      <c r="L303">
        <v>85.12</v>
      </c>
      <c r="M303" s="1">
        <v>46153</v>
      </c>
      <c r="N303" t="str">
        <f>IF(po_master[[#This Row],[Approved By]]="", "Missing Approval", "OK")</f>
        <v>OK</v>
      </c>
      <c r="O303" t="str">
        <f>IF(ISBLANK(po_master[[#This Row],[GR Quantity]]), "No GR - Not received", "OK")</f>
        <v>OK</v>
      </c>
      <c r="P303" t="str">
        <f>IF(po_master[[#This Row],[Promised Delivey Date]]&lt;po_master[[#This Row],[Order Date]], "Invalid", "OK")</f>
        <v>OK</v>
      </c>
      <c r="Q303" t="str">
        <f>IF(ISBLANK(po_master[[#This Row],[Invoice Number]]), "No Invoice", "OK")</f>
        <v>OK</v>
      </c>
      <c r="R303" t="str">
        <f>IF(AND(NOT(ISBLANK(po_master[[#This Row],[GR Quantity]])), po_master[[#This Row],[GR Quantity]]&lt;&gt;po_master[[#This Row],[PO Quantity]]), "Qty Variance", "OK")</f>
        <v>OK</v>
      </c>
      <c r="S303" t="str">
        <f>IF(po_master[[#This Row],[Invoice Unit Price]]&gt;po_master[[#This Row],[PO Unit Price]]*1.01, "Price Variance", "OK")</f>
        <v>OK</v>
      </c>
      <c r="T303" t="str">
        <f>IF(po_master[[#This Row],[Actual Delivery Date]]&gt;po_master[[#This Row],[Promised Delivey Date]], "Late Delivery", "OK")</f>
        <v>OK</v>
      </c>
      <c r="U303" t="str">
        <f>IF(COUNTIF(po_master[PO Number],po_master[[#This Row],[PO Number]])&gt;1, "Duplicate Invoice", "OK")</f>
        <v>OK</v>
      </c>
      <c r="V303" s="5">
        <f>IF(po_master[[#This Row],[Missing Approval]]="Missing Approval", 1, 0)</f>
        <v>0</v>
      </c>
      <c r="W303" s="5">
        <f>IF(po_master[[#This Row],[GR Receipt Status]]="No GR - Not Received", 1, 0)</f>
        <v>0</v>
      </c>
      <c r="X303" s="5">
        <f>IF(po_master[[#This Row],[No invoice]]="No Invoice", 1, 0)</f>
        <v>0</v>
      </c>
      <c r="Y303" s="5">
        <f>IF(po_master[[#This Row],[Date Check]]="Invalid Date", 1, 0)</f>
        <v>0</v>
      </c>
      <c r="Z303" s="5">
        <f>IF(po_master[[#This Row],[Qty Variance Flag]]="Qty Variance", 1, 0)</f>
        <v>0</v>
      </c>
      <c r="AA303" s="5">
        <f>IF(po_master[[#This Row],[Price Variance Flag]]="Price Variance", 1, 0)</f>
        <v>0</v>
      </c>
      <c r="AB303" s="5">
        <f>IF(po_master[[#This Row],[Late Delivery Flag]]="Late Delivery", 1, 0)</f>
        <v>0</v>
      </c>
      <c r="AC303" s="5">
        <f>IF(po_master[[#This Row],[Duplicate Invoice Flag]]="Duplicate Invoice", 1, 0)</f>
        <v>0</v>
      </c>
      <c r="AD303" s="5" t="str">
        <f>TEXT(po_master[[#This Row],[Order Date]],"YYYY-MM")</f>
        <v>2026-04</v>
      </c>
    </row>
    <row r="304" spans="1:30" x14ac:dyDescent="0.25">
      <c r="A304" t="s">
        <v>268</v>
      </c>
      <c r="B304" t="s">
        <v>1478</v>
      </c>
      <c r="C304" s="1">
        <v>46095</v>
      </c>
      <c r="D304">
        <v>395</v>
      </c>
      <c r="E304">
        <v>150.96</v>
      </c>
      <c r="F304" t="s">
        <v>1469</v>
      </c>
      <c r="G304" s="1">
        <v>46107</v>
      </c>
      <c r="H304">
        <v>395</v>
      </c>
      <c r="I304" s="1">
        <v>46106</v>
      </c>
      <c r="J304" t="s">
        <v>978</v>
      </c>
      <c r="K304">
        <v>395</v>
      </c>
      <c r="L304">
        <v>150.96</v>
      </c>
      <c r="M304" s="1">
        <v>46111</v>
      </c>
      <c r="N304" t="str">
        <f>IF(po_master[[#This Row],[Approved By]]="", "Missing Approval", "OK")</f>
        <v>OK</v>
      </c>
      <c r="O304" t="str">
        <f>IF(ISBLANK(po_master[[#This Row],[GR Quantity]]), "No GR - Not received", "OK")</f>
        <v>OK</v>
      </c>
      <c r="P304" t="str">
        <f>IF(po_master[[#This Row],[Promised Delivey Date]]&lt;po_master[[#This Row],[Order Date]], "Invalid", "OK")</f>
        <v>OK</v>
      </c>
      <c r="Q304" t="str">
        <f>IF(ISBLANK(po_master[[#This Row],[Invoice Number]]), "No Invoice", "OK")</f>
        <v>OK</v>
      </c>
      <c r="R304" t="str">
        <f>IF(AND(NOT(ISBLANK(po_master[[#This Row],[GR Quantity]])), po_master[[#This Row],[GR Quantity]]&lt;&gt;po_master[[#This Row],[PO Quantity]]), "Qty Variance", "OK")</f>
        <v>OK</v>
      </c>
      <c r="S304" t="str">
        <f>IF(po_master[[#This Row],[Invoice Unit Price]]&gt;po_master[[#This Row],[PO Unit Price]]*1.01, "Price Variance", "OK")</f>
        <v>OK</v>
      </c>
      <c r="T304" t="str">
        <f>IF(po_master[[#This Row],[Actual Delivery Date]]&gt;po_master[[#This Row],[Promised Delivey Date]], "Late Delivery", "OK")</f>
        <v>OK</v>
      </c>
      <c r="U304" t="str">
        <f>IF(COUNTIF(po_master[PO Number],po_master[[#This Row],[PO Number]])&gt;1, "Duplicate Invoice", "OK")</f>
        <v>OK</v>
      </c>
      <c r="V304" s="5">
        <f>IF(po_master[[#This Row],[Missing Approval]]="Missing Approval", 1, 0)</f>
        <v>0</v>
      </c>
      <c r="W304" s="5">
        <f>IF(po_master[[#This Row],[GR Receipt Status]]="No GR - Not Received", 1, 0)</f>
        <v>0</v>
      </c>
      <c r="X304" s="5">
        <f>IF(po_master[[#This Row],[No invoice]]="No Invoice", 1, 0)</f>
        <v>0</v>
      </c>
      <c r="Y304" s="5">
        <f>IF(po_master[[#This Row],[Date Check]]="Invalid Date", 1, 0)</f>
        <v>0</v>
      </c>
      <c r="Z304" s="5">
        <f>IF(po_master[[#This Row],[Qty Variance Flag]]="Qty Variance", 1, 0)</f>
        <v>0</v>
      </c>
      <c r="AA304" s="5">
        <f>IF(po_master[[#This Row],[Price Variance Flag]]="Price Variance", 1, 0)</f>
        <v>0</v>
      </c>
      <c r="AB304" s="5">
        <f>IF(po_master[[#This Row],[Late Delivery Flag]]="Late Delivery", 1, 0)</f>
        <v>0</v>
      </c>
      <c r="AC304" s="5">
        <f>IF(po_master[[#This Row],[Duplicate Invoice Flag]]="Duplicate Invoice", 1, 0)</f>
        <v>0</v>
      </c>
      <c r="AD304" s="5" t="str">
        <f>TEXT(po_master[[#This Row],[Order Date]],"YYYY-MM")</f>
        <v>2026-03</v>
      </c>
    </row>
    <row r="305" spans="1:30" x14ac:dyDescent="0.25">
      <c r="A305" t="s">
        <v>269</v>
      </c>
      <c r="B305" t="s">
        <v>1471</v>
      </c>
      <c r="C305" s="1">
        <v>46084</v>
      </c>
      <c r="D305">
        <v>168</v>
      </c>
      <c r="E305">
        <v>193.29</v>
      </c>
      <c r="F305" t="s">
        <v>1487</v>
      </c>
      <c r="G305" s="1">
        <v>46095</v>
      </c>
      <c r="H305">
        <v>185</v>
      </c>
      <c r="I305" s="1">
        <v>46097</v>
      </c>
      <c r="J305" t="s">
        <v>979</v>
      </c>
      <c r="K305">
        <v>168</v>
      </c>
      <c r="L305">
        <v>193.29</v>
      </c>
      <c r="M305" s="1">
        <v>46098</v>
      </c>
      <c r="N305" t="str">
        <f>IF(po_master[[#This Row],[Approved By]]="", "Missing Approval", "OK")</f>
        <v>OK</v>
      </c>
      <c r="O305" t="str">
        <f>IF(ISBLANK(po_master[[#This Row],[GR Quantity]]), "No GR - Not received", "OK")</f>
        <v>OK</v>
      </c>
      <c r="P305" t="str">
        <f>IF(po_master[[#This Row],[Promised Delivey Date]]&lt;po_master[[#This Row],[Order Date]], "Invalid", "OK")</f>
        <v>OK</v>
      </c>
      <c r="Q305" t="str">
        <f>IF(ISBLANK(po_master[[#This Row],[Invoice Number]]), "No Invoice", "OK")</f>
        <v>OK</v>
      </c>
      <c r="R305" t="str">
        <f>IF(AND(NOT(ISBLANK(po_master[[#This Row],[GR Quantity]])), po_master[[#This Row],[GR Quantity]]&lt;&gt;po_master[[#This Row],[PO Quantity]]), "Qty Variance", "OK")</f>
        <v>Qty Variance</v>
      </c>
      <c r="S305" t="str">
        <f>IF(po_master[[#This Row],[Invoice Unit Price]]&gt;po_master[[#This Row],[PO Unit Price]]*1.01, "Price Variance", "OK")</f>
        <v>OK</v>
      </c>
      <c r="T305" t="str">
        <f>IF(po_master[[#This Row],[Actual Delivery Date]]&gt;po_master[[#This Row],[Promised Delivey Date]], "Late Delivery", "OK")</f>
        <v>Late Delivery</v>
      </c>
      <c r="U305" t="str">
        <f>IF(COUNTIF(po_master[PO Number],po_master[[#This Row],[PO Number]])&gt;1, "Duplicate Invoice", "OK")</f>
        <v>OK</v>
      </c>
      <c r="V305" s="5">
        <f>IF(po_master[[#This Row],[Missing Approval]]="Missing Approval", 1, 0)</f>
        <v>0</v>
      </c>
      <c r="W305" s="5">
        <f>IF(po_master[[#This Row],[GR Receipt Status]]="No GR - Not Received", 1, 0)</f>
        <v>0</v>
      </c>
      <c r="X305" s="5">
        <f>IF(po_master[[#This Row],[No invoice]]="No Invoice", 1, 0)</f>
        <v>0</v>
      </c>
      <c r="Y305" s="5">
        <f>IF(po_master[[#This Row],[Date Check]]="Invalid Date", 1, 0)</f>
        <v>0</v>
      </c>
      <c r="Z305" s="5">
        <f>IF(po_master[[#This Row],[Qty Variance Flag]]="Qty Variance", 1, 0)</f>
        <v>1</v>
      </c>
      <c r="AA305" s="5">
        <f>IF(po_master[[#This Row],[Price Variance Flag]]="Price Variance", 1, 0)</f>
        <v>0</v>
      </c>
      <c r="AB305" s="5">
        <f>IF(po_master[[#This Row],[Late Delivery Flag]]="Late Delivery", 1, 0)</f>
        <v>1</v>
      </c>
      <c r="AC305" s="5">
        <f>IF(po_master[[#This Row],[Duplicate Invoice Flag]]="Duplicate Invoice", 1, 0)</f>
        <v>0</v>
      </c>
      <c r="AD305" s="5" t="str">
        <f>TEXT(po_master[[#This Row],[Order Date]],"YYYY-MM")</f>
        <v>2026-03</v>
      </c>
    </row>
    <row r="306" spans="1:30" x14ac:dyDescent="0.25">
      <c r="A306" t="s">
        <v>270</v>
      </c>
      <c r="B306" t="s">
        <v>1445</v>
      </c>
      <c r="C306" s="1">
        <v>46158</v>
      </c>
      <c r="D306">
        <v>224</v>
      </c>
      <c r="E306">
        <v>193.42</v>
      </c>
      <c r="F306" t="s">
        <v>1444</v>
      </c>
      <c r="G306" s="1">
        <v>46167</v>
      </c>
      <c r="H306">
        <v>224</v>
      </c>
      <c r="I306" s="1">
        <v>46169</v>
      </c>
      <c r="J306" t="s">
        <v>982</v>
      </c>
      <c r="K306">
        <v>224</v>
      </c>
      <c r="L306">
        <v>193.42</v>
      </c>
      <c r="M306" s="1">
        <v>46169</v>
      </c>
      <c r="N306" t="str">
        <f>IF(po_master[[#This Row],[Approved By]]="", "Missing Approval", "OK")</f>
        <v>OK</v>
      </c>
      <c r="O306" t="str">
        <f>IF(ISBLANK(po_master[[#This Row],[GR Quantity]]), "No GR - Not received", "OK")</f>
        <v>OK</v>
      </c>
      <c r="P306" t="str">
        <f>IF(po_master[[#This Row],[Promised Delivey Date]]&lt;po_master[[#This Row],[Order Date]], "Invalid", "OK")</f>
        <v>OK</v>
      </c>
      <c r="Q306" t="str">
        <f>IF(ISBLANK(po_master[[#This Row],[Invoice Number]]), "No Invoice", "OK")</f>
        <v>OK</v>
      </c>
      <c r="R306" t="str">
        <f>IF(AND(NOT(ISBLANK(po_master[[#This Row],[GR Quantity]])), po_master[[#This Row],[GR Quantity]]&lt;&gt;po_master[[#This Row],[PO Quantity]]), "Qty Variance", "OK")</f>
        <v>OK</v>
      </c>
      <c r="S306" t="str">
        <f>IF(po_master[[#This Row],[Invoice Unit Price]]&gt;po_master[[#This Row],[PO Unit Price]]*1.01, "Price Variance", "OK")</f>
        <v>OK</v>
      </c>
      <c r="T306" t="str">
        <f>IF(po_master[[#This Row],[Actual Delivery Date]]&gt;po_master[[#This Row],[Promised Delivey Date]], "Late Delivery", "OK")</f>
        <v>Late Delivery</v>
      </c>
      <c r="U306" t="str">
        <f>IF(COUNTIF(po_master[PO Number],po_master[[#This Row],[PO Number]])&gt;1, "Duplicate Invoice", "OK")</f>
        <v>OK</v>
      </c>
      <c r="V306" s="5">
        <f>IF(po_master[[#This Row],[Missing Approval]]="Missing Approval", 1, 0)</f>
        <v>0</v>
      </c>
      <c r="W306" s="5">
        <f>IF(po_master[[#This Row],[GR Receipt Status]]="No GR - Not Received", 1, 0)</f>
        <v>0</v>
      </c>
      <c r="X306" s="5">
        <f>IF(po_master[[#This Row],[No invoice]]="No Invoice", 1, 0)</f>
        <v>0</v>
      </c>
      <c r="Y306" s="5">
        <f>IF(po_master[[#This Row],[Date Check]]="Invalid Date", 1, 0)</f>
        <v>0</v>
      </c>
      <c r="Z306" s="5">
        <f>IF(po_master[[#This Row],[Qty Variance Flag]]="Qty Variance", 1, 0)</f>
        <v>0</v>
      </c>
      <c r="AA306" s="5">
        <f>IF(po_master[[#This Row],[Price Variance Flag]]="Price Variance", 1, 0)</f>
        <v>0</v>
      </c>
      <c r="AB306" s="5">
        <f>IF(po_master[[#This Row],[Late Delivery Flag]]="Late Delivery", 1, 0)</f>
        <v>1</v>
      </c>
      <c r="AC306" s="5">
        <f>IF(po_master[[#This Row],[Duplicate Invoice Flag]]="Duplicate Invoice", 1, 0)</f>
        <v>0</v>
      </c>
      <c r="AD306" s="5" t="str">
        <f>TEXT(po_master[[#This Row],[Order Date]],"YYYY-MM")</f>
        <v>2026-05</v>
      </c>
    </row>
    <row r="307" spans="1:30" x14ac:dyDescent="0.25">
      <c r="A307" t="s">
        <v>963</v>
      </c>
      <c r="B307" t="s">
        <v>1496</v>
      </c>
      <c r="C307" s="1">
        <v>46118</v>
      </c>
      <c r="D307">
        <v>479</v>
      </c>
      <c r="E307">
        <v>60.16</v>
      </c>
      <c r="F307" t="s">
        <v>1507</v>
      </c>
      <c r="G307" s="1">
        <v>46133</v>
      </c>
      <c r="I307" s="1"/>
      <c r="J307" t="s">
        <v>964</v>
      </c>
      <c r="K307">
        <v>479</v>
      </c>
      <c r="L307">
        <v>60.16</v>
      </c>
      <c r="M307" s="1">
        <v>46137</v>
      </c>
      <c r="N307" t="str">
        <f>IF(po_master[[#This Row],[Approved By]]="", "Missing Approval", "OK")</f>
        <v>OK</v>
      </c>
      <c r="O307" t="str">
        <f>IF(ISBLANK(po_master[[#This Row],[GR Quantity]]), "No GR - Not received", "OK")</f>
        <v>No GR - Not received</v>
      </c>
      <c r="P307" t="str">
        <f>IF(po_master[[#This Row],[Promised Delivey Date]]&lt;po_master[[#This Row],[Order Date]], "Invalid", "OK")</f>
        <v>OK</v>
      </c>
      <c r="Q307" t="str">
        <f>IF(ISBLANK(po_master[[#This Row],[Invoice Number]]), "No Invoice", "OK")</f>
        <v>OK</v>
      </c>
      <c r="R307" t="str">
        <f>IF(AND(NOT(ISBLANK(po_master[[#This Row],[GR Quantity]])), po_master[[#This Row],[GR Quantity]]&lt;&gt;po_master[[#This Row],[PO Quantity]]), "Qty Variance", "OK")</f>
        <v>OK</v>
      </c>
      <c r="S307" t="str">
        <f>IF(po_master[[#This Row],[Invoice Unit Price]]&gt;po_master[[#This Row],[PO Unit Price]]*1.01, "Price Variance", "OK")</f>
        <v>OK</v>
      </c>
      <c r="T307" t="str">
        <f>IF(po_master[[#This Row],[Actual Delivery Date]]&gt;po_master[[#This Row],[Promised Delivey Date]], "Late Delivery", "OK")</f>
        <v>OK</v>
      </c>
      <c r="U307" t="str">
        <f>IF(COUNTIF(po_master[PO Number],po_master[[#This Row],[PO Number]])&gt;1, "Duplicate Invoice", "OK")</f>
        <v>OK</v>
      </c>
      <c r="V307" s="5">
        <f>IF(po_master[[#This Row],[Missing Approval]]="Missing Approval", 1, 0)</f>
        <v>0</v>
      </c>
      <c r="W307" s="5">
        <f>IF(po_master[[#This Row],[GR Receipt Status]]="No GR - Not Received", 1, 0)</f>
        <v>1</v>
      </c>
      <c r="X307" s="5">
        <f>IF(po_master[[#This Row],[No invoice]]="No Invoice", 1, 0)</f>
        <v>0</v>
      </c>
      <c r="Y307" s="5">
        <f>IF(po_master[[#This Row],[Date Check]]="Invalid Date", 1, 0)</f>
        <v>0</v>
      </c>
      <c r="Z307" s="5">
        <f>IF(po_master[[#This Row],[Qty Variance Flag]]="Qty Variance", 1, 0)</f>
        <v>0</v>
      </c>
      <c r="AA307" s="5">
        <f>IF(po_master[[#This Row],[Price Variance Flag]]="Price Variance", 1, 0)</f>
        <v>0</v>
      </c>
      <c r="AB307" s="5">
        <f>IF(po_master[[#This Row],[Late Delivery Flag]]="Late Delivery", 1, 0)</f>
        <v>0</v>
      </c>
      <c r="AC307" s="5">
        <f>IF(po_master[[#This Row],[Duplicate Invoice Flag]]="Duplicate Invoice", 1, 0)</f>
        <v>0</v>
      </c>
      <c r="AD307" s="5" t="str">
        <f>TEXT(po_master[[#This Row],[Order Date]],"YYYY-MM")</f>
        <v>2026-04</v>
      </c>
    </row>
    <row r="308" spans="1:30" x14ac:dyDescent="0.25">
      <c r="A308" t="s">
        <v>271</v>
      </c>
      <c r="B308" t="s">
        <v>1455</v>
      </c>
      <c r="C308" s="1">
        <v>46155</v>
      </c>
      <c r="D308">
        <v>445</v>
      </c>
      <c r="E308">
        <v>29.31</v>
      </c>
      <c r="F308" t="s">
        <v>1476</v>
      </c>
      <c r="G308" s="1">
        <v>46165</v>
      </c>
      <c r="H308">
        <v>445</v>
      </c>
      <c r="I308" s="1">
        <v>46165</v>
      </c>
      <c r="J308" t="s">
        <v>985</v>
      </c>
      <c r="K308">
        <v>445</v>
      </c>
      <c r="L308">
        <v>29.31</v>
      </c>
      <c r="M308" s="1">
        <v>46172</v>
      </c>
      <c r="N308" t="str">
        <f>IF(po_master[[#This Row],[Approved By]]="", "Missing Approval", "OK")</f>
        <v>OK</v>
      </c>
      <c r="O308" t="str">
        <f>IF(ISBLANK(po_master[[#This Row],[GR Quantity]]), "No GR - Not received", "OK")</f>
        <v>OK</v>
      </c>
      <c r="P308" t="str">
        <f>IF(po_master[[#This Row],[Promised Delivey Date]]&lt;po_master[[#This Row],[Order Date]], "Invalid", "OK")</f>
        <v>OK</v>
      </c>
      <c r="Q308" t="str">
        <f>IF(ISBLANK(po_master[[#This Row],[Invoice Number]]), "No Invoice", "OK")</f>
        <v>OK</v>
      </c>
      <c r="R308" t="str">
        <f>IF(AND(NOT(ISBLANK(po_master[[#This Row],[GR Quantity]])), po_master[[#This Row],[GR Quantity]]&lt;&gt;po_master[[#This Row],[PO Quantity]]), "Qty Variance", "OK")</f>
        <v>OK</v>
      </c>
      <c r="S308" t="str">
        <f>IF(po_master[[#This Row],[Invoice Unit Price]]&gt;po_master[[#This Row],[PO Unit Price]]*1.01, "Price Variance", "OK")</f>
        <v>OK</v>
      </c>
      <c r="T308" t="str">
        <f>IF(po_master[[#This Row],[Actual Delivery Date]]&gt;po_master[[#This Row],[Promised Delivey Date]], "Late Delivery", "OK")</f>
        <v>OK</v>
      </c>
      <c r="U308" t="str">
        <f>IF(COUNTIF(po_master[PO Number],po_master[[#This Row],[PO Number]])&gt;1, "Duplicate Invoice", "OK")</f>
        <v>OK</v>
      </c>
      <c r="V308" s="5">
        <f>IF(po_master[[#This Row],[Missing Approval]]="Missing Approval", 1, 0)</f>
        <v>0</v>
      </c>
      <c r="W308" s="5">
        <f>IF(po_master[[#This Row],[GR Receipt Status]]="No GR - Not Received", 1, 0)</f>
        <v>0</v>
      </c>
      <c r="X308" s="5">
        <f>IF(po_master[[#This Row],[No invoice]]="No Invoice", 1, 0)</f>
        <v>0</v>
      </c>
      <c r="Y308" s="5">
        <f>IF(po_master[[#This Row],[Date Check]]="Invalid Date", 1, 0)</f>
        <v>0</v>
      </c>
      <c r="Z308" s="5">
        <f>IF(po_master[[#This Row],[Qty Variance Flag]]="Qty Variance", 1, 0)</f>
        <v>0</v>
      </c>
      <c r="AA308" s="5">
        <f>IF(po_master[[#This Row],[Price Variance Flag]]="Price Variance", 1, 0)</f>
        <v>0</v>
      </c>
      <c r="AB308" s="5">
        <f>IF(po_master[[#This Row],[Late Delivery Flag]]="Late Delivery", 1, 0)</f>
        <v>0</v>
      </c>
      <c r="AC308" s="5">
        <f>IF(po_master[[#This Row],[Duplicate Invoice Flag]]="Duplicate Invoice", 1, 0)</f>
        <v>0</v>
      </c>
      <c r="AD308" s="5" t="str">
        <f>TEXT(po_master[[#This Row],[Order Date]],"YYYY-MM")</f>
        <v>2026-05</v>
      </c>
    </row>
    <row r="309" spans="1:30" x14ac:dyDescent="0.25">
      <c r="A309" t="s">
        <v>272</v>
      </c>
      <c r="B309" t="s">
        <v>1511</v>
      </c>
      <c r="C309" s="1">
        <v>46138</v>
      </c>
      <c r="D309">
        <v>473</v>
      </c>
      <c r="E309">
        <v>105.1</v>
      </c>
      <c r="F309" t="s">
        <v>1507</v>
      </c>
      <c r="G309" s="1">
        <v>46145</v>
      </c>
      <c r="H309">
        <v>473</v>
      </c>
      <c r="I309" s="1">
        <v>46143</v>
      </c>
      <c r="J309" t="s">
        <v>986</v>
      </c>
      <c r="K309">
        <v>473</v>
      </c>
      <c r="L309">
        <v>105.1</v>
      </c>
      <c r="M309" s="1">
        <v>46152</v>
      </c>
      <c r="N309" t="str">
        <f>IF(po_master[[#This Row],[Approved By]]="", "Missing Approval", "OK")</f>
        <v>OK</v>
      </c>
      <c r="O309" t="str">
        <f>IF(ISBLANK(po_master[[#This Row],[GR Quantity]]), "No GR - Not received", "OK")</f>
        <v>OK</v>
      </c>
      <c r="P309" t="str">
        <f>IF(po_master[[#This Row],[Promised Delivey Date]]&lt;po_master[[#This Row],[Order Date]], "Invalid", "OK")</f>
        <v>OK</v>
      </c>
      <c r="Q309" t="str">
        <f>IF(ISBLANK(po_master[[#This Row],[Invoice Number]]), "No Invoice", "OK")</f>
        <v>OK</v>
      </c>
      <c r="R309" t="str">
        <f>IF(AND(NOT(ISBLANK(po_master[[#This Row],[GR Quantity]])), po_master[[#This Row],[GR Quantity]]&lt;&gt;po_master[[#This Row],[PO Quantity]]), "Qty Variance", "OK")</f>
        <v>OK</v>
      </c>
      <c r="S309" t="str">
        <f>IF(po_master[[#This Row],[Invoice Unit Price]]&gt;po_master[[#This Row],[PO Unit Price]]*1.01, "Price Variance", "OK")</f>
        <v>OK</v>
      </c>
      <c r="T309" t="str">
        <f>IF(po_master[[#This Row],[Actual Delivery Date]]&gt;po_master[[#This Row],[Promised Delivey Date]], "Late Delivery", "OK")</f>
        <v>OK</v>
      </c>
      <c r="U309" t="str">
        <f>IF(COUNTIF(po_master[PO Number],po_master[[#This Row],[PO Number]])&gt;1, "Duplicate Invoice", "OK")</f>
        <v>OK</v>
      </c>
      <c r="V309" s="5">
        <f>IF(po_master[[#This Row],[Missing Approval]]="Missing Approval", 1, 0)</f>
        <v>0</v>
      </c>
      <c r="W309" s="5">
        <f>IF(po_master[[#This Row],[GR Receipt Status]]="No GR - Not Received", 1, 0)</f>
        <v>0</v>
      </c>
      <c r="X309" s="5">
        <f>IF(po_master[[#This Row],[No invoice]]="No Invoice", 1, 0)</f>
        <v>0</v>
      </c>
      <c r="Y309" s="5">
        <f>IF(po_master[[#This Row],[Date Check]]="Invalid Date", 1, 0)</f>
        <v>0</v>
      </c>
      <c r="Z309" s="5">
        <f>IF(po_master[[#This Row],[Qty Variance Flag]]="Qty Variance", 1, 0)</f>
        <v>0</v>
      </c>
      <c r="AA309" s="5">
        <f>IF(po_master[[#This Row],[Price Variance Flag]]="Price Variance", 1, 0)</f>
        <v>0</v>
      </c>
      <c r="AB309" s="5">
        <f>IF(po_master[[#This Row],[Late Delivery Flag]]="Late Delivery", 1, 0)</f>
        <v>0</v>
      </c>
      <c r="AC309" s="5">
        <f>IF(po_master[[#This Row],[Duplicate Invoice Flag]]="Duplicate Invoice", 1, 0)</f>
        <v>0</v>
      </c>
      <c r="AD309" s="5" t="str">
        <f>TEXT(po_master[[#This Row],[Order Date]],"YYYY-MM")</f>
        <v>2026-04</v>
      </c>
    </row>
    <row r="310" spans="1:30" x14ac:dyDescent="0.25">
      <c r="A310" t="s">
        <v>273</v>
      </c>
      <c r="B310" t="s">
        <v>1447</v>
      </c>
      <c r="C310" s="1">
        <v>46138</v>
      </c>
      <c r="D310">
        <v>462</v>
      </c>
      <c r="E310">
        <v>73.17</v>
      </c>
      <c r="F310" t="s">
        <v>1448</v>
      </c>
      <c r="G310" s="1">
        <v>46156</v>
      </c>
      <c r="H310">
        <v>462</v>
      </c>
      <c r="I310" s="1">
        <v>46158</v>
      </c>
      <c r="J310" t="s">
        <v>987</v>
      </c>
      <c r="K310">
        <v>462</v>
      </c>
      <c r="L310">
        <v>73.17</v>
      </c>
      <c r="M310" s="1">
        <v>46157</v>
      </c>
      <c r="N310" t="str">
        <f>IF(po_master[[#This Row],[Approved By]]="", "Missing Approval", "OK")</f>
        <v>OK</v>
      </c>
      <c r="O310" t="str">
        <f>IF(ISBLANK(po_master[[#This Row],[GR Quantity]]), "No GR - Not received", "OK")</f>
        <v>OK</v>
      </c>
      <c r="P310" t="str">
        <f>IF(po_master[[#This Row],[Promised Delivey Date]]&lt;po_master[[#This Row],[Order Date]], "Invalid", "OK")</f>
        <v>OK</v>
      </c>
      <c r="Q310" t="str">
        <f>IF(ISBLANK(po_master[[#This Row],[Invoice Number]]), "No Invoice", "OK")</f>
        <v>OK</v>
      </c>
      <c r="R310" t="str">
        <f>IF(AND(NOT(ISBLANK(po_master[[#This Row],[GR Quantity]])), po_master[[#This Row],[GR Quantity]]&lt;&gt;po_master[[#This Row],[PO Quantity]]), "Qty Variance", "OK")</f>
        <v>OK</v>
      </c>
      <c r="S310" t="str">
        <f>IF(po_master[[#This Row],[Invoice Unit Price]]&gt;po_master[[#This Row],[PO Unit Price]]*1.01, "Price Variance", "OK")</f>
        <v>OK</v>
      </c>
      <c r="T310" t="str">
        <f>IF(po_master[[#This Row],[Actual Delivery Date]]&gt;po_master[[#This Row],[Promised Delivey Date]], "Late Delivery", "OK")</f>
        <v>Late Delivery</v>
      </c>
      <c r="U310" t="str">
        <f>IF(COUNTIF(po_master[PO Number],po_master[[#This Row],[PO Number]])&gt;1, "Duplicate Invoice", "OK")</f>
        <v>OK</v>
      </c>
      <c r="V310" s="5">
        <f>IF(po_master[[#This Row],[Missing Approval]]="Missing Approval", 1, 0)</f>
        <v>0</v>
      </c>
      <c r="W310" s="5">
        <f>IF(po_master[[#This Row],[GR Receipt Status]]="No GR - Not Received", 1, 0)</f>
        <v>0</v>
      </c>
      <c r="X310" s="5">
        <f>IF(po_master[[#This Row],[No invoice]]="No Invoice", 1, 0)</f>
        <v>0</v>
      </c>
      <c r="Y310" s="5">
        <f>IF(po_master[[#This Row],[Date Check]]="Invalid Date", 1, 0)</f>
        <v>0</v>
      </c>
      <c r="Z310" s="5">
        <f>IF(po_master[[#This Row],[Qty Variance Flag]]="Qty Variance", 1, 0)</f>
        <v>0</v>
      </c>
      <c r="AA310" s="5">
        <f>IF(po_master[[#This Row],[Price Variance Flag]]="Price Variance", 1, 0)</f>
        <v>0</v>
      </c>
      <c r="AB310" s="5">
        <f>IF(po_master[[#This Row],[Late Delivery Flag]]="Late Delivery", 1, 0)</f>
        <v>1</v>
      </c>
      <c r="AC310" s="5">
        <f>IF(po_master[[#This Row],[Duplicate Invoice Flag]]="Duplicate Invoice", 1, 0)</f>
        <v>0</v>
      </c>
      <c r="AD310" s="5" t="str">
        <f>TEXT(po_master[[#This Row],[Order Date]],"YYYY-MM")</f>
        <v>2026-04</v>
      </c>
    </row>
    <row r="311" spans="1:30" x14ac:dyDescent="0.25">
      <c r="A311" t="s">
        <v>274</v>
      </c>
      <c r="B311" t="s">
        <v>1475</v>
      </c>
      <c r="C311" s="1">
        <v>46124</v>
      </c>
      <c r="D311">
        <v>267</v>
      </c>
      <c r="E311">
        <v>77.92</v>
      </c>
      <c r="F311" t="s">
        <v>1453</v>
      </c>
      <c r="G311" s="1">
        <v>46131</v>
      </c>
      <c r="H311">
        <v>267</v>
      </c>
      <c r="I311" s="1">
        <v>46129</v>
      </c>
      <c r="J311" t="s">
        <v>988</v>
      </c>
      <c r="K311">
        <v>267</v>
      </c>
      <c r="L311">
        <v>77.92</v>
      </c>
      <c r="M311" s="1">
        <v>46140</v>
      </c>
      <c r="N311" t="str">
        <f>IF(po_master[[#This Row],[Approved By]]="", "Missing Approval", "OK")</f>
        <v>OK</v>
      </c>
      <c r="O311" t="str">
        <f>IF(ISBLANK(po_master[[#This Row],[GR Quantity]]), "No GR - Not received", "OK")</f>
        <v>OK</v>
      </c>
      <c r="P311" t="str">
        <f>IF(po_master[[#This Row],[Promised Delivey Date]]&lt;po_master[[#This Row],[Order Date]], "Invalid", "OK")</f>
        <v>OK</v>
      </c>
      <c r="Q311" t="str">
        <f>IF(ISBLANK(po_master[[#This Row],[Invoice Number]]), "No Invoice", "OK")</f>
        <v>OK</v>
      </c>
      <c r="R311" t="str">
        <f>IF(AND(NOT(ISBLANK(po_master[[#This Row],[GR Quantity]])), po_master[[#This Row],[GR Quantity]]&lt;&gt;po_master[[#This Row],[PO Quantity]]), "Qty Variance", "OK")</f>
        <v>OK</v>
      </c>
      <c r="S311" t="str">
        <f>IF(po_master[[#This Row],[Invoice Unit Price]]&gt;po_master[[#This Row],[PO Unit Price]]*1.01, "Price Variance", "OK")</f>
        <v>OK</v>
      </c>
      <c r="T311" t="str">
        <f>IF(po_master[[#This Row],[Actual Delivery Date]]&gt;po_master[[#This Row],[Promised Delivey Date]], "Late Delivery", "OK")</f>
        <v>OK</v>
      </c>
      <c r="U311" t="str">
        <f>IF(COUNTIF(po_master[PO Number],po_master[[#This Row],[PO Number]])&gt;1, "Duplicate Invoice", "OK")</f>
        <v>OK</v>
      </c>
      <c r="V311" s="5">
        <f>IF(po_master[[#This Row],[Missing Approval]]="Missing Approval", 1, 0)</f>
        <v>0</v>
      </c>
      <c r="W311" s="5">
        <f>IF(po_master[[#This Row],[GR Receipt Status]]="No GR - Not Received", 1, 0)</f>
        <v>0</v>
      </c>
      <c r="X311" s="5">
        <f>IF(po_master[[#This Row],[No invoice]]="No Invoice", 1, 0)</f>
        <v>0</v>
      </c>
      <c r="Y311" s="5">
        <f>IF(po_master[[#This Row],[Date Check]]="Invalid Date", 1, 0)</f>
        <v>0</v>
      </c>
      <c r="Z311" s="5">
        <f>IF(po_master[[#This Row],[Qty Variance Flag]]="Qty Variance", 1, 0)</f>
        <v>0</v>
      </c>
      <c r="AA311" s="5">
        <f>IF(po_master[[#This Row],[Price Variance Flag]]="Price Variance", 1, 0)</f>
        <v>0</v>
      </c>
      <c r="AB311" s="5">
        <f>IF(po_master[[#This Row],[Late Delivery Flag]]="Late Delivery", 1, 0)</f>
        <v>0</v>
      </c>
      <c r="AC311" s="5">
        <f>IF(po_master[[#This Row],[Duplicate Invoice Flag]]="Duplicate Invoice", 1, 0)</f>
        <v>0</v>
      </c>
      <c r="AD311" s="5" t="str">
        <f>TEXT(po_master[[#This Row],[Order Date]],"YYYY-MM")</f>
        <v>2026-04</v>
      </c>
    </row>
    <row r="312" spans="1:30" x14ac:dyDescent="0.25">
      <c r="A312" t="s">
        <v>275</v>
      </c>
      <c r="B312" t="s">
        <v>1496</v>
      </c>
      <c r="C312" s="1">
        <v>46080</v>
      </c>
      <c r="D312">
        <v>24</v>
      </c>
      <c r="E312">
        <v>67.14</v>
      </c>
      <c r="F312" t="s">
        <v>1483</v>
      </c>
      <c r="G312" s="1">
        <v>46095</v>
      </c>
      <c r="H312">
        <v>24</v>
      </c>
      <c r="I312" s="1">
        <v>46095</v>
      </c>
      <c r="J312" t="s">
        <v>989</v>
      </c>
      <c r="K312">
        <v>24</v>
      </c>
      <c r="L312">
        <v>67.14</v>
      </c>
      <c r="M312" s="1">
        <v>46099</v>
      </c>
      <c r="N312" t="str">
        <f>IF(po_master[[#This Row],[Approved By]]="", "Missing Approval", "OK")</f>
        <v>OK</v>
      </c>
      <c r="O312" t="str">
        <f>IF(ISBLANK(po_master[[#This Row],[GR Quantity]]), "No GR - Not received", "OK")</f>
        <v>OK</v>
      </c>
      <c r="P312" t="str">
        <f>IF(po_master[[#This Row],[Promised Delivey Date]]&lt;po_master[[#This Row],[Order Date]], "Invalid", "OK")</f>
        <v>OK</v>
      </c>
      <c r="Q312" t="str">
        <f>IF(ISBLANK(po_master[[#This Row],[Invoice Number]]), "No Invoice", "OK")</f>
        <v>OK</v>
      </c>
      <c r="R312" t="str">
        <f>IF(AND(NOT(ISBLANK(po_master[[#This Row],[GR Quantity]])), po_master[[#This Row],[GR Quantity]]&lt;&gt;po_master[[#This Row],[PO Quantity]]), "Qty Variance", "OK")</f>
        <v>OK</v>
      </c>
      <c r="S312" t="str">
        <f>IF(po_master[[#This Row],[Invoice Unit Price]]&gt;po_master[[#This Row],[PO Unit Price]]*1.01, "Price Variance", "OK")</f>
        <v>OK</v>
      </c>
      <c r="T312" t="str">
        <f>IF(po_master[[#This Row],[Actual Delivery Date]]&gt;po_master[[#This Row],[Promised Delivey Date]], "Late Delivery", "OK")</f>
        <v>OK</v>
      </c>
      <c r="U312" t="str">
        <f>IF(COUNTIF(po_master[PO Number],po_master[[#This Row],[PO Number]])&gt;1, "Duplicate Invoice", "OK")</f>
        <v>OK</v>
      </c>
      <c r="V312" s="5">
        <f>IF(po_master[[#This Row],[Missing Approval]]="Missing Approval", 1, 0)</f>
        <v>0</v>
      </c>
      <c r="W312" s="5">
        <f>IF(po_master[[#This Row],[GR Receipt Status]]="No GR - Not Received", 1, 0)</f>
        <v>0</v>
      </c>
      <c r="X312" s="5">
        <f>IF(po_master[[#This Row],[No invoice]]="No Invoice", 1, 0)</f>
        <v>0</v>
      </c>
      <c r="Y312" s="5">
        <f>IF(po_master[[#This Row],[Date Check]]="Invalid Date", 1, 0)</f>
        <v>0</v>
      </c>
      <c r="Z312" s="5">
        <f>IF(po_master[[#This Row],[Qty Variance Flag]]="Qty Variance", 1, 0)</f>
        <v>0</v>
      </c>
      <c r="AA312" s="5">
        <f>IF(po_master[[#This Row],[Price Variance Flag]]="Price Variance", 1, 0)</f>
        <v>0</v>
      </c>
      <c r="AB312" s="5">
        <f>IF(po_master[[#This Row],[Late Delivery Flag]]="Late Delivery", 1, 0)</f>
        <v>0</v>
      </c>
      <c r="AC312" s="5">
        <f>IF(po_master[[#This Row],[Duplicate Invoice Flag]]="Duplicate Invoice", 1, 0)</f>
        <v>0</v>
      </c>
      <c r="AD312" s="5" t="str">
        <f>TEXT(po_master[[#This Row],[Order Date]],"YYYY-MM")</f>
        <v>2026-02</v>
      </c>
    </row>
    <row r="313" spans="1:30" x14ac:dyDescent="0.25">
      <c r="A313" t="s">
        <v>276</v>
      </c>
      <c r="B313" t="s">
        <v>1455</v>
      </c>
      <c r="C313" s="1">
        <v>46143</v>
      </c>
      <c r="D313">
        <v>239</v>
      </c>
      <c r="E313">
        <v>124.99</v>
      </c>
      <c r="F313" t="s">
        <v>1476</v>
      </c>
      <c r="G313" s="1">
        <v>46148</v>
      </c>
      <c r="H313">
        <v>239</v>
      </c>
      <c r="I313" s="1">
        <v>46157</v>
      </c>
      <c r="J313" t="s">
        <v>992</v>
      </c>
      <c r="K313">
        <v>239</v>
      </c>
      <c r="L313">
        <v>124.99</v>
      </c>
      <c r="M313" s="1">
        <v>46156</v>
      </c>
      <c r="N313" t="str">
        <f>IF(po_master[[#This Row],[Approved By]]="", "Missing Approval", "OK")</f>
        <v>OK</v>
      </c>
      <c r="O313" t="str">
        <f>IF(ISBLANK(po_master[[#This Row],[GR Quantity]]), "No GR - Not received", "OK")</f>
        <v>OK</v>
      </c>
      <c r="P313" t="str">
        <f>IF(po_master[[#This Row],[Promised Delivey Date]]&lt;po_master[[#This Row],[Order Date]], "Invalid", "OK")</f>
        <v>OK</v>
      </c>
      <c r="Q313" t="str">
        <f>IF(ISBLANK(po_master[[#This Row],[Invoice Number]]), "No Invoice", "OK")</f>
        <v>OK</v>
      </c>
      <c r="R313" t="str">
        <f>IF(AND(NOT(ISBLANK(po_master[[#This Row],[GR Quantity]])), po_master[[#This Row],[GR Quantity]]&lt;&gt;po_master[[#This Row],[PO Quantity]]), "Qty Variance", "OK")</f>
        <v>OK</v>
      </c>
      <c r="S313" t="str">
        <f>IF(po_master[[#This Row],[Invoice Unit Price]]&gt;po_master[[#This Row],[PO Unit Price]]*1.01, "Price Variance", "OK")</f>
        <v>OK</v>
      </c>
      <c r="T313" t="str">
        <f>IF(po_master[[#This Row],[Actual Delivery Date]]&gt;po_master[[#This Row],[Promised Delivey Date]], "Late Delivery", "OK")</f>
        <v>Late Delivery</v>
      </c>
      <c r="U313" t="str">
        <f>IF(COUNTIF(po_master[PO Number],po_master[[#This Row],[PO Number]])&gt;1, "Duplicate Invoice", "OK")</f>
        <v>OK</v>
      </c>
      <c r="V313" s="5">
        <f>IF(po_master[[#This Row],[Missing Approval]]="Missing Approval", 1, 0)</f>
        <v>0</v>
      </c>
      <c r="W313" s="5">
        <f>IF(po_master[[#This Row],[GR Receipt Status]]="No GR - Not Received", 1, 0)</f>
        <v>0</v>
      </c>
      <c r="X313" s="5">
        <f>IF(po_master[[#This Row],[No invoice]]="No Invoice", 1, 0)</f>
        <v>0</v>
      </c>
      <c r="Y313" s="5">
        <f>IF(po_master[[#This Row],[Date Check]]="Invalid Date", 1, 0)</f>
        <v>0</v>
      </c>
      <c r="Z313" s="5">
        <f>IF(po_master[[#This Row],[Qty Variance Flag]]="Qty Variance", 1, 0)</f>
        <v>0</v>
      </c>
      <c r="AA313" s="5">
        <f>IF(po_master[[#This Row],[Price Variance Flag]]="Price Variance", 1, 0)</f>
        <v>0</v>
      </c>
      <c r="AB313" s="5">
        <f>IF(po_master[[#This Row],[Late Delivery Flag]]="Late Delivery", 1, 0)</f>
        <v>1</v>
      </c>
      <c r="AC313" s="5">
        <f>IF(po_master[[#This Row],[Duplicate Invoice Flag]]="Duplicate Invoice", 1, 0)</f>
        <v>0</v>
      </c>
      <c r="AD313" s="5" t="str">
        <f>TEXT(po_master[[#This Row],[Order Date]],"YYYY-MM")</f>
        <v>2026-05</v>
      </c>
    </row>
    <row r="314" spans="1:30" x14ac:dyDescent="0.25">
      <c r="A314" t="s">
        <v>277</v>
      </c>
      <c r="B314" t="s">
        <v>1470</v>
      </c>
      <c r="C314" s="1">
        <v>46078</v>
      </c>
      <c r="D314">
        <v>437</v>
      </c>
      <c r="E314">
        <v>34.159999999999997</v>
      </c>
      <c r="F314" t="s">
        <v>1490</v>
      </c>
      <c r="G314" s="1">
        <v>46099</v>
      </c>
      <c r="H314">
        <v>455</v>
      </c>
      <c r="I314" s="1">
        <v>46098</v>
      </c>
      <c r="J314" t="s">
        <v>993</v>
      </c>
      <c r="K314">
        <v>437</v>
      </c>
      <c r="L314">
        <v>38.28</v>
      </c>
      <c r="M314" s="1">
        <v>46109</v>
      </c>
      <c r="N314" t="str">
        <f>IF(po_master[[#This Row],[Approved By]]="", "Missing Approval", "OK")</f>
        <v>OK</v>
      </c>
      <c r="O314" t="str">
        <f>IF(ISBLANK(po_master[[#This Row],[GR Quantity]]), "No GR - Not received", "OK")</f>
        <v>OK</v>
      </c>
      <c r="P314" t="str">
        <f>IF(po_master[[#This Row],[Promised Delivey Date]]&lt;po_master[[#This Row],[Order Date]], "Invalid", "OK")</f>
        <v>OK</v>
      </c>
      <c r="Q314" t="str">
        <f>IF(ISBLANK(po_master[[#This Row],[Invoice Number]]), "No Invoice", "OK")</f>
        <v>OK</v>
      </c>
      <c r="R314" t="str">
        <f>IF(AND(NOT(ISBLANK(po_master[[#This Row],[GR Quantity]])), po_master[[#This Row],[GR Quantity]]&lt;&gt;po_master[[#This Row],[PO Quantity]]), "Qty Variance", "OK")</f>
        <v>Qty Variance</v>
      </c>
      <c r="S314" t="str">
        <f>IF(po_master[[#This Row],[Invoice Unit Price]]&gt;po_master[[#This Row],[PO Unit Price]]*1.01, "Price Variance", "OK")</f>
        <v>Price Variance</v>
      </c>
      <c r="T314" t="str">
        <f>IF(po_master[[#This Row],[Actual Delivery Date]]&gt;po_master[[#This Row],[Promised Delivey Date]], "Late Delivery", "OK")</f>
        <v>OK</v>
      </c>
      <c r="U314" t="str">
        <f>IF(COUNTIF(po_master[PO Number],po_master[[#This Row],[PO Number]])&gt;1, "Duplicate Invoice", "OK")</f>
        <v>OK</v>
      </c>
      <c r="V314" s="5">
        <f>IF(po_master[[#This Row],[Missing Approval]]="Missing Approval", 1, 0)</f>
        <v>0</v>
      </c>
      <c r="W314" s="5">
        <f>IF(po_master[[#This Row],[GR Receipt Status]]="No GR - Not Received", 1, 0)</f>
        <v>0</v>
      </c>
      <c r="X314" s="5">
        <f>IF(po_master[[#This Row],[No invoice]]="No Invoice", 1, 0)</f>
        <v>0</v>
      </c>
      <c r="Y314" s="5">
        <f>IF(po_master[[#This Row],[Date Check]]="Invalid Date", 1, 0)</f>
        <v>0</v>
      </c>
      <c r="Z314" s="5">
        <f>IF(po_master[[#This Row],[Qty Variance Flag]]="Qty Variance", 1, 0)</f>
        <v>1</v>
      </c>
      <c r="AA314" s="5">
        <f>IF(po_master[[#This Row],[Price Variance Flag]]="Price Variance", 1, 0)</f>
        <v>1</v>
      </c>
      <c r="AB314" s="5">
        <f>IF(po_master[[#This Row],[Late Delivery Flag]]="Late Delivery", 1, 0)</f>
        <v>0</v>
      </c>
      <c r="AC314" s="5">
        <f>IF(po_master[[#This Row],[Duplicate Invoice Flag]]="Duplicate Invoice", 1, 0)</f>
        <v>0</v>
      </c>
      <c r="AD314" s="5" t="str">
        <f>TEXT(po_master[[#This Row],[Order Date]],"YYYY-MM")</f>
        <v>2026-02</v>
      </c>
    </row>
    <row r="315" spans="1:30" x14ac:dyDescent="0.25">
      <c r="A315" t="s">
        <v>278</v>
      </c>
      <c r="B315" t="s">
        <v>1500</v>
      </c>
      <c r="C315" s="1">
        <v>46051</v>
      </c>
      <c r="D315">
        <v>407</v>
      </c>
      <c r="E315">
        <v>61.18</v>
      </c>
      <c r="F315" t="s">
        <v>1474</v>
      </c>
      <c r="G315" s="1">
        <v>46059</v>
      </c>
      <c r="H315">
        <v>407</v>
      </c>
      <c r="I315" s="1">
        <v>46059</v>
      </c>
      <c r="J315" t="s">
        <v>994</v>
      </c>
      <c r="K315">
        <v>407</v>
      </c>
      <c r="L315">
        <v>61.18</v>
      </c>
      <c r="M315" s="1">
        <v>46068</v>
      </c>
      <c r="N315" t="str">
        <f>IF(po_master[[#This Row],[Approved By]]="", "Missing Approval", "OK")</f>
        <v>OK</v>
      </c>
      <c r="O315" t="str">
        <f>IF(ISBLANK(po_master[[#This Row],[GR Quantity]]), "No GR - Not received", "OK")</f>
        <v>OK</v>
      </c>
      <c r="P315" t="str">
        <f>IF(po_master[[#This Row],[Promised Delivey Date]]&lt;po_master[[#This Row],[Order Date]], "Invalid", "OK")</f>
        <v>OK</v>
      </c>
      <c r="Q315" t="str">
        <f>IF(ISBLANK(po_master[[#This Row],[Invoice Number]]), "No Invoice", "OK")</f>
        <v>OK</v>
      </c>
      <c r="R315" t="str">
        <f>IF(AND(NOT(ISBLANK(po_master[[#This Row],[GR Quantity]])), po_master[[#This Row],[GR Quantity]]&lt;&gt;po_master[[#This Row],[PO Quantity]]), "Qty Variance", "OK")</f>
        <v>OK</v>
      </c>
      <c r="S315" t="str">
        <f>IF(po_master[[#This Row],[Invoice Unit Price]]&gt;po_master[[#This Row],[PO Unit Price]]*1.01, "Price Variance", "OK")</f>
        <v>OK</v>
      </c>
      <c r="T315" t="str">
        <f>IF(po_master[[#This Row],[Actual Delivery Date]]&gt;po_master[[#This Row],[Promised Delivey Date]], "Late Delivery", "OK")</f>
        <v>OK</v>
      </c>
      <c r="U315" t="str">
        <f>IF(COUNTIF(po_master[PO Number],po_master[[#This Row],[PO Number]])&gt;1, "Duplicate Invoice", "OK")</f>
        <v>OK</v>
      </c>
      <c r="V315" s="5">
        <f>IF(po_master[[#This Row],[Missing Approval]]="Missing Approval", 1, 0)</f>
        <v>0</v>
      </c>
      <c r="W315" s="5">
        <f>IF(po_master[[#This Row],[GR Receipt Status]]="No GR - Not Received", 1, 0)</f>
        <v>0</v>
      </c>
      <c r="X315" s="5">
        <f>IF(po_master[[#This Row],[No invoice]]="No Invoice", 1, 0)</f>
        <v>0</v>
      </c>
      <c r="Y315" s="5">
        <f>IF(po_master[[#This Row],[Date Check]]="Invalid Date", 1, 0)</f>
        <v>0</v>
      </c>
      <c r="Z315" s="5">
        <f>IF(po_master[[#This Row],[Qty Variance Flag]]="Qty Variance", 1, 0)</f>
        <v>0</v>
      </c>
      <c r="AA315" s="5">
        <f>IF(po_master[[#This Row],[Price Variance Flag]]="Price Variance", 1, 0)</f>
        <v>0</v>
      </c>
      <c r="AB315" s="5">
        <f>IF(po_master[[#This Row],[Late Delivery Flag]]="Late Delivery", 1, 0)</f>
        <v>0</v>
      </c>
      <c r="AC315" s="5">
        <f>IF(po_master[[#This Row],[Duplicate Invoice Flag]]="Duplicate Invoice", 1, 0)</f>
        <v>0</v>
      </c>
      <c r="AD315" s="5" t="str">
        <f>TEXT(po_master[[#This Row],[Order Date]],"YYYY-MM")</f>
        <v>2026-01</v>
      </c>
    </row>
    <row r="316" spans="1:30" x14ac:dyDescent="0.25">
      <c r="A316" t="s">
        <v>279</v>
      </c>
      <c r="B316" t="s">
        <v>1475</v>
      </c>
      <c r="C316" s="1">
        <v>46084</v>
      </c>
      <c r="D316">
        <v>224</v>
      </c>
      <c r="E316">
        <v>129.6</v>
      </c>
      <c r="F316" t="s">
        <v>1494</v>
      </c>
      <c r="G316" s="1">
        <v>46103</v>
      </c>
      <c r="H316">
        <v>227</v>
      </c>
      <c r="I316" s="1">
        <v>46104</v>
      </c>
      <c r="J316" t="s">
        <v>995</v>
      </c>
      <c r="K316">
        <v>224</v>
      </c>
      <c r="L316">
        <v>129.6</v>
      </c>
      <c r="M316" s="1">
        <v>46106</v>
      </c>
      <c r="N316" t="str">
        <f>IF(po_master[[#This Row],[Approved By]]="", "Missing Approval", "OK")</f>
        <v>OK</v>
      </c>
      <c r="O316" t="str">
        <f>IF(ISBLANK(po_master[[#This Row],[GR Quantity]]), "No GR - Not received", "OK")</f>
        <v>OK</v>
      </c>
      <c r="P316" t="str">
        <f>IF(po_master[[#This Row],[Promised Delivey Date]]&lt;po_master[[#This Row],[Order Date]], "Invalid", "OK")</f>
        <v>OK</v>
      </c>
      <c r="Q316" t="str">
        <f>IF(ISBLANK(po_master[[#This Row],[Invoice Number]]), "No Invoice", "OK")</f>
        <v>OK</v>
      </c>
      <c r="R316" t="str">
        <f>IF(AND(NOT(ISBLANK(po_master[[#This Row],[GR Quantity]])), po_master[[#This Row],[GR Quantity]]&lt;&gt;po_master[[#This Row],[PO Quantity]]), "Qty Variance", "OK")</f>
        <v>Qty Variance</v>
      </c>
      <c r="S316" t="str">
        <f>IF(po_master[[#This Row],[Invoice Unit Price]]&gt;po_master[[#This Row],[PO Unit Price]]*1.01, "Price Variance", "OK")</f>
        <v>OK</v>
      </c>
      <c r="T316" t="str">
        <f>IF(po_master[[#This Row],[Actual Delivery Date]]&gt;po_master[[#This Row],[Promised Delivey Date]], "Late Delivery", "OK")</f>
        <v>Late Delivery</v>
      </c>
      <c r="U316" t="str">
        <f>IF(COUNTIF(po_master[PO Number],po_master[[#This Row],[PO Number]])&gt;1, "Duplicate Invoice", "OK")</f>
        <v>OK</v>
      </c>
      <c r="V316" s="5">
        <f>IF(po_master[[#This Row],[Missing Approval]]="Missing Approval", 1, 0)</f>
        <v>0</v>
      </c>
      <c r="W316" s="5">
        <f>IF(po_master[[#This Row],[GR Receipt Status]]="No GR - Not Received", 1, 0)</f>
        <v>0</v>
      </c>
      <c r="X316" s="5">
        <f>IF(po_master[[#This Row],[No invoice]]="No Invoice", 1, 0)</f>
        <v>0</v>
      </c>
      <c r="Y316" s="5">
        <f>IF(po_master[[#This Row],[Date Check]]="Invalid Date", 1, 0)</f>
        <v>0</v>
      </c>
      <c r="Z316" s="5">
        <f>IF(po_master[[#This Row],[Qty Variance Flag]]="Qty Variance", 1, 0)</f>
        <v>1</v>
      </c>
      <c r="AA316" s="5">
        <f>IF(po_master[[#This Row],[Price Variance Flag]]="Price Variance", 1, 0)</f>
        <v>0</v>
      </c>
      <c r="AB316" s="5">
        <f>IF(po_master[[#This Row],[Late Delivery Flag]]="Late Delivery", 1, 0)</f>
        <v>1</v>
      </c>
      <c r="AC316" s="5">
        <f>IF(po_master[[#This Row],[Duplicate Invoice Flag]]="Duplicate Invoice", 1, 0)</f>
        <v>0</v>
      </c>
      <c r="AD316" s="5" t="str">
        <f>TEXT(po_master[[#This Row],[Order Date]],"YYYY-MM")</f>
        <v>2026-03</v>
      </c>
    </row>
    <row r="317" spans="1:30" x14ac:dyDescent="0.25">
      <c r="A317" t="s">
        <v>280</v>
      </c>
      <c r="B317" t="s">
        <v>1492</v>
      </c>
      <c r="C317" s="1">
        <v>46051</v>
      </c>
      <c r="D317">
        <v>438</v>
      </c>
      <c r="E317">
        <v>181.5</v>
      </c>
      <c r="F317" t="s">
        <v>1494</v>
      </c>
      <c r="G317" s="1">
        <v>46056</v>
      </c>
      <c r="H317">
        <v>438</v>
      </c>
      <c r="I317" s="1">
        <v>46056</v>
      </c>
      <c r="J317" t="s">
        <v>996</v>
      </c>
      <c r="K317">
        <v>438</v>
      </c>
      <c r="L317">
        <v>181.5</v>
      </c>
      <c r="M317" s="1">
        <v>46064</v>
      </c>
      <c r="N317" t="str">
        <f>IF(po_master[[#This Row],[Approved By]]="", "Missing Approval", "OK")</f>
        <v>OK</v>
      </c>
      <c r="O317" t="str">
        <f>IF(ISBLANK(po_master[[#This Row],[GR Quantity]]), "No GR - Not received", "OK")</f>
        <v>OK</v>
      </c>
      <c r="P317" t="str">
        <f>IF(po_master[[#This Row],[Promised Delivey Date]]&lt;po_master[[#This Row],[Order Date]], "Invalid", "OK")</f>
        <v>OK</v>
      </c>
      <c r="Q317" t="str">
        <f>IF(ISBLANK(po_master[[#This Row],[Invoice Number]]), "No Invoice", "OK")</f>
        <v>OK</v>
      </c>
      <c r="R317" t="str">
        <f>IF(AND(NOT(ISBLANK(po_master[[#This Row],[GR Quantity]])), po_master[[#This Row],[GR Quantity]]&lt;&gt;po_master[[#This Row],[PO Quantity]]), "Qty Variance", "OK")</f>
        <v>OK</v>
      </c>
      <c r="S317" t="str">
        <f>IF(po_master[[#This Row],[Invoice Unit Price]]&gt;po_master[[#This Row],[PO Unit Price]]*1.01, "Price Variance", "OK")</f>
        <v>OK</v>
      </c>
      <c r="T317" t="str">
        <f>IF(po_master[[#This Row],[Actual Delivery Date]]&gt;po_master[[#This Row],[Promised Delivey Date]], "Late Delivery", "OK")</f>
        <v>OK</v>
      </c>
      <c r="U317" t="str">
        <f>IF(COUNTIF(po_master[PO Number],po_master[[#This Row],[PO Number]])&gt;1, "Duplicate Invoice", "OK")</f>
        <v>OK</v>
      </c>
      <c r="V317" s="5">
        <f>IF(po_master[[#This Row],[Missing Approval]]="Missing Approval", 1, 0)</f>
        <v>0</v>
      </c>
      <c r="W317" s="5">
        <f>IF(po_master[[#This Row],[GR Receipt Status]]="No GR - Not Received", 1, 0)</f>
        <v>0</v>
      </c>
      <c r="X317" s="5">
        <f>IF(po_master[[#This Row],[No invoice]]="No Invoice", 1, 0)</f>
        <v>0</v>
      </c>
      <c r="Y317" s="5">
        <f>IF(po_master[[#This Row],[Date Check]]="Invalid Date", 1, 0)</f>
        <v>0</v>
      </c>
      <c r="Z317" s="5">
        <f>IF(po_master[[#This Row],[Qty Variance Flag]]="Qty Variance", 1, 0)</f>
        <v>0</v>
      </c>
      <c r="AA317" s="5">
        <f>IF(po_master[[#This Row],[Price Variance Flag]]="Price Variance", 1, 0)</f>
        <v>0</v>
      </c>
      <c r="AB317" s="5">
        <f>IF(po_master[[#This Row],[Late Delivery Flag]]="Late Delivery", 1, 0)</f>
        <v>0</v>
      </c>
      <c r="AC317" s="5">
        <f>IF(po_master[[#This Row],[Duplicate Invoice Flag]]="Duplicate Invoice", 1, 0)</f>
        <v>0</v>
      </c>
      <c r="AD317" s="5" t="str">
        <f>TEXT(po_master[[#This Row],[Order Date]],"YYYY-MM")</f>
        <v>2026-01</v>
      </c>
    </row>
    <row r="318" spans="1:30" x14ac:dyDescent="0.25">
      <c r="A318" t="s">
        <v>281</v>
      </c>
      <c r="B318" t="s">
        <v>1439</v>
      </c>
      <c r="C318" s="1">
        <v>46154</v>
      </c>
      <c r="D318">
        <v>304</v>
      </c>
      <c r="E318">
        <v>52.18</v>
      </c>
      <c r="F318" t="s">
        <v>1485</v>
      </c>
      <c r="G318" s="1">
        <v>46168</v>
      </c>
      <c r="H318">
        <v>304</v>
      </c>
      <c r="I318" s="1">
        <v>46166</v>
      </c>
      <c r="J318" t="s">
        <v>997</v>
      </c>
      <c r="K318">
        <v>304</v>
      </c>
      <c r="L318">
        <v>52.18</v>
      </c>
      <c r="M318" s="1">
        <v>46173</v>
      </c>
      <c r="N318" t="str">
        <f>IF(po_master[[#This Row],[Approved By]]="", "Missing Approval", "OK")</f>
        <v>OK</v>
      </c>
      <c r="O318" t="str">
        <f>IF(ISBLANK(po_master[[#This Row],[GR Quantity]]), "No GR - Not received", "OK")</f>
        <v>OK</v>
      </c>
      <c r="P318" t="str">
        <f>IF(po_master[[#This Row],[Promised Delivey Date]]&lt;po_master[[#This Row],[Order Date]], "Invalid", "OK")</f>
        <v>OK</v>
      </c>
      <c r="Q318" t="str">
        <f>IF(ISBLANK(po_master[[#This Row],[Invoice Number]]), "No Invoice", "OK")</f>
        <v>OK</v>
      </c>
      <c r="R318" t="str">
        <f>IF(AND(NOT(ISBLANK(po_master[[#This Row],[GR Quantity]])), po_master[[#This Row],[GR Quantity]]&lt;&gt;po_master[[#This Row],[PO Quantity]]), "Qty Variance", "OK")</f>
        <v>OK</v>
      </c>
      <c r="S318" t="str">
        <f>IF(po_master[[#This Row],[Invoice Unit Price]]&gt;po_master[[#This Row],[PO Unit Price]]*1.01, "Price Variance", "OK")</f>
        <v>OK</v>
      </c>
      <c r="T318" t="str">
        <f>IF(po_master[[#This Row],[Actual Delivery Date]]&gt;po_master[[#This Row],[Promised Delivey Date]], "Late Delivery", "OK")</f>
        <v>OK</v>
      </c>
      <c r="U318" t="str">
        <f>IF(COUNTIF(po_master[PO Number],po_master[[#This Row],[PO Number]])&gt;1, "Duplicate Invoice", "OK")</f>
        <v>OK</v>
      </c>
      <c r="V318" s="5">
        <f>IF(po_master[[#This Row],[Missing Approval]]="Missing Approval", 1, 0)</f>
        <v>0</v>
      </c>
      <c r="W318" s="5">
        <f>IF(po_master[[#This Row],[GR Receipt Status]]="No GR - Not Received", 1, 0)</f>
        <v>0</v>
      </c>
      <c r="X318" s="5">
        <f>IF(po_master[[#This Row],[No invoice]]="No Invoice", 1, 0)</f>
        <v>0</v>
      </c>
      <c r="Y318" s="5">
        <f>IF(po_master[[#This Row],[Date Check]]="Invalid Date", 1, 0)</f>
        <v>0</v>
      </c>
      <c r="Z318" s="5">
        <f>IF(po_master[[#This Row],[Qty Variance Flag]]="Qty Variance", 1, 0)</f>
        <v>0</v>
      </c>
      <c r="AA318" s="5">
        <f>IF(po_master[[#This Row],[Price Variance Flag]]="Price Variance", 1, 0)</f>
        <v>0</v>
      </c>
      <c r="AB318" s="5">
        <f>IF(po_master[[#This Row],[Late Delivery Flag]]="Late Delivery", 1, 0)</f>
        <v>0</v>
      </c>
      <c r="AC318" s="5">
        <f>IF(po_master[[#This Row],[Duplicate Invoice Flag]]="Duplicate Invoice", 1, 0)</f>
        <v>0</v>
      </c>
      <c r="AD318" s="5" t="str">
        <f>TEXT(po_master[[#This Row],[Order Date]],"YYYY-MM")</f>
        <v>2026-05</v>
      </c>
    </row>
    <row r="319" spans="1:30" x14ac:dyDescent="0.25">
      <c r="A319" t="s">
        <v>282</v>
      </c>
      <c r="B319" t="s">
        <v>1500</v>
      </c>
      <c r="C319" s="1">
        <v>46023</v>
      </c>
      <c r="D319">
        <v>324</v>
      </c>
      <c r="E319">
        <v>73.8</v>
      </c>
      <c r="F319" t="s">
        <v>1480</v>
      </c>
      <c r="G319" s="1">
        <v>46041</v>
      </c>
      <c r="H319">
        <v>324</v>
      </c>
      <c r="I319" s="1">
        <v>46039</v>
      </c>
      <c r="J319" t="s">
        <v>998</v>
      </c>
      <c r="K319">
        <v>324</v>
      </c>
      <c r="L319">
        <v>73.8</v>
      </c>
      <c r="M319" s="1">
        <v>46051</v>
      </c>
      <c r="N319" t="str">
        <f>IF(po_master[[#This Row],[Approved By]]="", "Missing Approval", "OK")</f>
        <v>OK</v>
      </c>
      <c r="O319" t="str">
        <f>IF(ISBLANK(po_master[[#This Row],[GR Quantity]]), "No GR - Not received", "OK")</f>
        <v>OK</v>
      </c>
      <c r="P319" t="str">
        <f>IF(po_master[[#This Row],[Promised Delivey Date]]&lt;po_master[[#This Row],[Order Date]], "Invalid", "OK")</f>
        <v>OK</v>
      </c>
      <c r="Q319" t="str">
        <f>IF(ISBLANK(po_master[[#This Row],[Invoice Number]]), "No Invoice", "OK")</f>
        <v>OK</v>
      </c>
      <c r="R319" t="str">
        <f>IF(AND(NOT(ISBLANK(po_master[[#This Row],[GR Quantity]])), po_master[[#This Row],[GR Quantity]]&lt;&gt;po_master[[#This Row],[PO Quantity]]), "Qty Variance", "OK")</f>
        <v>OK</v>
      </c>
      <c r="S319" t="str">
        <f>IF(po_master[[#This Row],[Invoice Unit Price]]&gt;po_master[[#This Row],[PO Unit Price]]*1.01, "Price Variance", "OK")</f>
        <v>OK</v>
      </c>
      <c r="T319" t="str">
        <f>IF(po_master[[#This Row],[Actual Delivery Date]]&gt;po_master[[#This Row],[Promised Delivey Date]], "Late Delivery", "OK")</f>
        <v>OK</v>
      </c>
      <c r="U319" t="str">
        <f>IF(COUNTIF(po_master[PO Number],po_master[[#This Row],[PO Number]])&gt;1, "Duplicate Invoice", "OK")</f>
        <v>OK</v>
      </c>
      <c r="V319" s="5">
        <f>IF(po_master[[#This Row],[Missing Approval]]="Missing Approval", 1, 0)</f>
        <v>0</v>
      </c>
      <c r="W319" s="5">
        <f>IF(po_master[[#This Row],[GR Receipt Status]]="No GR - Not Received", 1, 0)</f>
        <v>0</v>
      </c>
      <c r="X319" s="5">
        <f>IF(po_master[[#This Row],[No invoice]]="No Invoice", 1, 0)</f>
        <v>0</v>
      </c>
      <c r="Y319" s="5">
        <f>IF(po_master[[#This Row],[Date Check]]="Invalid Date", 1, 0)</f>
        <v>0</v>
      </c>
      <c r="Z319" s="5">
        <f>IF(po_master[[#This Row],[Qty Variance Flag]]="Qty Variance", 1, 0)</f>
        <v>0</v>
      </c>
      <c r="AA319" s="5">
        <f>IF(po_master[[#This Row],[Price Variance Flag]]="Price Variance", 1, 0)</f>
        <v>0</v>
      </c>
      <c r="AB319" s="5">
        <f>IF(po_master[[#This Row],[Late Delivery Flag]]="Late Delivery", 1, 0)</f>
        <v>0</v>
      </c>
      <c r="AC319" s="5">
        <f>IF(po_master[[#This Row],[Duplicate Invoice Flag]]="Duplicate Invoice", 1, 0)</f>
        <v>0</v>
      </c>
      <c r="AD319" s="5" t="str">
        <f>TEXT(po_master[[#This Row],[Order Date]],"YYYY-MM")</f>
        <v>2026-01</v>
      </c>
    </row>
    <row r="320" spans="1:30" x14ac:dyDescent="0.25">
      <c r="A320" t="s">
        <v>283</v>
      </c>
      <c r="B320" t="s">
        <v>1486</v>
      </c>
      <c r="C320" s="1">
        <v>46044</v>
      </c>
      <c r="D320">
        <v>278</v>
      </c>
      <c r="E320">
        <v>195.06</v>
      </c>
      <c r="F320" t="s">
        <v>1476</v>
      </c>
      <c r="G320" s="1">
        <v>46065</v>
      </c>
      <c r="H320">
        <v>278</v>
      </c>
      <c r="I320" s="1">
        <v>46065</v>
      </c>
      <c r="J320" t="s">
        <v>999</v>
      </c>
      <c r="K320">
        <v>278</v>
      </c>
      <c r="L320">
        <v>195.06</v>
      </c>
      <c r="M320" s="1">
        <v>46069</v>
      </c>
      <c r="N320" t="str">
        <f>IF(po_master[[#This Row],[Approved By]]="", "Missing Approval", "OK")</f>
        <v>OK</v>
      </c>
      <c r="O320" t="str">
        <f>IF(ISBLANK(po_master[[#This Row],[GR Quantity]]), "No GR - Not received", "OK")</f>
        <v>OK</v>
      </c>
      <c r="P320" t="str">
        <f>IF(po_master[[#This Row],[Promised Delivey Date]]&lt;po_master[[#This Row],[Order Date]], "Invalid", "OK")</f>
        <v>OK</v>
      </c>
      <c r="Q320" t="str">
        <f>IF(ISBLANK(po_master[[#This Row],[Invoice Number]]), "No Invoice", "OK")</f>
        <v>OK</v>
      </c>
      <c r="R320" t="str">
        <f>IF(AND(NOT(ISBLANK(po_master[[#This Row],[GR Quantity]])), po_master[[#This Row],[GR Quantity]]&lt;&gt;po_master[[#This Row],[PO Quantity]]), "Qty Variance", "OK")</f>
        <v>OK</v>
      </c>
      <c r="S320" t="str">
        <f>IF(po_master[[#This Row],[Invoice Unit Price]]&gt;po_master[[#This Row],[PO Unit Price]]*1.01, "Price Variance", "OK")</f>
        <v>OK</v>
      </c>
      <c r="T320" t="str">
        <f>IF(po_master[[#This Row],[Actual Delivery Date]]&gt;po_master[[#This Row],[Promised Delivey Date]], "Late Delivery", "OK")</f>
        <v>OK</v>
      </c>
      <c r="U320" t="str">
        <f>IF(COUNTIF(po_master[PO Number],po_master[[#This Row],[PO Number]])&gt;1, "Duplicate Invoice", "OK")</f>
        <v>OK</v>
      </c>
      <c r="V320" s="5">
        <f>IF(po_master[[#This Row],[Missing Approval]]="Missing Approval", 1, 0)</f>
        <v>0</v>
      </c>
      <c r="W320" s="5">
        <f>IF(po_master[[#This Row],[GR Receipt Status]]="No GR - Not Received", 1, 0)</f>
        <v>0</v>
      </c>
      <c r="X320" s="5">
        <f>IF(po_master[[#This Row],[No invoice]]="No Invoice", 1, 0)</f>
        <v>0</v>
      </c>
      <c r="Y320" s="5">
        <f>IF(po_master[[#This Row],[Date Check]]="Invalid Date", 1, 0)</f>
        <v>0</v>
      </c>
      <c r="Z320" s="5">
        <f>IF(po_master[[#This Row],[Qty Variance Flag]]="Qty Variance", 1, 0)</f>
        <v>0</v>
      </c>
      <c r="AA320" s="5">
        <f>IF(po_master[[#This Row],[Price Variance Flag]]="Price Variance", 1, 0)</f>
        <v>0</v>
      </c>
      <c r="AB320" s="5">
        <f>IF(po_master[[#This Row],[Late Delivery Flag]]="Late Delivery", 1, 0)</f>
        <v>0</v>
      </c>
      <c r="AC320" s="5">
        <f>IF(po_master[[#This Row],[Duplicate Invoice Flag]]="Duplicate Invoice", 1, 0)</f>
        <v>0</v>
      </c>
      <c r="AD320" s="5" t="str">
        <f>TEXT(po_master[[#This Row],[Order Date]],"YYYY-MM")</f>
        <v>2026-01</v>
      </c>
    </row>
    <row r="321" spans="1:30" x14ac:dyDescent="0.25">
      <c r="A321" t="s">
        <v>284</v>
      </c>
      <c r="B321" t="s">
        <v>1471</v>
      </c>
      <c r="C321" s="1">
        <v>46152</v>
      </c>
      <c r="D321">
        <v>412</v>
      </c>
      <c r="E321">
        <v>197.72</v>
      </c>
      <c r="F321" t="s">
        <v>1442</v>
      </c>
      <c r="G321" s="1">
        <v>46157</v>
      </c>
      <c r="H321">
        <v>412</v>
      </c>
      <c r="I321" s="1">
        <v>46165</v>
      </c>
      <c r="J321" t="s">
        <v>1000</v>
      </c>
      <c r="K321">
        <v>412</v>
      </c>
      <c r="L321">
        <v>197.72</v>
      </c>
      <c r="M321" s="1">
        <v>46161</v>
      </c>
      <c r="N321" t="str">
        <f>IF(po_master[[#This Row],[Approved By]]="", "Missing Approval", "OK")</f>
        <v>OK</v>
      </c>
      <c r="O321" t="str">
        <f>IF(ISBLANK(po_master[[#This Row],[GR Quantity]]), "No GR - Not received", "OK")</f>
        <v>OK</v>
      </c>
      <c r="P321" t="str">
        <f>IF(po_master[[#This Row],[Promised Delivey Date]]&lt;po_master[[#This Row],[Order Date]], "Invalid", "OK")</f>
        <v>OK</v>
      </c>
      <c r="Q321" t="str">
        <f>IF(ISBLANK(po_master[[#This Row],[Invoice Number]]), "No Invoice", "OK")</f>
        <v>OK</v>
      </c>
      <c r="R321" t="str">
        <f>IF(AND(NOT(ISBLANK(po_master[[#This Row],[GR Quantity]])), po_master[[#This Row],[GR Quantity]]&lt;&gt;po_master[[#This Row],[PO Quantity]]), "Qty Variance", "OK")</f>
        <v>OK</v>
      </c>
      <c r="S321" t="str">
        <f>IF(po_master[[#This Row],[Invoice Unit Price]]&gt;po_master[[#This Row],[PO Unit Price]]*1.01, "Price Variance", "OK")</f>
        <v>OK</v>
      </c>
      <c r="T321" t="str">
        <f>IF(po_master[[#This Row],[Actual Delivery Date]]&gt;po_master[[#This Row],[Promised Delivey Date]], "Late Delivery", "OK")</f>
        <v>Late Delivery</v>
      </c>
      <c r="U321" t="str">
        <f>IF(COUNTIF(po_master[PO Number],po_master[[#This Row],[PO Number]])&gt;1, "Duplicate Invoice", "OK")</f>
        <v>OK</v>
      </c>
      <c r="V321" s="5">
        <f>IF(po_master[[#This Row],[Missing Approval]]="Missing Approval", 1, 0)</f>
        <v>0</v>
      </c>
      <c r="W321" s="5">
        <f>IF(po_master[[#This Row],[GR Receipt Status]]="No GR - Not Received", 1, 0)</f>
        <v>0</v>
      </c>
      <c r="X321" s="5">
        <f>IF(po_master[[#This Row],[No invoice]]="No Invoice", 1, 0)</f>
        <v>0</v>
      </c>
      <c r="Y321" s="5">
        <f>IF(po_master[[#This Row],[Date Check]]="Invalid Date", 1, 0)</f>
        <v>0</v>
      </c>
      <c r="Z321" s="5">
        <f>IF(po_master[[#This Row],[Qty Variance Flag]]="Qty Variance", 1, 0)</f>
        <v>0</v>
      </c>
      <c r="AA321" s="5">
        <f>IF(po_master[[#This Row],[Price Variance Flag]]="Price Variance", 1, 0)</f>
        <v>0</v>
      </c>
      <c r="AB321" s="5">
        <f>IF(po_master[[#This Row],[Late Delivery Flag]]="Late Delivery", 1, 0)</f>
        <v>1</v>
      </c>
      <c r="AC321" s="5">
        <f>IF(po_master[[#This Row],[Duplicate Invoice Flag]]="Duplicate Invoice", 1, 0)</f>
        <v>0</v>
      </c>
      <c r="AD321" s="5" t="str">
        <f>TEXT(po_master[[#This Row],[Order Date]],"YYYY-MM")</f>
        <v>2026-05</v>
      </c>
    </row>
    <row r="322" spans="1:30" x14ac:dyDescent="0.25">
      <c r="A322" t="s">
        <v>980</v>
      </c>
      <c r="B322" t="s">
        <v>1496</v>
      </c>
      <c r="C322" s="1">
        <v>46169</v>
      </c>
      <c r="D322">
        <v>235</v>
      </c>
      <c r="E322">
        <v>95.03</v>
      </c>
      <c r="F322" t="s">
        <v>1474</v>
      </c>
      <c r="G322" s="1">
        <v>46186</v>
      </c>
      <c r="I322" s="1"/>
      <c r="J322" t="s">
        <v>981</v>
      </c>
      <c r="K322">
        <v>235</v>
      </c>
      <c r="L322">
        <v>95.03</v>
      </c>
      <c r="M322" s="1">
        <v>46196</v>
      </c>
      <c r="N322" t="str">
        <f>IF(po_master[[#This Row],[Approved By]]="", "Missing Approval", "OK")</f>
        <v>OK</v>
      </c>
      <c r="O322" t="str">
        <f>IF(ISBLANK(po_master[[#This Row],[GR Quantity]]), "No GR - Not received", "OK")</f>
        <v>No GR - Not received</v>
      </c>
      <c r="P322" t="str">
        <f>IF(po_master[[#This Row],[Promised Delivey Date]]&lt;po_master[[#This Row],[Order Date]], "Invalid", "OK")</f>
        <v>OK</v>
      </c>
      <c r="Q322" t="str">
        <f>IF(ISBLANK(po_master[[#This Row],[Invoice Number]]), "No Invoice", "OK")</f>
        <v>OK</v>
      </c>
      <c r="R322" t="str">
        <f>IF(AND(NOT(ISBLANK(po_master[[#This Row],[GR Quantity]])), po_master[[#This Row],[GR Quantity]]&lt;&gt;po_master[[#This Row],[PO Quantity]]), "Qty Variance", "OK")</f>
        <v>OK</v>
      </c>
      <c r="S322" t="str">
        <f>IF(po_master[[#This Row],[Invoice Unit Price]]&gt;po_master[[#This Row],[PO Unit Price]]*1.01, "Price Variance", "OK")</f>
        <v>OK</v>
      </c>
      <c r="T322" t="str">
        <f>IF(po_master[[#This Row],[Actual Delivery Date]]&gt;po_master[[#This Row],[Promised Delivey Date]], "Late Delivery", "OK")</f>
        <v>OK</v>
      </c>
      <c r="U322" t="str">
        <f>IF(COUNTIF(po_master[PO Number],po_master[[#This Row],[PO Number]])&gt;1, "Duplicate Invoice", "OK")</f>
        <v>OK</v>
      </c>
      <c r="V322" s="5">
        <f>IF(po_master[[#This Row],[Missing Approval]]="Missing Approval", 1, 0)</f>
        <v>0</v>
      </c>
      <c r="W322" s="5">
        <f>IF(po_master[[#This Row],[GR Receipt Status]]="No GR - Not Received", 1, 0)</f>
        <v>1</v>
      </c>
      <c r="X322" s="5">
        <f>IF(po_master[[#This Row],[No invoice]]="No Invoice", 1, 0)</f>
        <v>0</v>
      </c>
      <c r="Y322" s="5">
        <f>IF(po_master[[#This Row],[Date Check]]="Invalid Date", 1, 0)</f>
        <v>0</v>
      </c>
      <c r="Z322" s="5">
        <f>IF(po_master[[#This Row],[Qty Variance Flag]]="Qty Variance", 1, 0)</f>
        <v>0</v>
      </c>
      <c r="AA322" s="5">
        <f>IF(po_master[[#This Row],[Price Variance Flag]]="Price Variance", 1, 0)</f>
        <v>0</v>
      </c>
      <c r="AB322" s="5">
        <f>IF(po_master[[#This Row],[Late Delivery Flag]]="Late Delivery", 1, 0)</f>
        <v>0</v>
      </c>
      <c r="AC322" s="5">
        <f>IF(po_master[[#This Row],[Duplicate Invoice Flag]]="Duplicate Invoice", 1, 0)</f>
        <v>0</v>
      </c>
      <c r="AD322" s="5" t="str">
        <f>TEXT(po_master[[#This Row],[Order Date]],"YYYY-MM")</f>
        <v>2026-05</v>
      </c>
    </row>
    <row r="323" spans="1:30" x14ac:dyDescent="0.25">
      <c r="A323" t="s">
        <v>285</v>
      </c>
      <c r="B323" t="s">
        <v>1502</v>
      </c>
      <c r="C323" s="1">
        <v>46143</v>
      </c>
      <c r="D323">
        <v>32</v>
      </c>
      <c r="E323">
        <v>128.96</v>
      </c>
      <c r="F323" t="s">
        <v>1451</v>
      </c>
      <c r="G323" s="1">
        <v>46156</v>
      </c>
      <c r="H323">
        <v>32</v>
      </c>
      <c r="I323" s="1">
        <v>46155</v>
      </c>
      <c r="J323" t="s">
        <v>1001</v>
      </c>
      <c r="K323">
        <v>32</v>
      </c>
      <c r="L323">
        <v>128.96</v>
      </c>
      <c r="M323" s="1">
        <v>46166</v>
      </c>
      <c r="N323" t="str">
        <f>IF(po_master[[#This Row],[Approved By]]="", "Missing Approval", "OK")</f>
        <v>OK</v>
      </c>
      <c r="O323" t="str">
        <f>IF(ISBLANK(po_master[[#This Row],[GR Quantity]]), "No GR - Not received", "OK")</f>
        <v>OK</v>
      </c>
      <c r="P323" t="str">
        <f>IF(po_master[[#This Row],[Promised Delivey Date]]&lt;po_master[[#This Row],[Order Date]], "Invalid", "OK")</f>
        <v>OK</v>
      </c>
      <c r="Q323" t="str">
        <f>IF(ISBLANK(po_master[[#This Row],[Invoice Number]]), "No Invoice", "OK")</f>
        <v>OK</v>
      </c>
      <c r="R323" t="str">
        <f>IF(AND(NOT(ISBLANK(po_master[[#This Row],[GR Quantity]])), po_master[[#This Row],[GR Quantity]]&lt;&gt;po_master[[#This Row],[PO Quantity]]), "Qty Variance", "OK")</f>
        <v>OK</v>
      </c>
      <c r="S323" t="str">
        <f>IF(po_master[[#This Row],[Invoice Unit Price]]&gt;po_master[[#This Row],[PO Unit Price]]*1.01, "Price Variance", "OK")</f>
        <v>OK</v>
      </c>
      <c r="T323" t="str">
        <f>IF(po_master[[#This Row],[Actual Delivery Date]]&gt;po_master[[#This Row],[Promised Delivey Date]], "Late Delivery", "OK")</f>
        <v>OK</v>
      </c>
      <c r="U323" t="str">
        <f>IF(COUNTIF(po_master[PO Number],po_master[[#This Row],[PO Number]])&gt;1, "Duplicate Invoice", "OK")</f>
        <v>OK</v>
      </c>
      <c r="V323" s="5">
        <f>IF(po_master[[#This Row],[Missing Approval]]="Missing Approval", 1, 0)</f>
        <v>0</v>
      </c>
      <c r="W323" s="5">
        <f>IF(po_master[[#This Row],[GR Receipt Status]]="No GR - Not Received", 1, 0)</f>
        <v>0</v>
      </c>
      <c r="X323" s="5">
        <f>IF(po_master[[#This Row],[No invoice]]="No Invoice", 1, 0)</f>
        <v>0</v>
      </c>
      <c r="Y323" s="5">
        <f>IF(po_master[[#This Row],[Date Check]]="Invalid Date", 1, 0)</f>
        <v>0</v>
      </c>
      <c r="Z323" s="5">
        <f>IF(po_master[[#This Row],[Qty Variance Flag]]="Qty Variance", 1, 0)</f>
        <v>0</v>
      </c>
      <c r="AA323" s="5">
        <f>IF(po_master[[#This Row],[Price Variance Flag]]="Price Variance", 1, 0)</f>
        <v>0</v>
      </c>
      <c r="AB323" s="5">
        <f>IF(po_master[[#This Row],[Late Delivery Flag]]="Late Delivery", 1, 0)</f>
        <v>0</v>
      </c>
      <c r="AC323" s="5">
        <f>IF(po_master[[#This Row],[Duplicate Invoice Flag]]="Duplicate Invoice", 1, 0)</f>
        <v>0</v>
      </c>
      <c r="AD323" s="5" t="str">
        <f>TEXT(po_master[[#This Row],[Order Date]],"YYYY-MM")</f>
        <v>2026-05</v>
      </c>
    </row>
    <row r="324" spans="1:30" x14ac:dyDescent="0.25">
      <c r="A324" t="s">
        <v>286</v>
      </c>
      <c r="B324" t="s">
        <v>1477</v>
      </c>
      <c r="C324" s="1">
        <v>46049</v>
      </c>
      <c r="D324">
        <v>405</v>
      </c>
      <c r="E324">
        <v>118.47</v>
      </c>
      <c r="F324" t="s">
        <v>1456</v>
      </c>
      <c r="G324" s="1">
        <v>46064</v>
      </c>
      <c r="H324">
        <v>405</v>
      </c>
      <c r="I324" s="1">
        <v>46070</v>
      </c>
      <c r="J324" t="s">
        <v>1004</v>
      </c>
      <c r="K324">
        <v>405</v>
      </c>
      <c r="L324">
        <v>118.47</v>
      </c>
      <c r="M324" s="1">
        <v>46066</v>
      </c>
      <c r="N324" t="str">
        <f>IF(po_master[[#This Row],[Approved By]]="", "Missing Approval", "OK")</f>
        <v>OK</v>
      </c>
      <c r="O324" t="str">
        <f>IF(ISBLANK(po_master[[#This Row],[GR Quantity]]), "No GR - Not received", "OK")</f>
        <v>OK</v>
      </c>
      <c r="P324" t="str">
        <f>IF(po_master[[#This Row],[Promised Delivey Date]]&lt;po_master[[#This Row],[Order Date]], "Invalid", "OK")</f>
        <v>OK</v>
      </c>
      <c r="Q324" t="str">
        <f>IF(ISBLANK(po_master[[#This Row],[Invoice Number]]), "No Invoice", "OK")</f>
        <v>OK</v>
      </c>
      <c r="R324" t="str">
        <f>IF(AND(NOT(ISBLANK(po_master[[#This Row],[GR Quantity]])), po_master[[#This Row],[GR Quantity]]&lt;&gt;po_master[[#This Row],[PO Quantity]]), "Qty Variance", "OK")</f>
        <v>OK</v>
      </c>
      <c r="S324" t="str">
        <f>IF(po_master[[#This Row],[Invoice Unit Price]]&gt;po_master[[#This Row],[PO Unit Price]]*1.01, "Price Variance", "OK")</f>
        <v>OK</v>
      </c>
      <c r="T324" t="str">
        <f>IF(po_master[[#This Row],[Actual Delivery Date]]&gt;po_master[[#This Row],[Promised Delivey Date]], "Late Delivery", "OK")</f>
        <v>Late Delivery</v>
      </c>
      <c r="U324" t="str">
        <f>IF(COUNTIF(po_master[PO Number],po_master[[#This Row],[PO Number]])&gt;1, "Duplicate Invoice", "OK")</f>
        <v>OK</v>
      </c>
      <c r="V324" s="5">
        <f>IF(po_master[[#This Row],[Missing Approval]]="Missing Approval", 1, 0)</f>
        <v>0</v>
      </c>
      <c r="W324" s="5">
        <f>IF(po_master[[#This Row],[GR Receipt Status]]="No GR - Not Received", 1, 0)</f>
        <v>0</v>
      </c>
      <c r="X324" s="5">
        <f>IF(po_master[[#This Row],[No invoice]]="No Invoice", 1, 0)</f>
        <v>0</v>
      </c>
      <c r="Y324" s="5">
        <f>IF(po_master[[#This Row],[Date Check]]="Invalid Date", 1, 0)</f>
        <v>0</v>
      </c>
      <c r="Z324" s="5">
        <f>IF(po_master[[#This Row],[Qty Variance Flag]]="Qty Variance", 1, 0)</f>
        <v>0</v>
      </c>
      <c r="AA324" s="5">
        <f>IF(po_master[[#This Row],[Price Variance Flag]]="Price Variance", 1, 0)</f>
        <v>0</v>
      </c>
      <c r="AB324" s="5">
        <f>IF(po_master[[#This Row],[Late Delivery Flag]]="Late Delivery", 1, 0)</f>
        <v>1</v>
      </c>
      <c r="AC324" s="5">
        <f>IF(po_master[[#This Row],[Duplicate Invoice Flag]]="Duplicate Invoice", 1, 0)</f>
        <v>0</v>
      </c>
      <c r="AD324" s="5" t="str">
        <f>TEXT(po_master[[#This Row],[Order Date]],"YYYY-MM")</f>
        <v>2026-01</v>
      </c>
    </row>
    <row r="325" spans="1:30" x14ac:dyDescent="0.25">
      <c r="A325" t="s">
        <v>983</v>
      </c>
      <c r="B325" t="s">
        <v>1470</v>
      </c>
      <c r="C325" s="1">
        <v>46036</v>
      </c>
      <c r="D325">
        <v>338</v>
      </c>
      <c r="E325">
        <v>98.72</v>
      </c>
      <c r="F325" t="s">
        <v>1451</v>
      </c>
      <c r="G325" s="1">
        <v>46044</v>
      </c>
      <c r="I325" s="1"/>
      <c r="J325" t="s">
        <v>984</v>
      </c>
      <c r="K325">
        <v>338</v>
      </c>
      <c r="L325">
        <v>98.72</v>
      </c>
      <c r="M325" s="1">
        <v>46047</v>
      </c>
      <c r="N325" t="str">
        <f>IF(po_master[[#This Row],[Approved By]]="", "Missing Approval", "OK")</f>
        <v>OK</v>
      </c>
      <c r="O325" t="str">
        <f>IF(ISBLANK(po_master[[#This Row],[GR Quantity]]), "No GR - Not received", "OK")</f>
        <v>No GR - Not received</v>
      </c>
      <c r="P325" t="str">
        <f>IF(po_master[[#This Row],[Promised Delivey Date]]&lt;po_master[[#This Row],[Order Date]], "Invalid", "OK")</f>
        <v>OK</v>
      </c>
      <c r="Q325" t="str">
        <f>IF(ISBLANK(po_master[[#This Row],[Invoice Number]]), "No Invoice", "OK")</f>
        <v>OK</v>
      </c>
      <c r="R325" t="str">
        <f>IF(AND(NOT(ISBLANK(po_master[[#This Row],[GR Quantity]])), po_master[[#This Row],[GR Quantity]]&lt;&gt;po_master[[#This Row],[PO Quantity]]), "Qty Variance", "OK")</f>
        <v>OK</v>
      </c>
      <c r="S325" t="str">
        <f>IF(po_master[[#This Row],[Invoice Unit Price]]&gt;po_master[[#This Row],[PO Unit Price]]*1.01, "Price Variance", "OK")</f>
        <v>OK</v>
      </c>
      <c r="T325" t="str">
        <f>IF(po_master[[#This Row],[Actual Delivery Date]]&gt;po_master[[#This Row],[Promised Delivey Date]], "Late Delivery", "OK")</f>
        <v>OK</v>
      </c>
      <c r="U325" t="str">
        <f>IF(COUNTIF(po_master[PO Number],po_master[[#This Row],[PO Number]])&gt;1, "Duplicate Invoice", "OK")</f>
        <v>OK</v>
      </c>
      <c r="V325" s="5">
        <f>IF(po_master[[#This Row],[Missing Approval]]="Missing Approval", 1, 0)</f>
        <v>0</v>
      </c>
      <c r="W325" s="5">
        <f>IF(po_master[[#This Row],[GR Receipt Status]]="No GR - Not Received", 1, 0)</f>
        <v>1</v>
      </c>
      <c r="X325" s="5">
        <f>IF(po_master[[#This Row],[No invoice]]="No Invoice", 1, 0)</f>
        <v>0</v>
      </c>
      <c r="Y325" s="5">
        <f>IF(po_master[[#This Row],[Date Check]]="Invalid Date", 1, 0)</f>
        <v>0</v>
      </c>
      <c r="Z325" s="5">
        <f>IF(po_master[[#This Row],[Qty Variance Flag]]="Qty Variance", 1, 0)</f>
        <v>0</v>
      </c>
      <c r="AA325" s="5">
        <f>IF(po_master[[#This Row],[Price Variance Flag]]="Price Variance", 1, 0)</f>
        <v>0</v>
      </c>
      <c r="AB325" s="5">
        <f>IF(po_master[[#This Row],[Late Delivery Flag]]="Late Delivery", 1, 0)</f>
        <v>0</v>
      </c>
      <c r="AC325" s="5">
        <f>IF(po_master[[#This Row],[Duplicate Invoice Flag]]="Duplicate Invoice", 1, 0)</f>
        <v>0</v>
      </c>
      <c r="AD325" s="5" t="str">
        <f>TEXT(po_master[[#This Row],[Order Date]],"YYYY-MM")</f>
        <v>2026-01</v>
      </c>
    </row>
    <row r="326" spans="1:30" x14ac:dyDescent="0.25">
      <c r="A326" t="s">
        <v>287</v>
      </c>
      <c r="B326" t="s">
        <v>1441</v>
      </c>
      <c r="C326" s="1">
        <v>46034</v>
      </c>
      <c r="D326">
        <v>190</v>
      </c>
      <c r="E326">
        <v>111.47</v>
      </c>
      <c r="F326" t="s">
        <v>1446</v>
      </c>
      <c r="G326" s="1">
        <v>46044</v>
      </c>
      <c r="H326">
        <v>190</v>
      </c>
      <c r="I326" s="1">
        <v>46042</v>
      </c>
      <c r="J326" t="s">
        <v>1005</v>
      </c>
      <c r="K326">
        <v>190</v>
      </c>
      <c r="L326">
        <v>111.47</v>
      </c>
      <c r="M326" s="1">
        <v>46048</v>
      </c>
      <c r="N326" t="str">
        <f>IF(po_master[[#This Row],[Approved By]]="", "Missing Approval", "OK")</f>
        <v>OK</v>
      </c>
      <c r="O326" t="str">
        <f>IF(ISBLANK(po_master[[#This Row],[GR Quantity]]), "No GR - Not received", "OK")</f>
        <v>OK</v>
      </c>
      <c r="P326" t="str">
        <f>IF(po_master[[#This Row],[Promised Delivey Date]]&lt;po_master[[#This Row],[Order Date]], "Invalid", "OK")</f>
        <v>OK</v>
      </c>
      <c r="Q326" t="str">
        <f>IF(ISBLANK(po_master[[#This Row],[Invoice Number]]), "No Invoice", "OK")</f>
        <v>OK</v>
      </c>
      <c r="R326" t="str">
        <f>IF(AND(NOT(ISBLANK(po_master[[#This Row],[GR Quantity]])), po_master[[#This Row],[GR Quantity]]&lt;&gt;po_master[[#This Row],[PO Quantity]]), "Qty Variance", "OK")</f>
        <v>OK</v>
      </c>
      <c r="S326" t="str">
        <f>IF(po_master[[#This Row],[Invoice Unit Price]]&gt;po_master[[#This Row],[PO Unit Price]]*1.01, "Price Variance", "OK")</f>
        <v>OK</v>
      </c>
      <c r="T326" t="str">
        <f>IF(po_master[[#This Row],[Actual Delivery Date]]&gt;po_master[[#This Row],[Promised Delivey Date]], "Late Delivery", "OK")</f>
        <v>OK</v>
      </c>
      <c r="U326" t="str">
        <f>IF(COUNTIF(po_master[PO Number],po_master[[#This Row],[PO Number]])&gt;1, "Duplicate Invoice", "OK")</f>
        <v>OK</v>
      </c>
      <c r="V326" s="5">
        <f>IF(po_master[[#This Row],[Missing Approval]]="Missing Approval", 1, 0)</f>
        <v>0</v>
      </c>
      <c r="W326" s="5">
        <f>IF(po_master[[#This Row],[GR Receipt Status]]="No GR - Not Received", 1, 0)</f>
        <v>0</v>
      </c>
      <c r="X326" s="5">
        <f>IF(po_master[[#This Row],[No invoice]]="No Invoice", 1, 0)</f>
        <v>0</v>
      </c>
      <c r="Y326" s="5">
        <f>IF(po_master[[#This Row],[Date Check]]="Invalid Date", 1, 0)</f>
        <v>0</v>
      </c>
      <c r="Z326" s="5">
        <f>IF(po_master[[#This Row],[Qty Variance Flag]]="Qty Variance", 1, 0)</f>
        <v>0</v>
      </c>
      <c r="AA326" s="5">
        <f>IF(po_master[[#This Row],[Price Variance Flag]]="Price Variance", 1, 0)</f>
        <v>0</v>
      </c>
      <c r="AB326" s="5">
        <f>IF(po_master[[#This Row],[Late Delivery Flag]]="Late Delivery", 1, 0)</f>
        <v>0</v>
      </c>
      <c r="AC326" s="5">
        <f>IF(po_master[[#This Row],[Duplicate Invoice Flag]]="Duplicate Invoice", 1, 0)</f>
        <v>0</v>
      </c>
      <c r="AD326" s="5" t="str">
        <f>TEXT(po_master[[#This Row],[Order Date]],"YYYY-MM")</f>
        <v>2026-01</v>
      </c>
    </row>
    <row r="327" spans="1:30" x14ac:dyDescent="0.25">
      <c r="A327" t="s">
        <v>288</v>
      </c>
      <c r="B327" t="s">
        <v>1461</v>
      </c>
      <c r="C327" s="1">
        <v>46141</v>
      </c>
      <c r="D327">
        <v>366</v>
      </c>
      <c r="E327">
        <v>98.31</v>
      </c>
      <c r="F327" t="s">
        <v>1501</v>
      </c>
      <c r="G327" s="1">
        <v>46150</v>
      </c>
      <c r="H327">
        <v>366</v>
      </c>
      <c r="I327" s="1">
        <v>46164</v>
      </c>
      <c r="J327" t="s">
        <v>1006</v>
      </c>
      <c r="K327">
        <v>366</v>
      </c>
      <c r="L327">
        <v>98.31</v>
      </c>
      <c r="M327" s="1">
        <v>46160</v>
      </c>
      <c r="N327" t="str">
        <f>IF(po_master[[#This Row],[Approved By]]="", "Missing Approval", "OK")</f>
        <v>OK</v>
      </c>
      <c r="O327" t="str">
        <f>IF(ISBLANK(po_master[[#This Row],[GR Quantity]]), "No GR - Not received", "OK")</f>
        <v>OK</v>
      </c>
      <c r="P327" t="str">
        <f>IF(po_master[[#This Row],[Promised Delivey Date]]&lt;po_master[[#This Row],[Order Date]], "Invalid", "OK")</f>
        <v>OK</v>
      </c>
      <c r="Q327" t="str">
        <f>IF(ISBLANK(po_master[[#This Row],[Invoice Number]]), "No Invoice", "OK")</f>
        <v>OK</v>
      </c>
      <c r="R327" t="str">
        <f>IF(AND(NOT(ISBLANK(po_master[[#This Row],[GR Quantity]])), po_master[[#This Row],[GR Quantity]]&lt;&gt;po_master[[#This Row],[PO Quantity]]), "Qty Variance", "OK")</f>
        <v>OK</v>
      </c>
      <c r="S327" t="str">
        <f>IF(po_master[[#This Row],[Invoice Unit Price]]&gt;po_master[[#This Row],[PO Unit Price]]*1.01, "Price Variance", "OK")</f>
        <v>OK</v>
      </c>
      <c r="T327" t="str">
        <f>IF(po_master[[#This Row],[Actual Delivery Date]]&gt;po_master[[#This Row],[Promised Delivey Date]], "Late Delivery", "OK")</f>
        <v>Late Delivery</v>
      </c>
      <c r="U327" t="str">
        <f>IF(COUNTIF(po_master[PO Number],po_master[[#This Row],[PO Number]])&gt;1, "Duplicate Invoice", "OK")</f>
        <v>OK</v>
      </c>
      <c r="V327" s="5">
        <f>IF(po_master[[#This Row],[Missing Approval]]="Missing Approval", 1, 0)</f>
        <v>0</v>
      </c>
      <c r="W327" s="5">
        <f>IF(po_master[[#This Row],[GR Receipt Status]]="No GR - Not Received", 1, 0)</f>
        <v>0</v>
      </c>
      <c r="X327" s="5">
        <f>IF(po_master[[#This Row],[No invoice]]="No Invoice", 1, 0)</f>
        <v>0</v>
      </c>
      <c r="Y327" s="5">
        <f>IF(po_master[[#This Row],[Date Check]]="Invalid Date", 1, 0)</f>
        <v>0</v>
      </c>
      <c r="Z327" s="5">
        <f>IF(po_master[[#This Row],[Qty Variance Flag]]="Qty Variance", 1, 0)</f>
        <v>0</v>
      </c>
      <c r="AA327" s="5">
        <f>IF(po_master[[#This Row],[Price Variance Flag]]="Price Variance", 1, 0)</f>
        <v>0</v>
      </c>
      <c r="AB327" s="5">
        <f>IF(po_master[[#This Row],[Late Delivery Flag]]="Late Delivery", 1, 0)</f>
        <v>1</v>
      </c>
      <c r="AC327" s="5">
        <f>IF(po_master[[#This Row],[Duplicate Invoice Flag]]="Duplicate Invoice", 1, 0)</f>
        <v>0</v>
      </c>
      <c r="AD327" s="5" t="str">
        <f>TEXT(po_master[[#This Row],[Order Date]],"YYYY-MM")</f>
        <v>2026-04</v>
      </c>
    </row>
    <row r="328" spans="1:30" x14ac:dyDescent="0.25">
      <c r="A328" t="s">
        <v>289</v>
      </c>
      <c r="B328" t="s">
        <v>1492</v>
      </c>
      <c r="C328" s="1">
        <v>46140</v>
      </c>
      <c r="D328">
        <v>28</v>
      </c>
      <c r="E328">
        <v>62.22</v>
      </c>
      <c r="F328" t="s">
        <v>1462</v>
      </c>
      <c r="G328" s="1">
        <v>46151</v>
      </c>
      <c r="H328">
        <v>28</v>
      </c>
      <c r="I328" s="1">
        <v>46150</v>
      </c>
      <c r="J328" t="s">
        <v>1007</v>
      </c>
      <c r="K328">
        <v>28</v>
      </c>
      <c r="L328">
        <v>62.22</v>
      </c>
      <c r="M328" s="1">
        <v>46158</v>
      </c>
      <c r="N328" t="str">
        <f>IF(po_master[[#This Row],[Approved By]]="", "Missing Approval", "OK")</f>
        <v>OK</v>
      </c>
      <c r="O328" t="str">
        <f>IF(ISBLANK(po_master[[#This Row],[GR Quantity]]), "No GR - Not received", "OK")</f>
        <v>OK</v>
      </c>
      <c r="P328" t="str">
        <f>IF(po_master[[#This Row],[Promised Delivey Date]]&lt;po_master[[#This Row],[Order Date]], "Invalid", "OK")</f>
        <v>OK</v>
      </c>
      <c r="Q328" t="str">
        <f>IF(ISBLANK(po_master[[#This Row],[Invoice Number]]), "No Invoice", "OK")</f>
        <v>OK</v>
      </c>
      <c r="R328" t="str">
        <f>IF(AND(NOT(ISBLANK(po_master[[#This Row],[GR Quantity]])), po_master[[#This Row],[GR Quantity]]&lt;&gt;po_master[[#This Row],[PO Quantity]]), "Qty Variance", "OK")</f>
        <v>OK</v>
      </c>
      <c r="S328" t="str">
        <f>IF(po_master[[#This Row],[Invoice Unit Price]]&gt;po_master[[#This Row],[PO Unit Price]]*1.01, "Price Variance", "OK")</f>
        <v>OK</v>
      </c>
      <c r="T328" t="str">
        <f>IF(po_master[[#This Row],[Actual Delivery Date]]&gt;po_master[[#This Row],[Promised Delivey Date]], "Late Delivery", "OK")</f>
        <v>OK</v>
      </c>
      <c r="U328" t="str">
        <f>IF(COUNTIF(po_master[PO Number],po_master[[#This Row],[PO Number]])&gt;1, "Duplicate Invoice", "OK")</f>
        <v>OK</v>
      </c>
      <c r="V328" s="5">
        <f>IF(po_master[[#This Row],[Missing Approval]]="Missing Approval", 1, 0)</f>
        <v>0</v>
      </c>
      <c r="W328" s="5">
        <f>IF(po_master[[#This Row],[GR Receipt Status]]="No GR - Not Received", 1, 0)</f>
        <v>0</v>
      </c>
      <c r="X328" s="5">
        <f>IF(po_master[[#This Row],[No invoice]]="No Invoice", 1, 0)</f>
        <v>0</v>
      </c>
      <c r="Y328" s="5">
        <f>IF(po_master[[#This Row],[Date Check]]="Invalid Date", 1, 0)</f>
        <v>0</v>
      </c>
      <c r="Z328" s="5">
        <f>IF(po_master[[#This Row],[Qty Variance Flag]]="Qty Variance", 1, 0)</f>
        <v>0</v>
      </c>
      <c r="AA328" s="5">
        <f>IF(po_master[[#This Row],[Price Variance Flag]]="Price Variance", 1, 0)</f>
        <v>0</v>
      </c>
      <c r="AB328" s="5">
        <f>IF(po_master[[#This Row],[Late Delivery Flag]]="Late Delivery", 1, 0)</f>
        <v>0</v>
      </c>
      <c r="AC328" s="5">
        <f>IF(po_master[[#This Row],[Duplicate Invoice Flag]]="Duplicate Invoice", 1, 0)</f>
        <v>0</v>
      </c>
      <c r="AD328" s="5" t="str">
        <f>TEXT(po_master[[#This Row],[Order Date]],"YYYY-MM")</f>
        <v>2026-04</v>
      </c>
    </row>
    <row r="329" spans="1:30" x14ac:dyDescent="0.25">
      <c r="A329" t="s">
        <v>290</v>
      </c>
      <c r="B329" t="s">
        <v>1452</v>
      </c>
      <c r="C329" s="1">
        <v>46103</v>
      </c>
      <c r="D329">
        <v>487</v>
      </c>
      <c r="E329">
        <v>65.459999999999994</v>
      </c>
      <c r="F329" t="s">
        <v>1453</v>
      </c>
      <c r="G329" s="1">
        <v>46123</v>
      </c>
      <c r="H329">
        <v>487</v>
      </c>
      <c r="I329" s="1">
        <v>46124</v>
      </c>
      <c r="J329" t="s">
        <v>1008</v>
      </c>
      <c r="K329">
        <v>487</v>
      </c>
      <c r="L329">
        <v>65.459999999999994</v>
      </c>
      <c r="M329" s="1">
        <v>46129</v>
      </c>
      <c r="N329" t="str">
        <f>IF(po_master[[#This Row],[Approved By]]="", "Missing Approval", "OK")</f>
        <v>OK</v>
      </c>
      <c r="O329" t="str">
        <f>IF(ISBLANK(po_master[[#This Row],[GR Quantity]]), "No GR - Not received", "OK")</f>
        <v>OK</v>
      </c>
      <c r="P329" t="str">
        <f>IF(po_master[[#This Row],[Promised Delivey Date]]&lt;po_master[[#This Row],[Order Date]], "Invalid", "OK")</f>
        <v>OK</v>
      </c>
      <c r="Q329" t="str">
        <f>IF(ISBLANK(po_master[[#This Row],[Invoice Number]]), "No Invoice", "OK")</f>
        <v>OK</v>
      </c>
      <c r="R329" t="str">
        <f>IF(AND(NOT(ISBLANK(po_master[[#This Row],[GR Quantity]])), po_master[[#This Row],[GR Quantity]]&lt;&gt;po_master[[#This Row],[PO Quantity]]), "Qty Variance", "OK")</f>
        <v>OK</v>
      </c>
      <c r="S329" t="str">
        <f>IF(po_master[[#This Row],[Invoice Unit Price]]&gt;po_master[[#This Row],[PO Unit Price]]*1.01, "Price Variance", "OK")</f>
        <v>OK</v>
      </c>
      <c r="T329" t="str">
        <f>IF(po_master[[#This Row],[Actual Delivery Date]]&gt;po_master[[#This Row],[Promised Delivey Date]], "Late Delivery", "OK")</f>
        <v>Late Delivery</v>
      </c>
      <c r="U329" t="str">
        <f>IF(COUNTIF(po_master[PO Number],po_master[[#This Row],[PO Number]])&gt;1, "Duplicate Invoice", "OK")</f>
        <v>OK</v>
      </c>
      <c r="V329" s="5">
        <f>IF(po_master[[#This Row],[Missing Approval]]="Missing Approval", 1, 0)</f>
        <v>0</v>
      </c>
      <c r="W329" s="5">
        <f>IF(po_master[[#This Row],[GR Receipt Status]]="No GR - Not Received", 1, 0)</f>
        <v>0</v>
      </c>
      <c r="X329" s="5">
        <f>IF(po_master[[#This Row],[No invoice]]="No Invoice", 1, 0)</f>
        <v>0</v>
      </c>
      <c r="Y329" s="5">
        <f>IF(po_master[[#This Row],[Date Check]]="Invalid Date", 1, 0)</f>
        <v>0</v>
      </c>
      <c r="Z329" s="5">
        <f>IF(po_master[[#This Row],[Qty Variance Flag]]="Qty Variance", 1, 0)</f>
        <v>0</v>
      </c>
      <c r="AA329" s="5">
        <f>IF(po_master[[#This Row],[Price Variance Flag]]="Price Variance", 1, 0)</f>
        <v>0</v>
      </c>
      <c r="AB329" s="5">
        <f>IF(po_master[[#This Row],[Late Delivery Flag]]="Late Delivery", 1, 0)</f>
        <v>1</v>
      </c>
      <c r="AC329" s="5">
        <f>IF(po_master[[#This Row],[Duplicate Invoice Flag]]="Duplicate Invoice", 1, 0)</f>
        <v>0</v>
      </c>
      <c r="AD329" s="5" t="str">
        <f>TEXT(po_master[[#This Row],[Order Date]],"YYYY-MM")</f>
        <v>2026-03</v>
      </c>
    </row>
    <row r="330" spans="1:30" x14ac:dyDescent="0.25">
      <c r="A330" t="s">
        <v>291</v>
      </c>
      <c r="B330" t="s">
        <v>1470</v>
      </c>
      <c r="C330" s="1">
        <v>46032</v>
      </c>
      <c r="D330">
        <v>395</v>
      </c>
      <c r="E330">
        <v>131.15</v>
      </c>
      <c r="F330" t="s">
        <v>1474</v>
      </c>
      <c r="G330" s="1">
        <v>46048</v>
      </c>
      <c r="H330">
        <v>395</v>
      </c>
      <c r="I330" s="1">
        <v>46056</v>
      </c>
      <c r="J330" t="s">
        <v>1009</v>
      </c>
      <c r="K330">
        <v>395</v>
      </c>
      <c r="L330">
        <v>146.4</v>
      </c>
      <c r="M330" s="1">
        <v>46053</v>
      </c>
      <c r="N330" t="str">
        <f>IF(po_master[[#This Row],[Approved By]]="", "Missing Approval", "OK")</f>
        <v>OK</v>
      </c>
      <c r="O330" t="str">
        <f>IF(ISBLANK(po_master[[#This Row],[GR Quantity]]), "No GR - Not received", "OK")</f>
        <v>OK</v>
      </c>
      <c r="P330" t="str">
        <f>IF(po_master[[#This Row],[Promised Delivey Date]]&lt;po_master[[#This Row],[Order Date]], "Invalid", "OK")</f>
        <v>OK</v>
      </c>
      <c r="Q330" t="str">
        <f>IF(ISBLANK(po_master[[#This Row],[Invoice Number]]), "No Invoice", "OK")</f>
        <v>OK</v>
      </c>
      <c r="R330" t="str">
        <f>IF(AND(NOT(ISBLANK(po_master[[#This Row],[GR Quantity]])), po_master[[#This Row],[GR Quantity]]&lt;&gt;po_master[[#This Row],[PO Quantity]]), "Qty Variance", "OK")</f>
        <v>OK</v>
      </c>
      <c r="S330" t="str">
        <f>IF(po_master[[#This Row],[Invoice Unit Price]]&gt;po_master[[#This Row],[PO Unit Price]]*1.01, "Price Variance", "OK")</f>
        <v>Price Variance</v>
      </c>
      <c r="T330" t="str">
        <f>IF(po_master[[#This Row],[Actual Delivery Date]]&gt;po_master[[#This Row],[Promised Delivey Date]], "Late Delivery", "OK")</f>
        <v>Late Delivery</v>
      </c>
      <c r="U330" t="str">
        <f>IF(COUNTIF(po_master[PO Number],po_master[[#This Row],[PO Number]])&gt;1, "Duplicate Invoice", "OK")</f>
        <v>OK</v>
      </c>
      <c r="V330" s="5">
        <f>IF(po_master[[#This Row],[Missing Approval]]="Missing Approval", 1, 0)</f>
        <v>0</v>
      </c>
      <c r="W330" s="5">
        <f>IF(po_master[[#This Row],[GR Receipt Status]]="No GR - Not Received", 1, 0)</f>
        <v>0</v>
      </c>
      <c r="X330" s="5">
        <f>IF(po_master[[#This Row],[No invoice]]="No Invoice", 1, 0)</f>
        <v>0</v>
      </c>
      <c r="Y330" s="5">
        <f>IF(po_master[[#This Row],[Date Check]]="Invalid Date", 1, 0)</f>
        <v>0</v>
      </c>
      <c r="Z330" s="5">
        <f>IF(po_master[[#This Row],[Qty Variance Flag]]="Qty Variance", 1, 0)</f>
        <v>0</v>
      </c>
      <c r="AA330" s="5">
        <f>IF(po_master[[#This Row],[Price Variance Flag]]="Price Variance", 1, 0)</f>
        <v>1</v>
      </c>
      <c r="AB330" s="5">
        <f>IF(po_master[[#This Row],[Late Delivery Flag]]="Late Delivery", 1, 0)</f>
        <v>1</v>
      </c>
      <c r="AC330" s="5">
        <f>IF(po_master[[#This Row],[Duplicate Invoice Flag]]="Duplicate Invoice", 1, 0)</f>
        <v>0</v>
      </c>
      <c r="AD330" s="5" t="str">
        <f>TEXT(po_master[[#This Row],[Order Date]],"YYYY-MM")</f>
        <v>2026-01</v>
      </c>
    </row>
    <row r="331" spans="1:30" x14ac:dyDescent="0.25">
      <c r="A331" t="s">
        <v>292</v>
      </c>
      <c r="B331" t="s">
        <v>1475</v>
      </c>
      <c r="C331" s="1">
        <v>46107</v>
      </c>
      <c r="D331">
        <v>149</v>
      </c>
      <c r="E331">
        <v>29.27</v>
      </c>
      <c r="F331" t="s">
        <v>1451</v>
      </c>
      <c r="G331" s="1">
        <v>46125</v>
      </c>
      <c r="H331">
        <v>149</v>
      </c>
      <c r="I331" s="1">
        <v>46125</v>
      </c>
      <c r="J331" t="s">
        <v>1010</v>
      </c>
      <c r="K331">
        <v>149</v>
      </c>
      <c r="L331">
        <v>29.27</v>
      </c>
      <c r="M331" s="1">
        <v>46127</v>
      </c>
      <c r="N331" t="str">
        <f>IF(po_master[[#This Row],[Approved By]]="", "Missing Approval", "OK")</f>
        <v>OK</v>
      </c>
      <c r="O331" t="str">
        <f>IF(ISBLANK(po_master[[#This Row],[GR Quantity]]), "No GR - Not received", "OK")</f>
        <v>OK</v>
      </c>
      <c r="P331" t="str">
        <f>IF(po_master[[#This Row],[Promised Delivey Date]]&lt;po_master[[#This Row],[Order Date]], "Invalid", "OK")</f>
        <v>OK</v>
      </c>
      <c r="Q331" t="str">
        <f>IF(ISBLANK(po_master[[#This Row],[Invoice Number]]), "No Invoice", "OK")</f>
        <v>OK</v>
      </c>
      <c r="R331" t="str">
        <f>IF(AND(NOT(ISBLANK(po_master[[#This Row],[GR Quantity]])), po_master[[#This Row],[GR Quantity]]&lt;&gt;po_master[[#This Row],[PO Quantity]]), "Qty Variance", "OK")</f>
        <v>OK</v>
      </c>
      <c r="S331" t="str">
        <f>IF(po_master[[#This Row],[Invoice Unit Price]]&gt;po_master[[#This Row],[PO Unit Price]]*1.01, "Price Variance", "OK")</f>
        <v>OK</v>
      </c>
      <c r="T331" t="str">
        <f>IF(po_master[[#This Row],[Actual Delivery Date]]&gt;po_master[[#This Row],[Promised Delivey Date]], "Late Delivery", "OK")</f>
        <v>OK</v>
      </c>
      <c r="U331" t="str">
        <f>IF(COUNTIF(po_master[PO Number],po_master[[#This Row],[PO Number]])&gt;1, "Duplicate Invoice", "OK")</f>
        <v>OK</v>
      </c>
      <c r="V331" s="5">
        <f>IF(po_master[[#This Row],[Missing Approval]]="Missing Approval", 1, 0)</f>
        <v>0</v>
      </c>
      <c r="W331" s="5">
        <f>IF(po_master[[#This Row],[GR Receipt Status]]="No GR - Not Received", 1, 0)</f>
        <v>0</v>
      </c>
      <c r="X331" s="5">
        <f>IF(po_master[[#This Row],[No invoice]]="No Invoice", 1, 0)</f>
        <v>0</v>
      </c>
      <c r="Y331" s="5">
        <f>IF(po_master[[#This Row],[Date Check]]="Invalid Date", 1, 0)</f>
        <v>0</v>
      </c>
      <c r="Z331" s="5">
        <f>IF(po_master[[#This Row],[Qty Variance Flag]]="Qty Variance", 1, 0)</f>
        <v>0</v>
      </c>
      <c r="AA331" s="5">
        <f>IF(po_master[[#This Row],[Price Variance Flag]]="Price Variance", 1, 0)</f>
        <v>0</v>
      </c>
      <c r="AB331" s="5">
        <f>IF(po_master[[#This Row],[Late Delivery Flag]]="Late Delivery", 1, 0)</f>
        <v>0</v>
      </c>
      <c r="AC331" s="5">
        <f>IF(po_master[[#This Row],[Duplicate Invoice Flag]]="Duplicate Invoice", 1, 0)</f>
        <v>0</v>
      </c>
      <c r="AD331" s="5" t="str">
        <f>TEXT(po_master[[#This Row],[Order Date]],"YYYY-MM")</f>
        <v>2026-03</v>
      </c>
    </row>
    <row r="332" spans="1:30" x14ac:dyDescent="0.25">
      <c r="A332" t="s">
        <v>990</v>
      </c>
      <c r="B332" t="s">
        <v>1464</v>
      </c>
      <c r="C332" s="1">
        <v>46058</v>
      </c>
      <c r="D332">
        <v>29</v>
      </c>
      <c r="E332">
        <v>60.94</v>
      </c>
      <c r="F332" t="s">
        <v>1459</v>
      </c>
      <c r="G332" s="1">
        <v>46067</v>
      </c>
      <c r="I332" s="1"/>
      <c r="J332" t="s">
        <v>991</v>
      </c>
      <c r="K332">
        <v>29</v>
      </c>
      <c r="L332">
        <v>60.94</v>
      </c>
      <c r="M332" s="1">
        <v>46070</v>
      </c>
      <c r="N332" t="str">
        <f>IF(po_master[[#This Row],[Approved By]]="", "Missing Approval", "OK")</f>
        <v>Missing Approval</v>
      </c>
      <c r="O332" t="str">
        <f>IF(ISBLANK(po_master[[#This Row],[GR Quantity]]), "No GR - Not received", "OK")</f>
        <v>No GR - Not received</v>
      </c>
      <c r="P332" t="str">
        <f>IF(po_master[[#This Row],[Promised Delivey Date]]&lt;po_master[[#This Row],[Order Date]], "Invalid", "OK")</f>
        <v>OK</v>
      </c>
      <c r="Q332" t="str">
        <f>IF(ISBLANK(po_master[[#This Row],[Invoice Number]]), "No Invoice", "OK")</f>
        <v>OK</v>
      </c>
      <c r="R332" t="str">
        <f>IF(AND(NOT(ISBLANK(po_master[[#This Row],[GR Quantity]])), po_master[[#This Row],[GR Quantity]]&lt;&gt;po_master[[#This Row],[PO Quantity]]), "Qty Variance", "OK")</f>
        <v>OK</v>
      </c>
      <c r="S332" t="str">
        <f>IF(po_master[[#This Row],[Invoice Unit Price]]&gt;po_master[[#This Row],[PO Unit Price]]*1.01, "Price Variance", "OK")</f>
        <v>OK</v>
      </c>
      <c r="T332" t="str">
        <f>IF(po_master[[#This Row],[Actual Delivery Date]]&gt;po_master[[#This Row],[Promised Delivey Date]], "Late Delivery", "OK")</f>
        <v>OK</v>
      </c>
      <c r="U332" t="str">
        <f>IF(COUNTIF(po_master[PO Number],po_master[[#This Row],[PO Number]])&gt;1, "Duplicate Invoice", "OK")</f>
        <v>OK</v>
      </c>
      <c r="V332" s="5">
        <f>IF(po_master[[#This Row],[Missing Approval]]="Missing Approval", 1, 0)</f>
        <v>1</v>
      </c>
      <c r="W332" s="5">
        <f>IF(po_master[[#This Row],[GR Receipt Status]]="No GR - Not Received", 1, 0)</f>
        <v>1</v>
      </c>
      <c r="X332" s="5">
        <f>IF(po_master[[#This Row],[No invoice]]="No Invoice", 1, 0)</f>
        <v>0</v>
      </c>
      <c r="Y332" s="5">
        <f>IF(po_master[[#This Row],[Date Check]]="Invalid Date", 1, 0)</f>
        <v>0</v>
      </c>
      <c r="Z332" s="5">
        <f>IF(po_master[[#This Row],[Qty Variance Flag]]="Qty Variance", 1, 0)</f>
        <v>0</v>
      </c>
      <c r="AA332" s="5">
        <f>IF(po_master[[#This Row],[Price Variance Flag]]="Price Variance", 1, 0)</f>
        <v>0</v>
      </c>
      <c r="AB332" s="5">
        <f>IF(po_master[[#This Row],[Late Delivery Flag]]="Late Delivery", 1, 0)</f>
        <v>0</v>
      </c>
      <c r="AC332" s="5">
        <f>IF(po_master[[#This Row],[Duplicate Invoice Flag]]="Duplicate Invoice", 1, 0)</f>
        <v>0</v>
      </c>
      <c r="AD332" s="5" t="str">
        <f>TEXT(po_master[[#This Row],[Order Date]],"YYYY-MM")</f>
        <v>2026-02</v>
      </c>
    </row>
    <row r="333" spans="1:30" x14ac:dyDescent="0.25">
      <c r="A333" t="s">
        <v>293</v>
      </c>
      <c r="B333" t="s">
        <v>1488</v>
      </c>
      <c r="C333" s="1">
        <v>46135</v>
      </c>
      <c r="D333">
        <v>468</v>
      </c>
      <c r="E333">
        <v>191.51</v>
      </c>
      <c r="F333" t="s">
        <v>1472</v>
      </c>
      <c r="G333" s="1">
        <v>46145</v>
      </c>
      <c r="H333">
        <v>468</v>
      </c>
      <c r="I333" s="1">
        <v>46147</v>
      </c>
      <c r="J333" t="s">
        <v>1011</v>
      </c>
      <c r="K333">
        <v>468</v>
      </c>
      <c r="L333">
        <v>191.51</v>
      </c>
      <c r="M333" s="1">
        <v>46154</v>
      </c>
      <c r="N333" t="str">
        <f>IF(po_master[[#This Row],[Approved By]]="", "Missing Approval", "OK")</f>
        <v>OK</v>
      </c>
      <c r="O333" t="str">
        <f>IF(ISBLANK(po_master[[#This Row],[GR Quantity]]), "No GR - Not received", "OK")</f>
        <v>OK</v>
      </c>
      <c r="P333" t="str">
        <f>IF(po_master[[#This Row],[Promised Delivey Date]]&lt;po_master[[#This Row],[Order Date]], "Invalid", "OK")</f>
        <v>OK</v>
      </c>
      <c r="Q333" t="str">
        <f>IF(ISBLANK(po_master[[#This Row],[Invoice Number]]), "No Invoice", "OK")</f>
        <v>OK</v>
      </c>
      <c r="R333" t="str">
        <f>IF(AND(NOT(ISBLANK(po_master[[#This Row],[GR Quantity]])), po_master[[#This Row],[GR Quantity]]&lt;&gt;po_master[[#This Row],[PO Quantity]]), "Qty Variance", "OK")</f>
        <v>OK</v>
      </c>
      <c r="S333" t="str">
        <f>IF(po_master[[#This Row],[Invoice Unit Price]]&gt;po_master[[#This Row],[PO Unit Price]]*1.01, "Price Variance", "OK")</f>
        <v>OK</v>
      </c>
      <c r="T333" t="str">
        <f>IF(po_master[[#This Row],[Actual Delivery Date]]&gt;po_master[[#This Row],[Promised Delivey Date]], "Late Delivery", "OK")</f>
        <v>Late Delivery</v>
      </c>
      <c r="U333" t="str">
        <f>IF(COUNTIF(po_master[PO Number],po_master[[#This Row],[PO Number]])&gt;1, "Duplicate Invoice", "OK")</f>
        <v>OK</v>
      </c>
      <c r="V333" s="5">
        <f>IF(po_master[[#This Row],[Missing Approval]]="Missing Approval", 1, 0)</f>
        <v>0</v>
      </c>
      <c r="W333" s="5">
        <f>IF(po_master[[#This Row],[GR Receipt Status]]="No GR - Not Received", 1, 0)</f>
        <v>0</v>
      </c>
      <c r="X333" s="5">
        <f>IF(po_master[[#This Row],[No invoice]]="No Invoice", 1, 0)</f>
        <v>0</v>
      </c>
      <c r="Y333" s="5">
        <f>IF(po_master[[#This Row],[Date Check]]="Invalid Date", 1, 0)</f>
        <v>0</v>
      </c>
      <c r="Z333" s="5">
        <f>IF(po_master[[#This Row],[Qty Variance Flag]]="Qty Variance", 1, 0)</f>
        <v>0</v>
      </c>
      <c r="AA333" s="5">
        <f>IF(po_master[[#This Row],[Price Variance Flag]]="Price Variance", 1, 0)</f>
        <v>0</v>
      </c>
      <c r="AB333" s="5">
        <f>IF(po_master[[#This Row],[Late Delivery Flag]]="Late Delivery", 1, 0)</f>
        <v>1</v>
      </c>
      <c r="AC333" s="5">
        <f>IF(po_master[[#This Row],[Duplicate Invoice Flag]]="Duplicate Invoice", 1, 0)</f>
        <v>0</v>
      </c>
      <c r="AD333" s="5" t="str">
        <f>TEXT(po_master[[#This Row],[Order Date]],"YYYY-MM")</f>
        <v>2026-04</v>
      </c>
    </row>
    <row r="334" spans="1:30" x14ac:dyDescent="0.25">
      <c r="A334" t="s">
        <v>294</v>
      </c>
      <c r="B334" t="s">
        <v>1457</v>
      </c>
      <c r="C334" s="1">
        <v>46131</v>
      </c>
      <c r="D334">
        <v>50</v>
      </c>
      <c r="E334">
        <v>88.97</v>
      </c>
      <c r="F334" t="s">
        <v>1459</v>
      </c>
      <c r="G334" s="1">
        <v>46145</v>
      </c>
      <c r="H334">
        <v>50</v>
      </c>
      <c r="I334" s="1">
        <v>46150</v>
      </c>
      <c r="J334" t="s">
        <v>1014</v>
      </c>
      <c r="K334">
        <v>50</v>
      </c>
      <c r="L334">
        <v>93.93</v>
      </c>
      <c r="M334" s="1">
        <v>46149</v>
      </c>
      <c r="N334" t="str">
        <f>IF(po_master[[#This Row],[Approved By]]="", "Missing Approval", "OK")</f>
        <v>Missing Approval</v>
      </c>
      <c r="O334" t="str">
        <f>IF(ISBLANK(po_master[[#This Row],[GR Quantity]]), "No GR - Not received", "OK")</f>
        <v>OK</v>
      </c>
      <c r="P334" t="str">
        <f>IF(po_master[[#This Row],[Promised Delivey Date]]&lt;po_master[[#This Row],[Order Date]], "Invalid", "OK")</f>
        <v>OK</v>
      </c>
      <c r="Q334" t="str">
        <f>IF(ISBLANK(po_master[[#This Row],[Invoice Number]]), "No Invoice", "OK")</f>
        <v>OK</v>
      </c>
      <c r="R334" t="str">
        <f>IF(AND(NOT(ISBLANK(po_master[[#This Row],[GR Quantity]])), po_master[[#This Row],[GR Quantity]]&lt;&gt;po_master[[#This Row],[PO Quantity]]), "Qty Variance", "OK")</f>
        <v>OK</v>
      </c>
      <c r="S334" t="str">
        <f>IF(po_master[[#This Row],[Invoice Unit Price]]&gt;po_master[[#This Row],[PO Unit Price]]*1.01, "Price Variance", "OK")</f>
        <v>Price Variance</v>
      </c>
      <c r="T334" t="str">
        <f>IF(po_master[[#This Row],[Actual Delivery Date]]&gt;po_master[[#This Row],[Promised Delivey Date]], "Late Delivery", "OK")</f>
        <v>Late Delivery</v>
      </c>
      <c r="U334" t="str">
        <f>IF(COUNTIF(po_master[PO Number],po_master[[#This Row],[PO Number]])&gt;1, "Duplicate Invoice", "OK")</f>
        <v>OK</v>
      </c>
      <c r="V334" s="5">
        <f>IF(po_master[[#This Row],[Missing Approval]]="Missing Approval", 1, 0)</f>
        <v>1</v>
      </c>
      <c r="W334" s="5">
        <f>IF(po_master[[#This Row],[GR Receipt Status]]="No GR - Not Received", 1, 0)</f>
        <v>0</v>
      </c>
      <c r="X334" s="5">
        <f>IF(po_master[[#This Row],[No invoice]]="No Invoice", 1, 0)</f>
        <v>0</v>
      </c>
      <c r="Y334" s="5">
        <f>IF(po_master[[#This Row],[Date Check]]="Invalid Date", 1, 0)</f>
        <v>0</v>
      </c>
      <c r="Z334" s="5">
        <f>IF(po_master[[#This Row],[Qty Variance Flag]]="Qty Variance", 1, 0)</f>
        <v>0</v>
      </c>
      <c r="AA334" s="5">
        <f>IF(po_master[[#This Row],[Price Variance Flag]]="Price Variance", 1, 0)</f>
        <v>1</v>
      </c>
      <c r="AB334" s="5">
        <f>IF(po_master[[#This Row],[Late Delivery Flag]]="Late Delivery", 1, 0)</f>
        <v>1</v>
      </c>
      <c r="AC334" s="5">
        <f>IF(po_master[[#This Row],[Duplicate Invoice Flag]]="Duplicate Invoice", 1, 0)</f>
        <v>0</v>
      </c>
      <c r="AD334" s="5" t="str">
        <f>TEXT(po_master[[#This Row],[Order Date]],"YYYY-MM")</f>
        <v>2026-04</v>
      </c>
    </row>
    <row r="335" spans="1:30" x14ac:dyDescent="0.25">
      <c r="A335" t="s">
        <v>295</v>
      </c>
      <c r="B335" t="s">
        <v>1509</v>
      </c>
      <c r="C335" s="1">
        <v>46049</v>
      </c>
      <c r="D335">
        <v>50</v>
      </c>
      <c r="E335">
        <v>68.94</v>
      </c>
      <c r="F335" t="s">
        <v>1474</v>
      </c>
      <c r="G335" s="1">
        <v>46063</v>
      </c>
      <c r="H335">
        <v>50</v>
      </c>
      <c r="I335" s="1">
        <v>46061</v>
      </c>
      <c r="J335" t="s">
        <v>1015</v>
      </c>
      <c r="K335">
        <v>50</v>
      </c>
      <c r="L335">
        <v>68.94</v>
      </c>
      <c r="M335" s="1">
        <v>46068</v>
      </c>
      <c r="N335" t="str">
        <f>IF(po_master[[#This Row],[Approved By]]="", "Missing Approval", "OK")</f>
        <v>OK</v>
      </c>
      <c r="O335" t="str">
        <f>IF(ISBLANK(po_master[[#This Row],[GR Quantity]]), "No GR - Not received", "OK")</f>
        <v>OK</v>
      </c>
      <c r="P335" t="str">
        <f>IF(po_master[[#This Row],[Promised Delivey Date]]&lt;po_master[[#This Row],[Order Date]], "Invalid", "OK")</f>
        <v>OK</v>
      </c>
      <c r="Q335" t="str">
        <f>IF(ISBLANK(po_master[[#This Row],[Invoice Number]]), "No Invoice", "OK")</f>
        <v>OK</v>
      </c>
      <c r="R335" t="str">
        <f>IF(AND(NOT(ISBLANK(po_master[[#This Row],[GR Quantity]])), po_master[[#This Row],[GR Quantity]]&lt;&gt;po_master[[#This Row],[PO Quantity]]), "Qty Variance", "OK")</f>
        <v>OK</v>
      </c>
      <c r="S335" t="str">
        <f>IF(po_master[[#This Row],[Invoice Unit Price]]&gt;po_master[[#This Row],[PO Unit Price]]*1.01, "Price Variance", "OK")</f>
        <v>OK</v>
      </c>
      <c r="T335" t="str">
        <f>IF(po_master[[#This Row],[Actual Delivery Date]]&gt;po_master[[#This Row],[Promised Delivey Date]], "Late Delivery", "OK")</f>
        <v>OK</v>
      </c>
      <c r="U335" t="str">
        <f>IF(COUNTIF(po_master[PO Number],po_master[[#This Row],[PO Number]])&gt;1, "Duplicate Invoice", "OK")</f>
        <v>OK</v>
      </c>
      <c r="V335" s="5">
        <f>IF(po_master[[#This Row],[Missing Approval]]="Missing Approval", 1, 0)</f>
        <v>0</v>
      </c>
      <c r="W335" s="5">
        <f>IF(po_master[[#This Row],[GR Receipt Status]]="No GR - Not Received", 1, 0)</f>
        <v>0</v>
      </c>
      <c r="X335" s="5">
        <f>IF(po_master[[#This Row],[No invoice]]="No Invoice", 1, 0)</f>
        <v>0</v>
      </c>
      <c r="Y335" s="5">
        <f>IF(po_master[[#This Row],[Date Check]]="Invalid Date", 1, 0)</f>
        <v>0</v>
      </c>
      <c r="Z335" s="5">
        <f>IF(po_master[[#This Row],[Qty Variance Flag]]="Qty Variance", 1, 0)</f>
        <v>0</v>
      </c>
      <c r="AA335" s="5">
        <f>IF(po_master[[#This Row],[Price Variance Flag]]="Price Variance", 1, 0)</f>
        <v>0</v>
      </c>
      <c r="AB335" s="5">
        <f>IF(po_master[[#This Row],[Late Delivery Flag]]="Late Delivery", 1, 0)</f>
        <v>0</v>
      </c>
      <c r="AC335" s="5">
        <f>IF(po_master[[#This Row],[Duplicate Invoice Flag]]="Duplicate Invoice", 1, 0)</f>
        <v>0</v>
      </c>
      <c r="AD335" s="5" t="str">
        <f>TEXT(po_master[[#This Row],[Order Date]],"YYYY-MM")</f>
        <v>2026-01</v>
      </c>
    </row>
    <row r="336" spans="1:30" x14ac:dyDescent="0.25">
      <c r="A336" t="s">
        <v>296</v>
      </c>
      <c r="B336" t="s">
        <v>1478</v>
      </c>
      <c r="C336" s="1">
        <v>46132</v>
      </c>
      <c r="D336">
        <v>95</v>
      </c>
      <c r="E336">
        <v>139.5</v>
      </c>
      <c r="F336" t="s">
        <v>1451</v>
      </c>
      <c r="G336" s="1">
        <v>46151</v>
      </c>
      <c r="H336">
        <v>95</v>
      </c>
      <c r="I336" s="1">
        <v>46153</v>
      </c>
      <c r="J336" t="s">
        <v>1016</v>
      </c>
      <c r="K336">
        <v>95</v>
      </c>
      <c r="L336">
        <v>139.5</v>
      </c>
      <c r="M336" s="1">
        <v>46156</v>
      </c>
      <c r="N336" t="str">
        <f>IF(po_master[[#This Row],[Approved By]]="", "Missing Approval", "OK")</f>
        <v>OK</v>
      </c>
      <c r="O336" t="str">
        <f>IF(ISBLANK(po_master[[#This Row],[GR Quantity]]), "No GR - Not received", "OK")</f>
        <v>OK</v>
      </c>
      <c r="P336" t="str">
        <f>IF(po_master[[#This Row],[Promised Delivey Date]]&lt;po_master[[#This Row],[Order Date]], "Invalid", "OK")</f>
        <v>OK</v>
      </c>
      <c r="Q336" t="str">
        <f>IF(ISBLANK(po_master[[#This Row],[Invoice Number]]), "No Invoice", "OK")</f>
        <v>OK</v>
      </c>
      <c r="R336" t="str">
        <f>IF(AND(NOT(ISBLANK(po_master[[#This Row],[GR Quantity]])), po_master[[#This Row],[GR Quantity]]&lt;&gt;po_master[[#This Row],[PO Quantity]]), "Qty Variance", "OK")</f>
        <v>OK</v>
      </c>
      <c r="S336" t="str">
        <f>IF(po_master[[#This Row],[Invoice Unit Price]]&gt;po_master[[#This Row],[PO Unit Price]]*1.01, "Price Variance", "OK")</f>
        <v>OK</v>
      </c>
      <c r="T336" t="str">
        <f>IF(po_master[[#This Row],[Actual Delivery Date]]&gt;po_master[[#This Row],[Promised Delivey Date]], "Late Delivery", "OK")</f>
        <v>Late Delivery</v>
      </c>
      <c r="U336" t="str">
        <f>IF(COUNTIF(po_master[PO Number],po_master[[#This Row],[PO Number]])&gt;1, "Duplicate Invoice", "OK")</f>
        <v>OK</v>
      </c>
      <c r="V336" s="5">
        <f>IF(po_master[[#This Row],[Missing Approval]]="Missing Approval", 1, 0)</f>
        <v>0</v>
      </c>
      <c r="W336" s="5">
        <f>IF(po_master[[#This Row],[GR Receipt Status]]="No GR - Not Received", 1, 0)</f>
        <v>0</v>
      </c>
      <c r="X336" s="5">
        <f>IF(po_master[[#This Row],[No invoice]]="No Invoice", 1, 0)</f>
        <v>0</v>
      </c>
      <c r="Y336" s="5">
        <f>IF(po_master[[#This Row],[Date Check]]="Invalid Date", 1, 0)</f>
        <v>0</v>
      </c>
      <c r="Z336" s="5">
        <f>IF(po_master[[#This Row],[Qty Variance Flag]]="Qty Variance", 1, 0)</f>
        <v>0</v>
      </c>
      <c r="AA336" s="5">
        <f>IF(po_master[[#This Row],[Price Variance Flag]]="Price Variance", 1, 0)</f>
        <v>0</v>
      </c>
      <c r="AB336" s="5">
        <f>IF(po_master[[#This Row],[Late Delivery Flag]]="Late Delivery", 1, 0)</f>
        <v>1</v>
      </c>
      <c r="AC336" s="5">
        <f>IF(po_master[[#This Row],[Duplicate Invoice Flag]]="Duplicate Invoice", 1, 0)</f>
        <v>0</v>
      </c>
      <c r="AD336" s="5" t="str">
        <f>TEXT(po_master[[#This Row],[Order Date]],"YYYY-MM")</f>
        <v>2026-04</v>
      </c>
    </row>
    <row r="337" spans="1:30" x14ac:dyDescent="0.25">
      <c r="A337" t="s">
        <v>297</v>
      </c>
      <c r="B337" t="s">
        <v>1452</v>
      </c>
      <c r="C337" s="1">
        <v>46113</v>
      </c>
      <c r="D337">
        <v>324</v>
      </c>
      <c r="E337">
        <v>199.64</v>
      </c>
      <c r="F337" t="s">
        <v>1458</v>
      </c>
      <c r="G337" s="1">
        <v>46119</v>
      </c>
      <c r="H337">
        <v>324</v>
      </c>
      <c r="I337" s="1">
        <v>46120</v>
      </c>
      <c r="J337" t="s">
        <v>1017</v>
      </c>
      <c r="K337">
        <v>324</v>
      </c>
      <c r="L337">
        <v>199.64</v>
      </c>
      <c r="M337" s="1">
        <v>46122</v>
      </c>
      <c r="N337" t="str">
        <f>IF(po_master[[#This Row],[Approved By]]="", "Missing Approval", "OK")</f>
        <v>OK</v>
      </c>
      <c r="O337" t="str">
        <f>IF(ISBLANK(po_master[[#This Row],[GR Quantity]]), "No GR - Not received", "OK")</f>
        <v>OK</v>
      </c>
      <c r="P337" t="str">
        <f>IF(po_master[[#This Row],[Promised Delivey Date]]&lt;po_master[[#This Row],[Order Date]], "Invalid", "OK")</f>
        <v>OK</v>
      </c>
      <c r="Q337" t="str">
        <f>IF(ISBLANK(po_master[[#This Row],[Invoice Number]]), "No Invoice", "OK")</f>
        <v>OK</v>
      </c>
      <c r="R337" t="str">
        <f>IF(AND(NOT(ISBLANK(po_master[[#This Row],[GR Quantity]])), po_master[[#This Row],[GR Quantity]]&lt;&gt;po_master[[#This Row],[PO Quantity]]), "Qty Variance", "OK")</f>
        <v>OK</v>
      </c>
      <c r="S337" t="str">
        <f>IF(po_master[[#This Row],[Invoice Unit Price]]&gt;po_master[[#This Row],[PO Unit Price]]*1.01, "Price Variance", "OK")</f>
        <v>OK</v>
      </c>
      <c r="T337" t="str">
        <f>IF(po_master[[#This Row],[Actual Delivery Date]]&gt;po_master[[#This Row],[Promised Delivey Date]], "Late Delivery", "OK")</f>
        <v>Late Delivery</v>
      </c>
      <c r="U337" t="str">
        <f>IF(COUNTIF(po_master[PO Number],po_master[[#This Row],[PO Number]])&gt;1, "Duplicate Invoice", "OK")</f>
        <v>OK</v>
      </c>
      <c r="V337" s="5">
        <f>IF(po_master[[#This Row],[Missing Approval]]="Missing Approval", 1, 0)</f>
        <v>0</v>
      </c>
      <c r="W337" s="5">
        <f>IF(po_master[[#This Row],[GR Receipt Status]]="No GR - Not Received", 1, 0)</f>
        <v>0</v>
      </c>
      <c r="X337" s="5">
        <f>IF(po_master[[#This Row],[No invoice]]="No Invoice", 1, 0)</f>
        <v>0</v>
      </c>
      <c r="Y337" s="5">
        <f>IF(po_master[[#This Row],[Date Check]]="Invalid Date", 1, 0)</f>
        <v>0</v>
      </c>
      <c r="Z337" s="5">
        <f>IF(po_master[[#This Row],[Qty Variance Flag]]="Qty Variance", 1, 0)</f>
        <v>0</v>
      </c>
      <c r="AA337" s="5">
        <f>IF(po_master[[#This Row],[Price Variance Flag]]="Price Variance", 1, 0)</f>
        <v>0</v>
      </c>
      <c r="AB337" s="5">
        <f>IF(po_master[[#This Row],[Late Delivery Flag]]="Late Delivery", 1, 0)</f>
        <v>1</v>
      </c>
      <c r="AC337" s="5">
        <f>IF(po_master[[#This Row],[Duplicate Invoice Flag]]="Duplicate Invoice", 1, 0)</f>
        <v>0</v>
      </c>
      <c r="AD337" s="5" t="str">
        <f>TEXT(po_master[[#This Row],[Order Date]],"YYYY-MM")</f>
        <v>2026-04</v>
      </c>
    </row>
    <row r="338" spans="1:30" x14ac:dyDescent="0.25">
      <c r="A338" t="s">
        <v>298</v>
      </c>
      <c r="B338" t="s">
        <v>1492</v>
      </c>
      <c r="C338" s="1">
        <v>46126</v>
      </c>
      <c r="D338">
        <v>196</v>
      </c>
      <c r="E338">
        <v>105.05</v>
      </c>
      <c r="F338" t="s">
        <v>1490</v>
      </c>
      <c r="G338" s="1">
        <v>46136</v>
      </c>
      <c r="H338">
        <v>196</v>
      </c>
      <c r="I338" s="1">
        <v>46155</v>
      </c>
      <c r="J338" t="s">
        <v>1018</v>
      </c>
      <c r="K338">
        <v>196</v>
      </c>
      <c r="L338">
        <v>105.05</v>
      </c>
      <c r="M338" s="1">
        <v>46145</v>
      </c>
      <c r="N338" t="str">
        <f>IF(po_master[[#This Row],[Approved By]]="", "Missing Approval", "OK")</f>
        <v>OK</v>
      </c>
      <c r="O338" t="str">
        <f>IF(ISBLANK(po_master[[#This Row],[GR Quantity]]), "No GR - Not received", "OK")</f>
        <v>OK</v>
      </c>
      <c r="P338" t="str">
        <f>IF(po_master[[#This Row],[Promised Delivey Date]]&lt;po_master[[#This Row],[Order Date]], "Invalid", "OK")</f>
        <v>OK</v>
      </c>
      <c r="Q338" t="str">
        <f>IF(ISBLANK(po_master[[#This Row],[Invoice Number]]), "No Invoice", "OK")</f>
        <v>OK</v>
      </c>
      <c r="R338" t="str">
        <f>IF(AND(NOT(ISBLANK(po_master[[#This Row],[GR Quantity]])), po_master[[#This Row],[GR Quantity]]&lt;&gt;po_master[[#This Row],[PO Quantity]]), "Qty Variance", "OK")</f>
        <v>OK</v>
      </c>
      <c r="S338" t="str">
        <f>IF(po_master[[#This Row],[Invoice Unit Price]]&gt;po_master[[#This Row],[PO Unit Price]]*1.01, "Price Variance", "OK")</f>
        <v>OK</v>
      </c>
      <c r="T338" t="str">
        <f>IF(po_master[[#This Row],[Actual Delivery Date]]&gt;po_master[[#This Row],[Promised Delivey Date]], "Late Delivery", "OK")</f>
        <v>Late Delivery</v>
      </c>
      <c r="U338" t="str">
        <f>IF(COUNTIF(po_master[PO Number],po_master[[#This Row],[PO Number]])&gt;1, "Duplicate Invoice", "OK")</f>
        <v>OK</v>
      </c>
      <c r="V338" s="5">
        <f>IF(po_master[[#This Row],[Missing Approval]]="Missing Approval", 1, 0)</f>
        <v>0</v>
      </c>
      <c r="W338" s="5">
        <f>IF(po_master[[#This Row],[GR Receipt Status]]="No GR - Not Received", 1, 0)</f>
        <v>0</v>
      </c>
      <c r="X338" s="5">
        <f>IF(po_master[[#This Row],[No invoice]]="No Invoice", 1, 0)</f>
        <v>0</v>
      </c>
      <c r="Y338" s="5">
        <f>IF(po_master[[#This Row],[Date Check]]="Invalid Date", 1, 0)</f>
        <v>0</v>
      </c>
      <c r="Z338" s="5">
        <f>IF(po_master[[#This Row],[Qty Variance Flag]]="Qty Variance", 1, 0)</f>
        <v>0</v>
      </c>
      <c r="AA338" s="5">
        <f>IF(po_master[[#This Row],[Price Variance Flag]]="Price Variance", 1, 0)</f>
        <v>0</v>
      </c>
      <c r="AB338" s="5">
        <f>IF(po_master[[#This Row],[Late Delivery Flag]]="Late Delivery", 1, 0)</f>
        <v>1</v>
      </c>
      <c r="AC338" s="5">
        <f>IF(po_master[[#This Row],[Duplicate Invoice Flag]]="Duplicate Invoice", 1, 0)</f>
        <v>0</v>
      </c>
      <c r="AD338" s="5" t="str">
        <f>TEXT(po_master[[#This Row],[Order Date]],"YYYY-MM")</f>
        <v>2026-04</v>
      </c>
    </row>
    <row r="339" spans="1:30" x14ac:dyDescent="0.25">
      <c r="A339" t="s">
        <v>299</v>
      </c>
      <c r="B339" t="s">
        <v>1473</v>
      </c>
      <c r="C339" s="1">
        <v>46059</v>
      </c>
      <c r="D339">
        <v>444</v>
      </c>
      <c r="E339">
        <v>123.48</v>
      </c>
      <c r="F339" t="s">
        <v>1469</v>
      </c>
      <c r="G339" s="1">
        <v>46065</v>
      </c>
      <c r="H339">
        <v>444</v>
      </c>
      <c r="I339" s="1">
        <v>46079</v>
      </c>
      <c r="J339" t="s">
        <v>1019</v>
      </c>
      <c r="K339">
        <v>444</v>
      </c>
      <c r="L339">
        <v>135.19999999999999</v>
      </c>
      <c r="M339" s="1">
        <v>46071</v>
      </c>
      <c r="N339" t="str">
        <f>IF(po_master[[#This Row],[Approved By]]="", "Missing Approval", "OK")</f>
        <v>OK</v>
      </c>
      <c r="O339" t="str">
        <f>IF(ISBLANK(po_master[[#This Row],[GR Quantity]]), "No GR - Not received", "OK")</f>
        <v>OK</v>
      </c>
      <c r="P339" t="str">
        <f>IF(po_master[[#This Row],[Promised Delivey Date]]&lt;po_master[[#This Row],[Order Date]], "Invalid", "OK")</f>
        <v>OK</v>
      </c>
      <c r="Q339" t="str">
        <f>IF(ISBLANK(po_master[[#This Row],[Invoice Number]]), "No Invoice", "OK")</f>
        <v>OK</v>
      </c>
      <c r="R339" t="str">
        <f>IF(AND(NOT(ISBLANK(po_master[[#This Row],[GR Quantity]])), po_master[[#This Row],[GR Quantity]]&lt;&gt;po_master[[#This Row],[PO Quantity]]), "Qty Variance", "OK")</f>
        <v>OK</v>
      </c>
      <c r="S339" t="str">
        <f>IF(po_master[[#This Row],[Invoice Unit Price]]&gt;po_master[[#This Row],[PO Unit Price]]*1.01, "Price Variance", "OK")</f>
        <v>Price Variance</v>
      </c>
      <c r="T339" t="str">
        <f>IF(po_master[[#This Row],[Actual Delivery Date]]&gt;po_master[[#This Row],[Promised Delivey Date]], "Late Delivery", "OK")</f>
        <v>Late Delivery</v>
      </c>
      <c r="U339" t="str">
        <f>IF(COUNTIF(po_master[PO Number],po_master[[#This Row],[PO Number]])&gt;1, "Duplicate Invoice", "OK")</f>
        <v>OK</v>
      </c>
      <c r="V339" s="5">
        <f>IF(po_master[[#This Row],[Missing Approval]]="Missing Approval", 1, 0)</f>
        <v>0</v>
      </c>
      <c r="W339" s="5">
        <f>IF(po_master[[#This Row],[GR Receipt Status]]="No GR - Not Received", 1, 0)</f>
        <v>0</v>
      </c>
      <c r="X339" s="5">
        <f>IF(po_master[[#This Row],[No invoice]]="No Invoice", 1, 0)</f>
        <v>0</v>
      </c>
      <c r="Y339" s="5">
        <f>IF(po_master[[#This Row],[Date Check]]="Invalid Date", 1, 0)</f>
        <v>0</v>
      </c>
      <c r="Z339" s="5">
        <f>IF(po_master[[#This Row],[Qty Variance Flag]]="Qty Variance", 1, 0)</f>
        <v>0</v>
      </c>
      <c r="AA339" s="5">
        <f>IF(po_master[[#This Row],[Price Variance Flag]]="Price Variance", 1, 0)</f>
        <v>1</v>
      </c>
      <c r="AB339" s="5">
        <f>IF(po_master[[#This Row],[Late Delivery Flag]]="Late Delivery", 1, 0)</f>
        <v>1</v>
      </c>
      <c r="AC339" s="5">
        <f>IF(po_master[[#This Row],[Duplicate Invoice Flag]]="Duplicate Invoice", 1, 0)</f>
        <v>0</v>
      </c>
      <c r="AD339" s="5" t="str">
        <f>TEXT(po_master[[#This Row],[Order Date]],"YYYY-MM")</f>
        <v>2026-02</v>
      </c>
    </row>
    <row r="340" spans="1:30" x14ac:dyDescent="0.25">
      <c r="A340" t="s">
        <v>300</v>
      </c>
      <c r="B340" t="s">
        <v>1441</v>
      </c>
      <c r="C340" s="1">
        <v>46040</v>
      </c>
      <c r="D340">
        <v>130</v>
      </c>
      <c r="E340">
        <v>156.81</v>
      </c>
      <c r="F340" t="s">
        <v>1451</v>
      </c>
      <c r="G340" s="1">
        <v>46056</v>
      </c>
      <c r="H340">
        <v>130</v>
      </c>
      <c r="I340" s="1">
        <v>46057</v>
      </c>
      <c r="J340" t="s">
        <v>1020</v>
      </c>
      <c r="K340">
        <v>130</v>
      </c>
      <c r="L340">
        <v>156.81</v>
      </c>
      <c r="M340" s="1">
        <v>46063</v>
      </c>
      <c r="N340" t="str">
        <f>IF(po_master[[#This Row],[Approved By]]="", "Missing Approval", "OK")</f>
        <v>OK</v>
      </c>
      <c r="O340" t="str">
        <f>IF(ISBLANK(po_master[[#This Row],[GR Quantity]]), "No GR - Not received", "OK")</f>
        <v>OK</v>
      </c>
      <c r="P340" t="str">
        <f>IF(po_master[[#This Row],[Promised Delivey Date]]&lt;po_master[[#This Row],[Order Date]], "Invalid", "OK")</f>
        <v>OK</v>
      </c>
      <c r="Q340" t="str">
        <f>IF(ISBLANK(po_master[[#This Row],[Invoice Number]]), "No Invoice", "OK")</f>
        <v>OK</v>
      </c>
      <c r="R340" t="str">
        <f>IF(AND(NOT(ISBLANK(po_master[[#This Row],[GR Quantity]])), po_master[[#This Row],[GR Quantity]]&lt;&gt;po_master[[#This Row],[PO Quantity]]), "Qty Variance", "OK")</f>
        <v>OK</v>
      </c>
      <c r="S340" t="str">
        <f>IF(po_master[[#This Row],[Invoice Unit Price]]&gt;po_master[[#This Row],[PO Unit Price]]*1.01, "Price Variance", "OK")</f>
        <v>OK</v>
      </c>
      <c r="T340" t="str">
        <f>IF(po_master[[#This Row],[Actual Delivery Date]]&gt;po_master[[#This Row],[Promised Delivey Date]], "Late Delivery", "OK")</f>
        <v>Late Delivery</v>
      </c>
      <c r="U340" t="str">
        <f>IF(COUNTIF(po_master[PO Number],po_master[[#This Row],[PO Number]])&gt;1, "Duplicate Invoice", "OK")</f>
        <v>OK</v>
      </c>
      <c r="V340" s="5">
        <f>IF(po_master[[#This Row],[Missing Approval]]="Missing Approval", 1, 0)</f>
        <v>0</v>
      </c>
      <c r="W340" s="5">
        <f>IF(po_master[[#This Row],[GR Receipt Status]]="No GR - Not Received", 1, 0)</f>
        <v>0</v>
      </c>
      <c r="X340" s="5">
        <f>IF(po_master[[#This Row],[No invoice]]="No Invoice", 1, 0)</f>
        <v>0</v>
      </c>
      <c r="Y340" s="5">
        <f>IF(po_master[[#This Row],[Date Check]]="Invalid Date", 1, 0)</f>
        <v>0</v>
      </c>
      <c r="Z340" s="5">
        <f>IF(po_master[[#This Row],[Qty Variance Flag]]="Qty Variance", 1, 0)</f>
        <v>0</v>
      </c>
      <c r="AA340" s="5">
        <f>IF(po_master[[#This Row],[Price Variance Flag]]="Price Variance", 1, 0)</f>
        <v>0</v>
      </c>
      <c r="AB340" s="5">
        <f>IF(po_master[[#This Row],[Late Delivery Flag]]="Late Delivery", 1, 0)</f>
        <v>1</v>
      </c>
      <c r="AC340" s="5">
        <f>IF(po_master[[#This Row],[Duplicate Invoice Flag]]="Duplicate Invoice", 1, 0)</f>
        <v>0</v>
      </c>
      <c r="AD340" s="5" t="str">
        <f>TEXT(po_master[[#This Row],[Order Date]],"YYYY-MM")</f>
        <v>2026-01</v>
      </c>
    </row>
    <row r="341" spans="1:30" x14ac:dyDescent="0.25">
      <c r="A341" t="s">
        <v>301</v>
      </c>
      <c r="B341" t="s">
        <v>1502</v>
      </c>
      <c r="C341" s="1">
        <v>46168</v>
      </c>
      <c r="D341">
        <v>26</v>
      </c>
      <c r="E341">
        <v>122.99</v>
      </c>
      <c r="F341" t="s">
        <v>1467</v>
      </c>
      <c r="G341" s="1">
        <v>46187</v>
      </c>
      <c r="H341">
        <v>26</v>
      </c>
      <c r="I341" s="1">
        <v>46189</v>
      </c>
      <c r="J341" t="s">
        <v>1021</v>
      </c>
      <c r="K341">
        <v>26</v>
      </c>
      <c r="L341">
        <v>122.99</v>
      </c>
      <c r="M341" s="1">
        <v>46188</v>
      </c>
      <c r="N341" t="str">
        <f>IF(po_master[[#This Row],[Approved By]]="", "Missing Approval", "OK")</f>
        <v>OK</v>
      </c>
      <c r="O341" t="str">
        <f>IF(ISBLANK(po_master[[#This Row],[GR Quantity]]), "No GR - Not received", "OK")</f>
        <v>OK</v>
      </c>
      <c r="P341" t="str">
        <f>IF(po_master[[#This Row],[Promised Delivey Date]]&lt;po_master[[#This Row],[Order Date]], "Invalid", "OK")</f>
        <v>OK</v>
      </c>
      <c r="Q341" t="str">
        <f>IF(ISBLANK(po_master[[#This Row],[Invoice Number]]), "No Invoice", "OK")</f>
        <v>OK</v>
      </c>
      <c r="R341" t="str">
        <f>IF(AND(NOT(ISBLANK(po_master[[#This Row],[GR Quantity]])), po_master[[#This Row],[GR Quantity]]&lt;&gt;po_master[[#This Row],[PO Quantity]]), "Qty Variance", "OK")</f>
        <v>OK</v>
      </c>
      <c r="S341" t="str">
        <f>IF(po_master[[#This Row],[Invoice Unit Price]]&gt;po_master[[#This Row],[PO Unit Price]]*1.01, "Price Variance", "OK")</f>
        <v>OK</v>
      </c>
      <c r="T341" t="str">
        <f>IF(po_master[[#This Row],[Actual Delivery Date]]&gt;po_master[[#This Row],[Promised Delivey Date]], "Late Delivery", "OK")</f>
        <v>Late Delivery</v>
      </c>
      <c r="U341" t="str">
        <f>IF(COUNTIF(po_master[PO Number],po_master[[#This Row],[PO Number]])&gt;1, "Duplicate Invoice", "OK")</f>
        <v>OK</v>
      </c>
      <c r="V341" s="5">
        <f>IF(po_master[[#This Row],[Missing Approval]]="Missing Approval", 1, 0)</f>
        <v>0</v>
      </c>
      <c r="W341" s="5">
        <f>IF(po_master[[#This Row],[GR Receipt Status]]="No GR - Not Received", 1, 0)</f>
        <v>0</v>
      </c>
      <c r="X341" s="5">
        <f>IF(po_master[[#This Row],[No invoice]]="No Invoice", 1, 0)</f>
        <v>0</v>
      </c>
      <c r="Y341" s="5">
        <f>IF(po_master[[#This Row],[Date Check]]="Invalid Date", 1, 0)</f>
        <v>0</v>
      </c>
      <c r="Z341" s="5">
        <f>IF(po_master[[#This Row],[Qty Variance Flag]]="Qty Variance", 1, 0)</f>
        <v>0</v>
      </c>
      <c r="AA341" s="5">
        <f>IF(po_master[[#This Row],[Price Variance Flag]]="Price Variance", 1, 0)</f>
        <v>0</v>
      </c>
      <c r="AB341" s="5">
        <f>IF(po_master[[#This Row],[Late Delivery Flag]]="Late Delivery", 1, 0)</f>
        <v>1</v>
      </c>
      <c r="AC341" s="5">
        <f>IF(po_master[[#This Row],[Duplicate Invoice Flag]]="Duplicate Invoice", 1, 0)</f>
        <v>0</v>
      </c>
      <c r="AD341" s="5" t="str">
        <f>TEXT(po_master[[#This Row],[Order Date]],"YYYY-MM")</f>
        <v>2026-05</v>
      </c>
    </row>
    <row r="342" spans="1:30" x14ac:dyDescent="0.25">
      <c r="A342" t="s">
        <v>1002</v>
      </c>
      <c r="B342" t="s">
        <v>1465</v>
      </c>
      <c r="C342" s="1">
        <v>46027</v>
      </c>
      <c r="D342">
        <v>192</v>
      </c>
      <c r="E342">
        <v>158.76</v>
      </c>
      <c r="F342" t="s">
        <v>1451</v>
      </c>
      <c r="G342" s="1">
        <v>46039</v>
      </c>
      <c r="I342" s="1"/>
      <c r="J342" t="s">
        <v>1003</v>
      </c>
      <c r="K342">
        <v>192</v>
      </c>
      <c r="L342">
        <v>158.76</v>
      </c>
      <c r="M342" s="1">
        <v>46044</v>
      </c>
      <c r="N342" t="str">
        <f>IF(po_master[[#This Row],[Approved By]]="", "Missing Approval", "OK")</f>
        <v>OK</v>
      </c>
      <c r="O342" t="str">
        <f>IF(ISBLANK(po_master[[#This Row],[GR Quantity]]), "No GR - Not received", "OK")</f>
        <v>No GR - Not received</v>
      </c>
      <c r="P342" t="str">
        <f>IF(po_master[[#This Row],[Promised Delivey Date]]&lt;po_master[[#This Row],[Order Date]], "Invalid", "OK")</f>
        <v>OK</v>
      </c>
      <c r="Q342" t="str">
        <f>IF(ISBLANK(po_master[[#This Row],[Invoice Number]]), "No Invoice", "OK")</f>
        <v>OK</v>
      </c>
      <c r="R342" t="str">
        <f>IF(AND(NOT(ISBLANK(po_master[[#This Row],[GR Quantity]])), po_master[[#This Row],[GR Quantity]]&lt;&gt;po_master[[#This Row],[PO Quantity]]), "Qty Variance", "OK")</f>
        <v>OK</v>
      </c>
      <c r="S342" t="str">
        <f>IF(po_master[[#This Row],[Invoice Unit Price]]&gt;po_master[[#This Row],[PO Unit Price]]*1.01, "Price Variance", "OK")</f>
        <v>OK</v>
      </c>
      <c r="T342" t="str">
        <f>IF(po_master[[#This Row],[Actual Delivery Date]]&gt;po_master[[#This Row],[Promised Delivey Date]], "Late Delivery", "OK")</f>
        <v>OK</v>
      </c>
      <c r="U342" t="str">
        <f>IF(COUNTIF(po_master[PO Number],po_master[[#This Row],[PO Number]])&gt;1, "Duplicate Invoice", "OK")</f>
        <v>OK</v>
      </c>
      <c r="V342" s="5">
        <f>IF(po_master[[#This Row],[Missing Approval]]="Missing Approval", 1, 0)</f>
        <v>0</v>
      </c>
      <c r="W342" s="5">
        <f>IF(po_master[[#This Row],[GR Receipt Status]]="No GR - Not Received", 1, 0)</f>
        <v>1</v>
      </c>
      <c r="X342" s="5">
        <f>IF(po_master[[#This Row],[No invoice]]="No Invoice", 1, 0)</f>
        <v>0</v>
      </c>
      <c r="Y342" s="5">
        <f>IF(po_master[[#This Row],[Date Check]]="Invalid Date", 1, 0)</f>
        <v>0</v>
      </c>
      <c r="Z342" s="5">
        <f>IF(po_master[[#This Row],[Qty Variance Flag]]="Qty Variance", 1, 0)</f>
        <v>0</v>
      </c>
      <c r="AA342" s="5">
        <f>IF(po_master[[#This Row],[Price Variance Flag]]="Price Variance", 1, 0)</f>
        <v>0</v>
      </c>
      <c r="AB342" s="5">
        <f>IF(po_master[[#This Row],[Late Delivery Flag]]="Late Delivery", 1, 0)</f>
        <v>0</v>
      </c>
      <c r="AC342" s="5">
        <f>IF(po_master[[#This Row],[Duplicate Invoice Flag]]="Duplicate Invoice", 1, 0)</f>
        <v>0</v>
      </c>
      <c r="AD342" s="5" t="str">
        <f>TEXT(po_master[[#This Row],[Order Date]],"YYYY-MM")</f>
        <v>2026-01</v>
      </c>
    </row>
    <row r="343" spans="1:30" x14ac:dyDescent="0.25">
      <c r="A343" t="s">
        <v>302</v>
      </c>
      <c r="B343" t="s">
        <v>1496</v>
      </c>
      <c r="C343" s="1">
        <v>46118</v>
      </c>
      <c r="D343">
        <v>237</v>
      </c>
      <c r="E343">
        <v>153.80000000000001</v>
      </c>
      <c r="F343" t="s">
        <v>1480</v>
      </c>
      <c r="G343" s="1">
        <v>46127</v>
      </c>
      <c r="H343">
        <v>237</v>
      </c>
      <c r="I343" s="1">
        <v>46127</v>
      </c>
      <c r="J343" t="s">
        <v>1022</v>
      </c>
      <c r="K343">
        <v>237</v>
      </c>
      <c r="L343">
        <v>153.80000000000001</v>
      </c>
      <c r="M343" s="1">
        <v>46130</v>
      </c>
      <c r="N343" t="str">
        <f>IF(po_master[[#This Row],[Approved By]]="", "Missing Approval", "OK")</f>
        <v>OK</v>
      </c>
      <c r="O343" t="str">
        <f>IF(ISBLANK(po_master[[#This Row],[GR Quantity]]), "No GR - Not received", "OK")</f>
        <v>OK</v>
      </c>
      <c r="P343" t="str">
        <f>IF(po_master[[#This Row],[Promised Delivey Date]]&lt;po_master[[#This Row],[Order Date]], "Invalid", "OK")</f>
        <v>OK</v>
      </c>
      <c r="Q343" t="str">
        <f>IF(ISBLANK(po_master[[#This Row],[Invoice Number]]), "No Invoice", "OK")</f>
        <v>OK</v>
      </c>
      <c r="R343" t="str">
        <f>IF(AND(NOT(ISBLANK(po_master[[#This Row],[GR Quantity]])), po_master[[#This Row],[GR Quantity]]&lt;&gt;po_master[[#This Row],[PO Quantity]]), "Qty Variance", "OK")</f>
        <v>OK</v>
      </c>
      <c r="S343" t="str">
        <f>IF(po_master[[#This Row],[Invoice Unit Price]]&gt;po_master[[#This Row],[PO Unit Price]]*1.01, "Price Variance", "OK")</f>
        <v>OK</v>
      </c>
      <c r="T343" t="str">
        <f>IF(po_master[[#This Row],[Actual Delivery Date]]&gt;po_master[[#This Row],[Promised Delivey Date]], "Late Delivery", "OK")</f>
        <v>OK</v>
      </c>
      <c r="U343" t="str">
        <f>IF(COUNTIF(po_master[PO Number],po_master[[#This Row],[PO Number]])&gt;1, "Duplicate Invoice", "OK")</f>
        <v>OK</v>
      </c>
      <c r="V343" s="5">
        <f>IF(po_master[[#This Row],[Missing Approval]]="Missing Approval", 1, 0)</f>
        <v>0</v>
      </c>
      <c r="W343" s="5">
        <f>IF(po_master[[#This Row],[GR Receipt Status]]="No GR - Not Received", 1, 0)</f>
        <v>0</v>
      </c>
      <c r="X343" s="5">
        <f>IF(po_master[[#This Row],[No invoice]]="No Invoice", 1, 0)</f>
        <v>0</v>
      </c>
      <c r="Y343" s="5">
        <f>IF(po_master[[#This Row],[Date Check]]="Invalid Date", 1, 0)</f>
        <v>0</v>
      </c>
      <c r="Z343" s="5">
        <f>IF(po_master[[#This Row],[Qty Variance Flag]]="Qty Variance", 1, 0)</f>
        <v>0</v>
      </c>
      <c r="AA343" s="5">
        <f>IF(po_master[[#This Row],[Price Variance Flag]]="Price Variance", 1, 0)</f>
        <v>0</v>
      </c>
      <c r="AB343" s="5">
        <f>IF(po_master[[#This Row],[Late Delivery Flag]]="Late Delivery", 1, 0)</f>
        <v>0</v>
      </c>
      <c r="AC343" s="5">
        <f>IF(po_master[[#This Row],[Duplicate Invoice Flag]]="Duplicate Invoice", 1, 0)</f>
        <v>0</v>
      </c>
      <c r="AD343" s="5" t="str">
        <f>TEXT(po_master[[#This Row],[Order Date]],"YYYY-MM")</f>
        <v>2026-04</v>
      </c>
    </row>
    <row r="344" spans="1:30" x14ac:dyDescent="0.25">
      <c r="A344" t="s">
        <v>303</v>
      </c>
      <c r="B344" t="s">
        <v>1491</v>
      </c>
      <c r="C344" s="1">
        <v>46116</v>
      </c>
      <c r="D344">
        <v>213</v>
      </c>
      <c r="E344">
        <v>66.31</v>
      </c>
      <c r="F344" t="s">
        <v>1459</v>
      </c>
      <c r="G344" s="1">
        <v>46128</v>
      </c>
      <c r="H344">
        <v>213</v>
      </c>
      <c r="I344" s="1">
        <v>46136</v>
      </c>
      <c r="J344" t="s">
        <v>1023</v>
      </c>
      <c r="K344">
        <v>213</v>
      </c>
      <c r="L344">
        <v>66.31</v>
      </c>
      <c r="M344" s="1">
        <v>46132</v>
      </c>
      <c r="N344" t="str">
        <f>IF(po_master[[#This Row],[Approved By]]="", "Missing Approval", "OK")</f>
        <v>Missing Approval</v>
      </c>
      <c r="O344" t="str">
        <f>IF(ISBLANK(po_master[[#This Row],[GR Quantity]]), "No GR - Not received", "OK")</f>
        <v>OK</v>
      </c>
      <c r="P344" t="str">
        <f>IF(po_master[[#This Row],[Promised Delivey Date]]&lt;po_master[[#This Row],[Order Date]], "Invalid", "OK")</f>
        <v>OK</v>
      </c>
      <c r="Q344" t="str">
        <f>IF(ISBLANK(po_master[[#This Row],[Invoice Number]]), "No Invoice", "OK")</f>
        <v>OK</v>
      </c>
      <c r="R344" t="str">
        <f>IF(AND(NOT(ISBLANK(po_master[[#This Row],[GR Quantity]])), po_master[[#This Row],[GR Quantity]]&lt;&gt;po_master[[#This Row],[PO Quantity]]), "Qty Variance", "OK")</f>
        <v>OK</v>
      </c>
      <c r="S344" t="str">
        <f>IF(po_master[[#This Row],[Invoice Unit Price]]&gt;po_master[[#This Row],[PO Unit Price]]*1.01, "Price Variance", "OK")</f>
        <v>OK</v>
      </c>
      <c r="T344" t="str">
        <f>IF(po_master[[#This Row],[Actual Delivery Date]]&gt;po_master[[#This Row],[Promised Delivey Date]], "Late Delivery", "OK")</f>
        <v>Late Delivery</v>
      </c>
      <c r="U344" t="str">
        <f>IF(COUNTIF(po_master[PO Number],po_master[[#This Row],[PO Number]])&gt;1, "Duplicate Invoice", "OK")</f>
        <v>OK</v>
      </c>
      <c r="V344" s="5">
        <f>IF(po_master[[#This Row],[Missing Approval]]="Missing Approval", 1, 0)</f>
        <v>1</v>
      </c>
      <c r="W344" s="5">
        <f>IF(po_master[[#This Row],[GR Receipt Status]]="No GR - Not Received", 1, 0)</f>
        <v>0</v>
      </c>
      <c r="X344" s="5">
        <f>IF(po_master[[#This Row],[No invoice]]="No Invoice", 1, 0)</f>
        <v>0</v>
      </c>
      <c r="Y344" s="5">
        <f>IF(po_master[[#This Row],[Date Check]]="Invalid Date", 1, 0)</f>
        <v>0</v>
      </c>
      <c r="Z344" s="5">
        <f>IF(po_master[[#This Row],[Qty Variance Flag]]="Qty Variance", 1, 0)</f>
        <v>0</v>
      </c>
      <c r="AA344" s="5">
        <f>IF(po_master[[#This Row],[Price Variance Flag]]="Price Variance", 1, 0)</f>
        <v>0</v>
      </c>
      <c r="AB344" s="5">
        <f>IF(po_master[[#This Row],[Late Delivery Flag]]="Late Delivery", 1, 0)</f>
        <v>1</v>
      </c>
      <c r="AC344" s="5">
        <f>IF(po_master[[#This Row],[Duplicate Invoice Flag]]="Duplicate Invoice", 1, 0)</f>
        <v>0</v>
      </c>
      <c r="AD344" s="5" t="str">
        <f>TEXT(po_master[[#This Row],[Order Date]],"YYYY-MM")</f>
        <v>2026-04</v>
      </c>
    </row>
    <row r="345" spans="1:30" x14ac:dyDescent="0.25">
      <c r="A345" t="s">
        <v>304</v>
      </c>
      <c r="B345" t="s">
        <v>1466</v>
      </c>
      <c r="C345" s="1">
        <v>46029</v>
      </c>
      <c r="D345">
        <v>386</v>
      </c>
      <c r="E345">
        <v>41.28</v>
      </c>
      <c r="F345" t="s">
        <v>1504</v>
      </c>
      <c r="G345" s="1">
        <v>46046</v>
      </c>
      <c r="H345">
        <v>386</v>
      </c>
      <c r="I345" s="1">
        <v>46045</v>
      </c>
      <c r="J345" t="s">
        <v>1024</v>
      </c>
      <c r="K345">
        <v>386</v>
      </c>
      <c r="L345">
        <v>41.28</v>
      </c>
      <c r="M345" s="1">
        <v>46055</v>
      </c>
      <c r="N345" t="str">
        <f>IF(po_master[[#This Row],[Approved By]]="", "Missing Approval", "OK")</f>
        <v>OK</v>
      </c>
      <c r="O345" t="str">
        <f>IF(ISBLANK(po_master[[#This Row],[GR Quantity]]), "No GR - Not received", "OK")</f>
        <v>OK</v>
      </c>
      <c r="P345" t="str">
        <f>IF(po_master[[#This Row],[Promised Delivey Date]]&lt;po_master[[#This Row],[Order Date]], "Invalid", "OK")</f>
        <v>OK</v>
      </c>
      <c r="Q345" t="str">
        <f>IF(ISBLANK(po_master[[#This Row],[Invoice Number]]), "No Invoice", "OK")</f>
        <v>OK</v>
      </c>
      <c r="R345" t="str">
        <f>IF(AND(NOT(ISBLANK(po_master[[#This Row],[GR Quantity]])), po_master[[#This Row],[GR Quantity]]&lt;&gt;po_master[[#This Row],[PO Quantity]]), "Qty Variance", "OK")</f>
        <v>OK</v>
      </c>
      <c r="S345" t="str">
        <f>IF(po_master[[#This Row],[Invoice Unit Price]]&gt;po_master[[#This Row],[PO Unit Price]]*1.01, "Price Variance", "OK")</f>
        <v>OK</v>
      </c>
      <c r="T345" t="str">
        <f>IF(po_master[[#This Row],[Actual Delivery Date]]&gt;po_master[[#This Row],[Promised Delivey Date]], "Late Delivery", "OK")</f>
        <v>OK</v>
      </c>
      <c r="U345" t="str">
        <f>IF(COUNTIF(po_master[PO Number],po_master[[#This Row],[PO Number]])&gt;1, "Duplicate Invoice", "OK")</f>
        <v>OK</v>
      </c>
      <c r="V345" s="5">
        <f>IF(po_master[[#This Row],[Missing Approval]]="Missing Approval", 1, 0)</f>
        <v>0</v>
      </c>
      <c r="W345" s="5">
        <f>IF(po_master[[#This Row],[GR Receipt Status]]="No GR - Not Received", 1, 0)</f>
        <v>0</v>
      </c>
      <c r="X345" s="5">
        <f>IF(po_master[[#This Row],[No invoice]]="No Invoice", 1, 0)</f>
        <v>0</v>
      </c>
      <c r="Y345" s="5">
        <f>IF(po_master[[#This Row],[Date Check]]="Invalid Date", 1, 0)</f>
        <v>0</v>
      </c>
      <c r="Z345" s="5">
        <f>IF(po_master[[#This Row],[Qty Variance Flag]]="Qty Variance", 1, 0)</f>
        <v>0</v>
      </c>
      <c r="AA345" s="5">
        <f>IF(po_master[[#This Row],[Price Variance Flag]]="Price Variance", 1, 0)</f>
        <v>0</v>
      </c>
      <c r="AB345" s="5">
        <f>IF(po_master[[#This Row],[Late Delivery Flag]]="Late Delivery", 1, 0)</f>
        <v>0</v>
      </c>
      <c r="AC345" s="5">
        <f>IF(po_master[[#This Row],[Duplicate Invoice Flag]]="Duplicate Invoice", 1, 0)</f>
        <v>0</v>
      </c>
      <c r="AD345" s="5" t="str">
        <f>TEXT(po_master[[#This Row],[Order Date]],"YYYY-MM")</f>
        <v>2026-01</v>
      </c>
    </row>
    <row r="346" spans="1:30" x14ac:dyDescent="0.25">
      <c r="A346" t="s">
        <v>305</v>
      </c>
      <c r="B346" t="s">
        <v>1454</v>
      </c>
      <c r="C346" s="1">
        <v>46053</v>
      </c>
      <c r="D346">
        <v>144</v>
      </c>
      <c r="E346">
        <v>156.12</v>
      </c>
      <c r="F346" t="s">
        <v>1499</v>
      </c>
      <c r="G346" s="1">
        <v>46072</v>
      </c>
      <c r="H346">
        <v>144</v>
      </c>
      <c r="I346" s="1">
        <v>46080</v>
      </c>
      <c r="J346" t="s">
        <v>1025</v>
      </c>
      <c r="K346">
        <v>144</v>
      </c>
      <c r="L346">
        <v>156.12</v>
      </c>
      <c r="M346" s="1">
        <v>46080</v>
      </c>
      <c r="N346" t="str">
        <f>IF(po_master[[#This Row],[Approved By]]="", "Missing Approval", "OK")</f>
        <v>OK</v>
      </c>
      <c r="O346" t="str">
        <f>IF(ISBLANK(po_master[[#This Row],[GR Quantity]]), "No GR - Not received", "OK")</f>
        <v>OK</v>
      </c>
      <c r="P346" t="str">
        <f>IF(po_master[[#This Row],[Promised Delivey Date]]&lt;po_master[[#This Row],[Order Date]], "Invalid", "OK")</f>
        <v>OK</v>
      </c>
      <c r="Q346" t="str">
        <f>IF(ISBLANK(po_master[[#This Row],[Invoice Number]]), "No Invoice", "OK")</f>
        <v>OK</v>
      </c>
      <c r="R346" t="str">
        <f>IF(AND(NOT(ISBLANK(po_master[[#This Row],[GR Quantity]])), po_master[[#This Row],[GR Quantity]]&lt;&gt;po_master[[#This Row],[PO Quantity]]), "Qty Variance", "OK")</f>
        <v>OK</v>
      </c>
      <c r="S346" t="str">
        <f>IF(po_master[[#This Row],[Invoice Unit Price]]&gt;po_master[[#This Row],[PO Unit Price]]*1.01, "Price Variance", "OK")</f>
        <v>OK</v>
      </c>
      <c r="T346" t="str">
        <f>IF(po_master[[#This Row],[Actual Delivery Date]]&gt;po_master[[#This Row],[Promised Delivey Date]], "Late Delivery", "OK")</f>
        <v>Late Delivery</v>
      </c>
      <c r="U346" t="str">
        <f>IF(COUNTIF(po_master[PO Number],po_master[[#This Row],[PO Number]])&gt;1, "Duplicate Invoice", "OK")</f>
        <v>OK</v>
      </c>
      <c r="V346" s="5">
        <f>IF(po_master[[#This Row],[Missing Approval]]="Missing Approval", 1, 0)</f>
        <v>0</v>
      </c>
      <c r="W346" s="5">
        <f>IF(po_master[[#This Row],[GR Receipt Status]]="No GR - Not Received", 1, 0)</f>
        <v>0</v>
      </c>
      <c r="X346" s="5">
        <f>IF(po_master[[#This Row],[No invoice]]="No Invoice", 1, 0)</f>
        <v>0</v>
      </c>
      <c r="Y346" s="5">
        <f>IF(po_master[[#This Row],[Date Check]]="Invalid Date", 1, 0)</f>
        <v>0</v>
      </c>
      <c r="Z346" s="5">
        <f>IF(po_master[[#This Row],[Qty Variance Flag]]="Qty Variance", 1, 0)</f>
        <v>0</v>
      </c>
      <c r="AA346" s="5">
        <f>IF(po_master[[#This Row],[Price Variance Flag]]="Price Variance", 1, 0)</f>
        <v>0</v>
      </c>
      <c r="AB346" s="5">
        <f>IF(po_master[[#This Row],[Late Delivery Flag]]="Late Delivery", 1, 0)</f>
        <v>1</v>
      </c>
      <c r="AC346" s="5">
        <f>IF(po_master[[#This Row],[Duplicate Invoice Flag]]="Duplicate Invoice", 1, 0)</f>
        <v>0</v>
      </c>
      <c r="AD346" s="5" t="str">
        <f>TEXT(po_master[[#This Row],[Order Date]],"YYYY-MM")</f>
        <v>2026-01</v>
      </c>
    </row>
    <row r="347" spans="1:30" x14ac:dyDescent="0.25">
      <c r="A347" t="s">
        <v>306</v>
      </c>
      <c r="B347" t="s">
        <v>1463</v>
      </c>
      <c r="C347" s="1">
        <v>46096</v>
      </c>
      <c r="D347">
        <v>365</v>
      </c>
      <c r="E347">
        <v>183.71</v>
      </c>
      <c r="F347" t="s">
        <v>1487</v>
      </c>
      <c r="G347" s="1">
        <v>46107</v>
      </c>
      <c r="H347">
        <v>365</v>
      </c>
      <c r="I347" s="1">
        <v>46107</v>
      </c>
      <c r="J347" t="s">
        <v>1026</v>
      </c>
      <c r="K347">
        <v>365</v>
      </c>
      <c r="L347">
        <v>216.2</v>
      </c>
      <c r="M347" s="1">
        <v>46114</v>
      </c>
      <c r="N347" t="str">
        <f>IF(po_master[[#This Row],[Approved By]]="", "Missing Approval", "OK")</f>
        <v>OK</v>
      </c>
      <c r="O347" t="str">
        <f>IF(ISBLANK(po_master[[#This Row],[GR Quantity]]), "No GR - Not received", "OK")</f>
        <v>OK</v>
      </c>
      <c r="P347" t="str">
        <f>IF(po_master[[#This Row],[Promised Delivey Date]]&lt;po_master[[#This Row],[Order Date]], "Invalid", "OK")</f>
        <v>OK</v>
      </c>
      <c r="Q347" t="str">
        <f>IF(ISBLANK(po_master[[#This Row],[Invoice Number]]), "No Invoice", "OK")</f>
        <v>OK</v>
      </c>
      <c r="R347" t="str">
        <f>IF(AND(NOT(ISBLANK(po_master[[#This Row],[GR Quantity]])), po_master[[#This Row],[GR Quantity]]&lt;&gt;po_master[[#This Row],[PO Quantity]]), "Qty Variance", "OK")</f>
        <v>OK</v>
      </c>
      <c r="S347" t="str">
        <f>IF(po_master[[#This Row],[Invoice Unit Price]]&gt;po_master[[#This Row],[PO Unit Price]]*1.01, "Price Variance", "OK")</f>
        <v>Price Variance</v>
      </c>
      <c r="T347" t="str">
        <f>IF(po_master[[#This Row],[Actual Delivery Date]]&gt;po_master[[#This Row],[Promised Delivey Date]], "Late Delivery", "OK")</f>
        <v>OK</v>
      </c>
      <c r="U347" t="str">
        <f>IF(COUNTIF(po_master[PO Number],po_master[[#This Row],[PO Number]])&gt;1, "Duplicate Invoice", "OK")</f>
        <v>OK</v>
      </c>
      <c r="V347" s="5">
        <f>IF(po_master[[#This Row],[Missing Approval]]="Missing Approval", 1, 0)</f>
        <v>0</v>
      </c>
      <c r="W347" s="5">
        <f>IF(po_master[[#This Row],[GR Receipt Status]]="No GR - Not Received", 1, 0)</f>
        <v>0</v>
      </c>
      <c r="X347" s="5">
        <f>IF(po_master[[#This Row],[No invoice]]="No Invoice", 1, 0)</f>
        <v>0</v>
      </c>
      <c r="Y347" s="5">
        <f>IF(po_master[[#This Row],[Date Check]]="Invalid Date", 1, 0)</f>
        <v>0</v>
      </c>
      <c r="Z347" s="5">
        <f>IF(po_master[[#This Row],[Qty Variance Flag]]="Qty Variance", 1, 0)</f>
        <v>0</v>
      </c>
      <c r="AA347" s="5">
        <f>IF(po_master[[#This Row],[Price Variance Flag]]="Price Variance", 1, 0)</f>
        <v>1</v>
      </c>
      <c r="AB347" s="5">
        <f>IF(po_master[[#This Row],[Late Delivery Flag]]="Late Delivery", 1, 0)</f>
        <v>0</v>
      </c>
      <c r="AC347" s="5">
        <f>IF(po_master[[#This Row],[Duplicate Invoice Flag]]="Duplicate Invoice", 1, 0)</f>
        <v>0</v>
      </c>
      <c r="AD347" s="5" t="str">
        <f>TEXT(po_master[[#This Row],[Order Date]],"YYYY-MM")</f>
        <v>2026-03</v>
      </c>
    </row>
    <row r="348" spans="1:30" x14ac:dyDescent="0.25">
      <c r="A348" t="s">
        <v>307</v>
      </c>
      <c r="B348" t="s">
        <v>1466</v>
      </c>
      <c r="C348" s="1">
        <v>46057</v>
      </c>
      <c r="D348">
        <v>446</v>
      </c>
      <c r="E348">
        <v>19.440000000000001</v>
      </c>
      <c r="F348" t="s">
        <v>1501</v>
      </c>
      <c r="G348" s="1">
        <v>46076</v>
      </c>
      <c r="H348">
        <v>446</v>
      </c>
      <c r="I348" s="1">
        <v>46078</v>
      </c>
      <c r="J348" t="s">
        <v>1027</v>
      </c>
      <c r="K348">
        <v>446</v>
      </c>
      <c r="L348">
        <v>19.440000000000001</v>
      </c>
      <c r="M348" s="1">
        <v>46080</v>
      </c>
      <c r="N348" t="str">
        <f>IF(po_master[[#This Row],[Approved By]]="", "Missing Approval", "OK")</f>
        <v>OK</v>
      </c>
      <c r="O348" t="str">
        <f>IF(ISBLANK(po_master[[#This Row],[GR Quantity]]), "No GR - Not received", "OK")</f>
        <v>OK</v>
      </c>
      <c r="P348" t="str">
        <f>IF(po_master[[#This Row],[Promised Delivey Date]]&lt;po_master[[#This Row],[Order Date]], "Invalid", "OK")</f>
        <v>OK</v>
      </c>
      <c r="Q348" t="str">
        <f>IF(ISBLANK(po_master[[#This Row],[Invoice Number]]), "No Invoice", "OK")</f>
        <v>OK</v>
      </c>
      <c r="R348" t="str">
        <f>IF(AND(NOT(ISBLANK(po_master[[#This Row],[GR Quantity]])), po_master[[#This Row],[GR Quantity]]&lt;&gt;po_master[[#This Row],[PO Quantity]]), "Qty Variance", "OK")</f>
        <v>OK</v>
      </c>
      <c r="S348" t="str">
        <f>IF(po_master[[#This Row],[Invoice Unit Price]]&gt;po_master[[#This Row],[PO Unit Price]]*1.01, "Price Variance", "OK")</f>
        <v>OK</v>
      </c>
      <c r="T348" t="str">
        <f>IF(po_master[[#This Row],[Actual Delivery Date]]&gt;po_master[[#This Row],[Promised Delivey Date]], "Late Delivery", "OK")</f>
        <v>Late Delivery</v>
      </c>
      <c r="U348" t="str">
        <f>IF(COUNTIF(po_master[PO Number],po_master[[#This Row],[PO Number]])&gt;1, "Duplicate Invoice", "OK")</f>
        <v>OK</v>
      </c>
      <c r="V348" s="5">
        <f>IF(po_master[[#This Row],[Missing Approval]]="Missing Approval", 1, 0)</f>
        <v>0</v>
      </c>
      <c r="W348" s="5">
        <f>IF(po_master[[#This Row],[GR Receipt Status]]="No GR - Not Received", 1, 0)</f>
        <v>0</v>
      </c>
      <c r="X348" s="5">
        <f>IF(po_master[[#This Row],[No invoice]]="No Invoice", 1, 0)</f>
        <v>0</v>
      </c>
      <c r="Y348" s="5">
        <f>IF(po_master[[#This Row],[Date Check]]="Invalid Date", 1, 0)</f>
        <v>0</v>
      </c>
      <c r="Z348" s="5">
        <f>IF(po_master[[#This Row],[Qty Variance Flag]]="Qty Variance", 1, 0)</f>
        <v>0</v>
      </c>
      <c r="AA348" s="5">
        <f>IF(po_master[[#This Row],[Price Variance Flag]]="Price Variance", 1, 0)</f>
        <v>0</v>
      </c>
      <c r="AB348" s="5">
        <f>IF(po_master[[#This Row],[Late Delivery Flag]]="Late Delivery", 1, 0)</f>
        <v>1</v>
      </c>
      <c r="AC348" s="5">
        <f>IF(po_master[[#This Row],[Duplicate Invoice Flag]]="Duplicate Invoice", 1, 0)</f>
        <v>0</v>
      </c>
      <c r="AD348" s="5" t="str">
        <f>TEXT(po_master[[#This Row],[Order Date]],"YYYY-MM")</f>
        <v>2026-02</v>
      </c>
    </row>
    <row r="349" spans="1:30" x14ac:dyDescent="0.25">
      <c r="A349" t="s">
        <v>308</v>
      </c>
      <c r="B349" t="s">
        <v>1457</v>
      </c>
      <c r="C349" s="1">
        <v>46104</v>
      </c>
      <c r="D349">
        <v>351</v>
      </c>
      <c r="E349">
        <v>72.75</v>
      </c>
      <c r="F349" t="s">
        <v>1476</v>
      </c>
      <c r="G349" s="1">
        <v>46118</v>
      </c>
      <c r="H349">
        <v>351</v>
      </c>
      <c r="I349" s="1">
        <v>46116</v>
      </c>
      <c r="J349" t="s">
        <v>1028</v>
      </c>
      <c r="K349">
        <v>351</v>
      </c>
      <c r="L349">
        <v>72.75</v>
      </c>
      <c r="M349" s="1">
        <v>46119</v>
      </c>
      <c r="N349" t="str">
        <f>IF(po_master[[#This Row],[Approved By]]="", "Missing Approval", "OK")</f>
        <v>OK</v>
      </c>
      <c r="O349" t="str">
        <f>IF(ISBLANK(po_master[[#This Row],[GR Quantity]]), "No GR - Not received", "OK")</f>
        <v>OK</v>
      </c>
      <c r="P349" t="str">
        <f>IF(po_master[[#This Row],[Promised Delivey Date]]&lt;po_master[[#This Row],[Order Date]], "Invalid", "OK")</f>
        <v>OK</v>
      </c>
      <c r="Q349" t="str">
        <f>IF(ISBLANK(po_master[[#This Row],[Invoice Number]]), "No Invoice", "OK")</f>
        <v>OK</v>
      </c>
      <c r="R349" t="str">
        <f>IF(AND(NOT(ISBLANK(po_master[[#This Row],[GR Quantity]])), po_master[[#This Row],[GR Quantity]]&lt;&gt;po_master[[#This Row],[PO Quantity]]), "Qty Variance", "OK")</f>
        <v>OK</v>
      </c>
      <c r="S349" t="str">
        <f>IF(po_master[[#This Row],[Invoice Unit Price]]&gt;po_master[[#This Row],[PO Unit Price]]*1.01, "Price Variance", "OK")</f>
        <v>OK</v>
      </c>
      <c r="T349" t="str">
        <f>IF(po_master[[#This Row],[Actual Delivery Date]]&gt;po_master[[#This Row],[Promised Delivey Date]], "Late Delivery", "OK")</f>
        <v>OK</v>
      </c>
      <c r="U349" t="str">
        <f>IF(COUNTIF(po_master[PO Number],po_master[[#This Row],[PO Number]])&gt;1, "Duplicate Invoice", "OK")</f>
        <v>OK</v>
      </c>
      <c r="V349" s="5">
        <f>IF(po_master[[#This Row],[Missing Approval]]="Missing Approval", 1, 0)</f>
        <v>0</v>
      </c>
      <c r="W349" s="5">
        <f>IF(po_master[[#This Row],[GR Receipt Status]]="No GR - Not Received", 1, 0)</f>
        <v>0</v>
      </c>
      <c r="X349" s="5">
        <f>IF(po_master[[#This Row],[No invoice]]="No Invoice", 1, 0)</f>
        <v>0</v>
      </c>
      <c r="Y349" s="5">
        <f>IF(po_master[[#This Row],[Date Check]]="Invalid Date", 1, 0)</f>
        <v>0</v>
      </c>
      <c r="Z349" s="5">
        <f>IF(po_master[[#This Row],[Qty Variance Flag]]="Qty Variance", 1, 0)</f>
        <v>0</v>
      </c>
      <c r="AA349" s="5">
        <f>IF(po_master[[#This Row],[Price Variance Flag]]="Price Variance", 1, 0)</f>
        <v>0</v>
      </c>
      <c r="AB349" s="5">
        <f>IF(po_master[[#This Row],[Late Delivery Flag]]="Late Delivery", 1, 0)</f>
        <v>0</v>
      </c>
      <c r="AC349" s="5">
        <f>IF(po_master[[#This Row],[Duplicate Invoice Flag]]="Duplicate Invoice", 1, 0)</f>
        <v>0</v>
      </c>
      <c r="AD349" s="5" t="str">
        <f>TEXT(po_master[[#This Row],[Order Date]],"YYYY-MM")</f>
        <v>2026-03</v>
      </c>
    </row>
    <row r="350" spans="1:30" x14ac:dyDescent="0.25">
      <c r="A350" t="s">
        <v>309</v>
      </c>
      <c r="B350" t="s">
        <v>1512</v>
      </c>
      <c r="C350" s="1">
        <v>46063</v>
      </c>
      <c r="D350">
        <v>374</v>
      </c>
      <c r="E350">
        <v>143.36000000000001</v>
      </c>
      <c r="F350" t="s">
        <v>1499</v>
      </c>
      <c r="G350" s="1">
        <v>46073</v>
      </c>
      <c r="H350">
        <v>374</v>
      </c>
      <c r="I350" s="1">
        <v>46074</v>
      </c>
      <c r="J350" t="s">
        <v>1029</v>
      </c>
      <c r="K350">
        <v>374</v>
      </c>
      <c r="L350">
        <v>143.36000000000001</v>
      </c>
      <c r="M350" s="1">
        <v>46076</v>
      </c>
      <c r="N350" t="str">
        <f>IF(po_master[[#This Row],[Approved By]]="", "Missing Approval", "OK")</f>
        <v>OK</v>
      </c>
      <c r="O350" t="str">
        <f>IF(ISBLANK(po_master[[#This Row],[GR Quantity]]), "No GR - Not received", "OK")</f>
        <v>OK</v>
      </c>
      <c r="P350" t="str">
        <f>IF(po_master[[#This Row],[Promised Delivey Date]]&lt;po_master[[#This Row],[Order Date]], "Invalid", "OK")</f>
        <v>OK</v>
      </c>
      <c r="Q350" t="str">
        <f>IF(ISBLANK(po_master[[#This Row],[Invoice Number]]), "No Invoice", "OK")</f>
        <v>OK</v>
      </c>
      <c r="R350" t="str">
        <f>IF(AND(NOT(ISBLANK(po_master[[#This Row],[GR Quantity]])), po_master[[#This Row],[GR Quantity]]&lt;&gt;po_master[[#This Row],[PO Quantity]]), "Qty Variance", "OK")</f>
        <v>OK</v>
      </c>
      <c r="S350" t="str">
        <f>IF(po_master[[#This Row],[Invoice Unit Price]]&gt;po_master[[#This Row],[PO Unit Price]]*1.01, "Price Variance", "OK")</f>
        <v>OK</v>
      </c>
      <c r="T350" t="str">
        <f>IF(po_master[[#This Row],[Actual Delivery Date]]&gt;po_master[[#This Row],[Promised Delivey Date]], "Late Delivery", "OK")</f>
        <v>Late Delivery</v>
      </c>
      <c r="U350" t="str">
        <f>IF(COUNTIF(po_master[PO Number],po_master[[#This Row],[PO Number]])&gt;1, "Duplicate Invoice", "OK")</f>
        <v>OK</v>
      </c>
      <c r="V350" s="5">
        <f>IF(po_master[[#This Row],[Missing Approval]]="Missing Approval", 1, 0)</f>
        <v>0</v>
      </c>
      <c r="W350" s="5">
        <f>IF(po_master[[#This Row],[GR Receipt Status]]="No GR - Not Received", 1, 0)</f>
        <v>0</v>
      </c>
      <c r="X350" s="5">
        <f>IF(po_master[[#This Row],[No invoice]]="No Invoice", 1, 0)</f>
        <v>0</v>
      </c>
      <c r="Y350" s="5">
        <f>IF(po_master[[#This Row],[Date Check]]="Invalid Date", 1, 0)</f>
        <v>0</v>
      </c>
      <c r="Z350" s="5">
        <f>IF(po_master[[#This Row],[Qty Variance Flag]]="Qty Variance", 1, 0)</f>
        <v>0</v>
      </c>
      <c r="AA350" s="5">
        <f>IF(po_master[[#This Row],[Price Variance Flag]]="Price Variance", 1, 0)</f>
        <v>0</v>
      </c>
      <c r="AB350" s="5">
        <f>IF(po_master[[#This Row],[Late Delivery Flag]]="Late Delivery", 1, 0)</f>
        <v>1</v>
      </c>
      <c r="AC350" s="5">
        <f>IF(po_master[[#This Row],[Duplicate Invoice Flag]]="Duplicate Invoice", 1, 0)</f>
        <v>0</v>
      </c>
      <c r="AD350" s="5" t="str">
        <f>TEXT(po_master[[#This Row],[Order Date]],"YYYY-MM")</f>
        <v>2026-02</v>
      </c>
    </row>
    <row r="351" spans="1:30" x14ac:dyDescent="0.25">
      <c r="A351" t="s">
        <v>1012</v>
      </c>
      <c r="B351" t="s">
        <v>1498</v>
      </c>
      <c r="C351" s="1">
        <v>46150</v>
      </c>
      <c r="D351">
        <v>198</v>
      </c>
      <c r="E351">
        <v>185.24</v>
      </c>
      <c r="F351" t="s">
        <v>1504</v>
      </c>
      <c r="G351" s="1">
        <v>46163</v>
      </c>
      <c r="I351" s="1"/>
      <c r="J351" t="s">
        <v>1013</v>
      </c>
      <c r="K351">
        <v>198</v>
      </c>
      <c r="L351">
        <v>185.24</v>
      </c>
      <c r="M351" s="1">
        <v>46167</v>
      </c>
      <c r="N351" t="str">
        <f>IF(po_master[[#This Row],[Approved By]]="", "Missing Approval", "OK")</f>
        <v>OK</v>
      </c>
      <c r="O351" t="str">
        <f>IF(ISBLANK(po_master[[#This Row],[GR Quantity]]), "No GR - Not received", "OK")</f>
        <v>No GR - Not received</v>
      </c>
      <c r="P351" t="str">
        <f>IF(po_master[[#This Row],[Promised Delivey Date]]&lt;po_master[[#This Row],[Order Date]], "Invalid", "OK")</f>
        <v>OK</v>
      </c>
      <c r="Q351" t="str">
        <f>IF(ISBLANK(po_master[[#This Row],[Invoice Number]]), "No Invoice", "OK")</f>
        <v>OK</v>
      </c>
      <c r="R351" t="str">
        <f>IF(AND(NOT(ISBLANK(po_master[[#This Row],[GR Quantity]])), po_master[[#This Row],[GR Quantity]]&lt;&gt;po_master[[#This Row],[PO Quantity]]), "Qty Variance", "OK")</f>
        <v>OK</v>
      </c>
      <c r="S351" t="str">
        <f>IF(po_master[[#This Row],[Invoice Unit Price]]&gt;po_master[[#This Row],[PO Unit Price]]*1.01, "Price Variance", "OK")</f>
        <v>OK</v>
      </c>
      <c r="T351" t="str">
        <f>IF(po_master[[#This Row],[Actual Delivery Date]]&gt;po_master[[#This Row],[Promised Delivey Date]], "Late Delivery", "OK")</f>
        <v>OK</v>
      </c>
      <c r="U351" t="str">
        <f>IF(COUNTIF(po_master[PO Number],po_master[[#This Row],[PO Number]])&gt;1, "Duplicate Invoice", "OK")</f>
        <v>OK</v>
      </c>
      <c r="V351" s="5">
        <f>IF(po_master[[#This Row],[Missing Approval]]="Missing Approval", 1, 0)</f>
        <v>0</v>
      </c>
      <c r="W351" s="5">
        <f>IF(po_master[[#This Row],[GR Receipt Status]]="No GR - Not Received", 1, 0)</f>
        <v>1</v>
      </c>
      <c r="X351" s="5">
        <f>IF(po_master[[#This Row],[No invoice]]="No Invoice", 1, 0)</f>
        <v>0</v>
      </c>
      <c r="Y351" s="5">
        <f>IF(po_master[[#This Row],[Date Check]]="Invalid Date", 1, 0)</f>
        <v>0</v>
      </c>
      <c r="Z351" s="5">
        <f>IF(po_master[[#This Row],[Qty Variance Flag]]="Qty Variance", 1, 0)</f>
        <v>0</v>
      </c>
      <c r="AA351" s="5">
        <f>IF(po_master[[#This Row],[Price Variance Flag]]="Price Variance", 1, 0)</f>
        <v>0</v>
      </c>
      <c r="AB351" s="5">
        <f>IF(po_master[[#This Row],[Late Delivery Flag]]="Late Delivery", 1, 0)</f>
        <v>0</v>
      </c>
      <c r="AC351" s="5">
        <f>IF(po_master[[#This Row],[Duplicate Invoice Flag]]="Duplicate Invoice", 1, 0)</f>
        <v>0</v>
      </c>
      <c r="AD351" s="5" t="str">
        <f>TEXT(po_master[[#This Row],[Order Date]],"YYYY-MM")</f>
        <v>2026-05</v>
      </c>
    </row>
    <row r="352" spans="1:30" x14ac:dyDescent="0.25">
      <c r="A352" t="s">
        <v>310</v>
      </c>
      <c r="B352" t="s">
        <v>1496</v>
      </c>
      <c r="C352" s="1">
        <v>46153</v>
      </c>
      <c r="D352">
        <v>124</v>
      </c>
      <c r="E352">
        <v>28.67</v>
      </c>
      <c r="F352" t="s">
        <v>1444</v>
      </c>
      <c r="G352" s="1">
        <v>46162</v>
      </c>
      <c r="H352">
        <v>124</v>
      </c>
      <c r="I352" s="1">
        <v>46161</v>
      </c>
      <c r="J352" t="s">
        <v>1030</v>
      </c>
      <c r="K352">
        <v>124</v>
      </c>
      <c r="L352">
        <v>28.67</v>
      </c>
      <c r="M352" s="1">
        <v>46170</v>
      </c>
      <c r="N352" t="str">
        <f>IF(po_master[[#This Row],[Approved By]]="", "Missing Approval", "OK")</f>
        <v>OK</v>
      </c>
      <c r="O352" t="str">
        <f>IF(ISBLANK(po_master[[#This Row],[GR Quantity]]), "No GR - Not received", "OK")</f>
        <v>OK</v>
      </c>
      <c r="P352" t="str">
        <f>IF(po_master[[#This Row],[Promised Delivey Date]]&lt;po_master[[#This Row],[Order Date]], "Invalid", "OK")</f>
        <v>OK</v>
      </c>
      <c r="Q352" t="str">
        <f>IF(ISBLANK(po_master[[#This Row],[Invoice Number]]), "No Invoice", "OK")</f>
        <v>OK</v>
      </c>
      <c r="R352" t="str">
        <f>IF(AND(NOT(ISBLANK(po_master[[#This Row],[GR Quantity]])), po_master[[#This Row],[GR Quantity]]&lt;&gt;po_master[[#This Row],[PO Quantity]]), "Qty Variance", "OK")</f>
        <v>OK</v>
      </c>
      <c r="S352" t="str">
        <f>IF(po_master[[#This Row],[Invoice Unit Price]]&gt;po_master[[#This Row],[PO Unit Price]]*1.01, "Price Variance", "OK")</f>
        <v>OK</v>
      </c>
      <c r="T352" t="str">
        <f>IF(po_master[[#This Row],[Actual Delivery Date]]&gt;po_master[[#This Row],[Promised Delivey Date]], "Late Delivery", "OK")</f>
        <v>OK</v>
      </c>
      <c r="U352" t="str">
        <f>IF(COUNTIF(po_master[PO Number],po_master[[#This Row],[PO Number]])&gt;1, "Duplicate Invoice", "OK")</f>
        <v>OK</v>
      </c>
      <c r="V352" s="5">
        <f>IF(po_master[[#This Row],[Missing Approval]]="Missing Approval", 1, 0)</f>
        <v>0</v>
      </c>
      <c r="W352" s="5">
        <f>IF(po_master[[#This Row],[GR Receipt Status]]="No GR - Not Received", 1, 0)</f>
        <v>0</v>
      </c>
      <c r="X352" s="5">
        <f>IF(po_master[[#This Row],[No invoice]]="No Invoice", 1, 0)</f>
        <v>0</v>
      </c>
      <c r="Y352" s="5">
        <f>IF(po_master[[#This Row],[Date Check]]="Invalid Date", 1, 0)</f>
        <v>0</v>
      </c>
      <c r="Z352" s="5">
        <f>IF(po_master[[#This Row],[Qty Variance Flag]]="Qty Variance", 1, 0)</f>
        <v>0</v>
      </c>
      <c r="AA352" s="5">
        <f>IF(po_master[[#This Row],[Price Variance Flag]]="Price Variance", 1, 0)</f>
        <v>0</v>
      </c>
      <c r="AB352" s="5">
        <f>IF(po_master[[#This Row],[Late Delivery Flag]]="Late Delivery", 1, 0)</f>
        <v>0</v>
      </c>
      <c r="AC352" s="5">
        <f>IF(po_master[[#This Row],[Duplicate Invoice Flag]]="Duplicate Invoice", 1, 0)</f>
        <v>0</v>
      </c>
      <c r="AD352" s="5" t="str">
        <f>TEXT(po_master[[#This Row],[Order Date]],"YYYY-MM")</f>
        <v>2026-05</v>
      </c>
    </row>
    <row r="353" spans="1:30" x14ac:dyDescent="0.25">
      <c r="A353" t="s">
        <v>311</v>
      </c>
      <c r="B353" t="s">
        <v>1489</v>
      </c>
      <c r="C353" s="1">
        <v>46164</v>
      </c>
      <c r="D353">
        <v>76</v>
      </c>
      <c r="E353">
        <v>124.33</v>
      </c>
      <c r="F353" t="s">
        <v>1476</v>
      </c>
      <c r="G353" s="1">
        <v>46171</v>
      </c>
      <c r="H353">
        <v>76</v>
      </c>
      <c r="I353" s="1">
        <v>46190</v>
      </c>
      <c r="J353" t="s">
        <v>1033</v>
      </c>
      <c r="K353">
        <v>76</v>
      </c>
      <c r="L353">
        <v>124.33</v>
      </c>
      <c r="M353" s="1">
        <v>46178</v>
      </c>
      <c r="N353" t="str">
        <f>IF(po_master[[#This Row],[Approved By]]="", "Missing Approval", "OK")</f>
        <v>OK</v>
      </c>
      <c r="O353" t="str">
        <f>IF(ISBLANK(po_master[[#This Row],[GR Quantity]]), "No GR - Not received", "OK")</f>
        <v>OK</v>
      </c>
      <c r="P353" t="str">
        <f>IF(po_master[[#This Row],[Promised Delivey Date]]&lt;po_master[[#This Row],[Order Date]], "Invalid", "OK")</f>
        <v>OK</v>
      </c>
      <c r="Q353" t="str">
        <f>IF(ISBLANK(po_master[[#This Row],[Invoice Number]]), "No Invoice", "OK")</f>
        <v>OK</v>
      </c>
      <c r="R353" t="str">
        <f>IF(AND(NOT(ISBLANK(po_master[[#This Row],[GR Quantity]])), po_master[[#This Row],[GR Quantity]]&lt;&gt;po_master[[#This Row],[PO Quantity]]), "Qty Variance", "OK")</f>
        <v>OK</v>
      </c>
      <c r="S353" t="str">
        <f>IF(po_master[[#This Row],[Invoice Unit Price]]&gt;po_master[[#This Row],[PO Unit Price]]*1.01, "Price Variance", "OK")</f>
        <v>OK</v>
      </c>
      <c r="T353" t="str">
        <f>IF(po_master[[#This Row],[Actual Delivery Date]]&gt;po_master[[#This Row],[Promised Delivey Date]], "Late Delivery", "OK")</f>
        <v>Late Delivery</v>
      </c>
      <c r="U353" t="str">
        <f>IF(COUNTIF(po_master[PO Number],po_master[[#This Row],[PO Number]])&gt;1, "Duplicate Invoice", "OK")</f>
        <v>OK</v>
      </c>
      <c r="V353" s="5">
        <f>IF(po_master[[#This Row],[Missing Approval]]="Missing Approval", 1, 0)</f>
        <v>0</v>
      </c>
      <c r="W353" s="5">
        <f>IF(po_master[[#This Row],[GR Receipt Status]]="No GR - Not Received", 1, 0)</f>
        <v>0</v>
      </c>
      <c r="X353" s="5">
        <f>IF(po_master[[#This Row],[No invoice]]="No Invoice", 1, 0)</f>
        <v>0</v>
      </c>
      <c r="Y353" s="5">
        <f>IF(po_master[[#This Row],[Date Check]]="Invalid Date", 1, 0)</f>
        <v>0</v>
      </c>
      <c r="Z353" s="5">
        <f>IF(po_master[[#This Row],[Qty Variance Flag]]="Qty Variance", 1, 0)</f>
        <v>0</v>
      </c>
      <c r="AA353" s="5">
        <f>IF(po_master[[#This Row],[Price Variance Flag]]="Price Variance", 1, 0)</f>
        <v>0</v>
      </c>
      <c r="AB353" s="5">
        <f>IF(po_master[[#This Row],[Late Delivery Flag]]="Late Delivery", 1, 0)</f>
        <v>1</v>
      </c>
      <c r="AC353" s="5">
        <f>IF(po_master[[#This Row],[Duplicate Invoice Flag]]="Duplicate Invoice", 1, 0)</f>
        <v>0</v>
      </c>
      <c r="AD353" s="5" t="str">
        <f>TEXT(po_master[[#This Row],[Order Date]],"YYYY-MM")</f>
        <v>2026-05</v>
      </c>
    </row>
    <row r="354" spans="1:30" x14ac:dyDescent="0.25">
      <c r="A354" t="s">
        <v>312</v>
      </c>
      <c r="B354" t="s">
        <v>1512</v>
      </c>
      <c r="C354" s="1">
        <v>46124</v>
      </c>
      <c r="D354">
        <v>377</v>
      </c>
      <c r="E354">
        <v>145.18</v>
      </c>
      <c r="F354" t="s">
        <v>1504</v>
      </c>
      <c r="G354" s="1">
        <v>46142</v>
      </c>
      <c r="H354">
        <v>377</v>
      </c>
      <c r="I354" s="1">
        <v>46143</v>
      </c>
      <c r="J354" t="s">
        <v>1034</v>
      </c>
      <c r="K354">
        <v>377</v>
      </c>
      <c r="L354">
        <v>145.18</v>
      </c>
      <c r="M354" s="1">
        <v>46147</v>
      </c>
      <c r="N354" t="str">
        <f>IF(po_master[[#This Row],[Approved By]]="", "Missing Approval", "OK")</f>
        <v>OK</v>
      </c>
      <c r="O354" t="str">
        <f>IF(ISBLANK(po_master[[#This Row],[GR Quantity]]), "No GR - Not received", "OK")</f>
        <v>OK</v>
      </c>
      <c r="P354" t="str">
        <f>IF(po_master[[#This Row],[Promised Delivey Date]]&lt;po_master[[#This Row],[Order Date]], "Invalid", "OK")</f>
        <v>OK</v>
      </c>
      <c r="Q354" t="str">
        <f>IF(ISBLANK(po_master[[#This Row],[Invoice Number]]), "No Invoice", "OK")</f>
        <v>OK</v>
      </c>
      <c r="R354" t="str">
        <f>IF(AND(NOT(ISBLANK(po_master[[#This Row],[GR Quantity]])), po_master[[#This Row],[GR Quantity]]&lt;&gt;po_master[[#This Row],[PO Quantity]]), "Qty Variance", "OK")</f>
        <v>OK</v>
      </c>
      <c r="S354" t="str">
        <f>IF(po_master[[#This Row],[Invoice Unit Price]]&gt;po_master[[#This Row],[PO Unit Price]]*1.01, "Price Variance", "OK")</f>
        <v>OK</v>
      </c>
      <c r="T354" t="str">
        <f>IF(po_master[[#This Row],[Actual Delivery Date]]&gt;po_master[[#This Row],[Promised Delivey Date]], "Late Delivery", "OK")</f>
        <v>Late Delivery</v>
      </c>
      <c r="U354" t="str">
        <f>IF(COUNTIF(po_master[PO Number],po_master[[#This Row],[PO Number]])&gt;1, "Duplicate Invoice", "OK")</f>
        <v>OK</v>
      </c>
      <c r="V354" s="5">
        <f>IF(po_master[[#This Row],[Missing Approval]]="Missing Approval", 1, 0)</f>
        <v>0</v>
      </c>
      <c r="W354" s="5">
        <f>IF(po_master[[#This Row],[GR Receipt Status]]="No GR - Not Received", 1, 0)</f>
        <v>0</v>
      </c>
      <c r="X354" s="5">
        <f>IF(po_master[[#This Row],[No invoice]]="No Invoice", 1, 0)</f>
        <v>0</v>
      </c>
      <c r="Y354" s="5">
        <f>IF(po_master[[#This Row],[Date Check]]="Invalid Date", 1, 0)</f>
        <v>0</v>
      </c>
      <c r="Z354" s="5">
        <f>IF(po_master[[#This Row],[Qty Variance Flag]]="Qty Variance", 1, 0)</f>
        <v>0</v>
      </c>
      <c r="AA354" s="5">
        <f>IF(po_master[[#This Row],[Price Variance Flag]]="Price Variance", 1, 0)</f>
        <v>0</v>
      </c>
      <c r="AB354" s="5">
        <f>IF(po_master[[#This Row],[Late Delivery Flag]]="Late Delivery", 1, 0)</f>
        <v>1</v>
      </c>
      <c r="AC354" s="5">
        <f>IF(po_master[[#This Row],[Duplicate Invoice Flag]]="Duplicate Invoice", 1, 0)</f>
        <v>0</v>
      </c>
      <c r="AD354" s="5" t="str">
        <f>TEXT(po_master[[#This Row],[Order Date]],"YYYY-MM")</f>
        <v>2026-04</v>
      </c>
    </row>
    <row r="355" spans="1:30" x14ac:dyDescent="0.25">
      <c r="A355" t="s">
        <v>313</v>
      </c>
      <c r="B355" t="s">
        <v>1495</v>
      </c>
      <c r="C355" s="1">
        <v>46170</v>
      </c>
      <c r="D355">
        <v>47</v>
      </c>
      <c r="E355">
        <v>29.44</v>
      </c>
      <c r="F355" t="s">
        <v>1472</v>
      </c>
      <c r="G355" s="1">
        <v>46177</v>
      </c>
      <c r="H355">
        <v>27</v>
      </c>
      <c r="I355" s="1">
        <v>46178</v>
      </c>
      <c r="J355" t="s">
        <v>1035</v>
      </c>
      <c r="K355">
        <v>47</v>
      </c>
      <c r="L355">
        <v>34.380000000000003</v>
      </c>
      <c r="M355" s="1">
        <v>46180</v>
      </c>
      <c r="N355" t="str">
        <f>IF(po_master[[#This Row],[Approved By]]="", "Missing Approval", "OK")</f>
        <v>OK</v>
      </c>
      <c r="O355" t="str">
        <f>IF(ISBLANK(po_master[[#This Row],[GR Quantity]]), "No GR - Not received", "OK")</f>
        <v>OK</v>
      </c>
      <c r="P355" t="str">
        <f>IF(po_master[[#This Row],[Promised Delivey Date]]&lt;po_master[[#This Row],[Order Date]], "Invalid", "OK")</f>
        <v>OK</v>
      </c>
      <c r="Q355" t="str">
        <f>IF(ISBLANK(po_master[[#This Row],[Invoice Number]]), "No Invoice", "OK")</f>
        <v>OK</v>
      </c>
      <c r="R355" t="str">
        <f>IF(AND(NOT(ISBLANK(po_master[[#This Row],[GR Quantity]])), po_master[[#This Row],[GR Quantity]]&lt;&gt;po_master[[#This Row],[PO Quantity]]), "Qty Variance", "OK")</f>
        <v>Qty Variance</v>
      </c>
      <c r="S355" t="str">
        <f>IF(po_master[[#This Row],[Invoice Unit Price]]&gt;po_master[[#This Row],[PO Unit Price]]*1.01, "Price Variance", "OK")</f>
        <v>Price Variance</v>
      </c>
      <c r="T355" t="str">
        <f>IF(po_master[[#This Row],[Actual Delivery Date]]&gt;po_master[[#This Row],[Promised Delivey Date]], "Late Delivery", "OK")</f>
        <v>Late Delivery</v>
      </c>
      <c r="U355" t="str">
        <f>IF(COUNTIF(po_master[PO Number],po_master[[#This Row],[PO Number]])&gt;1, "Duplicate Invoice", "OK")</f>
        <v>OK</v>
      </c>
      <c r="V355" s="5">
        <f>IF(po_master[[#This Row],[Missing Approval]]="Missing Approval", 1, 0)</f>
        <v>0</v>
      </c>
      <c r="W355" s="5">
        <f>IF(po_master[[#This Row],[GR Receipt Status]]="No GR - Not Received", 1, 0)</f>
        <v>0</v>
      </c>
      <c r="X355" s="5">
        <f>IF(po_master[[#This Row],[No invoice]]="No Invoice", 1, 0)</f>
        <v>0</v>
      </c>
      <c r="Y355" s="5">
        <f>IF(po_master[[#This Row],[Date Check]]="Invalid Date", 1, 0)</f>
        <v>0</v>
      </c>
      <c r="Z355" s="5">
        <f>IF(po_master[[#This Row],[Qty Variance Flag]]="Qty Variance", 1, 0)</f>
        <v>1</v>
      </c>
      <c r="AA355" s="5">
        <f>IF(po_master[[#This Row],[Price Variance Flag]]="Price Variance", 1, 0)</f>
        <v>1</v>
      </c>
      <c r="AB355" s="5">
        <f>IF(po_master[[#This Row],[Late Delivery Flag]]="Late Delivery", 1, 0)</f>
        <v>1</v>
      </c>
      <c r="AC355" s="5">
        <f>IF(po_master[[#This Row],[Duplicate Invoice Flag]]="Duplicate Invoice", 1, 0)</f>
        <v>0</v>
      </c>
      <c r="AD355" s="5" t="str">
        <f>TEXT(po_master[[#This Row],[Order Date]],"YYYY-MM")</f>
        <v>2026-05</v>
      </c>
    </row>
    <row r="356" spans="1:30" x14ac:dyDescent="0.25">
      <c r="A356" t="s">
        <v>314</v>
      </c>
      <c r="B356" t="s">
        <v>1478</v>
      </c>
      <c r="C356" s="1">
        <v>46142</v>
      </c>
      <c r="D356">
        <v>358</v>
      </c>
      <c r="E356">
        <v>105.89</v>
      </c>
      <c r="F356" t="s">
        <v>1485</v>
      </c>
      <c r="G356" s="1">
        <v>46152</v>
      </c>
      <c r="H356">
        <v>353</v>
      </c>
      <c r="I356" s="1">
        <v>46154</v>
      </c>
      <c r="J356" t="s">
        <v>1036</v>
      </c>
      <c r="K356">
        <v>358</v>
      </c>
      <c r="L356">
        <v>105.89</v>
      </c>
      <c r="M356" s="1">
        <v>46158</v>
      </c>
      <c r="N356" t="str">
        <f>IF(po_master[[#This Row],[Approved By]]="", "Missing Approval", "OK")</f>
        <v>OK</v>
      </c>
      <c r="O356" t="str">
        <f>IF(ISBLANK(po_master[[#This Row],[GR Quantity]]), "No GR - Not received", "OK")</f>
        <v>OK</v>
      </c>
      <c r="P356" t="str">
        <f>IF(po_master[[#This Row],[Promised Delivey Date]]&lt;po_master[[#This Row],[Order Date]], "Invalid", "OK")</f>
        <v>OK</v>
      </c>
      <c r="Q356" t="str">
        <f>IF(ISBLANK(po_master[[#This Row],[Invoice Number]]), "No Invoice", "OK")</f>
        <v>OK</v>
      </c>
      <c r="R356" t="str">
        <f>IF(AND(NOT(ISBLANK(po_master[[#This Row],[GR Quantity]])), po_master[[#This Row],[GR Quantity]]&lt;&gt;po_master[[#This Row],[PO Quantity]]), "Qty Variance", "OK")</f>
        <v>Qty Variance</v>
      </c>
      <c r="S356" t="str">
        <f>IF(po_master[[#This Row],[Invoice Unit Price]]&gt;po_master[[#This Row],[PO Unit Price]]*1.01, "Price Variance", "OK")</f>
        <v>OK</v>
      </c>
      <c r="T356" t="str">
        <f>IF(po_master[[#This Row],[Actual Delivery Date]]&gt;po_master[[#This Row],[Promised Delivey Date]], "Late Delivery", "OK")</f>
        <v>Late Delivery</v>
      </c>
      <c r="U356" t="str">
        <f>IF(COUNTIF(po_master[PO Number],po_master[[#This Row],[PO Number]])&gt;1, "Duplicate Invoice", "OK")</f>
        <v>OK</v>
      </c>
      <c r="V356" s="5">
        <f>IF(po_master[[#This Row],[Missing Approval]]="Missing Approval", 1, 0)</f>
        <v>0</v>
      </c>
      <c r="W356" s="5">
        <f>IF(po_master[[#This Row],[GR Receipt Status]]="No GR - Not Received", 1, 0)</f>
        <v>0</v>
      </c>
      <c r="X356" s="5">
        <f>IF(po_master[[#This Row],[No invoice]]="No Invoice", 1, 0)</f>
        <v>0</v>
      </c>
      <c r="Y356" s="5">
        <f>IF(po_master[[#This Row],[Date Check]]="Invalid Date", 1, 0)</f>
        <v>0</v>
      </c>
      <c r="Z356" s="5">
        <f>IF(po_master[[#This Row],[Qty Variance Flag]]="Qty Variance", 1, 0)</f>
        <v>1</v>
      </c>
      <c r="AA356" s="5">
        <f>IF(po_master[[#This Row],[Price Variance Flag]]="Price Variance", 1, 0)</f>
        <v>0</v>
      </c>
      <c r="AB356" s="5">
        <f>IF(po_master[[#This Row],[Late Delivery Flag]]="Late Delivery", 1, 0)</f>
        <v>1</v>
      </c>
      <c r="AC356" s="5">
        <f>IF(po_master[[#This Row],[Duplicate Invoice Flag]]="Duplicate Invoice", 1, 0)</f>
        <v>0</v>
      </c>
      <c r="AD356" s="5" t="str">
        <f>TEXT(po_master[[#This Row],[Order Date]],"YYYY-MM")</f>
        <v>2026-04</v>
      </c>
    </row>
    <row r="357" spans="1:30" x14ac:dyDescent="0.25">
      <c r="A357" t="s">
        <v>315</v>
      </c>
      <c r="B357" t="s">
        <v>1441</v>
      </c>
      <c r="C357" s="1">
        <v>46133</v>
      </c>
      <c r="D357">
        <v>267</v>
      </c>
      <c r="E357">
        <v>182.59</v>
      </c>
      <c r="F357" t="s">
        <v>1462</v>
      </c>
      <c r="G357" s="1">
        <v>46141</v>
      </c>
      <c r="H357">
        <v>262</v>
      </c>
      <c r="I357" s="1">
        <v>46142</v>
      </c>
      <c r="J357" t="s">
        <v>1037</v>
      </c>
      <c r="K357">
        <v>267</v>
      </c>
      <c r="L357">
        <v>182.59</v>
      </c>
      <c r="M357" s="1">
        <v>46151</v>
      </c>
      <c r="N357" t="str">
        <f>IF(po_master[[#This Row],[Approved By]]="", "Missing Approval", "OK")</f>
        <v>OK</v>
      </c>
      <c r="O357" t="str">
        <f>IF(ISBLANK(po_master[[#This Row],[GR Quantity]]), "No GR - Not received", "OK")</f>
        <v>OK</v>
      </c>
      <c r="P357" t="str">
        <f>IF(po_master[[#This Row],[Promised Delivey Date]]&lt;po_master[[#This Row],[Order Date]], "Invalid", "OK")</f>
        <v>OK</v>
      </c>
      <c r="Q357" t="str">
        <f>IF(ISBLANK(po_master[[#This Row],[Invoice Number]]), "No Invoice", "OK")</f>
        <v>OK</v>
      </c>
      <c r="R357" t="str">
        <f>IF(AND(NOT(ISBLANK(po_master[[#This Row],[GR Quantity]])), po_master[[#This Row],[GR Quantity]]&lt;&gt;po_master[[#This Row],[PO Quantity]]), "Qty Variance", "OK")</f>
        <v>Qty Variance</v>
      </c>
      <c r="S357" t="str">
        <f>IF(po_master[[#This Row],[Invoice Unit Price]]&gt;po_master[[#This Row],[PO Unit Price]]*1.01, "Price Variance", "OK")</f>
        <v>OK</v>
      </c>
      <c r="T357" t="str">
        <f>IF(po_master[[#This Row],[Actual Delivery Date]]&gt;po_master[[#This Row],[Promised Delivey Date]], "Late Delivery", "OK")</f>
        <v>Late Delivery</v>
      </c>
      <c r="U357" t="str">
        <f>IF(COUNTIF(po_master[PO Number],po_master[[#This Row],[PO Number]])&gt;1, "Duplicate Invoice", "OK")</f>
        <v>OK</v>
      </c>
      <c r="V357" s="5">
        <f>IF(po_master[[#This Row],[Missing Approval]]="Missing Approval", 1, 0)</f>
        <v>0</v>
      </c>
      <c r="W357" s="5">
        <f>IF(po_master[[#This Row],[GR Receipt Status]]="No GR - Not Received", 1, 0)</f>
        <v>0</v>
      </c>
      <c r="X357" s="5">
        <f>IF(po_master[[#This Row],[No invoice]]="No Invoice", 1, 0)</f>
        <v>0</v>
      </c>
      <c r="Y357" s="5">
        <f>IF(po_master[[#This Row],[Date Check]]="Invalid Date", 1, 0)</f>
        <v>0</v>
      </c>
      <c r="Z357" s="5">
        <f>IF(po_master[[#This Row],[Qty Variance Flag]]="Qty Variance", 1, 0)</f>
        <v>1</v>
      </c>
      <c r="AA357" s="5">
        <f>IF(po_master[[#This Row],[Price Variance Flag]]="Price Variance", 1, 0)</f>
        <v>0</v>
      </c>
      <c r="AB357" s="5">
        <f>IF(po_master[[#This Row],[Late Delivery Flag]]="Late Delivery", 1, 0)</f>
        <v>1</v>
      </c>
      <c r="AC357" s="5">
        <f>IF(po_master[[#This Row],[Duplicate Invoice Flag]]="Duplicate Invoice", 1, 0)</f>
        <v>0</v>
      </c>
      <c r="AD357" s="5" t="str">
        <f>TEXT(po_master[[#This Row],[Order Date]],"YYYY-MM")</f>
        <v>2026-04</v>
      </c>
    </row>
    <row r="358" spans="1:30" x14ac:dyDescent="0.25">
      <c r="A358" t="s">
        <v>316</v>
      </c>
      <c r="B358" t="s">
        <v>1491</v>
      </c>
      <c r="C358" s="1">
        <v>46062</v>
      </c>
      <c r="D358">
        <v>165</v>
      </c>
      <c r="E358">
        <v>37.11</v>
      </c>
      <c r="F358" t="s">
        <v>1472</v>
      </c>
      <c r="G358" s="1">
        <v>46074</v>
      </c>
      <c r="H358">
        <v>165</v>
      </c>
      <c r="I358" s="1">
        <v>46073</v>
      </c>
      <c r="J358" t="s">
        <v>1038</v>
      </c>
      <c r="K358">
        <v>165</v>
      </c>
      <c r="L358">
        <v>37.11</v>
      </c>
      <c r="M358" s="1">
        <v>46081</v>
      </c>
      <c r="N358" t="str">
        <f>IF(po_master[[#This Row],[Approved By]]="", "Missing Approval", "OK")</f>
        <v>OK</v>
      </c>
      <c r="O358" t="str">
        <f>IF(ISBLANK(po_master[[#This Row],[GR Quantity]]), "No GR - Not received", "OK")</f>
        <v>OK</v>
      </c>
      <c r="P358" t="str">
        <f>IF(po_master[[#This Row],[Promised Delivey Date]]&lt;po_master[[#This Row],[Order Date]], "Invalid", "OK")</f>
        <v>OK</v>
      </c>
      <c r="Q358" t="str">
        <f>IF(ISBLANK(po_master[[#This Row],[Invoice Number]]), "No Invoice", "OK")</f>
        <v>OK</v>
      </c>
      <c r="R358" t="str">
        <f>IF(AND(NOT(ISBLANK(po_master[[#This Row],[GR Quantity]])), po_master[[#This Row],[GR Quantity]]&lt;&gt;po_master[[#This Row],[PO Quantity]]), "Qty Variance", "OK")</f>
        <v>OK</v>
      </c>
      <c r="S358" t="str">
        <f>IF(po_master[[#This Row],[Invoice Unit Price]]&gt;po_master[[#This Row],[PO Unit Price]]*1.01, "Price Variance", "OK")</f>
        <v>OK</v>
      </c>
      <c r="T358" t="str">
        <f>IF(po_master[[#This Row],[Actual Delivery Date]]&gt;po_master[[#This Row],[Promised Delivey Date]], "Late Delivery", "OK")</f>
        <v>OK</v>
      </c>
      <c r="U358" t="str">
        <f>IF(COUNTIF(po_master[PO Number],po_master[[#This Row],[PO Number]])&gt;1, "Duplicate Invoice", "OK")</f>
        <v>OK</v>
      </c>
      <c r="V358" s="5">
        <f>IF(po_master[[#This Row],[Missing Approval]]="Missing Approval", 1, 0)</f>
        <v>0</v>
      </c>
      <c r="W358" s="5">
        <f>IF(po_master[[#This Row],[GR Receipt Status]]="No GR - Not Received", 1, 0)</f>
        <v>0</v>
      </c>
      <c r="X358" s="5">
        <f>IF(po_master[[#This Row],[No invoice]]="No Invoice", 1, 0)</f>
        <v>0</v>
      </c>
      <c r="Y358" s="5">
        <f>IF(po_master[[#This Row],[Date Check]]="Invalid Date", 1, 0)</f>
        <v>0</v>
      </c>
      <c r="Z358" s="5">
        <f>IF(po_master[[#This Row],[Qty Variance Flag]]="Qty Variance", 1, 0)</f>
        <v>0</v>
      </c>
      <c r="AA358" s="5">
        <f>IF(po_master[[#This Row],[Price Variance Flag]]="Price Variance", 1, 0)</f>
        <v>0</v>
      </c>
      <c r="AB358" s="5">
        <f>IF(po_master[[#This Row],[Late Delivery Flag]]="Late Delivery", 1, 0)</f>
        <v>0</v>
      </c>
      <c r="AC358" s="5">
        <f>IF(po_master[[#This Row],[Duplicate Invoice Flag]]="Duplicate Invoice", 1, 0)</f>
        <v>0</v>
      </c>
      <c r="AD358" s="5" t="str">
        <f>TEXT(po_master[[#This Row],[Order Date]],"YYYY-MM")</f>
        <v>2026-02</v>
      </c>
    </row>
    <row r="359" spans="1:30" x14ac:dyDescent="0.25">
      <c r="A359" t="s">
        <v>317</v>
      </c>
      <c r="B359" t="s">
        <v>1503</v>
      </c>
      <c r="C359" s="1">
        <v>46155</v>
      </c>
      <c r="D359">
        <v>468</v>
      </c>
      <c r="E359">
        <v>60.39</v>
      </c>
      <c r="F359" t="s">
        <v>1476</v>
      </c>
      <c r="G359" s="1">
        <v>46168</v>
      </c>
      <c r="H359">
        <v>468</v>
      </c>
      <c r="I359" s="1">
        <v>46168</v>
      </c>
      <c r="J359" t="s">
        <v>1039</v>
      </c>
      <c r="K359">
        <v>468</v>
      </c>
      <c r="L359">
        <v>60.39</v>
      </c>
      <c r="M359" s="1">
        <v>46177</v>
      </c>
      <c r="N359" t="str">
        <f>IF(po_master[[#This Row],[Approved By]]="", "Missing Approval", "OK")</f>
        <v>OK</v>
      </c>
      <c r="O359" t="str">
        <f>IF(ISBLANK(po_master[[#This Row],[GR Quantity]]), "No GR - Not received", "OK")</f>
        <v>OK</v>
      </c>
      <c r="P359" t="str">
        <f>IF(po_master[[#This Row],[Promised Delivey Date]]&lt;po_master[[#This Row],[Order Date]], "Invalid", "OK")</f>
        <v>OK</v>
      </c>
      <c r="Q359" t="str">
        <f>IF(ISBLANK(po_master[[#This Row],[Invoice Number]]), "No Invoice", "OK")</f>
        <v>OK</v>
      </c>
      <c r="R359" t="str">
        <f>IF(AND(NOT(ISBLANK(po_master[[#This Row],[GR Quantity]])), po_master[[#This Row],[GR Quantity]]&lt;&gt;po_master[[#This Row],[PO Quantity]]), "Qty Variance", "OK")</f>
        <v>OK</v>
      </c>
      <c r="S359" t="str">
        <f>IF(po_master[[#This Row],[Invoice Unit Price]]&gt;po_master[[#This Row],[PO Unit Price]]*1.01, "Price Variance", "OK")</f>
        <v>OK</v>
      </c>
      <c r="T359" t="str">
        <f>IF(po_master[[#This Row],[Actual Delivery Date]]&gt;po_master[[#This Row],[Promised Delivey Date]], "Late Delivery", "OK")</f>
        <v>OK</v>
      </c>
      <c r="U359" t="str">
        <f>IF(COUNTIF(po_master[PO Number],po_master[[#This Row],[PO Number]])&gt;1, "Duplicate Invoice", "OK")</f>
        <v>OK</v>
      </c>
      <c r="V359" s="5">
        <f>IF(po_master[[#This Row],[Missing Approval]]="Missing Approval", 1, 0)</f>
        <v>0</v>
      </c>
      <c r="W359" s="5">
        <f>IF(po_master[[#This Row],[GR Receipt Status]]="No GR - Not Received", 1, 0)</f>
        <v>0</v>
      </c>
      <c r="X359" s="5">
        <f>IF(po_master[[#This Row],[No invoice]]="No Invoice", 1, 0)</f>
        <v>0</v>
      </c>
      <c r="Y359" s="5">
        <f>IF(po_master[[#This Row],[Date Check]]="Invalid Date", 1, 0)</f>
        <v>0</v>
      </c>
      <c r="Z359" s="5">
        <f>IF(po_master[[#This Row],[Qty Variance Flag]]="Qty Variance", 1, 0)</f>
        <v>0</v>
      </c>
      <c r="AA359" s="5">
        <f>IF(po_master[[#This Row],[Price Variance Flag]]="Price Variance", 1, 0)</f>
        <v>0</v>
      </c>
      <c r="AB359" s="5">
        <f>IF(po_master[[#This Row],[Late Delivery Flag]]="Late Delivery", 1, 0)</f>
        <v>0</v>
      </c>
      <c r="AC359" s="5">
        <f>IF(po_master[[#This Row],[Duplicate Invoice Flag]]="Duplicate Invoice", 1, 0)</f>
        <v>0</v>
      </c>
      <c r="AD359" s="5" t="str">
        <f>TEXT(po_master[[#This Row],[Order Date]],"YYYY-MM")</f>
        <v>2026-05</v>
      </c>
    </row>
    <row r="360" spans="1:30" x14ac:dyDescent="0.25">
      <c r="A360" t="s">
        <v>318</v>
      </c>
      <c r="B360" t="s">
        <v>1505</v>
      </c>
      <c r="C360" s="1">
        <v>46164</v>
      </c>
      <c r="D360">
        <v>150</v>
      </c>
      <c r="E360">
        <v>29.41</v>
      </c>
      <c r="F360" t="s">
        <v>1474</v>
      </c>
      <c r="G360" s="1">
        <v>46171</v>
      </c>
      <c r="H360">
        <v>150</v>
      </c>
      <c r="I360" s="1">
        <v>46171</v>
      </c>
      <c r="J360" t="s">
        <v>1040</v>
      </c>
      <c r="K360">
        <v>150</v>
      </c>
      <c r="L360">
        <v>29.41</v>
      </c>
      <c r="M360" s="1">
        <v>46177</v>
      </c>
      <c r="N360" t="str">
        <f>IF(po_master[[#This Row],[Approved By]]="", "Missing Approval", "OK")</f>
        <v>OK</v>
      </c>
      <c r="O360" t="str">
        <f>IF(ISBLANK(po_master[[#This Row],[GR Quantity]]), "No GR - Not received", "OK")</f>
        <v>OK</v>
      </c>
      <c r="P360" t="str">
        <f>IF(po_master[[#This Row],[Promised Delivey Date]]&lt;po_master[[#This Row],[Order Date]], "Invalid", "OK")</f>
        <v>OK</v>
      </c>
      <c r="Q360" t="str">
        <f>IF(ISBLANK(po_master[[#This Row],[Invoice Number]]), "No Invoice", "OK")</f>
        <v>OK</v>
      </c>
      <c r="R360" t="str">
        <f>IF(AND(NOT(ISBLANK(po_master[[#This Row],[GR Quantity]])), po_master[[#This Row],[GR Quantity]]&lt;&gt;po_master[[#This Row],[PO Quantity]]), "Qty Variance", "OK")</f>
        <v>OK</v>
      </c>
      <c r="S360" t="str">
        <f>IF(po_master[[#This Row],[Invoice Unit Price]]&gt;po_master[[#This Row],[PO Unit Price]]*1.01, "Price Variance", "OK")</f>
        <v>OK</v>
      </c>
      <c r="T360" t="str">
        <f>IF(po_master[[#This Row],[Actual Delivery Date]]&gt;po_master[[#This Row],[Promised Delivey Date]], "Late Delivery", "OK")</f>
        <v>OK</v>
      </c>
      <c r="U360" t="str">
        <f>IF(COUNTIF(po_master[PO Number],po_master[[#This Row],[PO Number]])&gt;1, "Duplicate Invoice", "OK")</f>
        <v>OK</v>
      </c>
      <c r="V360" s="5">
        <f>IF(po_master[[#This Row],[Missing Approval]]="Missing Approval", 1, 0)</f>
        <v>0</v>
      </c>
      <c r="W360" s="5">
        <f>IF(po_master[[#This Row],[GR Receipt Status]]="No GR - Not Received", 1, 0)</f>
        <v>0</v>
      </c>
      <c r="X360" s="5">
        <f>IF(po_master[[#This Row],[No invoice]]="No Invoice", 1, 0)</f>
        <v>0</v>
      </c>
      <c r="Y360" s="5">
        <f>IF(po_master[[#This Row],[Date Check]]="Invalid Date", 1, 0)</f>
        <v>0</v>
      </c>
      <c r="Z360" s="5">
        <f>IF(po_master[[#This Row],[Qty Variance Flag]]="Qty Variance", 1, 0)</f>
        <v>0</v>
      </c>
      <c r="AA360" s="5">
        <f>IF(po_master[[#This Row],[Price Variance Flag]]="Price Variance", 1, 0)</f>
        <v>0</v>
      </c>
      <c r="AB360" s="5">
        <f>IF(po_master[[#This Row],[Late Delivery Flag]]="Late Delivery", 1, 0)</f>
        <v>0</v>
      </c>
      <c r="AC360" s="5">
        <f>IF(po_master[[#This Row],[Duplicate Invoice Flag]]="Duplicate Invoice", 1, 0)</f>
        <v>0</v>
      </c>
      <c r="AD360" s="5" t="str">
        <f>TEXT(po_master[[#This Row],[Order Date]],"YYYY-MM")</f>
        <v>2026-05</v>
      </c>
    </row>
    <row r="361" spans="1:30" x14ac:dyDescent="0.25">
      <c r="A361" t="s">
        <v>319</v>
      </c>
      <c r="B361" t="s">
        <v>1445</v>
      </c>
      <c r="C361" s="1">
        <v>46066</v>
      </c>
      <c r="D361">
        <v>313</v>
      </c>
      <c r="E361">
        <v>188.61</v>
      </c>
      <c r="F361" t="s">
        <v>1485</v>
      </c>
      <c r="G361" s="1">
        <v>46076</v>
      </c>
      <c r="H361">
        <v>313</v>
      </c>
      <c r="I361" s="1">
        <v>46078</v>
      </c>
      <c r="J361" t="s">
        <v>1041</v>
      </c>
      <c r="K361">
        <v>313</v>
      </c>
      <c r="L361">
        <v>188.61</v>
      </c>
      <c r="M361" s="1">
        <v>46081</v>
      </c>
      <c r="N361" t="str">
        <f>IF(po_master[[#This Row],[Approved By]]="", "Missing Approval", "OK")</f>
        <v>OK</v>
      </c>
      <c r="O361" t="str">
        <f>IF(ISBLANK(po_master[[#This Row],[GR Quantity]]), "No GR - Not received", "OK")</f>
        <v>OK</v>
      </c>
      <c r="P361" t="str">
        <f>IF(po_master[[#This Row],[Promised Delivey Date]]&lt;po_master[[#This Row],[Order Date]], "Invalid", "OK")</f>
        <v>OK</v>
      </c>
      <c r="Q361" t="str">
        <f>IF(ISBLANK(po_master[[#This Row],[Invoice Number]]), "No Invoice", "OK")</f>
        <v>OK</v>
      </c>
      <c r="R361" t="str">
        <f>IF(AND(NOT(ISBLANK(po_master[[#This Row],[GR Quantity]])), po_master[[#This Row],[GR Quantity]]&lt;&gt;po_master[[#This Row],[PO Quantity]]), "Qty Variance", "OK")</f>
        <v>OK</v>
      </c>
      <c r="S361" t="str">
        <f>IF(po_master[[#This Row],[Invoice Unit Price]]&gt;po_master[[#This Row],[PO Unit Price]]*1.01, "Price Variance", "OK")</f>
        <v>OK</v>
      </c>
      <c r="T361" t="str">
        <f>IF(po_master[[#This Row],[Actual Delivery Date]]&gt;po_master[[#This Row],[Promised Delivey Date]], "Late Delivery", "OK")</f>
        <v>Late Delivery</v>
      </c>
      <c r="U361" t="str">
        <f>IF(COUNTIF(po_master[PO Number],po_master[[#This Row],[PO Number]])&gt;1, "Duplicate Invoice", "OK")</f>
        <v>OK</v>
      </c>
      <c r="V361" s="5">
        <f>IF(po_master[[#This Row],[Missing Approval]]="Missing Approval", 1, 0)</f>
        <v>0</v>
      </c>
      <c r="W361" s="5">
        <f>IF(po_master[[#This Row],[GR Receipt Status]]="No GR - Not Received", 1, 0)</f>
        <v>0</v>
      </c>
      <c r="X361" s="5">
        <f>IF(po_master[[#This Row],[No invoice]]="No Invoice", 1, 0)</f>
        <v>0</v>
      </c>
      <c r="Y361" s="5">
        <f>IF(po_master[[#This Row],[Date Check]]="Invalid Date", 1, 0)</f>
        <v>0</v>
      </c>
      <c r="Z361" s="5">
        <f>IF(po_master[[#This Row],[Qty Variance Flag]]="Qty Variance", 1, 0)</f>
        <v>0</v>
      </c>
      <c r="AA361" s="5">
        <f>IF(po_master[[#This Row],[Price Variance Flag]]="Price Variance", 1, 0)</f>
        <v>0</v>
      </c>
      <c r="AB361" s="5">
        <f>IF(po_master[[#This Row],[Late Delivery Flag]]="Late Delivery", 1, 0)</f>
        <v>1</v>
      </c>
      <c r="AC361" s="5">
        <f>IF(po_master[[#This Row],[Duplicate Invoice Flag]]="Duplicate Invoice", 1, 0)</f>
        <v>0</v>
      </c>
      <c r="AD361" s="5" t="str">
        <f>TEXT(po_master[[#This Row],[Order Date]],"YYYY-MM")</f>
        <v>2026-02</v>
      </c>
    </row>
    <row r="362" spans="1:30" x14ac:dyDescent="0.25">
      <c r="A362" t="s">
        <v>320</v>
      </c>
      <c r="B362" t="s">
        <v>1484</v>
      </c>
      <c r="C362" s="1">
        <v>46109</v>
      </c>
      <c r="D362">
        <v>441</v>
      </c>
      <c r="E362">
        <v>185.17</v>
      </c>
      <c r="F362" t="s">
        <v>1462</v>
      </c>
      <c r="G362" s="1">
        <v>46114</v>
      </c>
      <c r="H362">
        <v>441</v>
      </c>
      <c r="I362" s="1">
        <v>46114</v>
      </c>
      <c r="J362" t="s">
        <v>1042</v>
      </c>
      <c r="K362">
        <v>441</v>
      </c>
      <c r="L362">
        <v>185.17</v>
      </c>
      <c r="M362" s="1">
        <v>46123</v>
      </c>
      <c r="N362" t="str">
        <f>IF(po_master[[#This Row],[Approved By]]="", "Missing Approval", "OK")</f>
        <v>OK</v>
      </c>
      <c r="O362" t="str">
        <f>IF(ISBLANK(po_master[[#This Row],[GR Quantity]]), "No GR - Not received", "OK")</f>
        <v>OK</v>
      </c>
      <c r="P362" t="str">
        <f>IF(po_master[[#This Row],[Promised Delivey Date]]&lt;po_master[[#This Row],[Order Date]], "Invalid", "OK")</f>
        <v>OK</v>
      </c>
      <c r="Q362" t="str">
        <f>IF(ISBLANK(po_master[[#This Row],[Invoice Number]]), "No Invoice", "OK")</f>
        <v>OK</v>
      </c>
      <c r="R362" t="str">
        <f>IF(AND(NOT(ISBLANK(po_master[[#This Row],[GR Quantity]])), po_master[[#This Row],[GR Quantity]]&lt;&gt;po_master[[#This Row],[PO Quantity]]), "Qty Variance", "OK")</f>
        <v>OK</v>
      </c>
      <c r="S362" t="str">
        <f>IF(po_master[[#This Row],[Invoice Unit Price]]&gt;po_master[[#This Row],[PO Unit Price]]*1.01, "Price Variance", "OK")</f>
        <v>OK</v>
      </c>
      <c r="T362" t="str">
        <f>IF(po_master[[#This Row],[Actual Delivery Date]]&gt;po_master[[#This Row],[Promised Delivey Date]], "Late Delivery", "OK")</f>
        <v>OK</v>
      </c>
      <c r="U362" t="str">
        <f>IF(COUNTIF(po_master[PO Number],po_master[[#This Row],[PO Number]])&gt;1, "Duplicate Invoice", "OK")</f>
        <v>OK</v>
      </c>
      <c r="V362" s="5">
        <f>IF(po_master[[#This Row],[Missing Approval]]="Missing Approval", 1, 0)</f>
        <v>0</v>
      </c>
      <c r="W362" s="5">
        <f>IF(po_master[[#This Row],[GR Receipt Status]]="No GR - Not Received", 1, 0)</f>
        <v>0</v>
      </c>
      <c r="X362" s="5">
        <f>IF(po_master[[#This Row],[No invoice]]="No Invoice", 1, 0)</f>
        <v>0</v>
      </c>
      <c r="Y362" s="5">
        <f>IF(po_master[[#This Row],[Date Check]]="Invalid Date", 1, 0)</f>
        <v>0</v>
      </c>
      <c r="Z362" s="5">
        <f>IF(po_master[[#This Row],[Qty Variance Flag]]="Qty Variance", 1, 0)</f>
        <v>0</v>
      </c>
      <c r="AA362" s="5">
        <f>IF(po_master[[#This Row],[Price Variance Flag]]="Price Variance", 1, 0)</f>
        <v>0</v>
      </c>
      <c r="AB362" s="5">
        <f>IF(po_master[[#This Row],[Late Delivery Flag]]="Late Delivery", 1, 0)</f>
        <v>0</v>
      </c>
      <c r="AC362" s="5">
        <f>IF(po_master[[#This Row],[Duplicate Invoice Flag]]="Duplicate Invoice", 1, 0)</f>
        <v>0</v>
      </c>
      <c r="AD362" s="5" t="str">
        <f>TEXT(po_master[[#This Row],[Order Date]],"YYYY-MM")</f>
        <v>2026-03</v>
      </c>
    </row>
    <row r="363" spans="1:30" x14ac:dyDescent="0.25">
      <c r="A363" t="s">
        <v>321</v>
      </c>
      <c r="B363" t="s">
        <v>1457</v>
      </c>
      <c r="C363" s="1">
        <v>46034</v>
      </c>
      <c r="D363">
        <v>495</v>
      </c>
      <c r="E363">
        <v>130.08000000000001</v>
      </c>
      <c r="F363" t="s">
        <v>1480</v>
      </c>
      <c r="G363" s="1">
        <v>46047</v>
      </c>
      <c r="H363">
        <v>499</v>
      </c>
      <c r="I363" s="1">
        <v>46047</v>
      </c>
      <c r="J363" t="s">
        <v>1043</v>
      </c>
      <c r="K363">
        <v>495</v>
      </c>
      <c r="L363">
        <v>130.08000000000001</v>
      </c>
      <c r="M363" s="1">
        <v>46057</v>
      </c>
      <c r="N363" t="str">
        <f>IF(po_master[[#This Row],[Approved By]]="", "Missing Approval", "OK")</f>
        <v>OK</v>
      </c>
      <c r="O363" t="str">
        <f>IF(ISBLANK(po_master[[#This Row],[GR Quantity]]), "No GR - Not received", "OK")</f>
        <v>OK</v>
      </c>
      <c r="P363" t="str">
        <f>IF(po_master[[#This Row],[Promised Delivey Date]]&lt;po_master[[#This Row],[Order Date]], "Invalid", "OK")</f>
        <v>OK</v>
      </c>
      <c r="Q363" t="str">
        <f>IF(ISBLANK(po_master[[#This Row],[Invoice Number]]), "No Invoice", "OK")</f>
        <v>OK</v>
      </c>
      <c r="R363" t="str">
        <f>IF(AND(NOT(ISBLANK(po_master[[#This Row],[GR Quantity]])), po_master[[#This Row],[GR Quantity]]&lt;&gt;po_master[[#This Row],[PO Quantity]]), "Qty Variance", "OK")</f>
        <v>Qty Variance</v>
      </c>
      <c r="S363" t="str">
        <f>IF(po_master[[#This Row],[Invoice Unit Price]]&gt;po_master[[#This Row],[PO Unit Price]]*1.01, "Price Variance", "OK")</f>
        <v>OK</v>
      </c>
      <c r="T363" t="str">
        <f>IF(po_master[[#This Row],[Actual Delivery Date]]&gt;po_master[[#This Row],[Promised Delivey Date]], "Late Delivery", "OK")</f>
        <v>OK</v>
      </c>
      <c r="U363" t="str">
        <f>IF(COUNTIF(po_master[PO Number],po_master[[#This Row],[PO Number]])&gt;1, "Duplicate Invoice", "OK")</f>
        <v>OK</v>
      </c>
      <c r="V363" s="5">
        <f>IF(po_master[[#This Row],[Missing Approval]]="Missing Approval", 1, 0)</f>
        <v>0</v>
      </c>
      <c r="W363" s="5">
        <f>IF(po_master[[#This Row],[GR Receipt Status]]="No GR - Not Received", 1, 0)</f>
        <v>0</v>
      </c>
      <c r="X363" s="5">
        <f>IF(po_master[[#This Row],[No invoice]]="No Invoice", 1, 0)</f>
        <v>0</v>
      </c>
      <c r="Y363" s="5">
        <f>IF(po_master[[#This Row],[Date Check]]="Invalid Date", 1, 0)</f>
        <v>0</v>
      </c>
      <c r="Z363" s="5">
        <f>IF(po_master[[#This Row],[Qty Variance Flag]]="Qty Variance", 1, 0)</f>
        <v>1</v>
      </c>
      <c r="AA363" s="5">
        <f>IF(po_master[[#This Row],[Price Variance Flag]]="Price Variance", 1, 0)</f>
        <v>0</v>
      </c>
      <c r="AB363" s="5">
        <f>IF(po_master[[#This Row],[Late Delivery Flag]]="Late Delivery", 1, 0)</f>
        <v>0</v>
      </c>
      <c r="AC363" s="5">
        <f>IF(po_master[[#This Row],[Duplicate Invoice Flag]]="Duplicate Invoice", 1, 0)</f>
        <v>0</v>
      </c>
      <c r="AD363" s="5" t="str">
        <f>TEXT(po_master[[#This Row],[Order Date]],"YYYY-MM")</f>
        <v>2026-01</v>
      </c>
    </row>
    <row r="364" spans="1:30" x14ac:dyDescent="0.25">
      <c r="A364" t="s">
        <v>322</v>
      </c>
      <c r="B364" t="s">
        <v>1508</v>
      </c>
      <c r="C364" s="1">
        <v>46076</v>
      </c>
      <c r="D364">
        <v>402</v>
      </c>
      <c r="E364">
        <v>116.57</v>
      </c>
      <c r="F364" t="s">
        <v>1494</v>
      </c>
      <c r="G364" s="1">
        <v>46081</v>
      </c>
      <c r="H364">
        <v>402</v>
      </c>
      <c r="I364" s="1">
        <v>46082</v>
      </c>
      <c r="J364" t="s">
        <v>1044</v>
      </c>
      <c r="K364">
        <v>402</v>
      </c>
      <c r="L364">
        <v>116.57</v>
      </c>
      <c r="M364" s="1">
        <v>46083</v>
      </c>
      <c r="N364" t="str">
        <f>IF(po_master[[#This Row],[Approved By]]="", "Missing Approval", "OK")</f>
        <v>OK</v>
      </c>
      <c r="O364" t="str">
        <f>IF(ISBLANK(po_master[[#This Row],[GR Quantity]]), "No GR - Not received", "OK")</f>
        <v>OK</v>
      </c>
      <c r="P364" t="str">
        <f>IF(po_master[[#This Row],[Promised Delivey Date]]&lt;po_master[[#This Row],[Order Date]], "Invalid", "OK")</f>
        <v>OK</v>
      </c>
      <c r="Q364" t="str">
        <f>IF(ISBLANK(po_master[[#This Row],[Invoice Number]]), "No Invoice", "OK")</f>
        <v>OK</v>
      </c>
      <c r="R364" t="str">
        <f>IF(AND(NOT(ISBLANK(po_master[[#This Row],[GR Quantity]])), po_master[[#This Row],[GR Quantity]]&lt;&gt;po_master[[#This Row],[PO Quantity]]), "Qty Variance", "OK")</f>
        <v>OK</v>
      </c>
      <c r="S364" t="str">
        <f>IF(po_master[[#This Row],[Invoice Unit Price]]&gt;po_master[[#This Row],[PO Unit Price]]*1.01, "Price Variance", "OK")</f>
        <v>OK</v>
      </c>
      <c r="T364" t="str">
        <f>IF(po_master[[#This Row],[Actual Delivery Date]]&gt;po_master[[#This Row],[Promised Delivey Date]], "Late Delivery", "OK")</f>
        <v>Late Delivery</v>
      </c>
      <c r="U364" t="str">
        <f>IF(COUNTIF(po_master[PO Number],po_master[[#This Row],[PO Number]])&gt;1, "Duplicate Invoice", "OK")</f>
        <v>OK</v>
      </c>
      <c r="V364" s="5">
        <f>IF(po_master[[#This Row],[Missing Approval]]="Missing Approval", 1, 0)</f>
        <v>0</v>
      </c>
      <c r="W364" s="5">
        <f>IF(po_master[[#This Row],[GR Receipt Status]]="No GR - Not Received", 1, 0)</f>
        <v>0</v>
      </c>
      <c r="X364" s="5">
        <f>IF(po_master[[#This Row],[No invoice]]="No Invoice", 1, 0)</f>
        <v>0</v>
      </c>
      <c r="Y364" s="5">
        <f>IF(po_master[[#This Row],[Date Check]]="Invalid Date", 1, 0)</f>
        <v>0</v>
      </c>
      <c r="Z364" s="5">
        <f>IF(po_master[[#This Row],[Qty Variance Flag]]="Qty Variance", 1, 0)</f>
        <v>0</v>
      </c>
      <c r="AA364" s="5">
        <f>IF(po_master[[#This Row],[Price Variance Flag]]="Price Variance", 1, 0)</f>
        <v>0</v>
      </c>
      <c r="AB364" s="5">
        <f>IF(po_master[[#This Row],[Late Delivery Flag]]="Late Delivery", 1, 0)</f>
        <v>1</v>
      </c>
      <c r="AC364" s="5">
        <f>IF(po_master[[#This Row],[Duplicate Invoice Flag]]="Duplicate Invoice", 1, 0)</f>
        <v>0</v>
      </c>
      <c r="AD364" s="5" t="str">
        <f>TEXT(po_master[[#This Row],[Order Date]],"YYYY-MM")</f>
        <v>2026-02</v>
      </c>
    </row>
    <row r="365" spans="1:30" x14ac:dyDescent="0.25">
      <c r="A365" t="s">
        <v>323</v>
      </c>
      <c r="B365" t="s">
        <v>1498</v>
      </c>
      <c r="C365" s="1">
        <v>46162</v>
      </c>
      <c r="D365">
        <v>158</v>
      </c>
      <c r="E365">
        <v>130.16999999999999</v>
      </c>
      <c r="F365" t="s">
        <v>1474</v>
      </c>
      <c r="G365" s="1">
        <v>46182</v>
      </c>
      <c r="H365">
        <v>158</v>
      </c>
      <c r="I365" s="1">
        <v>46183</v>
      </c>
      <c r="J365" t="s">
        <v>1045</v>
      </c>
      <c r="K365">
        <v>158</v>
      </c>
      <c r="L365">
        <v>130.16999999999999</v>
      </c>
      <c r="M365" s="1">
        <v>46186</v>
      </c>
      <c r="N365" t="str">
        <f>IF(po_master[[#This Row],[Approved By]]="", "Missing Approval", "OK")</f>
        <v>OK</v>
      </c>
      <c r="O365" t="str">
        <f>IF(ISBLANK(po_master[[#This Row],[GR Quantity]]), "No GR - Not received", "OK")</f>
        <v>OK</v>
      </c>
      <c r="P365" t="str">
        <f>IF(po_master[[#This Row],[Promised Delivey Date]]&lt;po_master[[#This Row],[Order Date]], "Invalid", "OK")</f>
        <v>OK</v>
      </c>
      <c r="Q365" t="str">
        <f>IF(ISBLANK(po_master[[#This Row],[Invoice Number]]), "No Invoice", "OK")</f>
        <v>OK</v>
      </c>
      <c r="R365" t="str">
        <f>IF(AND(NOT(ISBLANK(po_master[[#This Row],[GR Quantity]])), po_master[[#This Row],[GR Quantity]]&lt;&gt;po_master[[#This Row],[PO Quantity]]), "Qty Variance", "OK")</f>
        <v>OK</v>
      </c>
      <c r="S365" t="str">
        <f>IF(po_master[[#This Row],[Invoice Unit Price]]&gt;po_master[[#This Row],[PO Unit Price]]*1.01, "Price Variance", "OK")</f>
        <v>OK</v>
      </c>
      <c r="T365" t="str">
        <f>IF(po_master[[#This Row],[Actual Delivery Date]]&gt;po_master[[#This Row],[Promised Delivey Date]], "Late Delivery", "OK")</f>
        <v>Late Delivery</v>
      </c>
      <c r="U365" t="str">
        <f>IF(COUNTIF(po_master[PO Number],po_master[[#This Row],[PO Number]])&gt;1, "Duplicate Invoice", "OK")</f>
        <v>OK</v>
      </c>
      <c r="V365" s="5">
        <f>IF(po_master[[#This Row],[Missing Approval]]="Missing Approval", 1, 0)</f>
        <v>0</v>
      </c>
      <c r="W365" s="5">
        <f>IF(po_master[[#This Row],[GR Receipt Status]]="No GR - Not Received", 1, 0)</f>
        <v>0</v>
      </c>
      <c r="X365" s="5">
        <f>IF(po_master[[#This Row],[No invoice]]="No Invoice", 1, 0)</f>
        <v>0</v>
      </c>
      <c r="Y365" s="5">
        <f>IF(po_master[[#This Row],[Date Check]]="Invalid Date", 1, 0)</f>
        <v>0</v>
      </c>
      <c r="Z365" s="5">
        <f>IF(po_master[[#This Row],[Qty Variance Flag]]="Qty Variance", 1, 0)</f>
        <v>0</v>
      </c>
      <c r="AA365" s="5">
        <f>IF(po_master[[#This Row],[Price Variance Flag]]="Price Variance", 1, 0)</f>
        <v>0</v>
      </c>
      <c r="AB365" s="5">
        <f>IF(po_master[[#This Row],[Late Delivery Flag]]="Late Delivery", 1, 0)</f>
        <v>1</v>
      </c>
      <c r="AC365" s="5">
        <f>IF(po_master[[#This Row],[Duplicate Invoice Flag]]="Duplicate Invoice", 1, 0)</f>
        <v>0</v>
      </c>
      <c r="AD365" s="5" t="str">
        <f>TEXT(po_master[[#This Row],[Order Date]],"YYYY-MM")</f>
        <v>2026-05</v>
      </c>
    </row>
    <row r="366" spans="1:30" x14ac:dyDescent="0.25">
      <c r="A366" t="s">
        <v>324</v>
      </c>
      <c r="B366" t="s">
        <v>1482</v>
      </c>
      <c r="C366" s="1">
        <v>46126</v>
      </c>
      <c r="D366">
        <v>162</v>
      </c>
      <c r="E366">
        <v>93.44</v>
      </c>
      <c r="F366" t="s">
        <v>1499</v>
      </c>
      <c r="G366" s="1">
        <v>46132</v>
      </c>
      <c r="H366">
        <v>162</v>
      </c>
      <c r="I366" s="1">
        <v>46131</v>
      </c>
      <c r="J366" t="s">
        <v>1046</v>
      </c>
      <c r="K366">
        <v>162</v>
      </c>
      <c r="L366">
        <v>93.44</v>
      </c>
      <c r="M366" s="1">
        <v>46134</v>
      </c>
      <c r="N366" t="str">
        <f>IF(po_master[[#This Row],[Approved By]]="", "Missing Approval", "OK")</f>
        <v>OK</v>
      </c>
      <c r="O366" t="str">
        <f>IF(ISBLANK(po_master[[#This Row],[GR Quantity]]), "No GR - Not received", "OK")</f>
        <v>OK</v>
      </c>
      <c r="P366" t="str">
        <f>IF(po_master[[#This Row],[Promised Delivey Date]]&lt;po_master[[#This Row],[Order Date]], "Invalid", "OK")</f>
        <v>OK</v>
      </c>
      <c r="Q366" t="str">
        <f>IF(ISBLANK(po_master[[#This Row],[Invoice Number]]), "No Invoice", "OK")</f>
        <v>OK</v>
      </c>
      <c r="R366" t="str">
        <f>IF(AND(NOT(ISBLANK(po_master[[#This Row],[GR Quantity]])), po_master[[#This Row],[GR Quantity]]&lt;&gt;po_master[[#This Row],[PO Quantity]]), "Qty Variance", "OK")</f>
        <v>OK</v>
      </c>
      <c r="S366" t="str">
        <f>IF(po_master[[#This Row],[Invoice Unit Price]]&gt;po_master[[#This Row],[PO Unit Price]]*1.01, "Price Variance", "OK")</f>
        <v>OK</v>
      </c>
      <c r="T366" t="str">
        <f>IF(po_master[[#This Row],[Actual Delivery Date]]&gt;po_master[[#This Row],[Promised Delivey Date]], "Late Delivery", "OK")</f>
        <v>OK</v>
      </c>
      <c r="U366" t="str">
        <f>IF(COUNTIF(po_master[PO Number],po_master[[#This Row],[PO Number]])&gt;1, "Duplicate Invoice", "OK")</f>
        <v>OK</v>
      </c>
      <c r="V366" s="5">
        <f>IF(po_master[[#This Row],[Missing Approval]]="Missing Approval", 1, 0)</f>
        <v>0</v>
      </c>
      <c r="W366" s="5">
        <f>IF(po_master[[#This Row],[GR Receipt Status]]="No GR - Not Received", 1, 0)</f>
        <v>0</v>
      </c>
      <c r="X366" s="5">
        <f>IF(po_master[[#This Row],[No invoice]]="No Invoice", 1, 0)</f>
        <v>0</v>
      </c>
      <c r="Y366" s="5">
        <f>IF(po_master[[#This Row],[Date Check]]="Invalid Date", 1, 0)</f>
        <v>0</v>
      </c>
      <c r="Z366" s="5">
        <f>IF(po_master[[#This Row],[Qty Variance Flag]]="Qty Variance", 1, 0)</f>
        <v>0</v>
      </c>
      <c r="AA366" s="5">
        <f>IF(po_master[[#This Row],[Price Variance Flag]]="Price Variance", 1, 0)</f>
        <v>0</v>
      </c>
      <c r="AB366" s="5">
        <f>IF(po_master[[#This Row],[Late Delivery Flag]]="Late Delivery", 1, 0)</f>
        <v>0</v>
      </c>
      <c r="AC366" s="5">
        <f>IF(po_master[[#This Row],[Duplicate Invoice Flag]]="Duplicate Invoice", 1, 0)</f>
        <v>0</v>
      </c>
      <c r="AD366" s="5" t="str">
        <f>TEXT(po_master[[#This Row],[Order Date]],"YYYY-MM")</f>
        <v>2026-04</v>
      </c>
    </row>
    <row r="367" spans="1:30" x14ac:dyDescent="0.25">
      <c r="A367" t="s">
        <v>325</v>
      </c>
      <c r="B367" t="s">
        <v>1460</v>
      </c>
      <c r="C367" s="1">
        <v>46135</v>
      </c>
      <c r="D367">
        <v>222</v>
      </c>
      <c r="E367">
        <v>99.43</v>
      </c>
      <c r="F367" t="s">
        <v>1444</v>
      </c>
      <c r="G367" s="1">
        <v>46150</v>
      </c>
      <c r="H367">
        <v>222</v>
      </c>
      <c r="I367" s="1">
        <v>46151</v>
      </c>
      <c r="J367" t="s">
        <v>1047</v>
      </c>
      <c r="K367">
        <v>222</v>
      </c>
      <c r="L367">
        <v>99.43</v>
      </c>
      <c r="M367" s="1">
        <v>46151</v>
      </c>
      <c r="N367" t="str">
        <f>IF(po_master[[#This Row],[Approved By]]="", "Missing Approval", "OK")</f>
        <v>OK</v>
      </c>
      <c r="O367" t="str">
        <f>IF(ISBLANK(po_master[[#This Row],[GR Quantity]]), "No GR - Not received", "OK")</f>
        <v>OK</v>
      </c>
      <c r="P367" t="str">
        <f>IF(po_master[[#This Row],[Promised Delivey Date]]&lt;po_master[[#This Row],[Order Date]], "Invalid", "OK")</f>
        <v>OK</v>
      </c>
      <c r="Q367" t="str">
        <f>IF(ISBLANK(po_master[[#This Row],[Invoice Number]]), "No Invoice", "OK")</f>
        <v>OK</v>
      </c>
      <c r="R367" t="str">
        <f>IF(AND(NOT(ISBLANK(po_master[[#This Row],[GR Quantity]])), po_master[[#This Row],[GR Quantity]]&lt;&gt;po_master[[#This Row],[PO Quantity]]), "Qty Variance", "OK")</f>
        <v>OK</v>
      </c>
      <c r="S367" t="str">
        <f>IF(po_master[[#This Row],[Invoice Unit Price]]&gt;po_master[[#This Row],[PO Unit Price]]*1.01, "Price Variance", "OK")</f>
        <v>OK</v>
      </c>
      <c r="T367" t="str">
        <f>IF(po_master[[#This Row],[Actual Delivery Date]]&gt;po_master[[#This Row],[Promised Delivey Date]], "Late Delivery", "OK")</f>
        <v>Late Delivery</v>
      </c>
      <c r="U367" t="str">
        <f>IF(COUNTIF(po_master[PO Number],po_master[[#This Row],[PO Number]])&gt;1, "Duplicate Invoice", "OK")</f>
        <v>OK</v>
      </c>
      <c r="V367" s="5">
        <f>IF(po_master[[#This Row],[Missing Approval]]="Missing Approval", 1, 0)</f>
        <v>0</v>
      </c>
      <c r="W367" s="5">
        <f>IF(po_master[[#This Row],[GR Receipt Status]]="No GR - Not Received", 1, 0)</f>
        <v>0</v>
      </c>
      <c r="X367" s="5">
        <f>IF(po_master[[#This Row],[No invoice]]="No Invoice", 1, 0)</f>
        <v>0</v>
      </c>
      <c r="Y367" s="5">
        <f>IF(po_master[[#This Row],[Date Check]]="Invalid Date", 1, 0)</f>
        <v>0</v>
      </c>
      <c r="Z367" s="5">
        <f>IF(po_master[[#This Row],[Qty Variance Flag]]="Qty Variance", 1, 0)</f>
        <v>0</v>
      </c>
      <c r="AA367" s="5">
        <f>IF(po_master[[#This Row],[Price Variance Flag]]="Price Variance", 1, 0)</f>
        <v>0</v>
      </c>
      <c r="AB367" s="5">
        <f>IF(po_master[[#This Row],[Late Delivery Flag]]="Late Delivery", 1, 0)</f>
        <v>1</v>
      </c>
      <c r="AC367" s="5">
        <f>IF(po_master[[#This Row],[Duplicate Invoice Flag]]="Duplicate Invoice", 1, 0)</f>
        <v>0</v>
      </c>
      <c r="AD367" s="5" t="str">
        <f>TEXT(po_master[[#This Row],[Order Date]],"YYYY-MM")</f>
        <v>2026-04</v>
      </c>
    </row>
    <row r="368" spans="1:30" x14ac:dyDescent="0.25">
      <c r="A368" t="s">
        <v>1031</v>
      </c>
      <c r="B368" t="s">
        <v>1482</v>
      </c>
      <c r="C368" s="1">
        <v>46149</v>
      </c>
      <c r="D368">
        <v>23</v>
      </c>
      <c r="E368">
        <v>75.37</v>
      </c>
      <c r="F368" t="s">
        <v>1480</v>
      </c>
      <c r="G368" s="1">
        <v>46165</v>
      </c>
      <c r="I368" s="1"/>
      <c r="J368" t="s">
        <v>1032</v>
      </c>
      <c r="K368">
        <v>23</v>
      </c>
      <c r="L368">
        <v>75.37</v>
      </c>
      <c r="M368" s="1">
        <v>46171</v>
      </c>
      <c r="N368" t="str">
        <f>IF(po_master[[#This Row],[Approved By]]="", "Missing Approval", "OK")</f>
        <v>OK</v>
      </c>
      <c r="O368" t="str">
        <f>IF(ISBLANK(po_master[[#This Row],[GR Quantity]]), "No GR - Not received", "OK")</f>
        <v>No GR - Not received</v>
      </c>
      <c r="P368" t="str">
        <f>IF(po_master[[#This Row],[Promised Delivey Date]]&lt;po_master[[#This Row],[Order Date]], "Invalid", "OK")</f>
        <v>OK</v>
      </c>
      <c r="Q368" t="str">
        <f>IF(ISBLANK(po_master[[#This Row],[Invoice Number]]), "No Invoice", "OK")</f>
        <v>OK</v>
      </c>
      <c r="R368" t="str">
        <f>IF(AND(NOT(ISBLANK(po_master[[#This Row],[GR Quantity]])), po_master[[#This Row],[GR Quantity]]&lt;&gt;po_master[[#This Row],[PO Quantity]]), "Qty Variance", "OK")</f>
        <v>OK</v>
      </c>
      <c r="S368" t="str">
        <f>IF(po_master[[#This Row],[Invoice Unit Price]]&gt;po_master[[#This Row],[PO Unit Price]]*1.01, "Price Variance", "OK")</f>
        <v>OK</v>
      </c>
      <c r="T368" t="str">
        <f>IF(po_master[[#This Row],[Actual Delivery Date]]&gt;po_master[[#This Row],[Promised Delivey Date]], "Late Delivery", "OK")</f>
        <v>OK</v>
      </c>
      <c r="U368" t="str">
        <f>IF(COUNTIF(po_master[PO Number],po_master[[#This Row],[PO Number]])&gt;1, "Duplicate Invoice", "OK")</f>
        <v>OK</v>
      </c>
      <c r="V368" s="5">
        <f>IF(po_master[[#This Row],[Missing Approval]]="Missing Approval", 1, 0)</f>
        <v>0</v>
      </c>
      <c r="W368" s="5">
        <f>IF(po_master[[#This Row],[GR Receipt Status]]="No GR - Not Received", 1, 0)</f>
        <v>1</v>
      </c>
      <c r="X368" s="5">
        <f>IF(po_master[[#This Row],[No invoice]]="No Invoice", 1, 0)</f>
        <v>0</v>
      </c>
      <c r="Y368" s="5">
        <f>IF(po_master[[#This Row],[Date Check]]="Invalid Date", 1, 0)</f>
        <v>0</v>
      </c>
      <c r="Z368" s="5">
        <f>IF(po_master[[#This Row],[Qty Variance Flag]]="Qty Variance", 1, 0)</f>
        <v>0</v>
      </c>
      <c r="AA368" s="5">
        <f>IF(po_master[[#This Row],[Price Variance Flag]]="Price Variance", 1, 0)</f>
        <v>0</v>
      </c>
      <c r="AB368" s="5">
        <f>IF(po_master[[#This Row],[Late Delivery Flag]]="Late Delivery", 1, 0)</f>
        <v>0</v>
      </c>
      <c r="AC368" s="5">
        <f>IF(po_master[[#This Row],[Duplicate Invoice Flag]]="Duplicate Invoice", 1, 0)</f>
        <v>0</v>
      </c>
      <c r="AD368" s="5" t="str">
        <f>TEXT(po_master[[#This Row],[Order Date]],"YYYY-MM")</f>
        <v>2026-05</v>
      </c>
    </row>
    <row r="369" spans="1:30" x14ac:dyDescent="0.25">
      <c r="A369" t="s">
        <v>326</v>
      </c>
      <c r="B369" t="s">
        <v>1468</v>
      </c>
      <c r="C369" s="1">
        <v>46059</v>
      </c>
      <c r="D369">
        <v>170</v>
      </c>
      <c r="E369">
        <v>172.99</v>
      </c>
      <c r="F369" t="s">
        <v>1472</v>
      </c>
      <c r="G369" s="1">
        <v>46075</v>
      </c>
      <c r="H369">
        <v>170</v>
      </c>
      <c r="I369" s="1">
        <v>46080</v>
      </c>
      <c r="J369" t="s">
        <v>1048</v>
      </c>
      <c r="K369">
        <v>170</v>
      </c>
      <c r="L369">
        <v>172.99</v>
      </c>
      <c r="M369" s="1">
        <v>46082</v>
      </c>
      <c r="N369" t="str">
        <f>IF(po_master[[#This Row],[Approved By]]="", "Missing Approval", "OK")</f>
        <v>OK</v>
      </c>
      <c r="O369" t="str">
        <f>IF(ISBLANK(po_master[[#This Row],[GR Quantity]]), "No GR - Not received", "OK")</f>
        <v>OK</v>
      </c>
      <c r="P369" t="str">
        <f>IF(po_master[[#This Row],[Promised Delivey Date]]&lt;po_master[[#This Row],[Order Date]], "Invalid", "OK")</f>
        <v>OK</v>
      </c>
      <c r="Q369" t="str">
        <f>IF(ISBLANK(po_master[[#This Row],[Invoice Number]]), "No Invoice", "OK")</f>
        <v>OK</v>
      </c>
      <c r="R369" t="str">
        <f>IF(AND(NOT(ISBLANK(po_master[[#This Row],[GR Quantity]])), po_master[[#This Row],[GR Quantity]]&lt;&gt;po_master[[#This Row],[PO Quantity]]), "Qty Variance", "OK")</f>
        <v>OK</v>
      </c>
      <c r="S369" t="str">
        <f>IF(po_master[[#This Row],[Invoice Unit Price]]&gt;po_master[[#This Row],[PO Unit Price]]*1.01, "Price Variance", "OK")</f>
        <v>OK</v>
      </c>
      <c r="T369" t="str">
        <f>IF(po_master[[#This Row],[Actual Delivery Date]]&gt;po_master[[#This Row],[Promised Delivey Date]], "Late Delivery", "OK")</f>
        <v>Late Delivery</v>
      </c>
      <c r="U369" t="str">
        <f>IF(COUNTIF(po_master[PO Number],po_master[[#This Row],[PO Number]])&gt;1, "Duplicate Invoice", "OK")</f>
        <v>OK</v>
      </c>
      <c r="V369" s="5">
        <f>IF(po_master[[#This Row],[Missing Approval]]="Missing Approval", 1, 0)</f>
        <v>0</v>
      </c>
      <c r="W369" s="5">
        <f>IF(po_master[[#This Row],[GR Receipt Status]]="No GR - Not Received", 1, 0)</f>
        <v>0</v>
      </c>
      <c r="X369" s="5">
        <f>IF(po_master[[#This Row],[No invoice]]="No Invoice", 1, 0)</f>
        <v>0</v>
      </c>
      <c r="Y369" s="5">
        <f>IF(po_master[[#This Row],[Date Check]]="Invalid Date", 1, 0)</f>
        <v>0</v>
      </c>
      <c r="Z369" s="5">
        <f>IF(po_master[[#This Row],[Qty Variance Flag]]="Qty Variance", 1, 0)</f>
        <v>0</v>
      </c>
      <c r="AA369" s="5">
        <f>IF(po_master[[#This Row],[Price Variance Flag]]="Price Variance", 1, 0)</f>
        <v>0</v>
      </c>
      <c r="AB369" s="5">
        <f>IF(po_master[[#This Row],[Late Delivery Flag]]="Late Delivery", 1, 0)</f>
        <v>1</v>
      </c>
      <c r="AC369" s="5">
        <f>IF(po_master[[#This Row],[Duplicate Invoice Flag]]="Duplicate Invoice", 1, 0)</f>
        <v>0</v>
      </c>
      <c r="AD369" s="5" t="str">
        <f>TEXT(po_master[[#This Row],[Order Date]],"YYYY-MM")</f>
        <v>2026-02</v>
      </c>
    </row>
    <row r="370" spans="1:30" x14ac:dyDescent="0.25">
      <c r="A370" t="s">
        <v>327</v>
      </c>
      <c r="B370" t="s">
        <v>1488</v>
      </c>
      <c r="C370" s="1">
        <v>46056</v>
      </c>
      <c r="D370">
        <v>399</v>
      </c>
      <c r="E370">
        <v>77.260000000000005</v>
      </c>
      <c r="F370" t="s">
        <v>1442</v>
      </c>
      <c r="G370" s="1">
        <v>46064</v>
      </c>
      <c r="H370">
        <v>399</v>
      </c>
      <c r="I370" s="1">
        <v>46065</v>
      </c>
      <c r="J370" t="s">
        <v>1049</v>
      </c>
      <c r="K370">
        <v>399</v>
      </c>
      <c r="L370">
        <v>77.260000000000005</v>
      </c>
      <c r="M370" s="1">
        <v>46067</v>
      </c>
      <c r="N370" t="str">
        <f>IF(po_master[[#This Row],[Approved By]]="", "Missing Approval", "OK")</f>
        <v>OK</v>
      </c>
      <c r="O370" t="str">
        <f>IF(ISBLANK(po_master[[#This Row],[GR Quantity]]), "No GR - Not received", "OK")</f>
        <v>OK</v>
      </c>
      <c r="P370" t="str">
        <f>IF(po_master[[#This Row],[Promised Delivey Date]]&lt;po_master[[#This Row],[Order Date]], "Invalid", "OK")</f>
        <v>OK</v>
      </c>
      <c r="Q370" t="str">
        <f>IF(ISBLANK(po_master[[#This Row],[Invoice Number]]), "No Invoice", "OK")</f>
        <v>OK</v>
      </c>
      <c r="R370" t="str">
        <f>IF(AND(NOT(ISBLANK(po_master[[#This Row],[GR Quantity]])), po_master[[#This Row],[GR Quantity]]&lt;&gt;po_master[[#This Row],[PO Quantity]]), "Qty Variance", "OK")</f>
        <v>OK</v>
      </c>
      <c r="S370" t="str">
        <f>IF(po_master[[#This Row],[Invoice Unit Price]]&gt;po_master[[#This Row],[PO Unit Price]]*1.01, "Price Variance", "OK")</f>
        <v>OK</v>
      </c>
      <c r="T370" t="str">
        <f>IF(po_master[[#This Row],[Actual Delivery Date]]&gt;po_master[[#This Row],[Promised Delivey Date]], "Late Delivery", "OK")</f>
        <v>Late Delivery</v>
      </c>
      <c r="U370" t="str">
        <f>IF(COUNTIF(po_master[PO Number],po_master[[#This Row],[PO Number]])&gt;1, "Duplicate Invoice", "OK")</f>
        <v>OK</v>
      </c>
      <c r="V370" s="5">
        <f>IF(po_master[[#This Row],[Missing Approval]]="Missing Approval", 1, 0)</f>
        <v>0</v>
      </c>
      <c r="W370" s="5">
        <f>IF(po_master[[#This Row],[GR Receipt Status]]="No GR - Not Received", 1, 0)</f>
        <v>0</v>
      </c>
      <c r="X370" s="5">
        <f>IF(po_master[[#This Row],[No invoice]]="No Invoice", 1, 0)</f>
        <v>0</v>
      </c>
      <c r="Y370" s="5">
        <f>IF(po_master[[#This Row],[Date Check]]="Invalid Date", 1, 0)</f>
        <v>0</v>
      </c>
      <c r="Z370" s="5">
        <f>IF(po_master[[#This Row],[Qty Variance Flag]]="Qty Variance", 1, 0)</f>
        <v>0</v>
      </c>
      <c r="AA370" s="5">
        <f>IF(po_master[[#This Row],[Price Variance Flag]]="Price Variance", 1, 0)</f>
        <v>0</v>
      </c>
      <c r="AB370" s="5">
        <f>IF(po_master[[#This Row],[Late Delivery Flag]]="Late Delivery", 1, 0)</f>
        <v>1</v>
      </c>
      <c r="AC370" s="5">
        <f>IF(po_master[[#This Row],[Duplicate Invoice Flag]]="Duplicate Invoice", 1, 0)</f>
        <v>0</v>
      </c>
      <c r="AD370" s="5" t="str">
        <f>TEXT(po_master[[#This Row],[Order Date]],"YYYY-MM")</f>
        <v>2026-02</v>
      </c>
    </row>
    <row r="371" spans="1:30" x14ac:dyDescent="0.25">
      <c r="A371" t="s">
        <v>328</v>
      </c>
      <c r="B371" t="s">
        <v>1509</v>
      </c>
      <c r="C371" s="1">
        <v>46084</v>
      </c>
      <c r="D371">
        <v>248</v>
      </c>
      <c r="E371">
        <v>28.89</v>
      </c>
      <c r="F371" t="s">
        <v>1469</v>
      </c>
      <c r="G371" s="1">
        <v>46096</v>
      </c>
      <c r="H371">
        <v>248</v>
      </c>
      <c r="I371" s="1">
        <v>46097</v>
      </c>
      <c r="J371" t="s">
        <v>1050</v>
      </c>
      <c r="K371">
        <v>248</v>
      </c>
      <c r="L371">
        <v>28.89</v>
      </c>
      <c r="M371" s="1">
        <v>46098</v>
      </c>
      <c r="N371" t="str">
        <f>IF(po_master[[#This Row],[Approved By]]="", "Missing Approval", "OK")</f>
        <v>OK</v>
      </c>
      <c r="O371" t="str">
        <f>IF(ISBLANK(po_master[[#This Row],[GR Quantity]]), "No GR - Not received", "OK")</f>
        <v>OK</v>
      </c>
      <c r="P371" t="str">
        <f>IF(po_master[[#This Row],[Promised Delivey Date]]&lt;po_master[[#This Row],[Order Date]], "Invalid", "OK")</f>
        <v>OK</v>
      </c>
      <c r="Q371" t="str">
        <f>IF(ISBLANK(po_master[[#This Row],[Invoice Number]]), "No Invoice", "OK")</f>
        <v>OK</v>
      </c>
      <c r="R371" t="str">
        <f>IF(AND(NOT(ISBLANK(po_master[[#This Row],[GR Quantity]])), po_master[[#This Row],[GR Quantity]]&lt;&gt;po_master[[#This Row],[PO Quantity]]), "Qty Variance", "OK")</f>
        <v>OK</v>
      </c>
      <c r="S371" t="str">
        <f>IF(po_master[[#This Row],[Invoice Unit Price]]&gt;po_master[[#This Row],[PO Unit Price]]*1.01, "Price Variance", "OK")</f>
        <v>OK</v>
      </c>
      <c r="T371" t="str">
        <f>IF(po_master[[#This Row],[Actual Delivery Date]]&gt;po_master[[#This Row],[Promised Delivey Date]], "Late Delivery", "OK")</f>
        <v>Late Delivery</v>
      </c>
      <c r="U371" t="str">
        <f>IF(COUNTIF(po_master[PO Number],po_master[[#This Row],[PO Number]])&gt;1, "Duplicate Invoice", "OK")</f>
        <v>OK</v>
      </c>
      <c r="V371" s="5">
        <f>IF(po_master[[#This Row],[Missing Approval]]="Missing Approval", 1, 0)</f>
        <v>0</v>
      </c>
      <c r="W371" s="5">
        <f>IF(po_master[[#This Row],[GR Receipt Status]]="No GR - Not Received", 1, 0)</f>
        <v>0</v>
      </c>
      <c r="X371" s="5">
        <f>IF(po_master[[#This Row],[No invoice]]="No Invoice", 1, 0)</f>
        <v>0</v>
      </c>
      <c r="Y371" s="5">
        <f>IF(po_master[[#This Row],[Date Check]]="Invalid Date", 1, 0)</f>
        <v>0</v>
      </c>
      <c r="Z371" s="5">
        <f>IF(po_master[[#This Row],[Qty Variance Flag]]="Qty Variance", 1, 0)</f>
        <v>0</v>
      </c>
      <c r="AA371" s="5">
        <f>IF(po_master[[#This Row],[Price Variance Flag]]="Price Variance", 1, 0)</f>
        <v>0</v>
      </c>
      <c r="AB371" s="5">
        <f>IF(po_master[[#This Row],[Late Delivery Flag]]="Late Delivery", 1, 0)</f>
        <v>1</v>
      </c>
      <c r="AC371" s="5">
        <f>IF(po_master[[#This Row],[Duplicate Invoice Flag]]="Duplicate Invoice", 1, 0)</f>
        <v>0</v>
      </c>
      <c r="AD371" s="5" t="str">
        <f>TEXT(po_master[[#This Row],[Order Date]],"YYYY-MM")</f>
        <v>2026-03</v>
      </c>
    </row>
    <row r="372" spans="1:30" x14ac:dyDescent="0.25">
      <c r="A372" t="s">
        <v>329</v>
      </c>
      <c r="B372" t="s">
        <v>1464</v>
      </c>
      <c r="C372" s="1">
        <v>46047</v>
      </c>
      <c r="D372">
        <v>35</v>
      </c>
      <c r="E372">
        <v>61.59</v>
      </c>
      <c r="F372" t="s">
        <v>1453</v>
      </c>
      <c r="G372" s="1">
        <v>46065</v>
      </c>
      <c r="H372">
        <v>35</v>
      </c>
      <c r="I372" s="1">
        <v>46066</v>
      </c>
      <c r="J372" t="s">
        <v>1051</v>
      </c>
      <c r="K372">
        <v>35</v>
      </c>
      <c r="L372">
        <v>61.59</v>
      </c>
      <c r="M372" s="1">
        <v>46069</v>
      </c>
      <c r="N372" t="str">
        <f>IF(po_master[[#This Row],[Approved By]]="", "Missing Approval", "OK")</f>
        <v>OK</v>
      </c>
      <c r="O372" t="str">
        <f>IF(ISBLANK(po_master[[#This Row],[GR Quantity]]), "No GR - Not received", "OK")</f>
        <v>OK</v>
      </c>
      <c r="P372" t="str">
        <f>IF(po_master[[#This Row],[Promised Delivey Date]]&lt;po_master[[#This Row],[Order Date]], "Invalid", "OK")</f>
        <v>OK</v>
      </c>
      <c r="Q372" t="str">
        <f>IF(ISBLANK(po_master[[#This Row],[Invoice Number]]), "No Invoice", "OK")</f>
        <v>OK</v>
      </c>
      <c r="R372" t="str">
        <f>IF(AND(NOT(ISBLANK(po_master[[#This Row],[GR Quantity]])), po_master[[#This Row],[GR Quantity]]&lt;&gt;po_master[[#This Row],[PO Quantity]]), "Qty Variance", "OK")</f>
        <v>OK</v>
      </c>
      <c r="S372" t="str">
        <f>IF(po_master[[#This Row],[Invoice Unit Price]]&gt;po_master[[#This Row],[PO Unit Price]]*1.01, "Price Variance", "OK")</f>
        <v>OK</v>
      </c>
      <c r="T372" t="str">
        <f>IF(po_master[[#This Row],[Actual Delivery Date]]&gt;po_master[[#This Row],[Promised Delivey Date]], "Late Delivery", "OK")</f>
        <v>Late Delivery</v>
      </c>
      <c r="U372" t="str">
        <f>IF(COUNTIF(po_master[PO Number],po_master[[#This Row],[PO Number]])&gt;1, "Duplicate Invoice", "OK")</f>
        <v>OK</v>
      </c>
      <c r="V372" s="5">
        <f>IF(po_master[[#This Row],[Missing Approval]]="Missing Approval", 1, 0)</f>
        <v>0</v>
      </c>
      <c r="W372" s="5">
        <f>IF(po_master[[#This Row],[GR Receipt Status]]="No GR - Not Received", 1, 0)</f>
        <v>0</v>
      </c>
      <c r="X372" s="5">
        <f>IF(po_master[[#This Row],[No invoice]]="No Invoice", 1, 0)</f>
        <v>0</v>
      </c>
      <c r="Y372" s="5">
        <f>IF(po_master[[#This Row],[Date Check]]="Invalid Date", 1, 0)</f>
        <v>0</v>
      </c>
      <c r="Z372" s="5">
        <f>IF(po_master[[#This Row],[Qty Variance Flag]]="Qty Variance", 1, 0)</f>
        <v>0</v>
      </c>
      <c r="AA372" s="5">
        <f>IF(po_master[[#This Row],[Price Variance Flag]]="Price Variance", 1, 0)</f>
        <v>0</v>
      </c>
      <c r="AB372" s="5">
        <f>IF(po_master[[#This Row],[Late Delivery Flag]]="Late Delivery", 1, 0)</f>
        <v>1</v>
      </c>
      <c r="AC372" s="5">
        <f>IF(po_master[[#This Row],[Duplicate Invoice Flag]]="Duplicate Invoice", 1, 0)</f>
        <v>0</v>
      </c>
      <c r="AD372" s="5" t="str">
        <f>TEXT(po_master[[#This Row],[Order Date]],"YYYY-MM")</f>
        <v>2026-01</v>
      </c>
    </row>
    <row r="373" spans="1:30" x14ac:dyDescent="0.25">
      <c r="A373" t="s">
        <v>330</v>
      </c>
      <c r="B373" t="s">
        <v>1482</v>
      </c>
      <c r="C373" s="1">
        <v>46063</v>
      </c>
      <c r="D373">
        <v>426</v>
      </c>
      <c r="E373">
        <v>68.849999999999994</v>
      </c>
      <c r="F373" t="s">
        <v>1480</v>
      </c>
      <c r="G373" s="1">
        <v>46078</v>
      </c>
      <c r="H373">
        <v>426</v>
      </c>
      <c r="I373" s="1">
        <v>46079</v>
      </c>
      <c r="J373" t="s">
        <v>1052</v>
      </c>
      <c r="K373">
        <v>426</v>
      </c>
      <c r="L373">
        <v>68.849999999999994</v>
      </c>
      <c r="M373" s="1">
        <v>46085</v>
      </c>
      <c r="N373" t="str">
        <f>IF(po_master[[#This Row],[Approved By]]="", "Missing Approval", "OK")</f>
        <v>OK</v>
      </c>
      <c r="O373" t="str">
        <f>IF(ISBLANK(po_master[[#This Row],[GR Quantity]]), "No GR - Not received", "OK")</f>
        <v>OK</v>
      </c>
      <c r="P373" t="str">
        <f>IF(po_master[[#This Row],[Promised Delivey Date]]&lt;po_master[[#This Row],[Order Date]], "Invalid", "OK")</f>
        <v>OK</v>
      </c>
      <c r="Q373" t="str">
        <f>IF(ISBLANK(po_master[[#This Row],[Invoice Number]]), "No Invoice", "OK")</f>
        <v>OK</v>
      </c>
      <c r="R373" t="str">
        <f>IF(AND(NOT(ISBLANK(po_master[[#This Row],[GR Quantity]])), po_master[[#This Row],[GR Quantity]]&lt;&gt;po_master[[#This Row],[PO Quantity]]), "Qty Variance", "OK")</f>
        <v>OK</v>
      </c>
      <c r="S373" t="str">
        <f>IF(po_master[[#This Row],[Invoice Unit Price]]&gt;po_master[[#This Row],[PO Unit Price]]*1.01, "Price Variance", "OK")</f>
        <v>OK</v>
      </c>
      <c r="T373" t="str">
        <f>IF(po_master[[#This Row],[Actual Delivery Date]]&gt;po_master[[#This Row],[Promised Delivey Date]], "Late Delivery", "OK")</f>
        <v>Late Delivery</v>
      </c>
      <c r="U373" t="str">
        <f>IF(COUNTIF(po_master[PO Number],po_master[[#This Row],[PO Number]])&gt;1, "Duplicate Invoice", "OK")</f>
        <v>OK</v>
      </c>
      <c r="V373" s="5">
        <f>IF(po_master[[#This Row],[Missing Approval]]="Missing Approval", 1, 0)</f>
        <v>0</v>
      </c>
      <c r="W373" s="5">
        <f>IF(po_master[[#This Row],[GR Receipt Status]]="No GR - Not Received", 1, 0)</f>
        <v>0</v>
      </c>
      <c r="X373" s="5">
        <f>IF(po_master[[#This Row],[No invoice]]="No Invoice", 1, 0)</f>
        <v>0</v>
      </c>
      <c r="Y373" s="5">
        <f>IF(po_master[[#This Row],[Date Check]]="Invalid Date", 1, 0)</f>
        <v>0</v>
      </c>
      <c r="Z373" s="5">
        <f>IF(po_master[[#This Row],[Qty Variance Flag]]="Qty Variance", 1, 0)</f>
        <v>0</v>
      </c>
      <c r="AA373" s="5">
        <f>IF(po_master[[#This Row],[Price Variance Flag]]="Price Variance", 1, 0)</f>
        <v>0</v>
      </c>
      <c r="AB373" s="5">
        <f>IF(po_master[[#This Row],[Late Delivery Flag]]="Late Delivery", 1, 0)</f>
        <v>1</v>
      </c>
      <c r="AC373" s="5">
        <f>IF(po_master[[#This Row],[Duplicate Invoice Flag]]="Duplicate Invoice", 1, 0)</f>
        <v>0</v>
      </c>
      <c r="AD373" s="5" t="str">
        <f>TEXT(po_master[[#This Row],[Order Date]],"YYYY-MM")</f>
        <v>2026-02</v>
      </c>
    </row>
    <row r="374" spans="1:30" x14ac:dyDescent="0.25">
      <c r="A374" t="s">
        <v>331</v>
      </c>
      <c r="B374" t="s">
        <v>1505</v>
      </c>
      <c r="C374" s="1">
        <v>46063</v>
      </c>
      <c r="D374">
        <v>265</v>
      </c>
      <c r="E374">
        <v>199.21</v>
      </c>
      <c r="F374" t="s">
        <v>1469</v>
      </c>
      <c r="G374" s="1">
        <v>46083</v>
      </c>
      <c r="H374">
        <v>265</v>
      </c>
      <c r="I374" s="1">
        <v>46081</v>
      </c>
      <c r="J374" t="s">
        <v>1053</v>
      </c>
      <c r="K374">
        <v>265</v>
      </c>
      <c r="L374">
        <v>199.21</v>
      </c>
      <c r="M374" s="1">
        <v>46086</v>
      </c>
      <c r="N374" t="str">
        <f>IF(po_master[[#This Row],[Approved By]]="", "Missing Approval", "OK")</f>
        <v>OK</v>
      </c>
      <c r="O374" t="str">
        <f>IF(ISBLANK(po_master[[#This Row],[GR Quantity]]), "No GR - Not received", "OK")</f>
        <v>OK</v>
      </c>
      <c r="P374" t="str">
        <f>IF(po_master[[#This Row],[Promised Delivey Date]]&lt;po_master[[#This Row],[Order Date]], "Invalid", "OK")</f>
        <v>OK</v>
      </c>
      <c r="Q374" t="str">
        <f>IF(ISBLANK(po_master[[#This Row],[Invoice Number]]), "No Invoice", "OK")</f>
        <v>OK</v>
      </c>
      <c r="R374" t="str">
        <f>IF(AND(NOT(ISBLANK(po_master[[#This Row],[GR Quantity]])), po_master[[#This Row],[GR Quantity]]&lt;&gt;po_master[[#This Row],[PO Quantity]]), "Qty Variance", "OK")</f>
        <v>OK</v>
      </c>
      <c r="S374" t="str">
        <f>IF(po_master[[#This Row],[Invoice Unit Price]]&gt;po_master[[#This Row],[PO Unit Price]]*1.01, "Price Variance", "OK")</f>
        <v>OK</v>
      </c>
      <c r="T374" t="str">
        <f>IF(po_master[[#This Row],[Actual Delivery Date]]&gt;po_master[[#This Row],[Promised Delivey Date]], "Late Delivery", "OK")</f>
        <v>OK</v>
      </c>
      <c r="U374" t="str">
        <f>IF(COUNTIF(po_master[PO Number],po_master[[#This Row],[PO Number]])&gt;1, "Duplicate Invoice", "OK")</f>
        <v>OK</v>
      </c>
      <c r="V374" s="5">
        <f>IF(po_master[[#This Row],[Missing Approval]]="Missing Approval", 1, 0)</f>
        <v>0</v>
      </c>
      <c r="W374" s="5">
        <f>IF(po_master[[#This Row],[GR Receipt Status]]="No GR - Not Received", 1, 0)</f>
        <v>0</v>
      </c>
      <c r="X374" s="5">
        <f>IF(po_master[[#This Row],[No invoice]]="No Invoice", 1, 0)</f>
        <v>0</v>
      </c>
      <c r="Y374" s="5">
        <f>IF(po_master[[#This Row],[Date Check]]="Invalid Date", 1, 0)</f>
        <v>0</v>
      </c>
      <c r="Z374" s="5">
        <f>IF(po_master[[#This Row],[Qty Variance Flag]]="Qty Variance", 1, 0)</f>
        <v>0</v>
      </c>
      <c r="AA374" s="5">
        <f>IF(po_master[[#This Row],[Price Variance Flag]]="Price Variance", 1, 0)</f>
        <v>0</v>
      </c>
      <c r="AB374" s="5">
        <f>IF(po_master[[#This Row],[Late Delivery Flag]]="Late Delivery", 1, 0)</f>
        <v>0</v>
      </c>
      <c r="AC374" s="5">
        <f>IF(po_master[[#This Row],[Duplicate Invoice Flag]]="Duplicate Invoice", 1, 0)</f>
        <v>0</v>
      </c>
      <c r="AD374" s="5" t="str">
        <f>TEXT(po_master[[#This Row],[Order Date]],"YYYY-MM")</f>
        <v>2026-02</v>
      </c>
    </row>
    <row r="375" spans="1:30" x14ac:dyDescent="0.25">
      <c r="A375" t="s">
        <v>332</v>
      </c>
      <c r="B375" t="s">
        <v>1512</v>
      </c>
      <c r="C375" s="1">
        <v>46150</v>
      </c>
      <c r="D375">
        <v>21</v>
      </c>
      <c r="E375">
        <v>22.56</v>
      </c>
      <c r="F375" t="s">
        <v>1453</v>
      </c>
      <c r="G375" s="1">
        <v>46171</v>
      </c>
      <c r="H375">
        <v>21</v>
      </c>
      <c r="I375" s="1">
        <v>46173</v>
      </c>
      <c r="J375" t="s">
        <v>1054</v>
      </c>
      <c r="K375">
        <v>21</v>
      </c>
      <c r="L375">
        <v>22.56</v>
      </c>
      <c r="M375" s="1">
        <v>46181</v>
      </c>
      <c r="N375" t="str">
        <f>IF(po_master[[#This Row],[Approved By]]="", "Missing Approval", "OK")</f>
        <v>OK</v>
      </c>
      <c r="O375" t="str">
        <f>IF(ISBLANK(po_master[[#This Row],[GR Quantity]]), "No GR - Not received", "OK")</f>
        <v>OK</v>
      </c>
      <c r="P375" t="str">
        <f>IF(po_master[[#This Row],[Promised Delivey Date]]&lt;po_master[[#This Row],[Order Date]], "Invalid", "OK")</f>
        <v>OK</v>
      </c>
      <c r="Q375" t="str">
        <f>IF(ISBLANK(po_master[[#This Row],[Invoice Number]]), "No Invoice", "OK")</f>
        <v>OK</v>
      </c>
      <c r="R375" t="str">
        <f>IF(AND(NOT(ISBLANK(po_master[[#This Row],[GR Quantity]])), po_master[[#This Row],[GR Quantity]]&lt;&gt;po_master[[#This Row],[PO Quantity]]), "Qty Variance", "OK")</f>
        <v>OK</v>
      </c>
      <c r="S375" t="str">
        <f>IF(po_master[[#This Row],[Invoice Unit Price]]&gt;po_master[[#This Row],[PO Unit Price]]*1.01, "Price Variance", "OK")</f>
        <v>OK</v>
      </c>
      <c r="T375" t="str">
        <f>IF(po_master[[#This Row],[Actual Delivery Date]]&gt;po_master[[#This Row],[Promised Delivey Date]], "Late Delivery", "OK")</f>
        <v>Late Delivery</v>
      </c>
      <c r="U375" t="str">
        <f>IF(COUNTIF(po_master[PO Number],po_master[[#This Row],[PO Number]])&gt;1, "Duplicate Invoice", "OK")</f>
        <v>OK</v>
      </c>
      <c r="V375" s="5">
        <f>IF(po_master[[#This Row],[Missing Approval]]="Missing Approval", 1, 0)</f>
        <v>0</v>
      </c>
      <c r="W375" s="5">
        <f>IF(po_master[[#This Row],[GR Receipt Status]]="No GR - Not Received", 1, 0)</f>
        <v>0</v>
      </c>
      <c r="X375" s="5">
        <f>IF(po_master[[#This Row],[No invoice]]="No Invoice", 1, 0)</f>
        <v>0</v>
      </c>
      <c r="Y375" s="5">
        <f>IF(po_master[[#This Row],[Date Check]]="Invalid Date", 1, 0)</f>
        <v>0</v>
      </c>
      <c r="Z375" s="5">
        <f>IF(po_master[[#This Row],[Qty Variance Flag]]="Qty Variance", 1, 0)</f>
        <v>0</v>
      </c>
      <c r="AA375" s="5">
        <f>IF(po_master[[#This Row],[Price Variance Flag]]="Price Variance", 1, 0)</f>
        <v>0</v>
      </c>
      <c r="AB375" s="5">
        <f>IF(po_master[[#This Row],[Late Delivery Flag]]="Late Delivery", 1, 0)</f>
        <v>1</v>
      </c>
      <c r="AC375" s="5">
        <f>IF(po_master[[#This Row],[Duplicate Invoice Flag]]="Duplicate Invoice", 1, 0)</f>
        <v>0</v>
      </c>
      <c r="AD375" s="5" t="str">
        <f>TEXT(po_master[[#This Row],[Order Date]],"YYYY-MM")</f>
        <v>2026-05</v>
      </c>
    </row>
    <row r="376" spans="1:30" x14ac:dyDescent="0.25">
      <c r="A376" t="s">
        <v>333</v>
      </c>
      <c r="B376" t="s">
        <v>1489</v>
      </c>
      <c r="C376" s="1">
        <v>46084</v>
      </c>
      <c r="D376">
        <v>120</v>
      </c>
      <c r="E376">
        <v>118.75</v>
      </c>
      <c r="F376" t="s">
        <v>1462</v>
      </c>
      <c r="G376" s="1">
        <v>46090</v>
      </c>
      <c r="H376">
        <v>120</v>
      </c>
      <c r="I376" s="1">
        <v>46088</v>
      </c>
      <c r="J376" t="s">
        <v>1055</v>
      </c>
      <c r="K376">
        <v>120</v>
      </c>
      <c r="L376">
        <v>118.75</v>
      </c>
      <c r="M376" s="1">
        <v>46098</v>
      </c>
      <c r="N376" t="str">
        <f>IF(po_master[[#This Row],[Approved By]]="", "Missing Approval", "OK")</f>
        <v>OK</v>
      </c>
      <c r="O376" t="str">
        <f>IF(ISBLANK(po_master[[#This Row],[GR Quantity]]), "No GR - Not received", "OK")</f>
        <v>OK</v>
      </c>
      <c r="P376" t="str">
        <f>IF(po_master[[#This Row],[Promised Delivey Date]]&lt;po_master[[#This Row],[Order Date]], "Invalid", "OK")</f>
        <v>OK</v>
      </c>
      <c r="Q376" t="str">
        <f>IF(ISBLANK(po_master[[#This Row],[Invoice Number]]), "No Invoice", "OK")</f>
        <v>OK</v>
      </c>
      <c r="R376" t="str">
        <f>IF(AND(NOT(ISBLANK(po_master[[#This Row],[GR Quantity]])), po_master[[#This Row],[GR Quantity]]&lt;&gt;po_master[[#This Row],[PO Quantity]]), "Qty Variance", "OK")</f>
        <v>OK</v>
      </c>
      <c r="S376" t="str">
        <f>IF(po_master[[#This Row],[Invoice Unit Price]]&gt;po_master[[#This Row],[PO Unit Price]]*1.01, "Price Variance", "OK")</f>
        <v>OK</v>
      </c>
      <c r="T376" t="str">
        <f>IF(po_master[[#This Row],[Actual Delivery Date]]&gt;po_master[[#This Row],[Promised Delivey Date]], "Late Delivery", "OK")</f>
        <v>OK</v>
      </c>
      <c r="U376" t="str">
        <f>IF(COUNTIF(po_master[PO Number],po_master[[#This Row],[PO Number]])&gt;1, "Duplicate Invoice", "OK")</f>
        <v>OK</v>
      </c>
      <c r="V376" s="5">
        <f>IF(po_master[[#This Row],[Missing Approval]]="Missing Approval", 1, 0)</f>
        <v>0</v>
      </c>
      <c r="W376" s="5">
        <f>IF(po_master[[#This Row],[GR Receipt Status]]="No GR - Not Received", 1, 0)</f>
        <v>0</v>
      </c>
      <c r="X376" s="5">
        <f>IF(po_master[[#This Row],[No invoice]]="No Invoice", 1, 0)</f>
        <v>0</v>
      </c>
      <c r="Y376" s="5">
        <f>IF(po_master[[#This Row],[Date Check]]="Invalid Date", 1, 0)</f>
        <v>0</v>
      </c>
      <c r="Z376" s="5">
        <f>IF(po_master[[#This Row],[Qty Variance Flag]]="Qty Variance", 1, 0)</f>
        <v>0</v>
      </c>
      <c r="AA376" s="5">
        <f>IF(po_master[[#This Row],[Price Variance Flag]]="Price Variance", 1, 0)</f>
        <v>0</v>
      </c>
      <c r="AB376" s="5">
        <f>IF(po_master[[#This Row],[Late Delivery Flag]]="Late Delivery", 1, 0)</f>
        <v>0</v>
      </c>
      <c r="AC376" s="5">
        <f>IF(po_master[[#This Row],[Duplicate Invoice Flag]]="Duplicate Invoice", 1, 0)</f>
        <v>0</v>
      </c>
      <c r="AD376" s="5" t="str">
        <f>TEXT(po_master[[#This Row],[Order Date]],"YYYY-MM")</f>
        <v>2026-03</v>
      </c>
    </row>
    <row r="377" spans="1:30" x14ac:dyDescent="0.25">
      <c r="A377" t="s">
        <v>334</v>
      </c>
      <c r="B377" t="s">
        <v>1506</v>
      </c>
      <c r="C377" s="1">
        <v>46149</v>
      </c>
      <c r="D377">
        <v>315</v>
      </c>
      <c r="E377">
        <v>177.06</v>
      </c>
      <c r="F377" t="s">
        <v>1446</v>
      </c>
      <c r="G377" s="1">
        <v>46169</v>
      </c>
      <c r="H377">
        <v>315</v>
      </c>
      <c r="I377" s="1">
        <v>46167</v>
      </c>
      <c r="J377" t="s">
        <v>1056</v>
      </c>
      <c r="K377">
        <v>315</v>
      </c>
      <c r="L377">
        <v>189.7</v>
      </c>
      <c r="M377" s="1">
        <v>46171</v>
      </c>
      <c r="N377" t="str">
        <f>IF(po_master[[#This Row],[Approved By]]="", "Missing Approval", "OK")</f>
        <v>OK</v>
      </c>
      <c r="O377" t="str">
        <f>IF(ISBLANK(po_master[[#This Row],[GR Quantity]]), "No GR - Not received", "OK")</f>
        <v>OK</v>
      </c>
      <c r="P377" t="str">
        <f>IF(po_master[[#This Row],[Promised Delivey Date]]&lt;po_master[[#This Row],[Order Date]], "Invalid", "OK")</f>
        <v>OK</v>
      </c>
      <c r="Q377" t="str">
        <f>IF(ISBLANK(po_master[[#This Row],[Invoice Number]]), "No Invoice", "OK")</f>
        <v>OK</v>
      </c>
      <c r="R377" t="str">
        <f>IF(AND(NOT(ISBLANK(po_master[[#This Row],[GR Quantity]])), po_master[[#This Row],[GR Quantity]]&lt;&gt;po_master[[#This Row],[PO Quantity]]), "Qty Variance", "OK")</f>
        <v>OK</v>
      </c>
      <c r="S377" t="str">
        <f>IF(po_master[[#This Row],[Invoice Unit Price]]&gt;po_master[[#This Row],[PO Unit Price]]*1.01, "Price Variance", "OK")</f>
        <v>Price Variance</v>
      </c>
      <c r="T377" t="str">
        <f>IF(po_master[[#This Row],[Actual Delivery Date]]&gt;po_master[[#This Row],[Promised Delivey Date]], "Late Delivery", "OK")</f>
        <v>OK</v>
      </c>
      <c r="U377" t="str">
        <f>IF(COUNTIF(po_master[PO Number],po_master[[#This Row],[PO Number]])&gt;1, "Duplicate Invoice", "OK")</f>
        <v>OK</v>
      </c>
      <c r="V377" s="5">
        <f>IF(po_master[[#This Row],[Missing Approval]]="Missing Approval", 1, 0)</f>
        <v>0</v>
      </c>
      <c r="W377" s="5">
        <f>IF(po_master[[#This Row],[GR Receipt Status]]="No GR - Not Received", 1, 0)</f>
        <v>0</v>
      </c>
      <c r="X377" s="5">
        <f>IF(po_master[[#This Row],[No invoice]]="No Invoice", 1, 0)</f>
        <v>0</v>
      </c>
      <c r="Y377" s="5">
        <f>IF(po_master[[#This Row],[Date Check]]="Invalid Date", 1, 0)</f>
        <v>0</v>
      </c>
      <c r="Z377" s="5">
        <f>IF(po_master[[#This Row],[Qty Variance Flag]]="Qty Variance", 1, 0)</f>
        <v>0</v>
      </c>
      <c r="AA377" s="5">
        <f>IF(po_master[[#This Row],[Price Variance Flag]]="Price Variance", 1, 0)</f>
        <v>1</v>
      </c>
      <c r="AB377" s="5">
        <f>IF(po_master[[#This Row],[Late Delivery Flag]]="Late Delivery", 1, 0)</f>
        <v>0</v>
      </c>
      <c r="AC377" s="5">
        <f>IF(po_master[[#This Row],[Duplicate Invoice Flag]]="Duplicate Invoice", 1, 0)</f>
        <v>0</v>
      </c>
      <c r="AD377" s="5" t="str">
        <f>TEXT(po_master[[#This Row],[Order Date]],"YYYY-MM")</f>
        <v>2026-05</v>
      </c>
    </row>
    <row r="378" spans="1:30" x14ac:dyDescent="0.25">
      <c r="A378" t="s">
        <v>335</v>
      </c>
      <c r="B378" t="s">
        <v>1506</v>
      </c>
      <c r="C378" s="1">
        <v>46160</v>
      </c>
      <c r="D378">
        <v>14</v>
      </c>
      <c r="E378">
        <v>170.2</v>
      </c>
      <c r="F378" t="s">
        <v>1507</v>
      </c>
      <c r="G378" s="1">
        <v>46169</v>
      </c>
      <c r="H378">
        <v>14</v>
      </c>
      <c r="I378" s="1">
        <v>46171</v>
      </c>
      <c r="J378" t="s">
        <v>1057</v>
      </c>
      <c r="K378">
        <v>14</v>
      </c>
      <c r="L378">
        <v>170.2</v>
      </c>
      <c r="M378" s="1">
        <v>46173</v>
      </c>
      <c r="N378" t="str">
        <f>IF(po_master[[#This Row],[Approved By]]="", "Missing Approval", "OK")</f>
        <v>OK</v>
      </c>
      <c r="O378" t="str">
        <f>IF(ISBLANK(po_master[[#This Row],[GR Quantity]]), "No GR - Not received", "OK")</f>
        <v>OK</v>
      </c>
      <c r="P378" t="str">
        <f>IF(po_master[[#This Row],[Promised Delivey Date]]&lt;po_master[[#This Row],[Order Date]], "Invalid", "OK")</f>
        <v>OK</v>
      </c>
      <c r="Q378" t="str">
        <f>IF(ISBLANK(po_master[[#This Row],[Invoice Number]]), "No Invoice", "OK")</f>
        <v>OK</v>
      </c>
      <c r="R378" t="str">
        <f>IF(AND(NOT(ISBLANK(po_master[[#This Row],[GR Quantity]])), po_master[[#This Row],[GR Quantity]]&lt;&gt;po_master[[#This Row],[PO Quantity]]), "Qty Variance", "OK")</f>
        <v>OK</v>
      </c>
      <c r="S378" t="str">
        <f>IF(po_master[[#This Row],[Invoice Unit Price]]&gt;po_master[[#This Row],[PO Unit Price]]*1.01, "Price Variance", "OK")</f>
        <v>OK</v>
      </c>
      <c r="T378" t="str">
        <f>IF(po_master[[#This Row],[Actual Delivery Date]]&gt;po_master[[#This Row],[Promised Delivey Date]], "Late Delivery", "OK")</f>
        <v>Late Delivery</v>
      </c>
      <c r="U378" t="str">
        <f>IF(COUNTIF(po_master[PO Number],po_master[[#This Row],[PO Number]])&gt;1, "Duplicate Invoice", "OK")</f>
        <v>OK</v>
      </c>
      <c r="V378" s="5">
        <f>IF(po_master[[#This Row],[Missing Approval]]="Missing Approval", 1, 0)</f>
        <v>0</v>
      </c>
      <c r="W378" s="5">
        <f>IF(po_master[[#This Row],[GR Receipt Status]]="No GR - Not Received", 1, 0)</f>
        <v>0</v>
      </c>
      <c r="X378" s="5">
        <f>IF(po_master[[#This Row],[No invoice]]="No Invoice", 1, 0)</f>
        <v>0</v>
      </c>
      <c r="Y378" s="5">
        <f>IF(po_master[[#This Row],[Date Check]]="Invalid Date", 1, 0)</f>
        <v>0</v>
      </c>
      <c r="Z378" s="5">
        <f>IF(po_master[[#This Row],[Qty Variance Flag]]="Qty Variance", 1, 0)</f>
        <v>0</v>
      </c>
      <c r="AA378" s="5">
        <f>IF(po_master[[#This Row],[Price Variance Flag]]="Price Variance", 1, 0)</f>
        <v>0</v>
      </c>
      <c r="AB378" s="5">
        <f>IF(po_master[[#This Row],[Late Delivery Flag]]="Late Delivery", 1, 0)</f>
        <v>1</v>
      </c>
      <c r="AC378" s="5">
        <f>IF(po_master[[#This Row],[Duplicate Invoice Flag]]="Duplicate Invoice", 1, 0)</f>
        <v>0</v>
      </c>
      <c r="AD378" s="5" t="str">
        <f>TEXT(po_master[[#This Row],[Order Date]],"YYYY-MM")</f>
        <v>2026-05</v>
      </c>
    </row>
    <row r="379" spans="1:30" x14ac:dyDescent="0.25">
      <c r="A379" t="s">
        <v>336</v>
      </c>
      <c r="B379" t="s">
        <v>1470</v>
      </c>
      <c r="C379" s="1">
        <v>46116</v>
      </c>
      <c r="D379">
        <v>401</v>
      </c>
      <c r="E379">
        <v>83.63</v>
      </c>
      <c r="F379" t="s">
        <v>1462</v>
      </c>
      <c r="G379" s="1">
        <v>46133</v>
      </c>
      <c r="H379">
        <v>401</v>
      </c>
      <c r="I379" s="1">
        <v>46134</v>
      </c>
      <c r="J379" t="s">
        <v>1058</v>
      </c>
      <c r="K379">
        <v>401</v>
      </c>
      <c r="L379">
        <v>83.63</v>
      </c>
      <c r="M379" s="1">
        <v>46141</v>
      </c>
      <c r="N379" t="str">
        <f>IF(po_master[[#This Row],[Approved By]]="", "Missing Approval", "OK")</f>
        <v>OK</v>
      </c>
      <c r="O379" t="str">
        <f>IF(ISBLANK(po_master[[#This Row],[GR Quantity]]), "No GR - Not received", "OK")</f>
        <v>OK</v>
      </c>
      <c r="P379" t="str">
        <f>IF(po_master[[#This Row],[Promised Delivey Date]]&lt;po_master[[#This Row],[Order Date]], "Invalid", "OK")</f>
        <v>OK</v>
      </c>
      <c r="Q379" t="str">
        <f>IF(ISBLANK(po_master[[#This Row],[Invoice Number]]), "No Invoice", "OK")</f>
        <v>OK</v>
      </c>
      <c r="R379" t="str">
        <f>IF(AND(NOT(ISBLANK(po_master[[#This Row],[GR Quantity]])), po_master[[#This Row],[GR Quantity]]&lt;&gt;po_master[[#This Row],[PO Quantity]]), "Qty Variance", "OK")</f>
        <v>OK</v>
      </c>
      <c r="S379" t="str">
        <f>IF(po_master[[#This Row],[Invoice Unit Price]]&gt;po_master[[#This Row],[PO Unit Price]]*1.01, "Price Variance", "OK")</f>
        <v>OK</v>
      </c>
      <c r="T379" t="str">
        <f>IF(po_master[[#This Row],[Actual Delivery Date]]&gt;po_master[[#This Row],[Promised Delivey Date]], "Late Delivery", "OK")</f>
        <v>Late Delivery</v>
      </c>
      <c r="U379" t="str">
        <f>IF(COUNTIF(po_master[PO Number],po_master[[#This Row],[PO Number]])&gt;1, "Duplicate Invoice", "OK")</f>
        <v>OK</v>
      </c>
      <c r="V379" s="5">
        <f>IF(po_master[[#This Row],[Missing Approval]]="Missing Approval", 1, 0)</f>
        <v>0</v>
      </c>
      <c r="W379" s="5">
        <f>IF(po_master[[#This Row],[GR Receipt Status]]="No GR - Not Received", 1, 0)</f>
        <v>0</v>
      </c>
      <c r="X379" s="5">
        <f>IF(po_master[[#This Row],[No invoice]]="No Invoice", 1, 0)</f>
        <v>0</v>
      </c>
      <c r="Y379" s="5">
        <f>IF(po_master[[#This Row],[Date Check]]="Invalid Date", 1, 0)</f>
        <v>0</v>
      </c>
      <c r="Z379" s="5">
        <f>IF(po_master[[#This Row],[Qty Variance Flag]]="Qty Variance", 1, 0)</f>
        <v>0</v>
      </c>
      <c r="AA379" s="5">
        <f>IF(po_master[[#This Row],[Price Variance Flag]]="Price Variance", 1, 0)</f>
        <v>0</v>
      </c>
      <c r="AB379" s="5">
        <f>IF(po_master[[#This Row],[Late Delivery Flag]]="Late Delivery", 1, 0)</f>
        <v>1</v>
      </c>
      <c r="AC379" s="5">
        <f>IF(po_master[[#This Row],[Duplicate Invoice Flag]]="Duplicate Invoice", 1, 0)</f>
        <v>0</v>
      </c>
      <c r="AD379" s="5" t="str">
        <f>TEXT(po_master[[#This Row],[Order Date]],"YYYY-MM")</f>
        <v>2026-04</v>
      </c>
    </row>
    <row r="380" spans="1:30" x14ac:dyDescent="0.25">
      <c r="A380" t="s">
        <v>337</v>
      </c>
      <c r="B380" t="s">
        <v>1475</v>
      </c>
      <c r="C380" s="1">
        <v>46168</v>
      </c>
      <c r="D380">
        <v>297</v>
      </c>
      <c r="E380">
        <v>42.96</v>
      </c>
      <c r="F380" t="s">
        <v>1442</v>
      </c>
      <c r="G380" s="1">
        <v>46182</v>
      </c>
      <c r="H380">
        <v>297</v>
      </c>
      <c r="I380" s="1">
        <v>46181</v>
      </c>
      <c r="J380" t="s">
        <v>1059</v>
      </c>
      <c r="K380">
        <v>297</v>
      </c>
      <c r="L380">
        <v>42.96</v>
      </c>
      <c r="M380" s="1">
        <v>46184</v>
      </c>
      <c r="N380" t="str">
        <f>IF(po_master[[#This Row],[Approved By]]="", "Missing Approval", "OK")</f>
        <v>OK</v>
      </c>
      <c r="O380" t="str">
        <f>IF(ISBLANK(po_master[[#This Row],[GR Quantity]]), "No GR - Not received", "OK")</f>
        <v>OK</v>
      </c>
      <c r="P380" t="str">
        <f>IF(po_master[[#This Row],[Promised Delivey Date]]&lt;po_master[[#This Row],[Order Date]], "Invalid", "OK")</f>
        <v>OK</v>
      </c>
      <c r="Q380" t="str">
        <f>IF(ISBLANK(po_master[[#This Row],[Invoice Number]]), "No Invoice", "OK")</f>
        <v>OK</v>
      </c>
      <c r="R380" t="str">
        <f>IF(AND(NOT(ISBLANK(po_master[[#This Row],[GR Quantity]])), po_master[[#This Row],[GR Quantity]]&lt;&gt;po_master[[#This Row],[PO Quantity]]), "Qty Variance", "OK")</f>
        <v>OK</v>
      </c>
      <c r="S380" t="str">
        <f>IF(po_master[[#This Row],[Invoice Unit Price]]&gt;po_master[[#This Row],[PO Unit Price]]*1.01, "Price Variance", "OK")</f>
        <v>OK</v>
      </c>
      <c r="T380" t="str">
        <f>IF(po_master[[#This Row],[Actual Delivery Date]]&gt;po_master[[#This Row],[Promised Delivey Date]], "Late Delivery", "OK")</f>
        <v>OK</v>
      </c>
      <c r="U380" t="str">
        <f>IF(COUNTIF(po_master[PO Number],po_master[[#This Row],[PO Number]])&gt;1, "Duplicate Invoice", "OK")</f>
        <v>OK</v>
      </c>
      <c r="V380" s="5">
        <f>IF(po_master[[#This Row],[Missing Approval]]="Missing Approval", 1, 0)</f>
        <v>0</v>
      </c>
      <c r="W380" s="5">
        <f>IF(po_master[[#This Row],[GR Receipt Status]]="No GR - Not Received", 1, 0)</f>
        <v>0</v>
      </c>
      <c r="X380" s="5">
        <f>IF(po_master[[#This Row],[No invoice]]="No Invoice", 1, 0)</f>
        <v>0</v>
      </c>
      <c r="Y380" s="5">
        <f>IF(po_master[[#This Row],[Date Check]]="Invalid Date", 1, 0)</f>
        <v>0</v>
      </c>
      <c r="Z380" s="5">
        <f>IF(po_master[[#This Row],[Qty Variance Flag]]="Qty Variance", 1, 0)</f>
        <v>0</v>
      </c>
      <c r="AA380" s="5">
        <f>IF(po_master[[#This Row],[Price Variance Flag]]="Price Variance", 1, 0)</f>
        <v>0</v>
      </c>
      <c r="AB380" s="5">
        <f>IF(po_master[[#This Row],[Late Delivery Flag]]="Late Delivery", 1, 0)</f>
        <v>0</v>
      </c>
      <c r="AC380" s="5">
        <f>IF(po_master[[#This Row],[Duplicate Invoice Flag]]="Duplicate Invoice", 1, 0)</f>
        <v>0</v>
      </c>
      <c r="AD380" s="5" t="str">
        <f>TEXT(po_master[[#This Row],[Order Date]],"YYYY-MM")</f>
        <v>2026-05</v>
      </c>
    </row>
    <row r="381" spans="1:30" x14ac:dyDescent="0.25">
      <c r="A381" t="s">
        <v>338</v>
      </c>
      <c r="B381" t="s">
        <v>1492</v>
      </c>
      <c r="C381" s="1">
        <v>46121</v>
      </c>
      <c r="D381">
        <v>268</v>
      </c>
      <c r="E381">
        <v>92.82</v>
      </c>
      <c r="F381" t="s">
        <v>1442</v>
      </c>
      <c r="G381" s="1">
        <v>46134</v>
      </c>
      <c r="H381">
        <v>268</v>
      </c>
      <c r="I381" s="1">
        <v>46132</v>
      </c>
      <c r="J381" t="s">
        <v>1060</v>
      </c>
      <c r="K381">
        <v>268</v>
      </c>
      <c r="L381">
        <v>92.82</v>
      </c>
      <c r="M381" s="1">
        <v>46142</v>
      </c>
      <c r="N381" t="str">
        <f>IF(po_master[[#This Row],[Approved By]]="", "Missing Approval", "OK")</f>
        <v>OK</v>
      </c>
      <c r="O381" t="str">
        <f>IF(ISBLANK(po_master[[#This Row],[GR Quantity]]), "No GR - Not received", "OK")</f>
        <v>OK</v>
      </c>
      <c r="P381" t="str">
        <f>IF(po_master[[#This Row],[Promised Delivey Date]]&lt;po_master[[#This Row],[Order Date]], "Invalid", "OK")</f>
        <v>OK</v>
      </c>
      <c r="Q381" t="str">
        <f>IF(ISBLANK(po_master[[#This Row],[Invoice Number]]), "No Invoice", "OK")</f>
        <v>OK</v>
      </c>
      <c r="R381" t="str">
        <f>IF(AND(NOT(ISBLANK(po_master[[#This Row],[GR Quantity]])), po_master[[#This Row],[GR Quantity]]&lt;&gt;po_master[[#This Row],[PO Quantity]]), "Qty Variance", "OK")</f>
        <v>OK</v>
      </c>
      <c r="S381" t="str">
        <f>IF(po_master[[#This Row],[Invoice Unit Price]]&gt;po_master[[#This Row],[PO Unit Price]]*1.01, "Price Variance", "OK")</f>
        <v>OK</v>
      </c>
      <c r="T381" t="str">
        <f>IF(po_master[[#This Row],[Actual Delivery Date]]&gt;po_master[[#This Row],[Promised Delivey Date]], "Late Delivery", "OK")</f>
        <v>OK</v>
      </c>
      <c r="U381" t="str">
        <f>IF(COUNTIF(po_master[PO Number],po_master[[#This Row],[PO Number]])&gt;1, "Duplicate Invoice", "OK")</f>
        <v>OK</v>
      </c>
      <c r="V381" s="5">
        <f>IF(po_master[[#This Row],[Missing Approval]]="Missing Approval", 1, 0)</f>
        <v>0</v>
      </c>
      <c r="W381" s="5">
        <f>IF(po_master[[#This Row],[GR Receipt Status]]="No GR - Not Received", 1, 0)</f>
        <v>0</v>
      </c>
      <c r="X381" s="5">
        <f>IF(po_master[[#This Row],[No invoice]]="No Invoice", 1, 0)</f>
        <v>0</v>
      </c>
      <c r="Y381" s="5">
        <f>IF(po_master[[#This Row],[Date Check]]="Invalid Date", 1, 0)</f>
        <v>0</v>
      </c>
      <c r="Z381" s="5">
        <f>IF(po_master[[#This Row],[Qty Variance Flag]]="Qty Variance", 1, 0)</f>
        <v>0</v>
      </c>
      <c r="AA381" s="5">
        <f>IF(po_master[[#This Row],[Price Variance Flag]]="Price Variance", 1, 0)</f>
        <v>0</v>
      </c>
      <c r="AB381" s="5">
        <f>IF(po_master[[#This Row],[Late Delivery Flag]]="Late Delivery", 1, 0)</f>
        <v>0</v>
      </c>
      <c r="AC381" s="5">
        <f>IF(po_master[[#This Row],[Duplicate Invoice Flag]]="Duplicate Invoice", 1, 0)</f>
        <v>0</v>
      </c>
      <c r="AD381" s="5" t="str">
        <f>TEXT(po_master[[#This Row],[Order Date]],"YYYY-MM")</f>
        <v>2026-04</v>
      </c>
    </row>
    <row r="382" spans="1:30" x14ac:dyDescent="0.25">
      <c r="A382" t="s">
        <v>339</v>
      </c>
      <c r="B382" t="s">
        <v>1497</v>
      </c>
      <c r="C382" s="1">
        <v>46053</v>
      </c>
      <c r="D382">
        <v>75</v>
      </c>
      <c r="E382">
        <v>195.14</v>
      </c>
      <c r="F382" t="s">
        <v>1453</v>
      </c>
      <c r="G382" s="1">
        <v>46069</v>
      </c>
      <c r="H382">
        <v>75</v>
      </c>
      <c r="I382" s="1">
        <v>46084</v>
      </c>
      <c r="J382" t="s">
        <v>1061</v>
      </c>
      <c r="K382">
        <v>75</v>
      </c>
      <c r="L382">
        <v>195.14</v>
      </c>
      <c r="M382" s="1">
        <v>46074</v>
      </c>
      <c r="N382" t="str">
        <f>IF(po_master[[#This Row],[Approved By]]="", "Missing Approval", "OK")</f>
        <v>OK</v>
      </c>
      <c r="O382" t="str">
        <f>IF(ISBLANK(po_master[[#This Row],[GR Quantity]]), "No GR - Not received", "OK")</f>
        <v>OK</v>
      </c>
      <c r="P382" t="str">
        <f>IF(po_master[[#This Row],[Promised Delivey Date]]&lt;po_master[[#This Row],[Order Date]], "Invalid", "OK")</f>
        <v>OK</v>
      </c>
      <c r="Q382" t="str">
        <f>IF(ISBLANK(po_master[[#This Row],[Invoice Number]]), "No Invoice", "OK")</f>
        <v>OK</v>
      </c>
      <c r="R382" t="str">
        <f>IF(AND(NOT(ISBLANK(po_master[[#This Row],[GR Quantity]])), po_master[[#This Row],[GR Quantity]]&lt;&gt;po_master[[#This Row],[PO Quantity]]), "Qty Variance", "OK")</f>
        <v>OK</v>
      </c>
      <c r="S382" t="str">
        <f>IF(po_master[[#This Row],[Invoice Unit Price]]&gt;po_master[[#This Row],[PO Unit Price]]*1.01, "Price Variance", "OK")</f>
        <v>OK</v>
      </c>
      <c r="T382" t="str">
        <f>IF(po_master[[#This Row],[Actual Delivery Date]]&gt;po_master[[#This Row],[Promised Delivey Date]], "Late Delivery", "OK")</f>
        <v>Late Delivery</v>
      </c>
      <c r="U382" t="str">
        <f>IF(COUNTIF(po_master[PO Number],po_master[[#This Row],[PO Number]])&gt;1, "Duplicate Invoice", "OK")</f>
        <v>OK</v>
      </c>
      <c r="V382" s="5">
        <f>IF(po_master[[#This Row],[Missing Approval]]="Missing Approval", 1, 0)</f>
        <v>0</v>
      </c>
      <c r="W382" s="5">
        <f>IF(po_master[[#This Row],[GR Receipt Status]]="No GR - Not Received", 1, 0)</f>
        <v>0</v>
      </c>
      <c r="X382" s="5">
        <f>IF(po_master[[#This Row],[No invoice]]="No Invoice", 1, 0)</f>
        <v>0</v>
      </c>
      <c r="Y382" s="5">
        <f>IF(po_master[[#This Row],[Date Check]]="Invalid Date", 1, 0)</f>
        <v>0</v>
      </c>
      <c r="Z382" s="5">
        <f>IF(po_master[[#This Row],[Qty Variance Flag]]="Qty Variance", 1, 0)</f>
        <v>0</v>
      </c>
      <c r="AA382" s="5">
        <f>IF(po_master[[#This Row],[Price Variance Flag]]="Price Variance", 1, 0)</f>
        <v>0</v>
      </c>
      <c r="AB382" s="5">
        <f>IF(po_master[[#This Row],[Late Delivery Flag]]="Late Delivery", 1, 0)</f>
        <v>1</v>
      </c>
      <c r="AC382" s="5">
        <f>IF(po_master[[#This Row],[Duplicate Invoice Flag]]="Duplicate Invoice", 1, 0)</f>
        <v>0</v>
      </c>
      <c r="AD382" s="5" t="str">
        <f>TEXT(po_master[[#This Row],[Order Date]],"YYYY-MM")</f>
        <v>2026-01</v>
      </c>
    </row>
    <row r="383" spans="1:30" x14ac:dyDescent="0.25">
      <c r="A383" t="s">
        <v>340</v>
      </c>
      <c r="B383" t="s">
        <v>1479</v>
      </c>
      <c r="C383" s="1">
        <v>46165</v>
      </c>
      <c r="D383">
        <v>490</v>
      </c>
      <c r="E383">
        <v>76.290000000000006</v>
      </c>
      <c r="F383" t="s">
        <v>1485</v>
      </c>
      <c r="G383" s="1">
        <v>46176</v>
      </c>
      <c r="H383">
        <v>507</v>
      </c>
      <c r="I383" s="1">
        <v>46177</v>
      </c>
      <c r="J383" t="s">
        <v>1062</v>
      </c>
      <c r="K383">
        <v>490</v>
      </c>
      <c r="L383">
        <v>76.290000000000006</v>
      </c>
      <c r="M383" s="1">
        <v>46179</v>
      </c>
      <c r="N383" t="str">
        <f>IF(po_master[[#This Row],[Approved By]]="", "Missing Approval", "OK")</f>
        <v>OK</v>
      </c>
      <c r="O383" t="str">
        <f>IF(ISBLANK(po_master[[#This Row],[GR Quantity]]), "No GR - Not received", "OK")</f>
        <v>OK</v>
      </c>
      <c r="P383" t="str">
        <f>IF(po_master[[#This Row],[Promised Delivey Date]]&lt;po_master[[#This Row],[Order Date]], "Invalid", "OK")</f>
        <v>OK</v>
      </c>
      <c r="Q383" t="str">
        <f>IF(ISBLANK(po_master[[#This Row],[Invoice Number]]), "No Invoice", "OK")</f>
        <v>OK</v>
      </c>
      <c r="R383" t="str">
        <f>IF(AND(NOT(ISBLANK(po_master[[#This Row],[GR Quantity]])), po_master[[#This Row],[GR Quantity]]&lt;&gt;po_master[[#This Row],[PO Quantity]]), "Qty Variance", "OK")</f>
        <v>Qty Variance</v>
      </c>
      <c r="S383" t="str">
        <f>IF(po_master[[#This Row],[Invoice Unit Price]]&gt;po_master[[#This Row],[PO Unit Price]]*1.01, "Price Variance", "OK")</f>
        <v>OK</v>
      </c>
      <c r="T383" t="str">
        <f>IF(po_master[[#This Row],[Actual Delivery Date]]&gt;po_master[[#This Row],[Promised Delivey Date]], "Late Delivery", "OK")</f>
        <v>Late Delivery</v>
      </c>
      <c r="U383" t="str">
        <f>IF(COUNTIF(po_master[PO Number],po_master[[#This Row],[PO Number]])&gt;1, "Duplicate Invoice", "OK")</f>
        <v>OK</v>
      </c>
      <c r="V383" s="5">
        <f>IF(po_master[[#This Row],[Missing Approval]]="Missing Approval", 1, 0)</f>
        <v>0</v>
      </c>
      <c r="W383" s="5">
        <f>IF(po_master[[#This Row],[GR Receipt Status]]="No GR - Not Received", 1, 0)</f>
        <v>0</v>
      </c>
      <c r="X383" s="5">
        <f>IF(po_master[[#This Row],[No invoice]]="No Invoice", 1, 0)</f>
        <v>0</v>
      </c>
      <c r="Y383" s="5">
        <f>IF(po_master[[#This Row],[Date Check]]="Invalid Date", 1, 0)</f>
        <v>0</v>
      </c>
      <c r="Z383" s="5">
        <f>IF(po_master[[#This Row],[Qty Variance Flag]]="Qty Variance", 1, 0)</f>
        <v>1</v>
      </c>
      <c r="AA383" s="5">
        <f>IF(po_master[[#This Row],[Price Variance Flag]]="Price Variance", 1, 0)</f>
        <v>0</v>
      </c>
      <c r="AB383" s="5">
        <f>IF(po_master[[#This Row],[Late Delivery Flag]]="Late Delivery", 1, 0)</f>
        <v>1</v>
      </c>
      <c r="AC383" s="5">
        <f>IF(po_master[[#This Row],[Duplicate Invoice Flag]]="Duplicate Invoice", 1, 0)</f>
        <v>0</v>
      </c>
      <c r="AD383" s="5" t="str">
        <f>TEXT(po_master[[#This Row],[Order Date]],"YYYY-MM")</f>
        <v>2026-05</v>
      </c>
    </row>
    <row r="384" spans="1:30" x14ac:dyDescent="0.25">
      <c r="A384" t="s">
        <v>341</v>
      </c>
      <c r="B384" t="s">
        <v>1468</v>
      </c>
      <c r="C384" s="1">
        <v>46153</v>
      </c>
      <c r="D384">
        <v>215</v>
      </c>
      <c r="E384">
        <v>102.52</v>
      </c>
      <c r="F384" t="s">
        <v>1462</v>
      </c>
      <c r="G384" s="1">
        <v>46159</v>
      </c>
      <c r="H384">
        <v>215</v>
      </c>
      <c r="I384" s="1">
        <v>46159</v>
      </c>
      <c r="J384" t="s">
        <v>1063</v>
      </c>
      <c r="K384">
        <v>215</v>
      </c>
      <c r="L384">
        <v>102.52</v>
      </c>
      <c r="M384" s="1">
        <v>46169</v>
      </c>
      <c r="N384" t="str">
        <f>IF(po_master[[#This Row],[Approved By]]="", "Missing Approval", "OK")</f>
        <v>OK</v>
      </c>
      <c r="O384" t="str">
        <f>IF(ISBLANK(po_master[[#This Row],[GR Quantity]]), "No GR - Not received", "OK")</f>
        <v>OK</v>
      </c>
      <c r="P384" t="str">
        <f>IF(po_master[[#This Row],[Promised Delivey Date]]&lt;po_master[[#This Row],[Order Date]], "Invalid", "OK")</f>
        <v>OK</v>
      </c>
      <c r="Q384" t="str">
        <f>IF(ISBLANK(po_master[[#This Row],[Invoice Number]]), "No Invoice", "OK")</f>
        <v>OK</v>
      </c>
      <c r="R384" t="str">
        <f>IF(AND(NOT(ISBLANK(po_master[[#This Row],[GR Quantity]])), po_master[[#This Row],[GR Quantity]]&lt;&gt;po_master[[#This Row],[PO Quantity]]), "Qty Variance", "OK")</f>
        <v>OK</v>
      </c>
      <c r="S384" t="str">
        <f>IF(po_master[[#This Row],[Invoice Unit Price]]&gt;po_master[[#This Row],[PO Unit Price]]*1.01, "Price Variance", "OK")</f>
        <v>OK</v>
      </c>
      <c r="T384" t="str">
        <f>IF(po_master[[#This Row],[Actual Delivery Date]]&gt;po_master[[#This Row],[Promised Delivey Date]], "Late Delivery", "OK")</f>
        <v>OK</v>
      </c>
      <c r="U384" t="str">
        <f>IF(COUNTIF(po_master[PO Number],po_master[[#This Row],[PO Number]])&gt;1, "Duplicate Invoice", "OK")</f>
        <v>OK</v>
      </c>
      <c r="V384" s="5">
        <f>IF(po_master[[#This Row],[Missing Approval]]="Missing Approval", 1, 0)</f>
        <v>0</v>
      </c>
      <c r="W384" s="5">
        <f>IF(po_master[[#This Row],[GR Receipt Status]]="No GR - Not Received", 1, 0)</f>
        <v>0</v>
      </c>
      <c r="X384" s="5">
        <f>IF(po_master[[#This Row],[No invoice]]="No Invoice", 1, 0)</f>
        <v>0</v>
      </c>
      <c r="Y384" s="5">
        <f>IF(po_master[[#This Row],[Date Check]]="Invalid Date", 1, 0)</f>
        <v>0</v>
      </c>
      <c r="Z384" s="5">
        <f>IF(po_master[[#This Row],[Qty Variance Flag]]="Qty Variance", 1, 0)</f>
        <v>0</v>
      </c>
      <c r="AA384" s="5">
        <f>IF(po_master[[#This Row],[Price Variance Flag]]="Price Variance", 1, 0)</f>
        <v>0</v>
      </c>
      <c r="AB384" s="5">
        <f>IF(po_master[[#This Row],[Late Delivery Flag]]="Late Delivery", 1, 0)</f>
        <v>0</v>
      </c>
      <c r="AC384" s="5">
        <f>IF(po_master[[#This Row],[Duplicate Invoice Flag]]="Duplicate Invoice", 1, 0)</f>
        <v>0</v>
      </c>
      <c r="AD384" s="5" t="str">
        <f>TEXT(po_master[[#This Row],[Order Date]],"YYYY-MM")</f>
        <v>2026-05</v>
      </c>
    </row>
    <row r="385" spans="1:30" x14ac:dyDescent="0.25">
      <c r="A385" t="s">
        <v>342</v>
      </c>
      <c r="B385" t="s">
        <v>1468</v>
      </c>
      <c r="C385" s="1">
        <v>46154</v>
      </c>
      <c r="D385">
        <v>81</v>
      </c>
      <c r="E385">
        <v>68.95</v>
      </c>
      <c r="F385" t="s">
        <v>1494</v>
      </c>
      <c r="G385" s="1">
        <v>46169</v>
      </c>
      <c r="H385">
        <v>81</v>
      </c>
      <c r="I385" s="1">
        <v>46171</v>
      </c>
      <c r="J385" t="s">
        <v>1066</v>
      </c>
      <c r="K385">
        <v>81</v>
      </c>
      <c r="L385">
        <v>79.62</v>
      </c>
      <c r="M385" s="1">
        <v>46170</v>
      </c>
      <c r="N385" t="str">
        <f>IF(po_master[[#This Row],[Approved By]]="", "Missing Approval", "OK")</f>
        <v>OK</v>
      </c>
      <c r="O385" t="str">
        <f>IF(ISBLANK(po_master[[#This Row],[GR Quantity]]), "No GR - Not received", "OK")</f>
        <v>OK</v>
      </c>
      <c r="P385" t="str">
        <f>IF(po_master[[#This Row],[Promised Delivey Date]]&lt;po_master[[#This Row],[Order Date]], "Invalid", "OK")</f>
        <v>OK</v>
      </c>
      <c r="Q385" t="str">
        <f>IF(ISBLANK(po_master[[#This Row],[Invoice Number]]), "No Invoice", "OK")</f>
        <v>OK</v>
      </c>
      <c r="R385" t="str">
        <f>IF(AND(NOT(ISBLANK(po_master[[#This Row],[GR Quantity]])), po_master[[#This Row],[GR Quantity]]&lt;&gt;po_master[[#This Row],[PO Quantity]]), "Qty Variance", "OK")</f>
        <v>OK</v>
      </c>
      <c r="S385" t="str">
        <f>IF(po_master[[#This Row],[Invoice Unit Price]]&gt;po_master[[#This Row],[PO Unit Price]]*1.01, "Price Variance", "OK")</f>
        <v>Price Variance</v>
      </c>
      <c r="T385" t="str">
        <f>IF(po_master[[#This Row],[Actual Delivery Date]]&gt;po_master[[#This Row],[Promised Delivey Date]], "Late Delivery", "OK")</f>
        <v>Late Delivery</v>
      </c>
      <c r="U385" t="str">
        <f>IF(COUNTIF(po_master[PO Number],po_master[[#This Row],[PO Number]])&gt;1, "Duplicate Invoice", "OK")</f>
        <v>OK</v>
      </c>
      <c r="V385" s="5">
        <f>IF(po_master[[#This Row],[Missing Approval]]="Missing Approval", 1, 0)</f>
        <v>0</v>
      </c>
      <c r="W385" s="5">
        <f>IF(po_master[[#This Row],[GR Receipt Status]]="No GR - Not Received", 1, 0)</f>
        <v>0</v>
      </c>
      <c r="X385" s="5">
        <f>IF(po_master[[#This Row],[No invoice]]="No Invoice", 1, 0)</f>
        <v>0</v>
      </c>
      <c r="Y385" s="5">
        <f>IF(po_master[[#This Row],[Date Check]]="Invalid Date", 1, 0)</f>
        <v>0</v>
      </c>
      <c r="Z385" s="5">
        <f>IF(po_master[[#This Row],[Qty Variance Flag]]="Qty Variance", 1, 0)</f>
        <v>0</v>
      </c>
      <c r="AA385" s="5">
        <f>IF(po_master[[#This Row],[Price Variance Flag]]="Price Variance", 1, 0)</f>
        <v>1</v>
      </c>
      <c r="AB385" s="5">
        <f>IF(po_master[[#This Row],[Late Delivery Flag]]="Late Delivery", 1, 0)</f>
        <v>1</v>
      </c>
      <c r="AC385" s="5">
        <f>IF(po_master[[#This Row],[Duplicate Invoice Flag]]="Duplicate Invoice", 1, 0)</f>
        <v>0</v>
      </c>
      <c r="AD385" s="5" t="str">
        <f>TEXT(po_master[[#This Row],[Order Date]],"YYYY-MM")</f>
        <v>2026-05</v>
      </c>
    </row>
    <row r="386" spans="1:30" x14ac:dyDescent="0.25">
      <c r="A386" t="s">
        <v>343</v>
      </c>
      <c r="B386" t="s">
        <v>1460</v>
      </c>
      <c r="C386" s="1">
        <v>46123</v>
      </c>
      <c r="D386">
        <v>325</v>
      </c>
      <c r="E386">
        <v>149.16999999999999</v>
      </c>
      <c r="F386" t="s">
        <v>1474</v>
      </c>
      <c r="G386" s="1">
        <v>46138</v>
      </c>
      <c r="H386">
        <v>325</v>
      </c>
      <c r="I386" s="1">
        <v>46152</v>
      </c>
      <c r="J386" t="s">
        <v>1067</v>
      </c>
      <c r="K386">
        <v>325</v>
      </c>
      <c r="L386">
        <v>149.16999999999999</v>
      </c>
      <c r="M386" s="1">
        <v>46143</v>
      </c>
      <c r="N386" t="str">
        <f>IF(po_master[[#This Row],[Approved By]]="", "Missing Approval", "OK")</f>
        <v>OK</v>
      </c>
      <c r="O386" t="str">
        <f>IF(ISBLANK(po_master[[#This Row],[GR Quantity]]), "No GR - Not received", "OK")</f>
        <v>OK</v>
      </c>
      <c r="P386" t="str">
        <f>IF(po_master[[#This Row],[Promised Delivey Date]]&lt;po_master[[#This Row],[Order Date]], "Invalid", "OK")</f>
        <v>OK</v>
      </c>
      <c r="Q386" t="str">
        <f>IF(ISBLANK(po_master[[#This Row],[Invoice Number]]), "No Invoice", "OK")</f>
        <v>OK</v>
      </c>
      <c r="R386" t="str">
        <f>IF(AND(NOT(ISBLANK(po_master[[#This Row],[GR Quantity]])), po_master[[#This Row],[GR Quantity]]&lt;&gt;po_master[[#This Row],[PO Quantity]]), "Qty Variance", "OK")</f>
        <v>OK</v>
      </c>
      <c r="S386" t="str">
        <f>IF(po_master[[#This Row],[Invoice Unit Price]]&gt;po_master[[#This Row],[PO Unit Price]]*1.01, "Price Variance", "OK")</f>
        <v>OK</v>
      </c>
      <c r="T386" t="str">
        <f>IF(po_master[[#This Row],[Actual Delivery Date]]&gt;po_master[[#This Row],[Promised Delivey Date]], "Late Delivery", "OK")</f>
        <v>Late Delivery</v>
      </c>
      <c r="U386" t="str">
        <f>IF(COUNTIF(po_master[PO Number],po_master[[#This Row],[PO Number]])&gt;1, "Duplicate Invoice", "OK")</f>
        <v>OK</v>
      </c>
      <c r="V386" s="5">
        <f>IF(po_master[[#This Row],[Missing Approval]]="Missing Approval", 1, 0)</f>
        <v>0</v>
      </c>
      <c r="W386" s="5">
        <f>IF(po_master[[#This Row],[GR Receipt Status]]="No GR - Not Received", 1, 0)</f>
        <v>0</v>
      </c>
      <c r="X386" s="5">
        <f>IF(po_master[[#This Row],[No invoice]]="No Invoice", 1, 0)</f>
        <v>0</v>
      </c>
      <c r="Y386" s="5">
        <f>IF(po_master[[#This Row],[Date Check]]="Invalid Date", 1, 0)</f>
        <v>0</v>
      </c>
      <c r="Z386" s="5">
        <f>IF(po_master[[#This Row],[Qty Variance Flag]]="Qty Variance", 1, 0)</f>
        <v>0</v>
      </c>
      <c r="AA386" s="5">
        <f>IF(po_master[[#This Row],[Price Variance Flag]]="Price Variance", 1, 0)</f>
        <v>0</v>
      </c>
      <c r="AB386" s="5">
        <f>IF(po_master[[#This Row],[Late Delivery Flag]]="Late Delivery", 1, 0)</f>
        <v>1</v>
      </c>
      <c r="AC386" s="5">
        <f>IF(po_master[[#This Row],[Duplicate Invoice Flag]]="Duplicate Invoice", 1, 0)</f>
        <v>0</v>
      </c>
      <c r="AD386" s="5" t="str">
        <f>TEXT(po_master[[#This Row],[Order Date]],"YYYY-MM")</f>
        <v>2026-04</v>
      </c>
    </row>
    <row r="387" spans="1:30" x14ac:dyDescent="0.25">
      <c r="A387" t="s">
        <v>344</v>
      </c>
      <c r="B387" t="s">
        <v>1445</v>
      </c>
      <c r="C387" s="1">
        <v>46153</v>
      </c>
      <c r="D387">
        <v>282</v>
      </c>
      <c r="E387">
        <v>100.52</v>
      </c>
      <c r="F387" t="s">
        <v>1480</v>
      </c>
      <c r="G387" s="1">
        <v>46167</v>
      </c>
      <c r="H387">
        <v>282</v>
      </c>
      <c r="I387" s="1">
        <v>46167</v>
      </c>
      <c r="J387" t="s">
        <v>1068</v>
      </c>
      <c r="K387">
        <v>282</v>
      </c>
      <c r="L387">
        <v>100.52</v>
      </c>
      <c r="M387" s="1">
        <v>46169</v>
      </c>
      <c r="N387" t="str">
        <f>IF(po_master[[#This Row],[Approved By]]="", "Missing Approval", "OK")</f>
        <v>OK</v>
      </c>
      <c r="O387" t="str">
        <f>IF(ISBLANK(po_master[[#This Row],[GR Quantity]]), "No GR - Not received", "OK")</f>
        <v>OK</v>
      </c>
      <c r="P387" t="str">
        <f>IF(po_master[[#This Row],[Promised Delivey Date]]&lt;po_master[[#This Row],[Order Date]], "Invalid", "OK")</f>
        <v>OK</v>
      </c>
      <c r="Q387" t="str">
        <f>IF(ISBLANK(po_master[[#This Row],[Invoice Number]]), "No Invoice", "OK")</f>
        <v>OK</v>
      </c>
      <c r="R387" t="str">
        <f>IF(AND(NOT(ISBLANK(po_master[[#This Row],[GR Quantity]])), po_master[[#This Row],[GR Quantity]]&lt;&gt;po_master[[#This Row],[PO Quantity]]), "Qty Variance", "OK")</f>
        <v>OK</v>
      </c>
      <c r="S387" t="str">
        <f>IF(po_master[[#This Row],[Invoice Unit Price]]&gt;po_master[[#This Row],[PO Unit Price]]*1.01, "Price Variance", "OK")</f>
        <v>OK</v>
      </c>
      <c r="T387" t="str">
        <f>IF(po_master[[#This Row],[Actual Delivery Date]]&gt;po_master[[#This Row],[Promised Delivey Date]], "Late Delivery", "OK")</f>
        <v>OK</v>
      </c>
      <c r="U387" t="str">
        <f>IF(COUNTIF(po_master[PO Number],po_master[[#This Row],[PO Number]])&gt;1, "Duplicate Invoice", "OK")</f>
        <v>OK</v>
      </c>
      <c r="V387" s="5">
        <f>IF(po_master[[#This Row],[Missing Approval]]="Missing Approval", 1, 0)</f>
        <v>0</v>
      </c>
      <c r="W387" s="5">
        <f>IF(po_master[[#This Row],[GR Receipt Status]]="No GR - Not Received", 1, 0)</f>
        <v>0</v>
      </c>
      <c r="X387" s="5">
        <f>IF(po_master[[#This Row],[No invoice]]="No Invoice", 1, 0)</f>
        <v>0</v>
      </c>
      <c r="Y387" s="5">
        <f>IF(po_master[[#This Row],[Date Check]]="Invalid Date", 1, 0)</f>
        <v>0</v>
      </c>
      <c r="Z387" s="5">
        <f>IF(po_master[[#This Row],[Qty Variance Flag]]="Qty Variance", 1, 0)</f>
        <v>0</v>
      </c>
      <c r="AA387" s="5">
        <f>IF(po_master[[#This Row],[Price Variance Flag]]="Price Variance", 1, 0)</f>
        <v>0</v>
      </c>
      <c r="AB387" s="5">
        <f>IF(po_master[[#This Row],[Late Delivery Flag]]="Late Delivery", 1, 0)</f>
        <v>0</v>
      </c>
      <c r="AC387" s="5">
        <f>IF(po_master[[#This Row],[Duplicate Invoice Flag]]="Duplicate Invoice", 1, 0)</f>
        <v>0</v>
      </c>
      <c r="AD387" s="5" t="str">
        <f>TEXT(po_master[[#This Row],[Order Date]],"YYYY-MM")</f>
        <v>2026-05</v>
      </c>
    </row>
    <row r="388" spans="1:30" x14ac:dyDescent="0.25">
      <c r="A388" t="s">
        <v>345</v>
      </c>
      <c r="B388" t="s">
        <v>1510</v>
      </c>
      <c r="C388" s="1">
        <v>46027</v>
      </c>
      <c r="D388">
        <v>198</v>
      </c>
      <c r="E388">
        <v>69.59</v>
      </c>
      <c r="F388" t="s">
        <v>1483</v>
      </c>
      <c r="G388" s="1">
        <v>46045</v>
      </c>
      <c r="H388">
        <v>207</v>
      </c>
      <c r="I388" s="1">
        <v>46044</v>
      </c>
      <c r="J388" t="s">
        <v>1069</v>
      </c>
      <c r="K388">
        <v>198</v>
      </c>
      <c r="L388">
        <v>69.59</v>
      </c>
      <c r="M388" s="1">
        <v>46049</v>
      </c>
      <c r="N388" t="str">
        <f>IF(po_master[[#This Row],[Approved By]]="", "Missing Approval", "OK")</f>
        <v>OK</v>
      </c>
      <c r="O388" t="str">
        <f>IF(ISBLANK(po_master[[#This Row],[GR Quantity]]), "No GR - Not received", "OK")</f>
        <v>OK</v>
      </c>
      <c r="P388" t="str">
        <f>IF(po_master[[#This Row],[Promised Delivey Date]]&lt;po_master[[#This Row],[Order Date]], "Invalid", "OK")</f>
        <v>OK</v>
      </c>
      <c r="Q388" t="str">
        <f>IF(ISBLANK(po_master[[#This Row],[Invoice Number]]), "No Invoice", "OK")</f>
        <v>OK</v>
      </c>
      <c r="R388" t="str">
        <f>IF(AND(NOT(ISBLANK(po_master[[#This Row],[GR Quantity]])), po_master[[#This Row],[GR Quantity]]&lt;&gt;po_master[[#This Row],[PO Quantity]]), "Qty Variance", "OK")</f>
        <v>Qty Variance</v>
      </c>
      <c r="S388" t="str">
        <f>IF(po_master[[#This Row],[Invoice Unit Price]]&gt;po_master[[#This Row],[PO Unit Price]]*1.01, "Price Variance", "OK")</f>
        <v>OK</v>
      </c>
      <c r="T388" t="str">
        <f>IF(po_master[[#This Row],[Actual Delivery Date]]&gt;po_master[[#This Row],[Promised Delivey Date]], "Late Delivery", "OK")</f>
        <v>OK</v>
      </c>
      <c r="U388" t="str">
        <f>IF(COUNTIF(po_master[PO Number],po_master[[#This Row],[PO Number]])&gt;1, "Duplicate Invoice", "OK")</f>
        <v>OK</v>
      </c>
      <c r="V388" s="5">
        <f>IF(po_master[[#This Row],[Missing Approval]]="Missing Approval", 1, 0)</f>
        <v>0</v>
      </c>
      <c r="W388" s="5">
        <f>IF(po_master[[#This Row],[GR Receipt Status]]="No GR - Not Received", 1, 0)</f>
        <v>0</v>
      </c>
      <c r="X388" s="5">
        <f>IF(po_master[[#This Row],[No invoice]]="No Invoice", 1, 0)</f>
        <v>0</v>
      </c>
      <c r="Y388" s="5">
        <f>IF(po_master[[#This Row],[Date Check]]="Invalid Date", 1, 0)</f>
        <v>0</v>
      </c>
      <c r="Z388" s="5">
        <f>IF(po_master[[#This Row],[Qty Variance Flag]]="Qty Variance", 1, 0)</f>
        <v>1</v>
      </c>
      <c r="AA388" s="5">
        <f>IF(po_master[[#This Row],[Price Variance Flag]]="Price Variance", 1, 0)</f>
        <v>0</v>
      </c>
      <c r="AB388" s="5">
        <f>IF(po_master[[#This Row],[Late Delivery Flag]]="Late Delivery", 1, 0)</f>
        <v>0</v>
      </c>
      <c r="AC388" s="5">
        <f>IF(po_master[[#This Row],[Duplicate Invoice Flag]]="Duplicate Invoice", 1, 0)</f>
        <v>0</v>
      </c>
      <c r="AD388" s="5" t="str">
        <f>TEXT(po_master[[#This Row],[Order Date]],"YYYY-MM")</f>
        <v>2026-01</v>
      </c>
    </row>
    <row r="389" spans="1:30" x14ac:dyDescent="0.25">
      <c r="A389" t="s">
        <v>346</v>
      </c>
      <c r="B389" t="s">
        <v>1443</v>
      </c>
      <c r="C389" s="1">
        <v>46101</v>
      </c>
      <c r="D389">
        <v>417</v>
      </c>
      <c r="E389">
        <v>180.26</v>
      </c>
      <c r="F389" t="s">
        <v>1499</v>
      </c>
      <c r="G389" s="1">
        <v>46106</v>
      </c>
      <c r="H389">
        <v>417</v>
      </c>
      <c r="I389" s="1">
        <v>46104</v>
      </c>
      <c r="J389" t="s">
        <v>1070</v>
      </c>
      <c r="K389">
        <v>417</v>
      </c>
      <c r="L389">
        <v>180.26</v>
      </c>
      <c r="M389" s="1">
        <v>46115</v>
      </c>
      <c r="N389" t="str">
        <f>IF(po_master[[#This Row],[Approved By]]="", "Missing Approval", "OK")</f>
        <v>OK</v>
      </c>
      <c r="O389" t="str">
        <f>IF(ISBLANK(po_master[[#This Row],[GR Quantity]]), "No GR - Not received", "OK")</f>
        <v>OK</v>
      </c>
      <c r="P389" t="str">
        <f>IF(po_master[[#This Row],[Promised Delivey Date]]&lt;po_master[[#This Row],[Order Date]], "Invalid", "OK")</f>
        <v>OK</v>
      </c>
      <c r="Q389" t="str">
        <f>IF(ISBLANK(po_master[[#This Row],[Invoice Number]]), "No Invoice", "OK")</f>
        <v>OK</v>
      </c>
      <c r="R389" t="str">
        <f>IF(AND(NOT(ISBLANK(po_master[[#This Row],[GR Quantity]])), po_master[[#This Row],[GR Quantity]]&lt;&gt;po_master[[#This Row],[PO Quantity]]), "Qty Variance", "OK")</f>
        <v>OK</v>
      </c>
      <c r="S389" t="str">
        <f>IF(po_master[[#This Row],[Invoice Unit Price]]&gt;po_master[[#This Row],[PO Unit Price]]*1.01, "Price Variance", "OK")</f>
        <v>OK</v>
      </c>
      <c r="T389" t="str">
        <f>IF(po_master[[#This Row],[Actual Delivery Date]]&gt;po_master[[#This Row],[Promised Delivey Date]], "Late Delivery", "OK")</f>
        <v>OK</v>
      </c>
      <c r="U389" t="str">
        <f>IF(COUNTIF(po_master[PO Number],po_master[[#This Row],[PO Number]])&gt;1, "Duplicate Invoice", "OK")</f>
        <v>OK</v>
      </c>
      <c r="V389" s="5">
        <f>IF(po_master[[#This Row],[Missing Approval]]="Missing Approval", 1, 0)</f>
        <v>0</v>
      </c>
      <c r="W389" s="5">
        <f>IF(po_master[[#This Row],[GR Receipt Status]]="No GR - Not Received", 1, 0)</f>
        <v>0</v>
      </c>
      <c r="X389" s="5">
        <f>IF(po_master[[#This Row],[No invoice]]="No Invoice", 1, 0)</f>
        <v>0</v>
      </c>
      <c r="Y389" s="5">
        <f>IF(po_master[[#This Row],[Date Check]]="Invalid Date", 1, 0)</f>
        <v>0</v>
      </c>
      <c r="Z389" s="5">
        <f>IF(po_master[[#This Row],[Qty Variance Flag]]="Qty Variance", 1, 0)</f>
        <v>0</v>
      </c>
      <c r="AA389" s="5">
        <f>IF(po_master[[#This Row],[Price Variance Flag]]="Price Variance", 1, 0)</f>
        <v>0</v>
      </c>
      <c r="AB389" s="5">
        <f>IF(po_master[[#This Row],[Late Delivery Flag]]="Late Delivery", 1, 0)</f>
        <v>0</v>
      </c>
      <c r="AC389" s="5">
        <f>IF(po_master[[#This Row],[Duplicate Invoice Flag]]="Duplicate Invoice", 1, 0)</f>
        <v>0</v>
      </c>
      <c r="AD389" s="5" t="str">
        <f>TEXT(po_master[[#This Row],[Order Date]],"YYYY-MM")</f>
        <v>2026-03</v>
      </c>
    </row>
    <row r="390" spans="1:30" x14ac:dyDescent="0.25">
      <c r="A390" t="s">
        <v>347</v>
      </c>
      <c r="B390" t="s">
        <v>1468</v>
      </c>
      <c r="C390" s="1">
        <v>46144</v>
      </c>
      <c r="D390">
        <v>145</v>
      </c>
      <c r="E390">
        <v>193.58</v>
      </c>
      <c r="F390" t="s">
        <v>1456</v>
      </c>
      <c r="G390" s="1">
        <v>46156</v>
      </c>
      <c r="H390">
        <v>145</v>
      </c>
      <c r="I390" s="1">
        <v>46157</v>
      </c>
      <c r="J390" t="s">
        <v>1071</v>
      </c>
      <c r="K390">
        <v>145</v>
      </c>
      <c r="L390">
        <v>193.58</v>
      </c>
      <c r="M390" s="1">
        <v>46158</v>
      </c>
      <c r="N390" t="str">
        <f>IF(po_master[[#This Row],[Approved By]]="", "Missing Approval", "OK")</f>
        <v>OK</v>
      </c>
      <c r="O390" t="str">
        <f>IF(ISBLANK(po_master[[#This Row],[GR Quantity]]), "No GR - Not received", "OK")</f>
        <v>OK</v>
      </c>
      <c r="P390" t="str">
        <f>IF(po_master[[#This Row],[Promised Delivey Date]]&lt;po_master[[#This Row],[Order Date]], "Invalid", "OK")</f>
        <v>OK</v>
      </c>
      <c r="Q390" t="str">
        <f>IF(ISBLANK(po_master[[#This Row],[Invoice Number]]), "No Invoice", "OK")</f>
        <v>OK</v>
      </c>
      <c r="R390" t="str">
        <f>IF(AND(NOT(ISBLANK(po_master[[#This Row],[GR Quantity]])), po_master[[#This Row],[GR Quantity]]&lt;&gt;po_master[[#This Row],[PO Quantity]]), "Qty Variance", "OK")</f>
        <v>OK</v>
      </c>
      <c r="S390" t="str">
        <f>IF(po_master[[#This Row],[Invoice Unit Price]]&gt;po_master[[#This Row],[PO Unit Price]]*1.01, "Price Variance", "OK")</f>
        <v>OK</v>
      </c>
      <c r="T390" t="str">
        <f>IF(po_master[[#This Row],[Actual Delivery Date]]&gt;po_master[[#This Row],[Promised Delivey Date]], "Late Delivery", "OK")</f>
        <v>Late Delivery</v>
      </c>
      <c r="U390" t="str">
        <f>IF(COUNTIF(po_master[PO Number],po_master[[#This Row],[PO Number]])&gt;1, "Duplicate Invoice", "OK")</f>
        <v>OK</v>
      </c>
      <c r="V390" s="5">
        <f>IF(po_master[[#This Row],[Missing Approval]]="Missing Approval", 1, 0)</f>
        <v>0</v>
      </c>
      <c r="W390" s="5">
        <f>IF(po_master[[#This Row],[GR Receipt Status]]="No GR - Not Received", 1, 0)</f>
        <v>0</v>
      </c>
      <c r="X390" s="5">
        <f>IF(po_master[[#This Row],[No invoice]]="No Invoice", 1, 0)</f>
        <v>0</v>
      </c>
      <c r="Y390" s="5">
        <f>IF(po_master[[#This Row],[Date Check]]="Invalid Date", 1, 0)</f>
        <v>0</v>
      </c>
      <c r="Z390" s="5">
        <f>IF(po_master[[#This Row],[Qty Variance Flag]]="Qty Variance", 1, 0)</f>
        <v>0</v>
      </c>
      <c r="AA390" s="5">
        <f>IF(po_master[[#This Row],[Price Variance Flag]]="Price Variance", 1, 0)</f>
        <v>0</v>
      </c>
      <c r="AB390" s="5">
        <f>IF(po_master[[#This Row],[Late Delivery Flag]]="Late Delivery", 1, 0)</f>
        <v>1</v>
      </c>
      <c r="AC390" s="5">
        <f>IF(po_master[[#This Row],[Duplicate Invoice Flag]]="Duplicate Invoice", 1, 0)</f>
        <v>0</v>
      </c>
      <c r="AD390" s="5" t="str">
        <f>TEXT(po_master[[#This Row],[Order Date]],"YYYY-MM")</f>
        <v>2026-05</v>
      </c>
    </row>
    <row r="391" spans="1:30" x14ac:dyDescent="0.25">
      <c r="A391" t="s">
        <v>348</v>
      </c>
      <c r="B391" t="s">
        <v>1477</v>
      </c>
      <c r="C391" s="1">
        <v>46036</v>
      </c>
      <c r="D391">
        <v>308</v>
      </c>
      <c r="E391">
        <v>98.69</v>
      </c>
      <c r="F391" t="s">
        <v>1504</v>
      </c>
      <c r="G391" s="1">
        <v>46053</v>
      </c>
      <c r="H391">
        <v>308</v>
      </c>
      <c r="I391" s="1">
        <v>46052</v>
      </c>
      <c r="J391" t="s">
        <v>1072</v>
      </c>
      <c r="K391">
        <v>308</v>
      </c>
      <c r="L391">
        <v>98.69</v>
      </c>
      <c r="M391" s="1">
        <v>46060</v>
      </c>
      <c r="N391" t="str">
        <f>IF(po_master[[#This Row],[Approved By]]="", "Missing Approval", "OK")</f>
        <v>OK</v>
      </c>
      <c r="O391" t="str">
        <f>IF(ISBLANK(po_master[[#This Row],[GR Quantity]]), "No GR - Not received", "OK")</f>
        <v>OK</v>
      </c>
      <c r="P391" t="str">
        <f>IF(po_master[[#This Row],[Promised Delivey Date]]&lt;po_master[[#This Row],[Order Date]], "Invalid", "OK")</f>
        <v>OK</v>
      </c>
      <c r="Q391" t="str">
        <f>IF(ISBLANK(po_master[[#This Row],[Invoice Number]]), "No Invoice", "OK")</f>
        <v>OK</v>
      </c>
      <c r="R391" t="str">
        <f>IF(AND(NOT(ISBLANK(po_master[[#This Row],[GR Quantity]])), po_master[[#This Row],[GR Quantity]]&lt;&gt;po_master[[#This Row],[PO Quantity]]), "Qty Variance", "OK")</f>
        <v>OK</v>
      </c>
      <c r="S391" t="str">
        <f>IF(po_master[[#This Row],[Invoice Unit Price]]&gt;po_master[[#This Row],[PO Unit Price]]*1.01, "Price Variance", "OK")</f>
        <v>OK</v>
      </c>
      <c r="T391" t="str">
        <f>IF(po_master[[#This Row],[Actual Delivery Date]]&gt;po_master[[#This Row],[Promised Delivey Date]], "Late Delivery", "OK")</f>
        <v>OK</v>
      </c>
      <c r="U391" t="str">
        <f>IF(COUNTIF(po_master[PO Number],po_master[[#This Row],[PO Number]])&gt;1, "Duplicate Invoice", "OK")</f>
        <v>OK</v>
      </c>
      <c r="V391" s="5">
        <f>IF(po_master[[#This Row],[Missing Approval]]="Missing Approval", 1, 0)</f>
        <v>0</v>
      </c>
      <c r="W391" s="5">
        <f>IF(po_master[[#This Row],[GR Receipt Status]]="No GR - Not Received", 1, 0)</f>
        <v>0</v>
      </c>
      <c r="X391" s="5">
        <f>IF(po_master[[#This Row],[No invoice]]="No Invoice", 1, 0)</f>
        <v>0</v>
      </c>
      <c r="Y391" s="5">
        <f>IF(po_master[[#This Row],[Date Check]]="Invalid Date", 1, 0)</f>
        <v>0</v>
      </c>
      <c r="Z391" s="5">
        <f>IF(po_master[[#This Row],[Qty Variance Flag]]="Qty Variance", 1, 0)</f>
        <v>0</v>
      </c>
      <c r="AA391" s="5">
        <f>IF(po_master[[#This Row],[Price Variance Flag]]="Price Variance", 1, 0)</f>
        <v>0</v>
      </c>
      <c r="AB391" s="5">
        <f>IF(po_master[[#This Row],[Late Delivery Flag]]="Late Delivery", 1, 0)</f>
        <v>0</v>
      </c>
      <c r="AC391" s="5">
        <f>IF(po_master[[#This Row],[Duplicate Invoice Flag]]="Duplicate Invoice", 1, 0)</f>
        <v>0</v>
      </c>
      <c r="AD391" s="5" t="str">
        <f>TEXT(po_master[[#This Row],[Order Date]],"YYYY-MM")</f>
        <v>2026-01</v>
      </c>
    </row>
    <row r="392" spans="1:30" x14ac:dyDescent="0.25">
      <c r="A392" t="s">
        <v>349</v>
      </c>
      <c r="B392" t="s">
        <v>1464</v>
      </c>
      <c r="C392" s="1">
        <v>46085</v>
      </c>
      <c r="D392">
        <v>26</v>
      </c>
      <c r="E392">
        <v>116.65</v>
      </c>
      <c r="F392" t="s">
        <v>1499</v>
      </c>
      <c r="G392" s="1">
        <v>46093</v>
      </c>
      <c r="H392">
        <v>26</v>
      </c>
      <c r="I392" s="1">
        <v>46093</v>
      </c>
      <c r="J392" t="s">
        <v>1073</v>
      </c>
      <c r="K392">
        <v>26</v>
      </c>
      <c r="L392">
        <v>116.65</v>
      </c>
      <c r="M392" s="1">
        <v>46102</v>
      </c>
      <c r="N392" t="str">
        <f>IF(po_master[[#This Row],[Approved By]]="", "Missing Approval", "OK")</f>
        <v>OK</v>
      </c>
      <c r="O392" t="str">
        <f>IF(ISBLANK(po_master[[#This Row],[GR Quantity]]), "No GR - Not received", "OK")</f>
        <v>OK</v>
      </c>
      <c r="P392" t="str">
        <f>IF(po_master[[#This Row],[Promised Delivey Date]]&lt;po_master[[#This Row],[Order Date]], "Invalid", "OK")</f>
        <v>OK</v>
      </c>
      <c r="Q392" t="str">
        <f>IF(ISBLANK(po_master[[#This Row],[Invoice Number]]), "No Invoice", "OK")</f>
        <v>OK</v>
      </c>
      <c r="R392" t="str">
        <f>IF(AND(NOT(ISBLANK(po_master[[#This Row],[GR Quantity]])), po_master[[#This Row],[GR Quantity]]&lt;&gt;po_master[[#This Row],[PO Quantity]]), "Qty Variance", "OK")</f>
        <v>OK</v>
      </c>
      <c r="S392" t="str">
        <f>IF(po_master[[#This Row],[Invoice Unit Price]]&gt;po_master[[#This Row],[PO Unit Price]]*1.01, "Price Variance", "OK")</f>
        <v>OK</v>
      </c>
      <c r="T392" t="str">
        <f>IF(po_master[[#This Row],[Actual Delivery Date]]&gt;po_master[[#This Row],[Promised Delivey Date]], "Late Delivery", "OK")</f>
        <v>OK</v>
      </c>
      <c r="U392" t="str">
        <f>IF(COUNTIF(po_master[PO Number],po_master[[#This Row],[PO Number]])&gt;1, "Duplicate Invoice", "OK")</f>
        <v>OK</v>
      </c>
      <c r="V392" s="5">
        <f>IF(po_master[[#This Row],[Missing Approval]]="Missing Approval", 1, 0)</f>
        <v>0</v>
      </c>
      <c r="W392" s="5">
        <f>IF(po_master[[#This Row],[GR Receipt Status]]="No GR - Not Received", 1, 0)</f>
        <v>0</v>
      </c>
      <c r="X392" s="5">
        <f>IF(po_master[[#This Row],[No invoice]]="No Invoice", 1, 0)</f>
        <v>0</v>
      </c>
      <c r="Y392" s="5">
        <f>IF(po_master[[#This Row],[Date Check]]="Invalid Date", 1, 0)</f>
        <v>0</v>
      </c>
      <c r="Z392" s="5">
        <f>IF(po_master[[#This Row],[Qty Variance Flag]]="Qty Variance", 1, 0)</f>
        <v>0</v>
      </c>
      <c r="AA392" s="5">
        <f>IF(po_master[[#This Row],[Price Variance Flag]]="Price Variance", 1, 0)</f>
        <v>0</v>
      </c>
      <c r="AB392" s="5">
        <f>IF(po_master[[#This Row],[Late Delivery Flag]]="Late Delivery", 1, 0)</f>
        <v>0</v>
      </c>
      <c r="AC392" s="5">
        <f>IF(po_master[[#This Row],[Duplicate Invoice Flag]]="Duplicate Invoice", 1, 0)</f>
        <v>0</v>
      </c>
      <c r="AD392" s="5" t="str">
        <f>TEXT(po_master[[#This Row],[Order Date]],"YYYY-MM")</f>
        <v>2026-03</v>
      </c>
    </row>
    <row r="393" spans="1:30" x14ac:dyDescent="0.25">
      <c r="A393" t="s">
        <v>350</v>
      </c>
      <c r="B393" t="s">
        <v>1505</v>
      </c>
      <c r="C393" s="1">
        <v>46027</v>
      </c>
      <c r="D393">
        <v>235</v>
      </c>
      <c r="E393">
        <v>66.17</v>
      </c>
      <c r="F393" t="s">
        <v>1485</v>
      </c>
      <c r="G393" s="1">
        <v>46045</v>
      </c>
      <c r="H393">
        <v>235</v>
      </c>
      <c r="I393" s="1">
        <v>46044</v>
      </c>
      <c r="J393" t="s">
        <v>1074</v>
      </c>
      <c r="K393">
        <v>235</v>
      </c>
      <c r="L393">
        <v>75.819999999999993</v>
      </c>
      <c r="M393" s="1">
        <v>46053</v>
      </c>
      <c r="N393" t="str">
        <f>IF(po_master[[#This Row],[Approved By]]="", "Missing Approval", "OK")</f>
        <v>OK</v>
      </c>
      <c r="O393" t="str">
        <f>IF(ISBLANK(po_master[[#This Row],[GR Quantity]]), "No GR - Not received", "OK")</f>
        <v>OK</v>
      </c>
      <c r="P393" t="str">
        <f>IF(po_master[[#This Row],[Promised Delivey Date]]&lt;po_master[[#This Row],[Order Date]], "Invalid", "OK")</f>
        <v>OK</v>
      </c>
      <c r="Q393" t="str">
        <f>IF(ISBLANK(po_master[[#This Row],[Invoice Number]]), "No Invoice", "OK")</f>
        <v>OK</v>
      </c>
      <c r="R393" t="str">
        <f>IF(AND(NOT(ISBLANK(po_master[[#This Row],[GR Quantity]])), po_master[[#This Row],[GR Quantity]]&lt;&gt;po_master[[#This Row],[PO Quantity]]), "Qty Variance", "OK")</f>
        <v>OK</v>
      </c>
      <c r="S393" t="str">
        <f>IF(po_master[[#This Row],[Invoice Unit Price]]&gt;po_master[[#This Row],[PO Unit Price]]*1.01, "Price Variance", "OK")</f>
        <v>Price Variance</v>
      </c>
      <c r="T393" t="str">
        <f>IF(po_master[[#This Row],[Actual Delivery Date]]&gt;po_master[[#This Row],[Promised Delivey Date]], "Late Delivery", "OK")</f>
        <v>OK</v>
      </c>
      <c r="U393" t="str">
        <f>IF(COUNTIF(po_master[PO Number],po_master[[#This Row],[PO Number]])&gt;1, "Duplicate Invoice", "OK")</f>
        <v>OK</v>
      </c>
      <c r="V393" s="5">
        <f>IF(po_master[[#This Row],[Missing Approval]]="Missing Approval", 1, 0)</f>
        <v>0</v>
      </c>
      <c r="W393" s="5">
        <f>IF(po_master[[#This Row],[GR Receipt Status]]="No GR - Not Received", 1, 0)</f>
        <v>0</v>
      </c>
      <c r="X393" s="5">
        <f>IF(po_master[[#This Row],[No invoice]]="No Invoice", 1, 0)</f>
        <v>0</v>
      </c>
      <c r="Y393" s="5">
        <f>IF(po_master[[#This Row],[Date Check]]="Invalid Date", 1, 0)</f>
        <v>0</v>
      </c>
      <c r="Z393" s="5">
        <f>IF(po_master[[#This Row],[Qty Variance Flag]]="Qty Variance", 1, 0)</f>
        <v>0</v>
      </c>
      <c r="AA393" s="5">
        <f>IF(po_master[[#This Row],[Price Variance Flag]]="Price Variance", 1, 0)</f>
        <v>1</v>
      </c>
      <c r="AB393" s="5">
        <f>IF(po_master[[#This Row],[Late Delivery Flag]]="Late Delivery", 1, 0)</f>
        <v>0</v>
      </c>
      <c r="AC393" s="5">
        <f>IF(po_master[[#This Row],[Duplicate Invoice Flag]]="Duplicate Invoice", 1, 0)</f>
        <v>0</v>
      </c>
      <c r="AD393" s="5" t="str">
        <f>TEXT(po_master[[#This Row],[Order Date]],"YYYY-MM")</f>
        <v>2026-01</v>
      </c>
    </row>
    <row r="394" spans="1:30" x14ac:dyDescent="0.25">
      <c r="A394" t="s">
        <v>351</v>
      </c>
      <c r="B394" t="s">
        <v>1449</v>
      </c>
      <c r="C394" s="1">
        <v>46075</v>
      </c>
      <c r="D394">
        <v>220</v>
      </c>
      <c r="E394">
        <v>102.85</v>
      </c>
      <c r="F394" t="s">
        <v>1494</v>
      </c>
      <c r="G394" s="1">
        <v>46095</v>
      </c>
      <c r="H394">
        <v>220</v>
      </c>
      <c r="I394" s="1">
        <v>46096</v>
      </c>
      <c r="J394" t="s">
        <v>1075</v>
      </c>
      <c r="K394">
        <v>220</v>
      </c>
      <c r="L394">
        <v>102.85</v>
      </c>
      <c r="M394" s="1">
        <v>46099</v>
      </c>
      <c r="N394" t="str">
        <f>IF(po_master[[#This Row],[Approved By]]="", "Missing Approval", "OK")</f>
        <v>OK</v>
      </c>
      <c r="O394" t="str">
        <f>IF(ISBLANK(po_master[[#This Row],[GR Quantity]]), "No GR - Not received", "OK")</f>
        <v>OK</v>
      </c>
      <c r="P394" t="str">
        <f>IF(po_master[[#This Row],[Promised Delivey Date]]&lt;po_master[[#This Row],[Order Date]], "Invalid", "OK")</f>
        <v>OK</v>
      </c>
      <c r="Q394" t="str">
        <f>IF(ISBLANK(po_master[[#This Row],[Invoice Number]]), "No Invoice", "OK")</f>
        <v>OK</v>
      </c>
      <c r="R394" t="str">
        <f>IF(AND(NOT(ISBLANK(po_master[[#This Row],[GR Quantity]])), po_master[[#This Row],[GR Quantity]]&lt;&gt;po_master[[#This Row],[PO Quantity]]), "Qty Variance", "OK")</f>
        <v>OK</v>
      </c>
      <c r="S394" t="str">
        <f>IF(po_master[[#This Row],[Invoice Unit Price]]&gt;po_master[[#This Row],[PO Unit Price]]*1.01, "Price Variance", "OK")</f>
        <v>OK</v>
      </c>
      <c r="T394" t="str">
        <f>IF(po_master[[#This Row],[Actual Delivery Date]]&gt;po_master[[#This Row],[Promised Delivey Date]], "Late Delivery", "OK")</f>
        <v>Late Delivery</v>
      </c>
      <c r="U394" t="str">
        <f>IF(COUNTIF(po_master[PO Number],po_master[[#This Row],[PO Number]])&gt;1, "Duplicate Invoice", "OK")</f>
        <v>OK</v>
      </c>
      <c r="V394" s="5">
        <f>IF(po_master[[#This Row],[Missing Approval]]="Missing Approval", 1, 0)</f>
        <v>0</v>
      </c>
      <c r="W394" s="5">
        <f>IF(po_master[[#This Row],[GR Receipt Status]]="No GR - Not Received", 1, 0)</f>
        <v>0</v>
      </c>
      <c r="X394" s="5">
        <f>IF(po_master[[#This Row],[No invoice]]="No Invoice", 1, 0)</f>
        <v>0</v>
      </c>
      <c r="Y394" s="5">
        <f>IF(po_master[[#This Row],[Date Check]]="Invalid Date", 1, 0)</f>
        <v>0</v>
      </c>
      <c r="Z394" s="5">
        <f>IF(po_master[[#This Row],[Qty Variance Flag]]="Qty Variance", 1, 0)</f>
        <v>0</v>
      </c>
      <c r="AA394" s="5">
        <f>IF(po_master[[#This Row],[Price Variance Flag]]="Price Variance", 1, 0)</f>
        <v>0</v>
      </c>
      <c r="AB394" s="5">
        <f>IF(po_master[[#This Row],[Late Delivery Flag]]="Late Delivery", 1, 0)</f>
        <v>1</v>
      </c>
      <c r="AC394" s="5">
        <f>IF(po_master[[#This Row],[Duplicate Invoice Flag]]="Duplicate Invoice", 1, 0)</f>
        <v>0</v>
      </c>
      <c r="AD394" s="5" t="str">
        <f>TEXT(po_master[[#This Row],[Order Date]],"YYYY-MM")</f>
        <v>2026-02</v>
      </c>
    </row>
    <row r="395" spans="1:30" x14ac:dyDescent="0.25">
      <c r="A395" t="s">
        <v>352</v>
      </c>
      <c r="B395" t="s">
        <v>1465</v>
      </c>
      <c r="C395" s="1">
        <v>46038</v>
      </c>
      <c r="D395">
        <v>371</v>
      </c>
      <c r="E395">
        <v>31.93</v>
      </c>
      <c r="F395" t="s">
        <v>1444</v>
      </c>
      <c r="G395" s="1">
        <v>46053</v>
      </c>
      <c r="H395">
        <v>371</v>
      </c>
      <c r="I395" s="1">
        <v>46052</v>
      </c>
      <c r="J395" t="s">
        <v>1076</v>
      </c>
      <c r="K395">
        <v>371</v>
      </c>
      <c r="L395">
        <v>34.08</v>
      </c>
      <c r="M395" s="1">
        <v>46056</v>
      </c>
      <c r="N395" t="str">
        <f>IF(po_master[[#This Row],[Approved By]]="", "Missing Approval", "OK")</f>
        <v>OK</v>
      </c>
      <c r="O395" t="str">
        <f>IF(ISBLANK(po_master[[#This Row],[GR Quantity]]), "No GR - Not received", "OK")</f>
        <v>OK</v>
      </c>
      <c r="P395" t="str">
        <f>IF(po_master[[#This Row],[Promised Delivey Date]]&lt;po_master[[#This Row],[Order Date]], "Invalid", "OK")</f>
        <v>OK</v>
      </c>
      <c r="Q395" t="str">
        <f>IF(ISBLANK(po_master[[#This Row],[Invoice Number]]), "No Invoice", "OK")</f>
        <v>OK</v>
      </c>
      <c r="R395" t="str">
        <f>IF(AND(NOT(ISBLANK(po_master[[#This Row],[GR Quantity]])), po_master[[#This Row],[GR Quantity]]&lt;&gt;po_master[[#This Row],[PO Quantity]]), "Qty Variance", "OK")</f>
        <v>OK</v>
      </c>
      <c r="S395" t="str">
        <f>IF(po_master[[#This Row],[Invoice Unit Price]]&gt;po_master[[#This Row],[PO Unit Price]]*1.01, "Price Variance", "OK")</f>
        <v>Price Variance</v>
      </c>
      <c r="T395" t="str">
        <f>IF(po_master[[#This Row],[Actual Delivery Date]]&gt;po_master[[#This Row],[Promised Delivey Date]], "Late Delivery", "OK")</f>
        <v>OK</v>
      </c>
      <c r="U395" t="str">
        <f>IF(COUNTIF(po_master[PO Number],po_master[[#This Row],[PO Number]])&gt;1, "Duplicate Invoice", "OK")</f>
        <v>OK</v>
      </c>
      <c r="V395" s="5">
        <f>IF(po_master[[#This Row],[Missing Approval]]="Missing Approval", 1, 0)</f>
        <v>0</v>
      </c>
      <c r="W395" s="5">
        <f>IF(po_master[[#This Row],[GR Receipt Status]]="No GR - Not Received", 1, 0)</f>
        <v>0</v>
      </c>
      <c r="X395" s="5">
        <f>IF(po_master[[#This Row],[No invoice]]="No Invoice", 1, 0)</f>
        <v>0</v>
      </c>
      <c r="Y395" s="5">
        <f>IF(po_master[[#This Row],[Date Check]]="Invalid Date", 1, 0)</f>
        <v>0</v>
      </c>
      <c r="Z395" s="5">
        <f>IF(po_master[[#This Row],[Qty Variance Flag]]="Qty Variance", 1, 0)</f>
        <v>0</v>
      </c>
      <c r="AA395" s="5">
        <f>IF(po_master[[#This Row],[Price Variance Flag]]="Price Variance", 1, 0)</f>
        <v>1</v>
      </c>
      <c r="AB395" s="5">
        <f>IF(po_master[[#This Row],[Late Delivery Flag]]="Late Delivery", 1, 0)</f>
        <v>0</v>
      </c>
      <c r="AC395" s="5">
        <f>IF(po_master[[#This Row],[Duplicate Invoice Flag]]="Duplicate Invoice", 1, 0)</f>
        <v>0</v>
      </c>
      <c r="AD395" s="5" t="str">
        <f>TEXT(po_master[[#This Row],[Order Date]],"YYYY-MM")</f>
        <v>2026-01</v>
      </c>
    </row>
    <row r="396" spans="1:30" x14ac:dyDescent="0.25">
      <c r="A396" t="s">
        <v>353</v>
      </c>
      <c r="B396" t="s">
        <v>1484</v>
      </c>
      <c r="C396" s="1">
        <v>46145</v>
      </c>
      <c r="D396">
        <v>279</v>
      </c>
      <c r="E396">
        <v>78.48</v>
      </c>
      <c r="F396" t="s">
        <v>1501</v>
      </c>
      <c r="G396" s="1">
        <v>46164</v>
      </c>
      <c r="H396">
        <v>283</v>
      </c>
      <c r="I396" s="1">
        <v>46162</v>
      </c>
      <c r="J396" t="s">
        <v>1077</v>
      </c>
      <c r="K396">
        <v>279</v>
      </c>
      <c r="L396">
        <v>78.48</v>
      </c>
      <c r="M396" s="1">
        <v>46172</v>
      </c>
      <c r="N396" t="str">
        <f>IF(po_master[[#This Row],[Approved By]]="", "Missing Approval", "OK")</f>
        <v>OK</v>
      </c>
      <c r="O396" t="str">
        <f>IF(ISBLANK(po_master[[#This Row],[GR Quantity]]), "No GR - Not received", "OK")</f>
        <v>OK</v>
      </c>
      <c r="P396" t="str">
        <f>IF(po_master[[#This Row],[Promised Delivey Date]]&lt;po_master[[#This Row],[Order Date]], "Invalid", "OK")</f>
        <v>OK</v>
      </c>
      <c r="Q396" t="str">
        <f>IF(ISBLANK(po_master[[#This Row],[Invoice Number]]), "No Invoice", "OK")</f>
        <v>OK</v>
      </c>
      <c r="R396" t="str">
        <f>IF(AND(NOT(ISBLANK(po_master[[#This Row],[GR Quantity]])), po_master[[#This Row],[GR Quantity]]&lt;&gt;po_master[[#This Row],[PO Quantity]]), "Qty Variance", "OK")</f>
        <v>Qty Variance</v>
      </c>
      <c r="S396" t="str">
        <f>IF(po_master[[#This Row],[Invoice Unit Price]]&gt;po_master[[#This Row],[PO Unit Price]]*1.01, "Price Variance", "OK")</f>
        <v>OK</v>
      </c>
      <c r="T396" t="str">
        <f>IF(po_master[[#This Row],[Actual Delivery Date]]&gt;po_master[[#This Row],[Promised Delivey Date]], "Late Delivery", "OK")</f>
        <v>OK</v>
      </c>
      <c r="U396" t="str">
        <f>IF(COUNTIF(po_master[PO Number],po_master[[#This Row],[PO Number]])&gt;1, "Duplicate Invoice", "OK")</f>
        <v>OK</v>
      </c>
      <c r="V396" s="5">
        <f>IF(po_master[[#This Row],[Missing Approval]]="Missing Approval", 1, 0)</f>
        <v>0</v>
      </c>
      <c r="W396" s="5">
        <f>IF(po_master[[#This Row],[GR Receipt Status]]="No GR - Not Received", 1, 0)</f>
        <v>0</v>
      </c>
      <c r="X396" s="5">
        <f>IF(po_master[[#This Row],[No invoice]]="No Invoice", 1, 0)</f>
        <v>0</v>
      </c>
      <c r="Y396" s="5">
        <f>IF(po_master[[#This Row],[Date Check]]="Invalid Date", 1, 0)</f>
        <v>0</v>
      </c>
      <c r="Z396" s="5">
        <f>IF(po_master[[#This Row],[Qty Variance Flag]]="Qty Variance", 1, 0)</f>
        <v>1</v>
      </c>
      <c r="AA396" s="5">
        <f>IF(po_master[[#This Row],[Price Variance Flag]]="Price Variance", 1, 0)</f>
        <v>0</v>
      </c>
      <c r="AB396" s="5">
        <f>IF(po_master[[#This Row],[Late Delivery Flag]]="Late Delivery", 1, 0)</f>
        <v>0</v>
      </c>
      <c r="AC396" s="5">
        <f>IF(po_master[[#This Row],[Duplicate Invoice Flag]]="Duplicate Invoice", 1, 0)</f>
        <v>0</v>
      </c>
      <c r="AD396" s="5" t="str">
        <f>TEXT(po_master[[#This Row],[Order Date]],"YYYY-MM")</f>
        <v>2026-05</v>
      </c>
    </row>
    <row r="397" spans="1:30" x14ac:dyDescent="0.25">
      <c r="A397" t="s">
        <v>354</v>
      </c>
      <c r="B397" t="s">
        <v>1471</v>
      </c>
      <c r="C397" s="1">
        <v>46110</v>
      </c>
      <c r="D397">
        <v>289</v>
      </c>
      <c r="E397">
        <v>74.09</v>
      </c>
      <c r="F397" t="s">
        <v>1456</v>
      </c>
      <c r="G397" s="1">
        <v>46123</v>
      </c>
      <c r="H397">
        <v>289</v>
      </c>
      <c r="I397" s="1">
        <v>46125</v>
      </c>
      <c r="J397" t="s">
        <v>1078</v>
      </c>
      <c r="K397">
        <v>289</v>
      </c>
      <c r="L397">
        <v>85.1</v>
      </c>
      <c r="M397" s="1">
        <v>46131</v>
      </c>
      <c r="N397" t="str">
        <f>IF(po_master[[#This Row],[Approved By]]="", "Missing Approval", "OK")</f>
        <v>OK</v>
      </c>
      <c r="O397" t="str">
        <f>IF(ISBLANK(po_master[[#This Row],[GR Quantity]]), "No GR - Not received", "OK")</f>
        <v>OK</v>
      </c>
      <c r="P397" t="str">
        <f>IF(po_master[[#This Row],[Promised Delivey Date]]&lt;po_master[[#This Row],[Order Date]], "Invalid", "OK")</f>
        <v>OK</v>
      </c>
      <c r="Q397" t="str">
        <f>IF(ISBLANK(po_master[[#This Row],[Invoice Number]]), "No Invoice", "OK")</f>
        <v>OK</v>
      </c>
      <c r="R397" t="str">
        <f>IF(AND(NOT(ISBLANK(po_master[[#This Row],[GR Quantity]])), po_master[[#This Row],[GR Quantity]]&lt;&gt;po_master[[#This Row],[PO Quantity]]), "Qty Variance", "OK")</f>
        <v>OK</v>
      </c>
      <c r="S397" t="str">
        <f>IF(po_master[[#This Row],[Invoice Unit Price]]&gt;po_master[[#This Row],[PO Unit Price]]*1.01, "Price Variance", "OK")</f>
        <v>Price Variance</v>
      </c>
      <c r="T397" t="str">
        <f>IF(po_master[[#This Row],[Actual Delivery Date]]&gt;po_master[[#This Row],[Promised Delivey Date]], "Late Delivery", "OK")</f>
        <v>Late Delivery</v>
      </c>
      <c r="U397" t="str">
        <f>IF(COUNTIF(po_master[PO Number],po_master[[#This Row],[PO Number]])&gt;1, "Duplicate Invoice", "OK")</f>
        <v>OK</v>
      </c>
      <c r="V397" s="5">
        <f>IF(po_master[[#This Row],[Missing Approval]]="Missing Approval", 1, 0)</f>
        <v>0</v>
      </c>
      <c r="W397" s="5">
        <f>IF(po_master[[#This Row],[GR Receipt Status]]="No GR - Not Received", 1, 0)</f>
        <v>0</v>
      </c>
      <c r="X397" s="5">
        <f>IF(po_master[[#This Row],[No invoice]]="No Invoice", 1, 0)</f>
        <v>0</v>
      </c>
      <c r="Y397" s="5">
        <f>IF(po_master[[#This Row],[Date Check]]="Invalid Date", 1, 0)</f>
        <v>0</v>
      </c>
      <c r="Z397" s="5">
        <f>IF(po_master[[#This Row],[Qty Variance Flag]]="Qty Variance", 1, 0)</f>
        <v>0</v>
      </c>
      <c r="AA397" s="5">
        <f>IF(po_master[[#This Row],[Price Variance Flag]]="Price Variance", 1, 0)</f>
        <v>1</v>
      </c>
      <c r="AB397" s="5">
        <f>IF(po_master[[#This Row],[Late Delivery Flag]]="Late Delivery", 1, 0)</f>
        <v>1</v>
      </c>
      <c r="AC397" s="5">
        <f>IF(po_master[[#This Row],[Duplicate Invoice Flag]]="Duplicate Invoice", 1, 0)</f>
        <v>0</v>
      </c>
      <c r="AD397" s="5" t="str">
        <f>TEXT(po_master[[#This Row],[Order Date]],"YYYY-MM")</f>
        <v>2026-03</v>
      </c>
    </row>
    <row r="398" spans="1:30" x14ac:dyDescent="0.25">
      <c r="A398" t="s">
        <v>355</v>
      </c>
      <c r="B398" t="s">
        <v>1497</v>
      </c>
      <c r="C398" s="1">
        <v>46146</v>
      </c>
      <c r="D398">
        <v>108</v>
      </c>
      <c r="E398">
        <v>191.68</v>
      </c>
      <c r="F398" t="s">
        <v>1458</v>
      </c>
      <c r="G398" s="1">
        <v>46160</v>
      </c>
      <c r="H398">
        <v>108</v>
      </c>
      <c r="I398" s="1">
        <v>46178</v>
      </c>
      <c r="J398" t="s">
        <v>1079</v>
      </c>
      <c r="K398">
        <v>108</v>
      </c>
      <c r="L398">
        <v>191.68</v>
      </c>
      <c r="M398" s="1">
        <v>46163</v>
      </c>
      <c r="N398" t="str">
        <f>IF(po_master[[#This Row],[Approved By]]="", "Missing Approval", "OK")</f>
        <v>OK</v>
      </c>
      <c r="O398" t="str">
        <f>IF(ISBLANK(po_master[[#This Row],[GR Quantity]]), "No GR - Not received", "OK")</f>
        <v>OK</v>
      </c>
      <c r="P398" t="str">
        <f>IF(po_master[[#This Row],[Promised Delivey Date]]&lt;po_master[[#This Row],[Order Date]], "Invalid", "OK")</f>
        <v>OK</v>
      </c>
      <c r="Q398" t="str">
        <f>IF(ISBLANK(po_master[[#This Row],[Invoice Number]]), "No Invoice", "OK")</f>
        <v>OK</v>
      </c>
      <c r="R398" t="str">
        <f>IF(AND(NOT(ISBLANK(po_master[[#This Row],[GR Quantity]])), po_master[[#This Row],[GR Quantity]]&lt;&gt;po_master[[#This Row],[PO Quantity]]), "Qty Variance", "OK")</f>
        <v>OK</v>
      </c>
      <c r="S398" t="str">
        <f>IF(po_master[[#This Row],[Invoice Unit Price]]&gt;po_master[[#This Row],[PO Unit Price]]*1.01, "Price Variance", "OK")</f>
        <v>OK</v>
      </c>
      <c r="T398" t="str">
        <f>IF(po_master[[#This Row],[Actual Delivery Date]]&gt;po_master[[#This Row],[Promised Delivey Date]], "Late Delivery", "OK")</f>
        <v>Late Delivery</v>
      </c>
      <c r="U398" t="str">
        <f>IF(COUNTIF(po_master[PO Number],po_master[[#This Row],[PO Number]])&gt;1, "Duplicate Invoice", "OK")</f>
        <v>OK</v>
      </c>
      <c r="V398" s="5">
        <f>IF(po_master[[#This Row],[Missing Approval]]="Missing Approval", 1, 0)</f>
        <v>0</v>
      </c>
      <c r="W398" s="5">
        <f>IF(po_master[[#This Row],[GR Receipt Status]]="No GR - Not Received", 1, 0)</f>
        <v>0</v>
      </c>
      <c r="X398" s="5">
        <f>IF(po_master[[#This Row],[No invoice]]="No Invoice", 1, 0)</f>
        <v>0</v>
      </c>
      <c r="Y398" s="5">
        <f>IF(po_master[[#This Row],[Date Check]]="Invalid Date", 1, 0)</f>
        <v>0</v>
      </c>
      <c r="Z398" s="5">
        <f>IF(po_master[[#This Row],[Qty Variance Flag]]="Qty Variance", 1, 0)</f>
        <v>0</v>
      </c>
      <c r="AA398" s="5">
        <f>IF(po_master[[#This Row],[Price Variance Flag]]="Price Variance", 1, 0)</f>
        <v>0</v>
      </c>
      <c r="AB398" s="5">
        <f>IF(po_master[[#This Row],[Late Delivery Flag]]="Late Delivery", 1, 0)</f>
        <v>1</v>
      </c>
      <c r="AC398" s="5">
        <f>IF(po_master[[#This Row],[Duplicate Invoice Flag]]="Duplicate Invoice", 1, 0)</f>
        <v>0</v>
      </c>
      <c r="AD398" s="5" t="str">
        <f>TEXT(po_master[[#This Row],[Order Date]],"YYYY-MM")</f>
        <v>2026-05</v>
      </c>
    </row>
    <row r="399" spans="1:30" x14ac:dyDescent="0.25">
      <c r="A399" t="s">
        <v>356</v>
      </c>
      <c r="B399" t="s">
        <v>1509</v>
      </c>
      <c r="C399" s="1">
        <v>46145</v>
      </c>
      <c r="D399">
        <v>188</v>
      </c>
      <c r="E399">
        <v>114.3</v>
      </c>
      <c r="F399" t="s">
        <v>1490</v>
      </c>
      <c r="G399" s="1">
        <v>46158</v>
      </c>
      <c r="H399">
        <v>188</v>
      </c>
      <c r="I399" s="1">
        <v>46158</v>
      </c>
      <c r="J399" t="s">
        <v>1082</v>
      </c>
      <c r="K399">
        <v>188</v>
      </c>
      <c r="L399">
        <v>114.3</v>
      </c>
      <c r="M399" s="1">
        <v>46161</v>
      </c>
      <c r="N399" t="str">
        <f>IF(po_master[[#This Row],[Approved By]]="", "Missing Approval", "OK")</f>
        <v>OK</v>
      </c>
      <c r="O399" t="str">
        <f>IF(ISBLANK(po_master[[#This Row],[GR Quantity]]), "No GR - Not received", "OK")</f>
        <v>OK</v>
      </c>
      <c r="P399" t="str">
        <f>IF(po_master[[#This Row],[Promised Delivey Date]]&lt;po_master[[#This Row],[Order Date]], "Invalid", "OK")</f>
        <v>OK</v>
      </c>
      <c r="Q399" t="str">
        <f>IF(ISBLANK(po_master[[#This Row],[Invoice Number]]), "No Invoice", "OK")</f>
        <v>OK</v>
      </c>
      <c r="R399" t="str">
        <f>IF(AND(NOT(ISBLANK(po_master[[#This Row],[GR Quantity]])), po_master[[#This Row],[GR Quantity]]&lt;&gt;po_master[[#This Row],[PO Quantity]]), "Qty Variance", "OK")</f>
        <v>OK</v>
      </c>
      <c r="S399" t="str">
        <f>IF(po_master[[#This Row],[Invoice Unit Price]]&gt;po_master[[#This Row],[PO Unit Price]]*1.01, "Price Variance", "OK")</f>
        <v>OK</v>
      </c>
      <c r="T399" t="str">
        <f>IF(po_master[[#This Row],[Actual Delivery Date]]&gt;po_master[[#This Row],[Promised Delivey Date]], "Late Delivery", "OK")</f>
        <v>OK</v>
      </c>
      <c r="U399" t="str">
        <f>IF(COUNTIF(po_master[PO Number],po_master[[#This Row],[PO Number]])&gt;1, "Duplicate Invoice", "OK")</f>
        <v>OK</v>
      </c>
      <c r="V399" s="5">
        <f>IF(po_master[[#This Row],[Missing Approval]]="Missing Approval", 1, 0)</f>
        <v>0</v>
      </c>
      <c r="W399" s="5">
        <f>IF(po_master[[#This Row],[GR Receipt Status]]="No GR - Not Received", 1, 0)</f>
        <v>0</v>
      </c>
      <c r="X399" s="5">
        <f>IF(po_master[[#This Row],[No invoice]]="No Invoice", 1, 0)</f>
        <v>0</v>
      </c>
      <c r="Y399" s="5">
        <f>IF(po_master[[#This Row],[Date Check]]="Invalid Date", 1, 0)</f>
        <v>0</v>
      </c>
      <c r="Z399" s="5">
        <f>IF(po_master[[#This Row],[Qty Variance Flag]]="Qty Variance", 1, 0)</f>
        <v>0</v>
      </c>
      <c r="AA399" s="5">
        <f>IF(po_master[[#This Row],[Price Variance Flag]]="Price Variance", 1, 0)</f>
        <v>0</v>
      </c>
      <c r="AB399" s="5">
        <f>IF(po_master[[#This Row],[Late Delivery Flag]]="Late Delivery", 1, 0)</f>
        <v>0</v>
      </c>
      <c r="AC399" s="5">
        <f>IF(po_master[[#This Row],[Duplicate Invoice Flag]]="Duplicate Invoice", 1, 0)</f>
        <v>0</v>
      </c>
      <c r="AD399" s="5" t="str">
        <f>TEXT(po_master[[#This Row],[Order Date]],"YYYY-MM")</f>
        <v>2026-05</v>
      </c>
    </row>
    <row r="400" spans="1:30" x14ac:dyDescent="0.25">
      <c r="A400" t="s">
        <v>1064</v>
      </c>
      <c r="B400" t="s">
        <v>1441</v>
      </c>
      <c r="C400" s="1">
        <v>46108</v>
      </c>
      <c r="D400">
        <v>421</v>
      </c>
      <c r="E400">
        <v>97.38</v>
      </c>
      <c r="F400" t="s">
        <v>1469</v>
      </c>
      <c r="G400" s="1">
        <v>46117</v>
      </c>
      <c r="I400" s="1"/>
      <c r="J400" t="s">
        <v>1065</v>
      </c>
      <c r="K400">
        <v>421</v>
      </c>
      <c r="L400">
        <v>97.38</v>
      </c>
      <c r="M400" s="1">
        <v>46120</v>
      </c>
      <c r="N400" t="str">
        <f>IF(po_master[[#This Row],[Approved By]]="", "Missing Approval", "OK")</f>
        <v>OK</v>
      </c>
      <c r="O400" t="str">
        <f>IF(ISBLANK(po_master[[#This Row],[GR Quantity]]), "No GR - Not received", "OK")</f>
        <v>No GR - Not received</v>
      </c>
      <c r="P400" t="str">
        <f>IF(po_master[[#This Row],[Promised Delivey Date]]&lt;po_master[[#This Row],[Order Date]], "Invalid", "OK")</f>
        <v>OK</v>
      </c>
      <c r="Q400" t="str">
        <f>IF(ISBLANK(po_master[[#This Row],[Invoice Number]]), "No Invoice", "OK")</f>
        <v>OK</v>
      </c>
      <c r="R400" t="str">
        <f>IF(AND(NOT(ISBLANK(po_master[[#This Row],[GR Quantity]])), po_master[[#This Row],[GR Quantity]]&lt;&gt;po_master[[#This Row],[PO Quantity]]), "Qty Variance", "OK")</f>
        <v>OK</v>
      </c>
      <c r="S400" t="str">
        <f>IF(po_master[[#This Row],[Invoice Unit Price]]&gt;po_master[[#This Row],[PO Unit Price]]*1.01, "Price Variance", "OK")</f>
        <v>OK</v>
      </c>
      <c r="T400" t="str">
        <f>IF(po_master[[#This Row],[Actual Delivery Date]]&gt;po_master[[#This Row],[Promised Delivey Date]], "Late Delivery", "OK")</f>
        <v>OK</v>
      </c>
      <c r="U400" t="str">
        <f>IF(COUNTIF(po_master[PO Number],po_master[[#This Row],[PO Number]])&gt;1, "Duplicate Invoice", "OK")</f>
        <v>OK</v>
      </c>
      <c r="V400" s="5">
        <f>IF(po_master[[#This Row],[Missing Approval]]="Missing Approval", 1, 0)</f>
        <v>0</v>
      </c>
      <c r="W400" s="5">
        <f>IF(po_master[[#This Row],[GR Receipt Status]]="No GR - Not Received", 1, 0)</f>
        <v>1</v>
      </c>
      <c r="X400" s="5">
        <f>IF(po_master[[#This Row],[No invoice]]="No Invoice", 1, 0)</f>
        <v>0</v>
      </c>
      <c r="Y400" s="5">
        <f>IF(po_master[[#This Row],[Date Check]]="Invalid Date", 1, 0)</f>
        <v>0</v>
      </c>
      <c r="Z400" s="5">
        <f>IF(po_master[[#This Row],[Qty Variance Flag]]="Qty Variance", 1, 0)</f>
        <v>0</v>
      </c>
      <c r="AA400" s="5">
        <f>IF(po_master[[#This Row],[Price Variance Flag]]="Price Variance", 1, 0)</f>
        <v>0</v>
      </c>
      <c r="AB400" s="5">
        <f>IF(po_master[[#This Row],[Late Delivery Flag]]="Late Delivery", 1, 0)</f>
        <v>0</v>
      </c>
      <c r="AC400" s="5">
        <f>IF(po_master[[#This Row],[Duplicate Invoice Flag]]="Duplicate Invoice", 1, 0)</f>
        <v>0</v>
      </c>
      <c r="AD400" s="5" t="str">
        <f>TEXT(po_master[[#This Row],[Order Date]],"YYYY-MM")</f>
        <v>2026-03</v>
      </c>
    </row>
    <row r="401" spans="1:30" x14ac:dyDescent="0.25">
      <c r="A401" t="s">
        <v>357</v>
      </c>
      <c r="B401" t="s">
        <v>1506</v>
      </c>
      <c r="C401" s="1">
        <v>46054</v>
      </c>
      <c r="D401">
        <v>303</v>
      </c>
      <c r="E401">
        <v>136.94</v>
      </c>
      <c r="F401" t="s">
        <v>1453</v>
      </c>
      <c r="G401" s="1">
        <v>46071</v>
      </c>
      <c r="H401">
        <v>317</v>
      </c>
      <c r="I401" s="1">
        <v>46073</v>
      </c>
      <c r="J401" t="s">
        <v>1083</v>
      </c>
      <c r="K401">
        <v>303</v>
      </c>
      <c r="L401">
        <v>136.94</v>
      </c>
      <c r="M401" s="1">
        <v>46076</v>
      </c>
      <c r="N401" t="str">
        <f>IF(po_master[[#This Row],[Approved By]]="", "Missing Approval", "OK")</f>
        <v>OK</v>
      </c>
      <c r="O401" t="str">
        <f>IF(ISBLANK(po_master[[#This Row],[GR Quantity]]), "No GR - Not received", "OK")</f>
        <v>OK</v>
      </c>
      <c r="P401" t="str">
        <f>IF(po_master[[#This Row],[Promised Delivey Date]]&lt;po_master[[#This Row],[Order Date]], "Invalid", "OK")</f>
        <v>OK</v>
      </c>
      <c r="Q401" t="str">
        <f>IF(ISBLANK(po_master[[#This Row],[Invoice Number]]), "No Invoice", "OK")</f>
        <v>OK</v>
      </c>
      <c r="R401" t="str">
        <f>IF(AND(NOT(ISBLANK(po_master[[#This Row],[GR Quantity]])), po_master[[#This Row],[GR Quantity]]&lt;&gt;po_master[[#This Row],[PO Quantity]]), "Qty Variance", "OK")</f>
        <v>Qty Variance</v>
      </c>
      <c r="S401" t="str">
        <f>IF(po_master[[#This Row],[Invoice Unit Price]]&gt;po_master[[#This Row],[PO Unit Price]]*1.01, "Price Variance", "OK")</f>
        <v>OK</v>
      </c>
      <c r="T401" t="str">
        <f>IF(po_master[[#This Row],[Actual Delivery Date]]&gt;po_master[[#This Row],[Promised Delivey Date]], "Late Delivery", "OK")</f>
        <v>Late Delivery</v>
      </c>
      <c r="U401" t="str">
        <f>IF(COUNTIF(po_master[PO Number],po_master[[#This Row],[PO Number]])&gt;1, "Duplicate Invoice", "OK")</f>
        <v>OK</v>
      </c>
      <c r="V401" s="5">
        <f>IF(po_master[[#This Row],[Missing Approval]]="Missing Approval", 1, 0)</f>
        <v>0</v>
      </c>
      <c r="W401" s="5">
        <f>IF(po_master[[#This Row],[GR Receipt Status]]="No GR - Not Received", 1, 0)</f>
        <v>0</v>
      </c>
      <c r="X401" s="5">
        <f>IF(po_master[[#This Row],[No invoice]]="No Invoice", 1, 0)</f>
        <v>0</v>
      </c>
      <c r="Y401" s="5">
        <f>IF(po_master[[#This Row],[Date Check]]="Invalid Date", 1, 0)</f>
        <v>0</v>
      </c>
      <c r="Z401" s="5">
        <f>IF(po_master[[#This Row],[Qty Variance Flag]]="Qty Variance", 1, 0)</f>
        <v>1</v>
      </c>
      <c r="AA401" s="5">
        <f>IF(po_master[[#This Row],[Price Variance Flag]]="Price Variance", 1, 0)</f>
        <v>0</v>
      </c>
      <c r="AB401" s="5">
        <f>IF(po_master[[#This Row],[Late Delivery Flag]]="Late Delivery", 1, 0)</f>
        <v>1</v>
      </c>
      <c r="AC401" s="5">
        <f>IF(po_master[[#This Row],[Duplicate Invoice Flag]]="Duplicate Invoice", 1, 0)</f>
        <v>0</v>
      </c>
      <c r="AD401" s="5" t="str">
        <f>TEXT(po_master[[#This Row],[Order Date]],"YYYY-MM")</f>
        <v>2026-02</v>
      </c>
    </row>
    <row r="402" spans="1:30" x14ac:dyDescent="0.25">
      <c r="A402" t="s">
        <v>358</v>
      </c>
      <c r="B402" t="s">
        <v>1503</v>
      </c>
      <c r="C402" s="1">
        <v>46060</v>
      </c>
      <c r="D402">
        <v>158</v>
      </c>
      <c r="E402">
        <v>13.2</v>
      </c>
      <c r="F402" t="s">
        <v>1499</v>
      </c>
      <c r="G402" s="1">
        <v>46067</v>
      </c>
      <c r="H402">
        <v>158</v>
      </c>
      <c r="I402" s="1">
        <v>46067</v>
      </c>
      <c r="J402" t="s">
        <v>1084</v>
      </c>
      <c r="K402">
        <v>158</v>
      </c>
      <c r="L402">
        <v>13.2</v>
      </c>
      <c r="M402" s="1">
        <v>46071</v>
      </c>
      <c r="N402" t="str">
        <f>IF(po_master[[#This Row],[Approved By]]="", "Missing Approval", "OK")</f>
        <v>OK</v>
      </c>
      <c r="O402" t="str">
        <f>IF(ISBLANK(po_master[[#This Row],[GR Quantity]]), "No GR - Not received", "OK")</f>
        <v>OK</v>
      </c>
      <c r="P402" t="str">
        <f>IF(po_master[[#This Row],[Promised Delivey Date]]&lt;po_master[[#This Row],[Order Date]], "Invalid", "OK")</f>
        <v>OK</v>
      </c>
      <c r="Q402" t="str">
        <f>IF(ISBLANK(po_master[[#This Row],[Invoice Number]]), "No Invoice", "OK")</f>
        <v>OK</v>
      </c>
      <c r="R402" t="str">
        <f>IF(AND(NOT(ISBLANK(po_master[[#This Row],[GR Quantity]])), po_master[[#This Row],[GR Quantity]]&lt;&gt;po_master[[#This Row],[PO Quantity]]), "Qty Variance", "OK")</f>
        <v>OK</v>
      </c>
      <c r="S402" t="str">
        <f>IF(po_master[[#This Row],[Invoice Unit Price]]&gt;po_master[[#This Row],[PO Unit Price]]*1.01, "Price Variance", "OK")</f>
        <v>OK</v>
      </c>
      <c r="T402" t="str">
        <f>IF(po_master[[#This Row],[Actual Delivery Date]]&gt;po_master[[#This Row],[Promised Delivey Date]], "Late Delivery", "OK")</f>
        <v>OK</v>
      </c>
      <c r="U402" t="str">
        <f>IF(COUNTIF(po_master[PO Number],po_master[[#This Row],[PO Number]])&gt;1, "Duplicate Invoice", "OK")</f>
        <v>OK</v>
      </c>
      <c r="V402" s="5">
        <f>IF(po_master[[#This Row],[Missing Approval]]="Missing Approval", 1, 0)</f>
        <v>0</v>
      </c>
      <c r="W402" s="5">
        <f>IF(po_master[[#This Row],[GR Receipt Status]]="No GR - Not Received", 1, 0)</f>
        <v>0</v>
      </c>
      <c r="X402" s="5">
        <f>IF(po_master[[#This Row],[No invoice]]="No Invoice", 1, 0)</f>
        <v>0</v>
      </c>
      <c r="Y402" s="5">
        <f>IF(po_master[[#This Row],[Date Check]]="Invalid Date", 1, 0)</f>
        <v>0</v>
      </c>
      <c r="Z402" s="5">
        <f>IF(po_master[[#This Row],[Qty Variance Flag]]="Qty Variance", 1, 0)</f>
        <v>0</v>
      </c>
      <c r="AA402" s="5">
        <f>IF(po_master[[#This Row],[Price Variance Flag]]="Price Variance", 1, 0)</f>
        <v>0</v>
      </c>
      <c r="AB402" s="5">
        <f>IF(po_master[[#This Row],[Late Delivery Flag]]="Late Delivery", 1, 0)</f>
        <v>0</v>
      </c>
      <c r="AC402" s="5">
        <f>IF(po_master[[#This Row],[Duplicate Invoice Flag]]="Duplicate Invoice", 1, 0)</f>
        <v>0</v>
      </c>
      <c r="AD402" s="5" t="str">
        <f>TEXT(po_master[[#This Row],[Order Date]],"YYYY-MM")</f>
        <v>2026-02</v>
      </c>
    </row>
    <row r="403" spans="1:30" x14ac:dyDescent="0.25">
      <c r="A403" t="s">
        <v>359</v>
      </c>
      <c r="B403" t="s">
        <v>1503</v>
      </c>
      <c r="C403" s="1">
        <v>46136</v>
      </c>
      <c r="D403">
        <v>345</v>
      </c>
      <c r="E403">
        <v>55.01</v>
      </c>
      <c r="F403" t="s">
        <v>1487</v>
      </c>
      <c r="G403" s="1">
        <v>46147</v>
      </c>
      <c r="H403">
        <v>345</v>
      </c>
      <c r="I403" s="1">
        <v>46148</v>
      </c>
      <c r="J403" t="s">
        <v>1085</v>
      </c>
      <c r="K403">
        <v>345</v>
      </c>
      <c r="L403">
        <v>55.01</v>
      </c>
      <c r="M403" s="1">
        <v>46156</v>
      </c>
      <c r="N403" t="str">
        <f>IF(po_master[[#This Row],[Approved By]]="", "Missing Approval", "OK")</f>
        <v>OK</v>
      </c>
      <c r="O403" t="str">
        <f>IF(ISBLANK(po_master[[#This Row],[GR Quantity]]), "No GR - Not received", "OK")</f>
        <v>OK</v>
      </c>
      <c r="P403" t="str">
        <f>IF(po_master[[#This Row],[Promised Delivey Date]]&lt;po_master[[#This Row],[Order Date]], "Invalid", "OK")</f>
        <v>OK</v>
      </c>
      <c r="Q403" t="str">
        <f>IF(ISBLANK(po_master[[#This Row],[Invoice Number]]), "No Invoice", "OK")</f>
        <v>OK</v>
      </c>
      <c r="R403" t="str">
        <f>IF(AND(NOT(ISBLANK(po_master[[#This Row],[GR Quantity]])), po_master[[#This Row],[GR Quantity]]&lt;&gt;po_master[[#This Row],[PO Quantity]]), "Qty Variance", "OK")</f>
        <v>OK</v>
      </c>
      <c r="S403" t="str">
        <f>IF(po_master[[#This Row],[Invoice Unit Price]]&gt;po_master[[#This Row],[PO Unit Price]]*1.01, "Price Variance", "OK")</f>
        <v>OK</v>
      </c>
      <c r="T403" t="str">
        <f>IF(po_master[[#This Row],[Actual Delivery Date]]&gt;po_master[[#This Row],[Promised Delivey Date]], "Late Delivery", "OK")</f>
        <v>Late Delivery</v>
      </c>
      <c r="U403" t="str">
        <f>IF(COUNTIF(po_master[PO Number],po_master[[#This Row],[PO Number]])&gt;1, "Duplicate Invoice", "OK")</f>
        <v>OK</v>
      </c>
      <c r="V403" s="5">
        <f>IF(po_master[[#This Row],[Missing Approval]]="Missing Approval", 1, 0)</f>
        <v>0</v>
      </c>
      <c r="W403" s="5">
        <f>IF(po_master[[#This Row],[GR Receipt Status]]="No GR - Not Received", 1, 0)</f>
        <v>0</v>
      </c>
      <c r="X403" s="5">
        <f>IF(po_master[[#This Row],[No invoice]]="No Invoice", 1, 0)</f>
        <v>0</v>
      </c>
      <c r="Y403" s="5">
        <f>IF(po_master[[#This Row],[Date Check]]="Invalid Date", 1, 0)</f>
        <v>0</v>
      </c>
      <c r="Z403" s="5">
        <f>IF(po_master[[#This Row],[Qty Variance Flag]]="Qty Variance", 1, 0)</f>
        <v>0</v>
      </c>
      <c r="AA403" s="5">
        <f>IF(po_master[[#This Row],[Price Variance Flag]]="Price Variance", 1, 0)</f>
        <v>0</v>
      </c>
      <c r="AB403" s="5">
        <f>IF(po_master[[#This Row],[Late Delivery Flag]]="Late Delivery", 1, 0)</f>
        <v>1</v>
      </c>
      <c r="AC403" s="5">
        <f>IF(po_master[[#This Row],[Duplicate Invoice Flag]]="Duplicate Invoice", 1, 0)</f>
        <v>0</v>
      </c>
      <c r="AD403" s="5" t="str">
        <f>TEXT(po_master[[#This Row],[Order Date]],"YYYY-MM")</f>
        <v>2026-04</v>
      </c>
    </row>
    <row r="404" spans="1:30" x14ac:dyDescent="0.25">
      <c r="A404" t="s">
        <v>360</v>
      </c>
      <c r="B404" t="s">
        <v>1505</v>
      </c>
      <c r="C404" s="1">
        <v>46160</v>
      </c>
      <c r="D404">
        <v>148</v>
      </c>
      <c r="E404">
        <v>186.94</v>
      </c>
      <c r="F404" t="s">
        <v>1499</v>
      </c>
      <c r="G404" s="1">
        <v>46173</v>
      </c>
      <c r="H404">
        <v>148</v>
      </c>
      <c r="I404" s="1">
        <v>46175</v>
      </c>
      <c r="J404" t="s">
        <v>1086</v>
      </c>
      <c r="K404">
        <v>148</v>
      </c>
      <c r="L404">
        <v>186.94</v>
      </c>
      <c r="M404" s="1">
        <v>46182</v>
      </c>
      <c r="N404" t="str">
        <f>IF(po_master[[#This Row],[Approved By]]="", "Missing Approval", "OK")</f>
        <v>OK</v>
      </c>
      <c r="O404" t="str">
        <f>IF(ISBLANK(po_master[[#This Row],[GR Quantity]]), "No GR - Not received", "OK")</f>
        <v>OK</v>
      </c>
      <c r="P404" t="str">
        <f>IF(po_master[[#This Row],[Promised Delivey Date]]&lt;po_master[[#This Row],[Order Date]], "Invalid", "OK")</f>
        <v>OK</v>
      </c>
      <c r="Q404" t="str">
        <f>IF(ISBLANK(po_master[[#This Row],[Invoice Number]]), "No Invoice", "OK")</f>
        <v>OK</v>
      </c>
      <c r="R404" t="str">
        <f>IF(AND(NOT(ISBLANK(po_master[[#This Row],[GR Quantity]])), po_master[[#This Row],[GR Quantity]]&lt;&gt;po_master[[#This Row],[PO Quantity]]), "Qty Variance", "OK")</f>
        <v>OK</v>
      </c>
      <c r="S404" t="str">
        <f>IF(po_master[[#This Row],[Invoice Unit Price]]&gt;po_master[[#This Row],[PO Unit Price]]*1.01, "Price Variance", "OK")</f>
        <v>OK</v>
      </c>
      <c r="T404" t="str">
        <f>IF(po_master[[#This Row],[Actual Delivery Date]]&gt;po_master[[#This Row],[Promised Delivey Date]], "Late Delivery", "OK")</f>
        <v>Late Delivery</v>
      </c>
      <c r="U404" t="str">
        <f>IF(COUNTIF(po_master[PO Number],po_master[[#This Row],[PO Number]])&gt;1, "Duplicate Invoice", "OK")</f>
        <v>OK</v>
      </c>
      <c r="V404" s="5">
        <f>IF(po_master[[#This Row],[Missing Approval]]="Missing Approval", 1, 0)</f>
        <v>0</v>
      </c>
      <c r="W404" s="5">
        <f>IF(po_master[[#This Row],[GR Receipt Status]]="No GR - Not Received", 1, 0)</f>
        <v>0</v>
      </c>
      <c r="X404" s="5">
        <f>IF(po_master[[#This Row],[No invoice]]="No Invoice", 1, 0)</f>
        <v>0</v>
      </c>
      <c r="Y404" s="5">
        <f>IF(po_master[[#This Row],[Date Check]]="Invalid Date", 1, 0)</f>
        <v>0</v>
      </c>
      <c r="Z404" s="5">
        <f>IF(po_master[[#This Row],[Qty Variance Flag]]="Qty Variance", 1, 0)</f>
        <v>0</v>
      </c>
      <c r="AA404" s="5">
        <f>IF(po_master[[#This Row],[Price Variance Flag]]="Price Variance", 1, 0)</f>
        <v>0</v>
      </c>
      <c r="AB404" s="5">
        <f>IF(po_master[[#This Row],[Late Delivery Flag]]="Late Delivery", 1, 0)</f>
        <v>1</v>
      </c>
      <c r="AC404" s="5">
        <f>IF(po_master[[#This Row],[Duplicate Invoice Flag]]="Duplicate Invoice", 1, 0)</f>
        <v>0</v>
      </c>
      <c r="AD404" s="5" t="str">
        <f>TEXT(po_master[[#This Row],[Order Date]],"YYYY-MM")</f>
        <v>2026-05</v>
      </c>
    </row>
    <row r="405" spans="1:30" x14ac:dyDescent="0.25">
      <c r="A405" t="s">
        <v>361</v>
      </c>
      <c r="B405" t="s">
        <v>1441</v>
      </c>
      <c r="C405" s="1">
        <v>46050</v>
      </c>
      <c r="D405">
        <v>325</v>
      </c>
      <c r="E405">
        <v>149.47</v>
      </c>
      <c r="F405" t="s">
        <v>1440</v>
      </c>
      <c r="G405" s="1">
        <v>46062</v>
      </c>
      <c r="H405">
        <v>325</v>
      </c>
      <c r="I405" s="1">
        <v>46061</v>
      </c>
      <c r="J405" t="s">
        <v>1087</v>
      </c>
      <c r="K405">
        <v>325</v>
      </c>
      <c r="L405">
        <v>149.47</v>
      </c>
      <c r="M405" s="1">
        <v>46064</v>
      </c>
      <c r="N405" t="str">
        <f>IF(po_master[[#This Row],[Approved By]]="", "Missing Approval", "OK")</f>
        <v>OK</v>
      </c>
      <c r="O405" t="str">
        <f>IF(ISBLANK(po_master[[#This Row],[GR Quantity]]), "No GR - Not received", "OK")</f>
        <v>OK</v>
      </c>
      <c r="P405" t="str">
        <f>IF(po_master[[#This Row],[Promised Delivey Date]]&lt;po_master[[#This Row],[Order Date]], "Invalid", "OK")</f>
        <v>OK</v>
      </c>
      <c r="Q405" t="str">
        <f>IF(ISBLANK(po_master[[#This Row],[Invoice Number]]), "No Invoice", "OK")</f>
        <v>OK</v>
      </c>
      <c r="R405" t="str">
        <f>IF(AND(NOT(ISBLANK(po_master[[#This Row],[GR Quantity]])), po_master[[#This Row],[GR Quantity]]&lt;&gt;po_master[[#This Row],[PO Quantity]]), "Qty Variance", "OK")</f>
        <v>OK</v>
      </c>
      <c r="S405" t="str">
        <f>IF(po_master[[#This Row],[Invoice Unit Price]]&gt;po_master[[#This Row],[PO Unit Price]]*1.01, "Price Variance", "OK")</f>
        <v>OK</v>
      </c>
      <c r="T405" t="str">
        <f>IF(po_master[[#This Row],[Actual Delivery Date]]&gt;po_master[[#This Row],[Promised Delivey Date]], "Late Delivery", "OK")</f>
        <v>OK</v>
      </c>
      <c r="U405" t="str">
        <f>IF(COUNTIF(po_master[PO Number],po_master[[#This Row],[PO Number]])&gt;1, "Duplicate Invoice", "OK")</f>
        <v>OK</v>
      </c>
      <c r="V405" s="5">
        <f>IF(po_master[[#This Row],[Missing Approval]]="Missing Approval", 1, 0)</f>
        <v>0</v>
      </c>
      <c r="W405" s="5">
        <f>IF(po_master[[#This Row],[GR Receipt Status]]="No GR - Not Received", 1, 0)</f>
        <v>0</v>
      </c>
      <c r="X405" s="5">
        <f>IF(po_master[[#This Row],[No invoice]]="No Invoice", 1, 0)</f>
        <v>0</v>
      </c>
      <c r="Y405" s="5">
        <f>IF(po_master[[#This Row],[Date Check]]="Invalid Date", 1, 0)</f>
        <v>0</v>
      </c>
      <c r="Z405" s="5">
        <f>IF(po_master[[#This Row],[Qty Variance Flag]]="Qty Variance", 1, 0)</f>
        <v>0</v>
      </c>
      <c r="AA405" s="5">
        <f>IF(po_master[[#This Row],[Price Variance Flag]]="Price Variance", 1, 0)</f>
        <v>0</v>
      </c>
      <c r="AB405" s="5">
        <f>IF(po_master[[#This Row],[Late Delivery Flag]]="Late Delivery", 1, 0)</f>
        <v>0</v>
      </c>
      <c r="AC405" s="5">
        <f>IF(po_master[[#This Row],[Duplicate Invoice Flag]]="Duplicate Invoice", 1, 0)</f>
        <v>0</v>
      </c>
      <c r="AD405" s="5" t="str">
        <f>TEXT(po_master[[#This Row],[Order Date]],"YYYY-MM")</f>
        <v>2026-01</v>
      </c>
    </row>
    <row r="406" spans="1:30" x14ac:dyDescent="0.25">
      <c r="A406" t="s">
        <v>362</v>
      </c>
      <c r="B406" t="s">
        <v>1510</v>
      </c>
      <c r="C406" s="1">
        <v>46074</v>
      </c>
      <c r="D406">
        <v>397</v>
      </c>
      <c r="E406">
        <v>192.96</v>
      </c>
      <c r="F406" t="s">
        <v>1472</v>
      </c>
      <c r="G406" s="1">
        <v>46088</v>
      </c>
      <c r="H406">
        <v>397</v>
      </c>
      <c r="I406" s="1">
        <v>46089</v>
      </c>
      <c r="J406" t="s">
        <v>1094</v>
      </c>
      <c r="K406">
        <v>397</v>
      </c>
      <c r="L406">
        <v>203.42</v>
      </c>
      <c r="M406" s="1">
        <v>46089</v>
      </c>
      <c r="N406" t="str">
        <f>IF(po_master[[#This Row],[Approved By]]="", "Missing Approval", "OK")</f>
        <v>OK</v>
      </c>
      <c r="O406" t="str">
        <f>IF(ISBLANK(po_master[[#This Row],[GR Quantity]]), "No GR - Not received", "OK")</f>
        <v>OK</v>
      </c>
      <c r="P406" t="str">
        <f>IF(po_master[[#This Row],[Promised Delivey Date]]&lt;po_master[[#This Row],[Order Date]], "Invalid", "OK")</f>
        <v>OK</v>
      </c>
      <c r="Q406" t="str">
        <f>IF(ISBLANK(po_master[[#This Row],[Invoice Number]]), "No Invoice", "OK")</f>
        <v>OK</v>
      </c>
      <c r="R406" t="str">
        <f>IF(AND(NOT(ISBLANK(po_master[[#This Row],[GR Quantity]])), po_master[[#This Row],[GR Quantity]]&lt;&gt;po_master[[#This Row],[PO Quantity]]), "Qty Variance", "OK")</f>
        <v>OK</v>
      </c>
      <c r="S406" t="str">
        <f>IF(po_master[[#This Row],[Invoice Unit Price]]&gt;po_master[[#This Row],[PO Unit Price]]*1.01, "Price Variance", "OK")</f>
        <v>Price Variance</v>
      </c>
      <c r="T406" t="str">
        <f>IF(po_master[[#This Row],[Actual Delivery Date]]&gt;po_master[[#This Row],[Promised Delivey Date]], "Late Delivery", "OK")</f>
        <v>Late Delivery</v>
      </c>
      <c r="U406" t="str">
        <f>IF(COUNTIF(po_master[PO Number],po_master[[#This Row],[PO Number]])&gt;1, "Duplicate Invoice", "OK")</f>
        <v>OK</v>
      </c>
      <c r="V406" s="5">
        <f>IF(po_master[[#This Row],[Missing Approval]]="Missing Approval", 1, 0)</f>
        <v>0</v>
      </c>
      <c r="W406" s="5">
        <f>IF(po_master[[#This Row],[GR Receipt Status]]="No GR - Not Received", 1, 0)</f>
        <v>0</v>
      </c>
      <c r="X406" s="5">
        <f>IF(po_master[[#This Row],[No invoice]]="No Invoice", 1, 0)</f>
        <v>0</v>
      </c>
      <c r="Y406" s="5">
        <f>IF(po_master[[#This Row],[Date Check]]="Invalid Date", 1, 0)</f>
        <v>0</v>
      </c>
      <c r="Z406" s="5">
        <f>IF(po_master[[#This Row],[Qty Variance Flag]]="Qty Variance", 1, 0)</f>
        <v>0</v>
      </c>
      <c r="AA406" s="5">
        <f>IF(po_master[[#This Row],[Price Variance Flag]]="Price Variance", 1, 0)</f>
        <v>1</v>
      </c>
      <c r="AB406" s="5">
        <f>IF(po_master[[#This Row],[Late Delivery Flag]]="Late Delivery", 1, 0)</f>
        <v>1</v>
      </c>
      <c r="AC406" s="5">
        <f>IF(po_master[[#This Row],[Duplicate Invoice Flag]]="Duplicate Invoice", 1, 0)</f>
        <v>0</v>
      </c>
      <c r="AD406" s="5" t="str">
        <f>TEXT(po_master[[#This Row],[Order Date]],"YYYY-MM")</f>
        <v>2026-02</v>
      </c>
    </row>
    <row r="407" spans="1:30" x14ac:dyDescent="0.25">
      <c r="A407" t="s">
        <v>363</v>
      </c>
      <c r="B407" t="s">
        <v>1508</v>
      </c>
      <c r="C407" s="1">
        <v>46038</v>
      </c>
      <c r="D407">
        <v>474</v>
      </c>
      <c r="E407">
        <v>154.9</v>
      </c>
      <c r="F407" t="s">
        <v>1446</v>
      </c>
      <c r="G407" s="1">
        <v>46050</v>
      </c>
      <c r="H407">
        <v>474</v>
      </c>
      <c r="I407" s="1">
        <v>46057</v>
      </c>
      <c r="J407" t="s">
        <v>1095</v>
      </c>
      <c r="K407">
        <v>474</v>
      </c>
      <c r="L407">
        <v>154.9</v>
      </c>
      <c r="M407" s="1">
        <v>46052</v>
      </c>
      <c r="N407" t="str">
        <f>IF(po_master[[#This Row],[Approved By]]="", "Missing Approval", "OK")</f>
        <v>OK</v>
      </c>
      <c r="O407" t="str">
        <f>IF(ISBLANK(po_master[[#This Row],[GR Quantity]]), "No GR - Not received", "OK")</f>
        <v>OK</v>
      </c>
      <c r="P407" t="str">
        <f>IF(po_master[[#This Row],[Promised Delivey Date]]&lt;po_master[[#This Row],[Order Date]], "Invalid", "OK")</f>
        <v>OK</v>
      </c>
      <c r="Q407" t="str">
        <f>IF(ISBLANK(po_master[[#This Row],[Invoice Number]]), "No Invoice", "OK")</f>
        <v>OK</v>
      </c>
      <c r="R407" t="str">
        <f>IF(AND(NOT(ISBLANK(po_master[[#This Row],[GR Quantity]])), po_master[[#This Row],[GR Quantity]]&lt;&gt;po_master[[#This Row],[PO Quantity]]), "Qty Variance", "OK")</f>
        <v>OK</v>
      </c>
      <c r="S407" t="str">
        <f>IF(po_master[[#This Row],[Invoice Unit Price]]&gt;po_master[[#This Row],[PO Unit Price]]*1.01, "Price Variance", "OK")</f>
        <v>OK</v>
      </c>
      <c r="T407" t="str">
        <f>IF(po_master[[#This Row],[Actual Delivery Date]]&gt;po_master[[#This Row],[Promised Delivey Date]], "Late Delivery", "OK")</f>
        <v>Late Delivery</v>
      </c>
      <c r="U407" t="str">
        <f>IF(COUNTIF(po_master[PO Number],po_master[[#This Row],[PO Number]])&gt;1, "Duplicate Invoice", "OK")</f>
        <v>OK</v>
      </c>
      <c r="V407" s="5">
        <f>IF(po_master[[#This Row],[Missing Approval]]="Missing Approval", 1, 0)</f>
        <v>0</v>
      </c>
      <c r="W407" s="5">
        <f>IF(po_master[[#This Row],[GR Receipt Status]]="No GR - Not Received", 1, 0)</f>
        <v>0</v>
      </c>
      <c r="X407" s="5">
        <f>IF(po_master[[#This Row],[No invoice]]="No Invoice", 1, 0)</f>
        <v>0</v>
      </c>
      <c r="Y407" s="5">
        <f>IF(po_master[[#This Row],[Date Check]]="Invalid Date", 1, 0)</f>
        <v>0</v>
      </c>
      <c r="Z407" s="5">
        <f>IF(po_master[[#This Row],[Qty Variance Flag]]="Qty Variance", 1, 0)</f>
        <v>0</v>
      </c>
      <c r="AA407" s="5">
        <f>IF(po_master[[#This Row],[Price Variance Flag]]="Price Variance", 1, 0)</f>
        <v>0</v>
      </c>
      <c r="AB407" s="5">
        <f>IF(po_master[[#This Row],[Late Delivery Flag]]="Late Delivery", 1, 0)</f>
        <v>1</v>
      </c>
      <c r="AC407" s="5">
        <f>IF(po_master[[#This Row],[Duplicate Invoice Flag]]="Duplicate Invoice", 1, 0)</f>
        <v>0</v>
      </c>
      <c r="AD407" s="5" t="str">
        <f>TEXT(po_master[[#This Row],[Order Date]],"YYYY-MM")</f>
        <v>2026-01</v>
      </c>
    </row>
    <row r="408" spans="1:30" x14ac:dyDescent="0.25">
      <c r="A408" t="s">
        <v>364</v>
      </c>
      <c r="B408" t="s">
        <v>1452</v>
      </c>
      <c r="C408" s="1">
        <v>46124</v>
      </c>
      <c r="D408">
        <v>413</v>
      </c>
      <c r="E408">
        <v>101.6</v>
      </c>
      <c r="F408" t="s">
        <v>1490</v>
      </c>
      <c r="G408" s="1">
        <v>46138</v>
      </c>
      <c r="H408">
        <v>413</v>
      </c>
      <c r="I408" s="1">
        <v>46137</v>
      </c>
      <c r="J408" t="s">
        <v>1098</v>
      </c>
      <c r="K408">
        <v>413</v>
      </c>
      <c r="L408">
        <v>114.49</v>
      </c>
      <c r="M408" s="1">
        <v>46144</v>
      </c>
      <c r="N408" t="str">
        <f>IF(po_master[[#This Row],[Approved By]]="", "Missing Approval", "OK")</f>
        <v>OK</v>
      </c>
      <c r="O408" t="str">
        <f>IF(ISBLANK(po_master[[#This Row],[GR Quantity]]), "No GR - Not received", "OK")</f>
        <v>OK</v>
      </c>
      <c r="P408" t="str">
        <f>IF(po_master[[#This Row],[Promised Delivey Date]]&lt;po_master[[#This Row],[Order Date]], "Invalid", "OK")</f>
        <v>OK</v>
      </c>
      <c r="Q408" t="str">
        <f>IF(ISBLANK(po_master[[#This Row],[Invoice Number]]), "No Invoice", "OK")</f>
        <v>OK</v>
      </c>
      <c r="R408" t="str">
        <f>IF(AND(NOT(ISBLANK(po_master[[#This Row],[GR Quantity]])), po_master[[#This Row],[GR Quantity]]&lt;&gt;po_master[[#This Row],[PO Quantity]]), "Qty Variance", "OK")</f>
        <v>OK</v>
      </c>
      <c r="S408" t="str">
        <f>IF(po_master[[#This Row],[Invoice Unit Price]]&gt;po_master[[#This Row],[PO Unit Price]]*1.01, "Price Variance", "OK")</f>
        <v>Price Variance</v>
      </c>
      <c r="T408" t="str">
        <f>IF(po_master[[#This Row],[Actual Delivery Date]]&gt;po_master[[#This Row],[Promised Delivey Date]], "Late Delivery", "OK")</f>
        <v>OK</v>
      </c>
      <c r="U408" t="str">
        <f>IF(COUNTIF(po_master[PO Number],po_master[[#This Row],[PO Number]])&gt;1, "Duplicate Invoice", "OK")</f>
        <v>OK</v>
      </c>
      <c r="V408" s="5">
        <f>IF(po_master[[#This Row],[Missing Approval]]="Missing Approval", 1, 0)</f>
        <v>0</v>
      </c>
      <c r="W408" s="5">
        <f>IF(po_master[[#This Row],[GR Receipt Status]]="No GR - Not Received", 1, 0)</f>
        <v>0</v>
      </c>
      <c r="X408" s="5">
        <f>IF(po_master[[#This Row],[No invoice]]="No Invoice", 1, 0)</f>
        <v>0</v>
      </c>
      <c r="Y408" s="5">
        <f>IF(po_master[[#This Row],[Date Check]]="Invalid Date", 1, 0)</f>
        <v>0</v>
      </c>
      <c r="Z408" s="5">
        <f>IF(po_master[[#This Row],[Qty Variance Flag]]="Qty Variance", 1, 0)</f>
        <v>0</v>
      </c>
      <c r="AA408" s="5">
        <f>IF(po_master[[#This Row],[Price Variance Flag]]="Price Variance", 1, 0)</f>
        <v>1</v>
      </c>
      <c r="AB408" s="5">
        <f>IF(po_master[[#This Row],[Late Delivery Flag]]="Late Delivery", 1, 0)</f>
        <v>0</v>
      </c>
      <c r="AC408" s="5">
        <f>IF(po_master[[#This Row],[Duplicate Invoice Flag]]="Duplicate Invoice", 1, 0)</f>
        <v>0</v>
      </c>
      <c r="AD408" s="5" t="str">
        <f>TEXT(po_master[[#This Row],[Order Date]],"YYYY-MM")</f>
        <v>2026-04</v>
      </c>
    </row>
    <row r="409" spans="1:30" x14ac:dyDescent="0.25">
      <c r="A409" t="s">
        <v>365</v>
      </c>
      <c r="B409" t="s">
        <v>1452</v>
      </c>
      <c r="C409" s="1">
        <v>46025</v>
      </c>
      <c r="D409">
        <v>162</v>
      </c>
      <c r="E409">
        <v>115.75</v>
      </c>
      <c r="F409" t="s">
        <v>1483</v>
      </c>
      <c r="G409" s="1">
        <v>46040</v>
      </c>
      <c r="H409">
        <v>162</v>
      </c>
      <c r="I409" s="1">
        <v>46049</v>
      </c>
      <c r="J409" t="s">
        <v>1099</v>
      </c>
      <c r="K409">
        <v>162</v>
      </c>
      <c r="L409">
        <v>115.75</v>
      </c>
      <c r="M409" s="1">
        <v>46050</v>
      </c>
      <c r="N409" t="str">
        <f>IF(po_master[[#This Row],[Approved By]]="", "Missing Approval", "OK")</f>
        <v>OK</v>
      </c>
      <c r="O409" t="str">
        <f>IF(ISBLANK(po_master[[#This Row],[GR Quantity]]), "No GR - Not received", "OK")</f>
        <v>OK</v>
      </c>
      <c r="P409" t="str">
        <f>IF(po_master[[#This Row],[Promised Delivey Date]]&lt;po_master[[#This Row],[Order Date]], "Invalid", "OK")</f>
        <v>OK</v>
      </c>
      <c r="Q409" t="str">
        <f>IF(ISBLANK(po_master[[#This Row],[Invoice Number]]), "No Invoice", "OK")</f>
        <v>OK</v>
      </c>
      <c r="R409" t="str">
        <f>IF(AND(NOT(ISBLANK(po_master[[#This Row],[GR Quantity]])), po_master[[#This Row],[GR Quantity]]&lt;&gt;po_master[[#This Row],[PO Quantity]]), "Qty Variance", "OK")</f>
        <v>OK</v>
      </c>
      <c r="S409" t="str">
        <f>IF(po_master[[#This Row],[Invoice Unit Price]]&gt;po_master[[#This Row],[PO Unit Price]]*1.01, "Price Variance", "OK")</f>
        <v>OK</v>
      </c>
      <c r="T409" t="str">
        <f>IF(po_master[[#This Row],[Actual Delivery Date]]&gt;po_master[[#This Row],[Promised Delivey Date]], "Late Delivery", "OK")</f>
        <v>Late Delivery</v>
      </c>
      <c r="U409" t="str">
        <f>IF(COUNTIF(po_master[PO Number],po_master[[#This Row],[PO Number]])&gt;1, "Duplicate Invoice", "OK")</f>
        <v>OK</v>
      </c>
      <c r="V409" s="5">
        <f>IF(po_master[[#This Row],[Missing Approval]]="Missing Approval", 1, 0)</f>
        <v>0</v>
      </c>
      <c r="W409" s="5">
        <f>IF(po_master[[#This Row],[GR Receipt Status]]="No GR - Not Received", 1, 0)</f>
        <v>0</v>
      </c>
      <c r="X409" s="5">
        <f>IF(po_master[[#This Row],[No invoice]]="No Invoice", 1, 0)</f>
        <v>0</v>
      </c>
      <c r="Y409" s="5">
        <f>IF(po_master[[#This Row],[Date Check]]="Invalid Date", 1, 0)</f>
        <v>0</v>
      </c>
      <c r="Z409" s="5">
        <f>IF(po_master[[#This Row],[Qty Variance Flag]]="Qty Variance", 1, 0)</f>
        <v>0</v>
      </c>
      <c r="AA409" s="5">
        <f>IF(po_master[[#This Row],[Price Variance Flag]]="Price Variance", 1, 0)</f>
        <v>0</v>
      </c>
      <c r="AB409" s="5">
        <f>IF(po_master[[#This Row],[Late Delivery Flag]]="Late Delivery", 1, 0)</f>
        <v>1</v>
      </c>
      <c r="AC409" s="5">
        <f>IF(po_master[[#This Row],[Duplicate Invoice Flag]]="Duplicate Invoice", 1, 0)</f>
        <v>0</v>
      </c>
      <c r="AD409" s="5" t="str">
        <f>TEXT(po_master[[#This Row],[Order Date]],"YYYY-MM")</f>
        <v>2026-01</v>
      </c>
    </row>
    <row r="410" spans="1:30" x14ac:dyDescent="0.25">
      <c r="A410" t="s">
        <v>366</v>
      </c>
      <c r="B410" t="s">
        <v>1506</v>
      </c>
      <c r="C410" s="1">
        <v>46139</v>
      </c>
      <c r="D410">
        <v>338</v>
      </c>
      <c r="E410">
        <v>110.94</v>
      </c>
      <c r="F410" t="s">
        <v>1487</v>
      </c>
      <c r="G410" s="1">
        <v>46148</v>
      </c>
      <c r="H410">
        <v>338</v>
      </c>
      <c r="I410" s="1">
        <v>46150</v>
      </c>
      <c r="J410" t="s">
        <v>1100</v>
      </c>
      <c r="K410">
        <v>338</v>
      </c>
      <c r="L410">
        <v>110.94</v>
      </c>
      <c r="M410" s="1">
        <v>46155</v>
      </c>
      <c r="N410" t="str">
        <f>IF(po_master[[#This Row],[Approved By]]="", "Missing Approval", "OK")</f>
        <v>OK</v>
      </c>
      <c r="O410" t="str">
        <f>IF(ISBLANK(po_master[[#This Row],[GR Quantity]]), "No GR - Not received", "OK")</f>
        <v>OK</v>
      </c>
      <c r="P410" t="str">
        <f>IF(po_master[[#This Row],[Promised Delivey Date]]&lt;po_master[[#This Row],[Order Date]], "Invalid", "OK")</f>
        <v>OK</v>
      </c>
      <c r="Q410" t="str">
        <f>IF(ISBLANK(po_master[[#This Row],[Invoice Number]]), "No Invoice", "OK")</f>
        <v>OK</v>
      </c>
      <c r="R410" t="str">
        <f>IF(AND(NOT(ISBLANK(po_master[[#This Row],[GR Quantity]])), po_master[[#This Row],[GR Quantity]]&lt;&gt;po_master[[#This Row],[PO Quantity]]), "Qty Variance", "OK")</f>
        <v>OK</v>
      </c>
      <c r="S410" t="str">
        <f>IF(po_master[[#This Row],[Invoice Unit Price]]&gt;po_master[[#This Row],[PO Unit Price]]*1.01, "Price Variance", "OK")</f>
        <v>OK</v>
      </c>
      <c r="T410" t="str">
        <f>IF(po_master[[#This Row],[Actual Delivery Date]]&gt;po_master[[#This Row],[Promised Delivey Date]], "Late Delivery", "OK")</f>
        <v>Late Delivery</v>
      </c>
      <c r="U410" t="str">
        <f>IF(COUNTIF(po_master[PO Number],po_master[[#This Row],[PO Number]])&gt;1, "Duplicate Invoice", "OK")</f>
        <v>OK</v>
      </c>
      <c r="V410" s="5">
        <f>IF(po_master[[#This Row],[Missing Approval]]="Missing Approval", 1, 0)</f>
        <v>0</v>
      </c>
      <c r="W410" s="5">
        <f>IF(po_master[[#This Row],[GR Receipt Status]]="No GR - Not Received", 1, 0)</f>
        <v>0</v>
      </c>
      <c r="X410" s="5">
        <f>IF(po_master[[#This Row],[No invoice]]="No Invoice", 1, 0)</f>
        <v>0</v>
      </c>
      <c r="Y410" s="5">
        <f>IF(po_master[[#This Row],[Date Check]]="Invalid Date", 1, 0)</f>
        <v>0</v>
      </c>
      <c r="Z410" s="5">
        <f>IF(po_master[[#This Row],[Qty Variance Flag]]="Qty Variance", 1, 0)</f>
        <v>0</v>
      </c>
      <c r="AA410" s="5">
        <f>IF(po_master[[#This Row],[Price Variance Flag]]="Price Variance", 1, 0)</f>
        <v>0</v>
      </c>
      <c r="AB410" s="5">
        <f>IF(po_master[[#This Row],[Late Delivery Flag]]="Late Delivery", 1, 0)</f>
        <v>1</v>
      </c>
      <c r="AC410" s="5">
        <f>IF(po_master[[#This Row],[Duplicate Invoice Flag]]="Duplicate Invoice", 1, 0)</f>
        <v>0</v>
      </c>
      <c r="AD410" s="5" t="str">
        <f>TEXT(po_master[[#This Row],[Order Date]],"YYYY-MM")</f>
        <v>2026-04</v>
      </c>
    </row>
    <row r="411" spans="1:30" x14ac:dyDescent="0.25">
      <c r="A411" t="s">
        <v>367</v>
      </c>
      <c r="B411" t="s">
        <v>1445</v>
      </c>
      <c r="C411" s="1">
        <v>46142</v>
      </c>
      <c r="D411">
        <v>149</v>
      </c>
      <c r="E411">
        <v>42.6</v>
      </c>
      <c r="F411" t="s">
        <v>1483</v>
      </c>
      <c r="G411" s="1">
        <v>46157</v>
      </c>
      <c r="H411">
        <v>149</v>
      </c>
      <c r="I411" s="1">
        <v>46156</v>
      </c>
      <c r="J411" t="s">
        <v>1101</v>
      </c>
      <c r="K411">
        <v>149</v>
      </c>
      <c r="L411">
        <v>42.6</v>
      </c>
      <c r="M411" s="1">
        <v>46163</v>
      </c>
      <c r="N411" t="str">
        <f>IF(po_master[[#This Row],[Approved By]]="", "Missing Approval", "OK")</f>
        <v>OK</v>
      </c>
      <c r="O411" t="str">
        <f>IF(ISBLANK(po_master[[#This Row],[GR Quantity]]), "No GR - Not received", "OK")</f>
        <v>OK</v>
      </c>
      <c r="P411" t="str">
        <f>IF(po_master[[#This Row],[Promised Delivey Date]]&lt;po_master[[#This Row],[Order Date]], "Invalid", "OK")</f>
        <v>OK</v>
      </c>
      <c r="Q411" t="str">
        <f>IF(ISBLANK(po_master[[#This Row],[Invoice Number]]), "No Invoice", "OK")</f>
        <v>OK</v>
      </c>
      <c r="R411" t="str">
        <f>IF(AND(NOT(ISBLANK(po_master[[#This Row],[GR Quantity]])), po_master[[#This Row],[GR Quantity]]&lt;&gt;po_master[[#This Row],[PO Quantity]]), "Qty Variance", "OK")</f>
        <v>OK</v>
      </c>
      <c r="S411" t="str">
        <f>IF(po_master[[#This Row],[Invoice Unit Price]]&gt;po_master[[#This Row],[PO Unit Price]]*1.01, "Price Variance", "OK")</f>
        <v>OK</v>
      </c>
      <c r="T411" t="str">
        <f>IF(po_master[[#This Row],[Actual Delivery Date]]&gt;po_master[[#This Row],[Promised Delivey Date]], "Late Delivery", "OK")</f>
        <v>OK</v>
      </c>
      <c r="U411" t="str">
        <f>IF(COUNTIF(po_master[PO Number],po_master[[#This Row],[PO Number]])&gt;1, "Duplicate Invoice", "OK")</f>
        <v>OK</v>
      </c>
      <c r="V411" s="5">
        <f>IF(po_master[[#This Row],[Missing Approval]]="Missing Approval", 1, 0)</f>
        <v>0</v>
      </c>
      <c r="W411" s="5">
        <f>IF(po_master[[#This Row],[GR Receipt Status]]="No GR - Not Received", 1, 0)</f>
        <v>0</v>
      </c>
      <c r="X411" s="5">
        <f>IF(po_master[[#This Row],[No invoice]]="No Invoice", 1, 0)</f>
        <v>0</v>
      </c>
      <c r="Y411" s="5">
        <f>IF(po_master[[#This Row],[Date Check]]="Invalid Date", 1, 0)</f>
        <v>0</v>
      </c>
      <c r="Z411" s="5">
        <f>IF(po_master[[#This Row],[Qty Variance Flag]]="Qty Variance", 1, 0)</f>
        <v>0</v>
      </c>
      <c r="AA411" s="5">
        <f>IF(po_master[[#This Row],[Price Variance Flag]]="Price Variance", 1, 0)</f>
        <v>0</v>
      </c>
      <c r="AB411" s="5">
        <f>IF(po_master[[#This Row],[Late Delivery Flag]]="Late Delivery", 1, 0)</f>
        <v>0</v>
      </c>
      <c r="AC411" s="5">
        <f>IF(po_master[[#This Row],[Duplicate Invoice Flag]]="Duplicate Invoice", 1, 0)</f>
        <v>0</v>
      </c>
      <c r="AD411" s="5" t="str">
        <f>TEXT(po_master[[#This Row],[Order Date]],"YYYY-MM")</f>
        <v>2026-04</v>
      </c>
    </row>
    <row r="412" spans="1:30" x14ac:dyDescent="0.25">
      <c r="A412" t="s">
        <v>368</v>
      </c>
      <c r="B412" t="s">
        <v>1460</v>
      </c>
      <c r="C412" s="1">
        <v>46140</v>
      </c>
      <c r="D412">
        <v>341</v>
      </c>
      <c r="E412">
        <v>55.17</v>
      </c>
      <c r="F412" t="s">
        <v>1501</v>
      </c>
      <c r="G412" s="1">
        <v>46145</v>
      </c>
      <c r="H412">
        <v>341</v>
      </c>
      <c r="I412" s="1">
        <v>46146</v>
      </c>
      <c r="J412" t="s">
        <v>1102</v>
      </c>
      <c r="K412">
        <v>341</v>
      </c>
      <c r="L412">
        <v>63.34</v>
      </c>
      <c r="M412" s="1">
        <v>46146</v>
      </c>
      <c r="N412" t="str">
        <f>IF(po_master[[#This Row],[Approved By]]="", "Missing Approval", "OK")</f>
        <v>OK</v>
      </c>
      <c r="O412" t="str">
        <f>IF(ISBLANK(po_master[[#This Row],[GR Quantity]]), "No GR - Not received", "OK")</f>
        <v>OK</v>
      </c>
      <c r="P412" t="str">
        <f>IF(po_master[[#This Row],[Promised Delivey Date]]&lt;po_master[[#This Row],[Order Date]], "Invalid", "OK")</f>
        <v>OK</v>
      </c>
      <c r="Q412" t="str">
        <f>IF(ISBLANK(po_master[[#This Row],[Invoice Number]]), "No Invoice", "OK")</f>
        <v>OK</v>
      </c>
      <c r="R412" t="str">
        <f>IF(AND(NOT(ISBLANK(po_master[[#This Row],[GR Quantity]])), po_master[[#This Row],[GR Quantity]]&lt;&gt;po_master[[#This Row],[PO Quantity]]), "Qty Variance", "OK")</f>
        <v>OK</v>
      </c>
      <c r="S412" t="str">
        <f>IF(po_master[[#This Row],[Invoice Unit Price]]&gt;po_master[[#This Row],[PO Unit Price]]*1.01, "Price Variance", "OK")</f>
        <v>Price Variance</v>
      </c>
      <c r="T412" t="str">
        <f>IF(po_master[[#This Row],[Actual Delivery Date]]&gt;po_master[[#This Row],[Promised Delivey Date]], "Late Delivery", "OK")</f>
        <v>Late Delivery</v>
      </c>
      <c r="U412" t="str">
        <f>IF(COUNTIF(po_master[PO Number],po_master[[#This Row],[PO Number]])&gt;1, "Duplicate Invoice", "OK")</f>
        <v>OK</v>
      </c>
      <c r="V412" s="5">
        <f>IF(po_master[[#This Row],[Missing Approval]]="Missing Approval", 1, 0)</f>
        <v>0</v>
      </c>
      <c r="W412" s="5">
        <f>IF(po_master[[#This Row],[GR Receipt Status]]="No GR - Not Received", 1, 0)</f>
        <v>0</v>
      </c>
      <c r="X412" s="5">
        <f>IF(po_master[[#This Row],[No invoice]]="No Invoice", 1, 0)</f>
        <v>0</v>
      </c>
      <c r="Y412" s="5">
        <f>IF(po_master[[#This Row],[Date Check]]="Invalid Date", 1, 0)</f>
        <v>0</v>
      </c>
      <c r="Z412" s="5">
        <f>IF(po_master[[#This Row],[Qty Variance Flag]]="Qty Variance", 1, 0)</f>
        <v>0</v>
      </c>
      <c r="AA412" s="5">
        <f>IF(po_master[[#This Row],[Price Variance Flag]]="Price Variance", 1, 0)</f>
        <v>1</v>
      </c>
      <c r="AB412" s="5">
        <f>IF(po_master[[#This Row],[Late Delivery Flag]]="Late Delivery", 1, 0)</f>
        <v>1</v>
      </c>
      <c r="AC412" s="5">
        <f>IF(po_master[[#This Row],[Duplicate Invoice Flag]]="Duplicate Invoice", 1, 0)</f>
        <v>0</v>
      </c>
      <c r="AD412" s="5" t="str">
        <f>TEXT(po_master[[#This Row],[Order Date]],"YYYY-MM")</f>
        <v>2026-04</v>
      </c>
    </row>
    <row r="413" spans="1:30" x14ac:dyDescent="0.25">
      <c r="A413" t="s">
        <v>369</v>
      </c>
      <c r="B413" t="s">
        <v>1465</v>
      </c>
      <c r="C413" s="1">
        <v>46109</v>
      </c>
      <c r="D413">
        <v>414</v>
      </c>
      <c r="E413">
        <v>62.53</v>
      </c>
      <c r="F413" t="s">
        <v>1467</v>
      </c>
      <c r="G413" s="1">
        <v>46120</v>
      </c>
      <c r="H413">
        <v>414</v>
      </c>
      <c r="I413" s="1">
        <v>46120</v>
      </c>
      <c r="J413" t="s">
        <v>1103</v>
      </c>
      <c r="K413">
        <v>414</v>
      </c>
      <c r="L413">
        <v>62.53</v>
      </c>
      <c r="M413" s="1">
        <v>46122</v>
      </c>
      <c r="N413" t="str">
        <f>IF(po_master[[#This Row],[Approved By]]="", "Missing Approval", "OK")</f>
        <v>OK</v>
      </c>
      <c r="O413" t="str">
        <f>IF(ISBLANK(po_master[[#This Row],[GR Quantity]]), "No GR - Not received", "OK")</f>
        <v>OK</v>
      </c>
      <c r="P413" t="str">
        <f>IF(po_master[[#This Row],[Promised Delivey Date]]&lt;po_master[[#This Row],[Order Date]], "Invalid", "OK")</f>
        <v>OK</v>
      </c>
      <c r="Q413" t="str">
        <f>IF(ISBLANK(po_master[[#This Row],[Invoice Number]]), "No Invoice", "OK")</f>
        <v>OK</v>
      </c>
      <c r="R413" t="str">
        <f>IF(AND(NOT(ISBLANK(po_master[[#This Row],[GR Quantity]])), po_master[[#This Row],[GR Quantity]]&lt;&gt;po_master[[#This Row],[PO Quantity]]), "Qty Variance", "OK")</f>
        <v>OK</v>
      </c>
      <c r="S413" t="str">
        <f>IF(po_master[[#This Row],[Invoice Unit Price]]&gt;po_master[[#This Row],[PO Unit Price]]*1.01, "Price Variance", "OK")</f>
        <v>OK</v>
      </c>
      <c r="T413" t="str">
        <f>IF(po_master[[#This Row],[Actual Delivery Date]]&gt;po_master[[#This Row],[Promised Delivey Date]], "Late Delivery", "OK")</f>
        <v>OK</v>
      </c>
      <c r="U413" t="str">
        <f>IF(COUNTIF(po_master[PO Number],po_master[[#This Row],[PO Number]])&gt;1, "Duplicate Invoice", "OK")</f>
        <v>OK</v>
      </c>
      <c r="V413" s="5">
        <f>IF(po_master[[#This Row],[Missing Approval]]="Missing Approval", 1, 0)</f>
        <v>0</v>
      </c>
      <c r="W413" s="5">
        <f>IF(po_master[[#This Row],[GR Receipt Status]]="No GR - Not Received", 1, 0)</f>
        <v>0</v>
      </c>
      <c r="X413" s="5">
        <f>IF(po_master[[#This Row],[No invoice]]="No Invoice", 1, 0)</f>
        <v>0</v>
      </c>
      <c r="Y413" s="5">
        <f>IF(po_master[[#This Row],[Date Check]]="Invalid Date", 1, 0)</f>
        <v>0</v>
      </c>
      <c r="Z413" s="5">
        <f>IF(po_master[[#This Row],[Qty Variance Flag]]="Qty Variance", 1, 0)</f>
        <v>0</v>
      </c>
      <c r="AA413" s="5">
        <f>IF(po_master[[#This Row],[Price Variance Flag]]="Price Variance", 1, 0)</f>
        <v>0</v>
      </c>
      <c r="AB413" s="5">
        <f>IF(po_master[[#This Row],[Late Delivery Flag]]="Late Delivery", 1, 0)</f>
        <v>0</v>
      </c>
      <c r="AC413" s="5">
        <f>IF(po_master[[#This Row],[Duplicate Invoice Flag]]="Duplicate Invoice", 1, 0)</f>
        <v>0</v>
      </c>
      <c r="AD413" s="5" t="str">
        <f>TEXT(po_master[[#This Row],[Order Date]],"YYYY-MM")</f>
        <v>2026-03</v>
      </c>
    </row>
    <row r="414" spans="1:30" x14ac:dyDescent="0.25">
      <c r="A414" t="s">
        <v>370</v>
      </c>
      <c r="B414" t="s">
        <v>1486</v>
      </c>
      <c r="C414" s="1">
        <v>46126</v>
      </c>
      <c r="D414">
        <v>433</v>
      </c>
      <c r="E414">
        <v>88.4</v>
      </c>
      <c r="F414" t="s">
        <v>1472</v>
      </c>
      <c r="G414" s="1">
        <v>46133</v>
      </c>
      <c r="H414">
        <v>433</v>
      </c>
      <c r="I414" s="1">
        <v>46131</v>
      </c>
      <c r="J414" t="s">
        <v>1104</v>
      </c>
      <c r="K414">
        <v>433</v>
      </c>
      <c r="L414">
        <v>88.4</v>
      </c>
      <c r="M414" s="1">
        <v>46143</v>
      </c>
      <c r="N414" t="str">
        <f>IF(po_master[[#This Row],[Approved By]]="", "Missing Approval", "OK")</f>
        <v>OK</v>
      </c>
      <c r="O414" t="str">
        <f>IF(ISBLANK(po_master[[#This Row],[GR Quantity]]), "No GR - Not received", "OK")</f>
        <v>OK</v>
      </c>
      <c r="P414" t="str">
        <f>IF(po_master[[#This Row],[Promised Delivey Date]]&lt;po_master[[#This Row],[Order Date]], "Invalid", "OK")</f>
        <v>OK</v>
      </c>
      <c r="Q414" t="str">
        <f>IF(ISBLANK(po_master[[#This Row],[Invoice Number]]), "No Invoice", "OK")</f>
        <v>OK</v>
      </c>
      <c r="R414" t="str">
        <f>IF(AND(NOT(ISBLANK(po_master[[#This Row],[GR Quantity]])), po_master[[#This Row],[GR Quantity]]&lt;&gt;po_master[[#This Row],[PO Quantity]]), "Qty Variance", "OK")</f>
        <v>OK</v>
      </c>
      <c r="S414" t="str">
        <f>IF(po_master[[#This Row],[Invoice Unit Price]]&gt;po_master[[#This Row],[PO Unit Price]]*1.01, "Price Variance", "OK")</f>
        <v>OK</v>
      </c>
      <c r="T414" t="str">
        <f>IF(po_master[[#This Row],[Actual Delivery Date]]&gt;po_master[[#This Row],[Promised Delivey Date]], "Late Delivery", "OK")</f>
        <v>OK</v>
      </c>
      <c r="U414" t="str">
        <f>IF(COUNTIF(po_master[PO Number],po_master[[#This Row],[PO Number]])&gt;1, "Duplicate Invoice", "OK")</f>
        <v>OK</v>
      </c>
      <c r="V414" s="5">
        <f>IF(po_master[[#This Row],[Missing Approval]]="Missing Approval", 1, 0)</f>
        <v>0</v>
      </c>
      <c r="W414" s="5">
        <f>IF(po_master[[#This Row],[GR Receipt Status]]="No GR - Not Received", 1, 0)</f>
        <v>0</v>
      </c>
      <c r="X414" s="5">
        <f>IF(po_master[[#This Row],[No invoice]]="No Invoice", 1, 0)</f>
        <v>0</v>
      </c>
      <c r="Y414" s="5">
        <f>IF(po_master[[#This Row],[Date Check]]="Invalid Date", 1, 0)</f>
        <v>0</v>
      </c>
      <c r="Z414" s="5">
        <f>IF(po_master[[#This Row],[Qty Variance Flag]]="Qty Variance", 1, 0)</f>
        <v>0</v>
      </c>
      <c r="AA414" s="5">
        <f>IF(po_master[[#This Row],[Price Variance Flag]]="Price Variance", 1, 0)</f>
        <v>0</v>
      </c>
      <c r="AB414" s="5">
        <f>IF(po_master[[#This Row],[Late Delivery Flag]]="Late Delivery", 1, 0)</f>
        <v>0</v>
      </c>
      <c r="AC414" s="5">
        <f>IF(po_master[[#This Row],[Duplicate Invoice Flag]]="Duplicate Invoice", 1, 0)</f>
        <v>0</v>
      </c>
      <c r="AD414" s="5" t="str">
        <f>TEXT(po_master[[#This Row],[Order Date]],"YYYY-MM")</f>
        <v>2026-04</v>
      </c>
    </row>
    <row r="415" spans="1:30" x14ac:dyDescent="0.25">
      <c r="A415" t="s">
        <v>371</v>
      </c>
      <c r="B415" t="s">
        <v>1488</v>
      </c>
      <c r="C415" s="1">
        <v>46047</v>
      </c>
      <c r="D415">
        <v>104</v>
      </c>
      <c r="E415">
        <v>196.43</v>
      </c>
      <c r="F415" t="s">
        <v>1487</v>
      </c>
      <c r="G415" s="1">
        <v>46062</v>
      </c>
      <c r="H415">
        <v>110</v>
      </c>
      <c r="I415" s="1">
        <v>46073</v>
      </c>
      <c r="J415" t="s">
        <v>1105</v>
      </c>
      <c r="K415">
        <v>104</v>
      </c>
      <c r="L415">
        <v>212.69</v>
      </c>
      <c r="M415" s="1">
        <v>46067</v>
      </c>
      <c r="N415" t="str">
        <f>IF(po_master[[#This Row],[Approved By]]="", "Missing Approval", "OK")</f>
        <v>OK</v>
      </c>
      <c r="O415" t="str">
        <f>IF(ISBLANK(po_master[[#This Row],[GR Quantity]]), "No GR - Not received", "OK")</f>
        <v>OK</v>
      </c>
      <c r="P415" t="str">
        <f>IF(po_master[[#This Row],[Promised Delivey Date]]&lt;po_master[[#This Row],[Order Date]], "Invalid", "OK")</f>
        <v>OK</v>
      </c>
      <c r="Q415" t="str">
        <f>IF(ISBLANK(po_master[[#This Row],[Invoice Number]]), "No Invoice", "OK")</f>
        <v>OK</v>
      </c>
      <c r="R415" t="str">
        <f>IF(AND(NOT(ISBLANK(po_master[[#This Row],[GR Quantity]])), po_master[[#This Row],[GR Quantity]]&lt;&gt;po_master[[#This Row],[PO Quantity]]), "Qty Variance", "OK")</f>
        <v>Qty Variance</v>
      </c>
      <c r="S415" t="str">
        <f>IF(po_master[[#This Row],[Invoice Unit Price]]&gt;po_master[[#This Row],[PO Unit Price]]*1.01, "Price Variance", "OK")</f>
        <v>Price Variance</v>
      </c>
      <c r="T415" t="str">
        <f>IF(po_master[[#This Row],[Actual Delivery Date]]&gt;po_master[[#This Row],[Promised Delivey Date]], "Late Delivery", "OK")</f>
        <v>Late Delivery</v>
      </c>
      <c r="U415" t="str">
        <f>IF(COUNTIF(po_master[PO Number],po_master[[#This Row],[PO Number]])&gt;1, "Duplicate Invoice", "OK")</f>
        <v>OK</v>
      </c>
      <c r="V415" s="5">
        <f>IF(po_master[[#This Row],[Missing Approval]]="Missing Approval", 1, 0)</f>
        <v>0</v>
      </c>
      <c r="W415" s="5">
        <f>IF(po_master[[#This Row],[GR Receipt Status]]="No GR - Not Received", 1, 0)</f>
        <v>0</v>
      </c>
      <c r="X415" s="5">
        <f>IF(po_master[[#This Row],[No invoice]]="No Invoice", 1, 0)</f>
        <v>0</v>
      </c>
      <c r="Y415" s="5">
        <f>IF(po_master[[#This Row],[Date Check]]="Invalid Date", 1, 0)</f>
        <v>0</v>
      </c>
      <c r="Z415" s="5">
        <f>IF(po_master[[#This Row],[Qty Variance Flag]]="Qty Variance", 1, 0)</f>
        <v>1</v>
      </c>
      <c r="AA415" s="5">
        <f>IF(po_master[[#This Row],[Price Variance Flag]]="Price Variance", 1, 0)</f>
        <v>1</v>
      </c>
      <c r="AB415" s="5">
        <f>IF(po_master[[#This Row],[Late Delivery Flag]]="Late Delivery", 1, 0)</f>
        <v>1</v>
      </c>
      <c r="AC415" s="5">
        <f>IF(po_master[[#This Row],[Duplicate Invoice Flag]]="Duplicate Invoice", 1, 0)</f>
        <v>0</v>
      </c>
      <c r="AD415" s="5" t="str">
        <f>TEXT(po_master[[#This Row],[Order Date]],"YYYY-MM")</f>
        <v>2026-01</v>
      </c>
    </row>
    <row r="416" spans="1:30" x14ac:dyDescent="0.25">
      <c r="A416" t="s">
        <v>1080</v>
      </c>
      <c r="B416" t="s">
        <v>1447</v>
      </c>
      <c r="C416" s="1">
        <v>46099</v>
      </c>
      <c r="D416">
        <v>404</v>
      </c>
      <c r="E416">
        <v>61.36</v>
      </c>
      <c r="F416" t="s">
        <v>1459</v>
      </c>
      <c r="G416" s="1">
        <v>46119</v>
      </c>
      <c r="I416" s="1"/>
      <c r="J416" t="s">
        <v>1081</v>
      </c>
      <c r="K416">
        <v>404</v>
      </c>
      <c r="L416">
        <v>65.349999999999994</v>
      </c>
      <c r="M416" s="1">
        <v>46124</v>
      </c>
      <c r="N416" t="str">
        <f>IF(po_master[[#This Row],[Approved By]]="", "Missing Approval", "OK")</f>
        <v>Missing Approval</v>
      </c>
      <c r="O416" t="str">
        <f>IF(ISBLANK(po_master[[#This Row],[GR Quantity]]), "No GR - Not received", "OK")</f>
        <v>No GR - Not received</v>
      </c>
      <c r="P416" t="str">
        <f>IF(po_master[[#This Row],[Promised Delivey Date]]&lt;po_master[[#This Row],[Order Date]], "Invalid", "OK")</f>
        <v>OK</v>
      </c>
      <c r="Q416" t="str">
        <f>IF(ISBLANK(po_master[[#This Row],[Invoice Number]]), "No Invoice", "OK")</f>
        <v>OK</v>
      </c>
      <c r="R416" t="str">
        <f>IF(AND(NOT(ISBLANK(po_master[[#This Row],[GR Quantity]])), po_master[[#This Row],[GR Quantity]]&lt;&gt;po_master[[#This Row],[PO Quantity]]), "Qty Variance", "OK")</f>
        <v>OK</v>
      </c>
      <c r="S416" t="str">
        <f>IF(po_master[[#This Row],[Invoice Unit Price]]&gt;po_master[[#This Row],[PO Unit Price]]*1.01, "Price Variance", "OK")</f>
        <v>Price Variance</v>
      </c>
      <c r="T416" t="str">
        <f>IF(po_master[[#This Row],[Actual Delivery Date]]&gt;po_master[[#This Row],[Promised Delivey Date]], "Late Delivery", "OK")</f>
        <v>OK</v>
      </c>
      <c r="U416" t="str">
        <f>IF(COUNTIF(po_master[PO Number],po_master[[#This Row],[PO Number]])&gt;1, "Duplicate Invoice", "OK")</f>
        <v>OK</v>
      </c>
      <c r="V416" s="5">
        <f>IF(po_master[[#This Row],[Missing Approval]]="Missing Approval", 1, 0)</f>
        <v>1</v>
      </c>
      <c r="W416" s="5">
        <f>IF(po_master[[#This Row],[GR Receipt Status]]="No GR - Not Received", 1, 0)</f>
        <v>1</v>
      </c>
      <c r="X416" s="5">
        <f>IF(po_master[[#This Row],[No invoice]]="No Invoice", 1, 0)</f>
        <v>0</v>
      </c>
      <c r="Y416" s="5">
        <f>IF(po_master[[#This Row],[Date Check]]="Invalid Date", 1, 0)</f>
        <v>0</v>
      </c>
      <c r="Z416" s="5">
        <f>IF(po_master[[#This Row],[Qty Variance Flag]]="Qty Variance", 1, 0)</f>
        <v>0</v>
      </c>
      <c r="AA416" s="5">
        <f>IF(po_master[[#This Row],[Price Variance Flag]]="Price Variance", 1, 0)</f>
        <v>1</v>
      </c>
      <c r="AB416" s="5">
        <f>IF(po_master[[#This Row],[Late Delivery Flag]]="Late Delivery", 1, 0)</f>
        <v>0</v>
      </c>
      <c r="AC416" s="5">
        <f>IF(po_master[[#This Row],[Duplicate Invoice Flag]]="Duplicate Invoice", 1, 0)</f>
        <v>0</v>
      </c>
      <c r="AD416" s="5" t="str">
        <f>TEXT(po_master[[#This Row],[Order Date]],"YYYY-MM")</f>
        <v>2026-03</v>
      </c>
    </row>
    <row r="417" spans="1:30" x14ac:dyDescent="0.25">
      <c r="A417" t="s">
        <v>372</v>
      </c>
      <c r="B417" t="s">
        <v>1482</v>
      </c>
      <c r="C417" s="1">
        <v>46024</v>
      </c>
      <c r="D417">
        <v>143</v>
      </c>
      <c r="E417">
        <v>79.8</v>
      </c>
      <c r="F417" t="s">
        <v>1469</v>
      </c>
      <c r="G417" s="1">
        <v>46037</v>
      </c>
      <c r="H417">
        <v>143</v>
      </c>
      <c r="I417" s="1">
        <v>46055</v>
      </c>
      <c r="J417" t="s">
        <v>1106</v>
      </c>
      <c r="K417">
        <v>143</v>
      </c>
      <c r="L417">
        <v>79.8</v>
      </c>
      <c r="M417" s="1">
        <v>46039</v>
      </c>
      <c r="N417" t="str">
        <f>IF(po_master[[#This Row],[Approved By]]="", "Missing Approval", "OK")</f>
        <v>OK</v>
      </c>
      <c r="O417" t="str">
        <f>IF(ISBLANK(po_master[[#This Row],[GR Quantity]]), "No GR - Not received", "OK")</f>
        <v>OK</v>
      </c>
      <c r="P417" t="str">
        <f>IF(po_master[[#This Row],[Promised Delivey Date]]&lt;po_master[[#This Row],[Order Date]], "Invalid", "OK")</f>
        <v>OK</v>
      </c>
      <c r="Q417" t="str">
        <f>IF(ISBLANK(po_master[[#This Row],[Invoice Number]]), "No Invoice", "OK")</f>
        <v>OK</v>
      </c>
      <c r="R417" t="str">
        <f>IF(AND(NOT(ISBLANK(po_master[[#This Row],[GR Quantity]])), po_master[[#This Row],[GR Quantity]]&lt;&gt;po_master[[#This Row],[PO Quantity]]), "Qty Variance", "OK")</f>
        <v>OK</v>
      </c>
      <c r="S417" t="str">
        <f>IF(po_master[[#This Row],[Invoice Unit Price]]&gt;po_master[[#This Row],[PO Unit Price]]*1.01, "Price Variance", "OK")</f>
        <v>OK</v>
      </c>
      <c r="T417" t="str">
        <f>IF(po_master[[#This Row],[Actual Delivery Date]]&gt;po_master[[#This Row],[Promised Delivey Date]], "Late Delivery", "OK")</f>
        <v>Late Delivery</v>
      </c>
      <c r="U417" t="str">
        <f>IF(COUNTIF(po_master[PO Number],po_master[[#This Row],[PO Number]])&gt;1, "Duplicate Invoice", "OK")</f>
        <v>OK</v>
      </c>
      <c r="V417" s="5">
        <f>IF(po_master[[#This Row],[Missing Approval]]="Missing Approval", 1, 0)</f>
        <v>0</v>
      </c>
      <c r="W417" s="5">
        <f>IF(po_master[[#This Row],[GR Receipt Status]]="No GR - Not Received", 1, 0)</f>
        <v>0</v>
      </c>
      <c r="X417" s="5">
        <f>IF(po_master[[#This Row],[No invoice]]="No Invoice", 1, 0)</f>
        <v>0</v>
      </c>
      <c r="Y417" s="5">
        <f>IF(po_master[[#This Row],[Date Check]]="Invalid Date", 1, 0)</f>
        <v>0</v>
      </c>
      <c r="Z417" s="5">
        <f>IF(po_master[[#This Row],[Qty Variance Flag]]="Qty Variance", 1, 0)</f>
        <v>0</v>
      </c>
      <c r="AA417" s="5">
        <f>IF(po_master[[#This Row],[Price Variance Flag]]="Price Variance", 1, 0)</f>
        <v>0</v>
      </c>
      <c r="AB417" s="5">
        <f>IF(po_master[[#This Row],[Late Delivery Flag]]="Late Delivery", 1, 0)</f>
        <v>1</v>
      </c>
      <c r="AC417" s="5">
        <f>IF(po_master[[#This Row],[Duplicate Invoice Flag]]="Duplicate Invoice", 1, 0)</f>
        <v>0</v>
      </c>
      <c r="AD417" s="5" t="str">
        <f>TEXT(po_master[[#This Row],[Order Date]],"YYYY-MM")</f>
        <v>2026-01</v>
      </c>
    </row>
    <row r="418" spans="1:30" x14ac:dyDescent="0.25">
      <c r="A418" t="s">
        <v>373</v>
      </c>
      <c r="B418" t="s">
        <v>1479</v>
      </c>
      <c r="C418" s="1">
        <v>46100</v>
      </c>
      <c r="D418">
        <v>308</v>
      </c>
      <c r="E418">
        <v>145.96</v>
      </c>
      <c r="F418" t="s">
        <v>1448</v>
      </c>
      <c r="G418" s="1">
        <v>46113</v>
      </c>
      <c r="H418">
        <v>308</v>
      </c>
      <c r="I418" s="1">
        <v>46114</v>
      </c>
      <c r="J418" t="s">
        <v>1107</v>
      </c>
      <c r="K418">
        <v>308</v>
      </c>
      <c r="L418">
        <v>145.96</v>
      </c>
      <c r="M418" s="1">
        <v>46123</v>
      </c>
      <c r="N418" t="str">
        <f>IF(po_master[[#This Row],[Approved By]]="", "Missing Approval", "OK")</f>
        <v>OK</v>
      </c>
      <c r="O418" t="str">
        <f>IF(ISBLANK(po_master[[#This Row],[GR Quantity]]), "No GR - Not received", "OK")</f>
        <v>OK</v>
      </c>
      <c r="P418" t="str">
        <f>IF(po_master[[#This Row],[Promised Delivey Date]]&lt;po_master[[#This Row],[Order Date]], "Invalid", "OK")</f>
        <v>OK</v>
      </c>
      <c r="Q418" t="str">
        <f>IF(ISBLANK(po_master[[#This Row],[Invoice Number]]), "No Invoice", "OK")</f>
        <v>OK</v>
      </c>
      <c r="R418" t="str">
        <f>IF(AND(NOT(ISBLANK(po_master[[#This Row],[GR Quantity]])), po_master[[#This Row],[GR Quantity]]&lt;&gt;po_master[[#This Row],[PO Quantity]]), "Qty Variance", "OK")</f>
        <v>OK</v>
      </c>
      <c r="S418" t="str">
        <f>IF(po_master[[#This Row],[Invoice Unit Price]]&gt;po_master[[#This Row],[PO Unit Price]]*1.01, "Price Variance", "OK")</f>
        <v>OK</v>
      </c>
      <c r="T418" t="str">
        <f>IF(po_master[[#This Row],[Actual Delivery Date]]&gt;po_master[[#This Row],[Promised Delivey Date]], "Late Delivery", "OK")</f>
        <v>Late Delivery</v>
      </c>
      <c r="U418" t="str">
        <f>IF(COUNTIF(po_master[PO Number],po_master[[#This Row],[PO Number]])&gt;1, "Duplicate Invoice", "OK")</f>
        <v>OK</v>
      </c>
      <c r="V418" s="5">
        <f>IF(po_master[[#This Row],[Missing Approval]]="Missing Approval", 1, 0)</f>
        <v>0</v>
      </c>
      <c r="W418" s="5">
        <f>IF(po_master[[#This Row],[GR Receipt Status]]="No GR - Not Received", 1, 0)</f>
        <v>0</v>
      </c>
      <c r="X418" s="5">
        <f>IF(po_master[[#This Row],[No invoice]]="No Invoice", 1, 0)</f>
        <v>0</v>
      </c>
      <c r="Y418" s="5">
        <f>IF(po_master[[#This Row],[Date Check]]="Invalid Date", 1, 0)</f>
        <v>0</v>
      </c>
      <c r="Z418" s="5">
        <f>IF(po_master[[#This Row],[Qty Variance Flag]]="Qty Variance", 1, 0)</f>
        <v>0</v>
      </c>
      <c r="AA418" s="5">
        <f>IF(po_master[[#This Row],[Price Variance Flag]]="Price Variance", 1, 0)</f>
        <v>0</v>
      </c>
      <c r="AB418" s="5">
        <f>IF(po_master[[#This Row],[Late Delivery Flag]]="Late Delivery", 1, 0)</f>
        <v>1</v>
      </c>
      <c r="AC418" s="5">
        <f>IF(po_master[[#This Row],[Duplicate Invoice Flag]]="Duplicate Invoice", 1, 0)</f>
        <v>0</v>
      </c>
      <c r="AD418" s="5" t="str">
        <f>TEXT(po_master[[#This Row],[Order Date]],"YYYY-MM")</f>
        <v>2026-03</v>
      </c>
    </row>
    <row r="419" spans="1:30" x14ac:dyDescent="0.25">
      <c r="A419" t="s">
        <v>374</v>
      </c>
      <c r="B419" t="s">
        <v>1508</v>
      </c>
      <c r="C419" s="1">
        <v>46115</v>
      </c>
      <c r="D419">
        <v>364</v>
      </c>
      <c r="E419">
        <v>51.08</v>
      </c>
      <c r="F419" t="s">
        <v>1467</v>
      </c>
      <c r="G419" s="1">
        <v>46123</v>
      </c>
      <c r="H419">
        <v>379</v>
      </c>
      <c r="I419" s="1">
        <v>46121</v>
      </c>
      <c r="J419" t="s">
        <v>1108</v>
      </c>
      <c r="K419">
        <v>364</v>
      </c>
      <c r="L419">
        <v>51.08</v>
      </c>
      <c r="M419" s="1">
        <v>46133</v>
      </c>
      <c r="N419" t="str">
        <f>IF(po_master[[#This Row],[Approved By]]="", "Missing Approval", "OK")</f>
        <v>OK</v>
      </c>
      <c r="O419" t="str">
        <f>IF(ISBLANK(po_master[[#This Row],[GR Quantity]]), "No GR - Not received", "OK")</f>
        <v>OK</v>
      </c>
      <c r="P419" t="str">
        <f>IF(po_master[[#This Row],[Promised Delivey Date]]&lt;po_master[[#This Row],[Order Date]], "Invalid", "OK")</f>
        <v>OK</v>
      </c>
      <c r="Q419" t="str">
        <f>IF(ISBLANK(po_master[[#This Row],[Invoice Number]]), "No Invoice", "OK")</f>
        <v>OK</v>
      </c>
      <c r="R419" t="str">
        <f>IF(AND(NOT(ISBLANK(po_master[[#This Row],[GR Quantity]])), po_master[[#This Row],[GR Quantity]]&lt;&gt;po_master[[#This Row],[PO Quantity]]), "Qty Variance", "OK")</f>
        <v>Qty Variance</v>
      </c>
      <c r="S419" t="str">
        <f>IF(po_master[[#This Row],[Invoice Unit Price]]&gt;po_master[[#This Row],[PO Unit Price]]*1.01, "Price Variance", "OK")</f>
        <v>OK</v>
      </c>
      <c r="T419" t="str">
        <f>IF(po_master[[#This Row],[Actual Delivery Date]]&gt;po_master[[#This Row],[Promised Delivey Date]], "Late Delivery", "OK")</f>
        <v>OK</v>
      </c>
      <c r="U419" t="str">
        <f>IF(COUNTIF(po_master[PO Number],po_master[[#This Row],[PO Number]])&gt;1, "Duplicate Invoice", "OK")</f>
        <v>OK</v>
      </c>
      <c r="V419" s="5">
        <f>IF(po_master[[#This Row],[Missing Approval]]="Missing Approval", 1, 0)</f>
        <v>0</v>
      </c>
      <c r="W419" s="5">
        <f>IF(po_master[[#This Row],[GR Receipt Status]]="No GR - Not Received", 1, 0)</f>
        <v>0</v>
      </c>
      <c r="X419" s="5">
        <f>IF(po_master[[#This Row],[No invoice]]="No Invoice", 1, 0)</f>
        <v>0</v>
      </c>
      <c r="Y419" s="5">
        <f>IF(po_master[[#This Row],[Date Check]]="Invalid Date", 1, 0)</f>
        <v>0</v>
      </c>
      <c r="Z419" s="5">
        <f>IF(po_master[[#This Row],[Qty Variance Flag]]="Qty Variance", 1, 0)</f>
        <v>1</v>
      </c>
      <c r="AA419" s="5">
        <f>IF(po_master[[#This Row],[Price Variance Flag]]="Price Variance", 1, 0)</f>
        <v>0</v>
      </c>
      <c r="AB419" s="5">
        <f>IF(po_master[[#This Row],[Late Delivery Flag]]="Late Delivery", 1, 0)</f>
        <v>0</v>
      </c>
      <c r="AC419" s="5">
        <f>IF(po_master[[#This Row],[Duplicate Invoice Flag]]="Duplicate Invoice", 1, 0)</f>
        <v>0</v>
      </c>
      <c r="AD419" s="5" t="str">
        <f>TEXT(po_master[[#This Row],[Order Date]],"YYYY-MM")</f>
        <v>2026-04</v>
      </c>
    </row>
    <row r="420" spans="1:30" x14ac:dyDescent="0.25">
      <c r="A420" t="s">
        <v>375</v>
      </c>
      <c r="B420" t="s">
        <v>1489</v>
      </c>
      <c r="C420" s="1">
        <v>46101</v>
      </c>
      <c r="D420">
        <v>91</v>
      </c>
      <c r="E420">
        <v>84.06</v>
      </c>
      <c r="F420" t="s">
        <v>1504</v>
      </c>
      <c r="G420" s="1">
        <v>46115</v>
      </c>
      <c r="H420">
        <v>91</v>
      </c>
      <c r="I420" s="1">
        <v>46113</v>
      </c>
      <c r="J420" t="s">
        <v>1109</v>
      </c>
      <c r="K420">
        <v>91</v>
      </c>
      <c r="L420">
        <v>84.06</v>
      </c>
      <c r="M420" s="1">
        <v>46122</v>
      </c>
      <c r="N420" t="str">
        <f>IF(po_master[[#This Row],[Approved By]]="", "Missing Approval", "OK")</f>
        <v>OK</v>
      </c>
      <c r="O420" t="str">
        <f>IF(ISBLANK(po_master[[#This Row],[GR Quantity]]), "No GR - Not received", "OK")</f>
        <v>OK</v>
      </c>
      <c r="P420" t="str">
        <f>IF(po_master[[#This Row],[Promised Delivey Date]]&lt;po_master[[#This Row],[Order Date]], "Invalid", "OK")</f>
        <v>OK</v>
      </c>
      <c r="Q420" t="str">
        <f>IF(ISBLANK(po_master[[#This Row],[Invoice Number]]), "No Invoice", "OK")</f>
        <v>OK</v>
      </c>
      <c r="R420" t="str">
        <f>IF(AND(NOT(ISBLANK(po_master[[#This Row],[GR Quantity]])), po_master[[#This Row],[GR Quantity]]&lt;&gt;po_master[[#This Row],[PO Quantity]]), "Qty Variance", "OK")</f>
        <v>OK</v>
      </c>
      <c r="S420" t="str">
        <f>IF(po_master[[#This Row],[Invoice Unit Price]]&gt;po_master[[#This Row],[PO Unit Price]]*1.01, "Price Variance", "OK")</f>
        <v>OK</v>
      </c>
      <c r="T420" t="str">
        <f>IF(po_master[[#This Row],[Actual Delivery Date]]&gt;po_master[[#This Row],[Promised Delivey Date]], "Late Delivery", "OK")</f>
        <v>OK</v>
      </c>
      <c r="U420" t="str">
        <f>IF(COUNTIF(po_master[PO Number],po_master[[#This Row],[PO Number]])&gt;1, "Duplicate Invoice", "OK")</f>
        <v>OK</v>
      </c>
      <c r="V420" s="5">
        <f>IF(po_master[[#This Row],[Missing Approval]]="Missing Approval", 1, 0)</f>
        <v>0</v>
      </c>
      <c r="W420" s="5">
        <f>IF(po_master[[#This Row],[GR Receipt Status]]="No GR - Not Received", 1, 0)</f>
        <v>0</v>
      </c>
      <c r="X420" s="5">
        <f>IF(po_master[[#This Row],[No invoice]]="No Invoice", 1, 0)</f>
        <v>0</v>
      </c>
      <c r="Y420" s="5">
        <f>IF(po_master[[#This Row],[Date Check]]="Invalid Date", 1, 0)</f>
        <v>0</v>
      </c>
      <c r="Z420" s="5">
        <f>IF(po_master[[#This Row],[Qty Variance Flag]]="Qty Variance", 1, 0)</f>
        <v>0</v>
      </c>
      <c r="AA420" s="5">
        <f>IF(po_master[[#This Row],[Price Variance Flag]]="Price Variance", 1, 0)</f>
        <v>0</v>
      </c>
      <c r="AB420" s="5">
        <f>IF(po_master[[#This Row],[Late Delivery Flag]]="Late Delivery", 1, 0)</f>
        <v>0</v>
      </c>
      <c r="AC420" s="5">
        <f>IF(po_master[[#This Row],[Duplicate Invoice Flag]]="Duplicate Invoice", 1, 0)</f>
        <v>0</v>
      </c>
      <c r="AD420" s="5" t="str">
        <f>TEXT(po_master[[#This Row],[Order Date]],"YYYY-MM")</f>
        <v>2026-03</v>
      </c>
    </row>
    <row r="421" spans="1:30" x14ac:dyDescent="0.25">
      <c r="A421" t="s">
        <v>376</v>
      </c>
      <c r="B421" t="s">
        <v>1449</v>
      </c>
      <c r="C421" s="1">
        <v>46053</v>
      </c>
      <c r="D421">
        <v>337</v>
      </c>
      <c r="E421">
        <v>183.65</v>
      </c>
      <c r="F421" t="s">
        <v>1474</v>
      </c>
      <c r="G421" s="1">
        <v>46069</v>
      </c>
      <c r="H421">
        <v>337</v>
      </c>
      <c r="I421" s="1">
        <v>46070</v>
      </c>
      <c r="J421" t="s">
        <v>1110</v>
      </c>
      <c r="K421">
        <v>337</v>
      </c>
      <c r="L421">
        <v>183.65</v>
      </c>
      <c r="M421" s="1">
        <v>46072</v>
      </c>
      <c r="N421" t="str">
        <f>IF(po_master[[#This Row],[Approved By]]="", "Missing Approval", "OK")</f>
        <v>OK</v>
      </c>
      <c r="O421" t="str">
        <f>IF(ISBLANK(po_master[[#This Row],[GR Quantity]]), "No GR - Not received", "OK")</f>
        <v>OK</v>
      </c>
      <c r="P421" t="str">
        <f>IF(po_master[[#This Row],[Promised Delivey Date]]&lt;po_master[[#This Row],[Order Date]], "Invalid", "OK")</f>
        <v>OK</v>
      </c>
      <c r="Q421" t="str">
        <f>IF(ISBLANK(po_master[[#This Row],[Invoice Number]]), "No Invoice", "OK")</f>
        <v>OK</v>
      </c>
      <c r="R421" t="str">
        <f>IF(AND(NOT(ISBLANK(po_master[[#This Row],[GR Quantity]])), po_master[[#This Row],[GR Quantity]]&lt;&gt;po_master[[#This Row],[PO Quantity]]), "Qty Variance", "OK")</f>
        <v>OK</v>
      </c>
      <c r="S421" t="str">
        <f>IF(po_master[[#This Row],[Invoice Unit Price]]&gt;po_master[[#This Row],[PO Unit Price]]*1.01, "Price Variance", "OK")</f>
        <v>OK</v>
      </c>
      <c r="T421" t="str">
        <f>IF(po_master[[#This Row],[Actual Delivery Date]]&gt;po_master[[#This Row],[Promised Delivey Date]], "Late Delivery", "OK")</f>
        <v>Late Delivery</v>
      </c>
      <c r="U421" t="str">
        <f>IF(COUNTIF(po_master[PO Number],po_master[[#This Row],[PO Number]])&gt;1, "Duplicate Invoice", "OK")</f>
        <v>OK</v>
      </c>
      <c r="V421" s="5">
        <f>IF(po_master[[#This Row],[Missing Approval]]="Missing Approval", 1, 0)</f>
        <v>0</v>
      </c>
      <c r="W421" s="5">
        <f>IF(po_master[[#This Row],[GR Receipt Status]]="No GR - Not Received", 1, 0)</f>
        <v>0</v>
      </c>
      <c r="X421" s="5">
        <f>IF(po_master[[#This Row],[No invoice]]="No Invoice", 1, 0)</f>
        <v>0</v>
      </c>
      <c r="Y421" s="5">
        <f>IF(po_master[[#This Row],[Date Check]]="Invalid Date", 1, 0)</f>
        <v>0</v>
      </c>
      <c r="Z421" s="5">
        <f>IF(po_master[[#This Row],[Qty Variance Flag]]="Qty Variance", 1, 0)</f>
        <v>0</v>
      </c>
      <c r="AA421" s="5">
        <f>IF(po_master[[#This Row],[Price Variance Flag]]="Price Variance", 1, 0)</f>
        <v>0</v>
      </c>
      <c r="AB421" s="5">
        <f>IF(po_master[[#This Row],[Late Delivery Flag]]="Late Delivery", 1, 0)</f>
        <v>1</v>
      </c>
      <c r="AC421" s="5">
        <f>IF(po_master[[#This Row],[Duplicate Invoice Flag]]="Duplicate Invoice", 1, 0)</f>
        <v>0</v>
      </c>
      <c r="AD421" s="5" t="str">
        <f>TEXT(po_master[[#This Row],[Order Date]],"YYYY-MM")</f>
        <v>2026-01</v>
      </c>
    </row>
    <row r="422" spans="1:30" x14ac:dyDescent="0.25">
      <c r="A422" t="s">
        <v>377</v>
      </c>
      <c r="B422" t="s">
        <v>1497</v>
      </c>
      <c r="C422" s="1">
        <v>46079</v>
      </c>
      <c r="D422">
        <v>122</v>
      </c>
      <c r="E422">
        <v>191.69</v>
      </c>
      <c r="F422" t="s">
        <v>1459</v>
      </c>
      <c r="G422" s="1">
        <v>46088</v>
      </c>
      <c r="H422">
        <v>122</v>
      </c>
      <c r="I422" s="1">
        <v>46089</v>
      </c>
      <c r="J422" t="s">
        <v>1111</v>
      </c>
      <c r="K422">
        <v>122</v>
      </c>
      <c r="L422">
        <v>191.69</v>
      </c>
      <c r="M422" s="1">
        <v>46094</v>
      </c>
      <c r="N422" t="str">
        <f>IF(po_master[[#This Row],[Approved By]]="", "Missing Approval", "OK")</f>
        <v>Missing Approval</v>
      </c>
      <c r="O422" t="str">
        <f>IF(ISBLANK(po_master[[#This Row],[GR Quantity]]), "No GR - Not received", "OK")</f>
        <v>OK</v>
      </c>
      <c r="P422" t="str">
        <f>IF(po_master[[#This Row],[Promised Delivey Date]]&lt;po_master[[#This Row],[Order Date]], "Invalid", "OK")</f>
        <v>OK</v>
      </c>
      <c r="Q422" t="str">
        <f>IF(ISBLANK(po_master[[#This Row],[Invoice Number]]), "No Invoice", "OK")</f>
        <v>OK</v>
      </c>
      <c r="R422" t="str">
        <f>IF(AND(NOT(ISBLANK(po_master[[#This Row],[GR Quantity]])), po_master[[#This Row],[GR Quantity]]&lt;&gt;po_master[[#This Row],[PO Quantity]]), "Qty Variance", "OK")</f>
        <v>OK</v>
      </c>
      <c r="S422" t="str">
        <f>IF(po_master[[#This Row],[Invoice Unit Price]]&gt;po_master[[#This Row],[PO Unit Price]]*1.01, "Price Variance", "OK")</f>
        <v>OK</v>
      </c>
      <c r="T422" t="str">
        <f>IF(po_master[[#This Row],[Actual Delivery Date]]&gt;po_master[[#This Row],[Promised Delivey Date]], "Late Delivery", "OK")</f>
        <v>Late Delivery</v>
      </c>
      <c r="U422" t="str">
        <f>IF(COUNTIF(po_master[PO Number],po_master[[#This Row],[PO Number]])&gt;1, "Duplicate Invoice", "OK")</f>
        <v>OK</v>
      </c>
      <c r="V422" s="5">
        <f>IF(po_master[[#This Row],[Missing Approval]]="Missing Approval", 1, 0)</f>
        <v>1</v>
      </c>
      <c r="W422" s="5">
        <f>IF(po_master[[#This Row],[GR Receipt Status]]="No GR - Not Received", 1, 0)</f>
        <v>0</v>
      </c>
      <c r="X422" s="5">
        <f>IF(po_master[[#This Row],[No invoice]]="No Invoice", 1, 0)</f>
        <v>0</v>
      </c>
      <c r="Y422" s="5">
        <f>IF(po_master[[#This Row],[Date Check]]="Invalid Date", 1, 0)</f>
        <v>0</v>
      </c>
      <c r="Z422" s="5">
        <f>IF(po_master[[#This Row],[Qty Variance Flag]]="Qty Variance", 1, 0)</f>
        <v>0</v>
      </c>
      <c r="AA422" s="5">
        <f>IF(po_master[[#This Row],[Price Variance Flag]]="Price Variance", 1, 0)</f>
        <v>0</v>
      </c>
      <c r="AB422" s="5">
        <f>IF(po_master[[#This Row],[Late Delivery Flag]]="Late Delivery", 1, 0)</f>
        <v>1</v>
      </c>
      <c r="AC422" s="5">
        <f>IF(po_master[[#This Row],[Duplicate Invoice Flag]]="Duplicate Invoice", 1, 0)</f>
        <v>0</v>
      </c>
      <c r="AD422" s="5" t="str">
        <f>TEXT(po_master[[#This Row],[Order Date]],"YYYY-MM")</f>
        <v>2026-02</v>
      </c>
    </row>
    <row r="423" spans="1:30" x14ac:dyDescent="0.25">
      <c r="A423" t="s">
        <v>1088</v>
      </c>
      <c r="B423" t="s">
        <v>1475</v>
      </c>
      <c r="C423" s="1">
        <v>46158</v>
      </c>
      <c r="D423">
        <v>125</v>
      </c>
      <c r="E423">
        <v>129.4</v>
      </c>
      <c r="F423" t="s">
        <v>1462</v>
      </c>
      <c r="G423" s="1">
        <v>46166</v>
      </c>
      <c r="I423" s="1"/>
      <c r="J423" t="s">
        <v>1089</v>
      </c>
      <c r="K423">
        <v>125</v>
      </c>
      <c r="L423">
        <v>129.4</v>
      </c>
      <c r="M423" s="1">
        <v>46167</v>
      </c>
      <c r="N423" t="str">
        <f>IF(po_master[[#This Row],[Approved By]]="", "Missing Approval", "OK")</f>
        <v>OK</v>
      </c>
      <c r="O423" t="str">
        <f>IF(ISBLANK(po_master[[#This Row],[GR Quantity]]), "No GR - Not received", "OK")</f>
        <v>No GR - Not received</v>
      </c>
      <c r="P423" t="str">
        <f>IF(po_master[[#This Row],[Promised Delivey Date]]&lt;po_master[[#This Row],[Order Date]], "Invalid", "OK")</f>
        <v>OK</v>
      </c>
      <c r="Q423" t="str">
        <f>IF(ISBLANK(po_master[[#This Row],[Invoice Number]]), "No Invoice", "OK")</f>
        <v>OK</v>
      </c>
      <c r="R423" t="str">
        <f>IF(AND(NOT(ISBLANK(po_master[[#This Row],[GR Quantity]])), po_master[[#This Row],[GR Quantity]]&lt;&gt;po_master[[#This Row],[PO Quantity]]), "Qty Variance", "OK")</f>
        <v>OK</v>
      </c>
      <c r="S423" t="str">
        <f>IF(po_master[[#This Row],[Invoice Unit Price]]&gt;po_master[[#This Row],[PO Unit Price]]*1.01, "Price Variance", "OK")</f>
        <v>OK</v>
      </c>
      <c r="T423" t="str">
        <f>IF(po_master[[#This Row],[Actual Delivery Date]]&gt;po_master[[#This Row],[Promised Delivey Date]], "Late Delivery", "OK")</f>
        <v>OK</v>
      </c>
      <c r="U423" t="str">
        <f>IF(COUNTIF(po_master[PO Number],po_master[[#This Row],[PO Number]])&gt;1, "Duplicate Invoice", "OK")</f>
        <v>OK</v>
      </c>
      <c r="V423" s="5">
        <f>IF(po_master[[#This Row],[Missing Approval]]="Missing Approval", 1, 0)</f>
        <v>0</v>
      </c>
      <c r="W423" s="5">
        <f>IF(po_master[[#This Row],[GR Receipt Status]]="No GR - Not Received", 1, 0)</f>
        <v>1</v>
      </c>
      <c r="X423" s="5">
        <f>IF(po_master[[#This Row],[No invoice]]="No Invoice", 1, 0)</f>
        <v>0</v>
      </c>
      <c r="Y423" s="5">
        <f>IF(po_master[[#This Row],[Date Check]]="Invalid Date", 1, 0)</f>
        <v>0</v>
      </c>
      <c r="Z423" s="5">
        <f>IF(po_master[[#This Row],[Qty Variance Flag]]="Qty Variance", 1, 0)</f>
        <v>0</v>
      </c>
      <c r="AA423" s="5">
        <f>IF(po_master[[#This Row],[Price Variance Flag]]="Price Variance", 1, 0)</f>
        <v>0</v>
      </c>
      <c r="AB423" s="5">
        <f>IF(po_master[[#This Row],[Late Delivery Flag]]="Late Delivery", 1, 0)</f>
        <v>0</v>
      </c>
      <c r="AC423" s="5">
        <f>IF(po_master[[#This Row],[Duplicate Invoice Flag]]="Duplicate Invoice", 1, 0)</f>
        <v>0</v>
      </c>
      <c r="AD423" s="5" t="str">
        <f>TEXT(po_master[[#This Row],[Order Date]],"YYYY-MM")</f>
        <v>2026-05</v>
      </c>
    </row>
    <row r="424" spans="1:30" x14ac:dyDescent="0.25">
      <c r="A424" t="s">
        <v>378</v>
      </c>
      <c r="B424" t="s">
        <v>1489</v>
      </c>
      <c r="C424" s="1">
        <v>46118</v>
      </c>
      <c r="D424">
        <v>222</v>
      </c>
      <c r="E424">
        <v>141.88</v>
      </c>
      <c r="F424" t="s">
        <v>1487</v>
      </c>
      <c r="G424" s="1">
        <v>46129</v>
      </c>
      <c r="H424">
        <v>222</v>
      </c>
      <c r="I424" s="1">
        <v>46127</v>
      </c>
      <c r="J424" t="s">
        <v>1112</v>
      </c>
      <c r="K424">
        <v>222</v>
      </c>
      <c r="L424">
        <v>141.88</v>
      </c>
      <c r="M424" s="1">
        <v>46131</v>
      </c>
      <c r="N424" t="str">
        <f>IF(po_master[[#This Row],[Approved By]]="", "Missing Approval", "OK")</f>
        <v>OK</v>
      </c>
      <c r="O424" t="str">
        <f>IF(ISBLANK(po_master[[#This Row],[GR Quantity]]), "No GR - Not received", "OK")</f>
        <v>OK</v>
      </c>
      <c r="P424" t="str">
        <f>IF(po_master[[#This Row],[Promised Delivey Date]]&lt;po_master[[#This Row],[Order Date]], "Invalid", "OK")</f>
        <v>OK</v>
      </c>
      <c r="Q424" t="str">
        <f>IF(ISBLANK(po_master[[#This Row],[Invoice Number]]), "No Invoice", "OK")</f>
        <v>OK</v>
      </c>
      <c r="R424" t="str">
        <f>IF(AND(NOT(ISBLANK(po_master[[#This Row],[GR Quantity]])), po_master[[#This Row],[GR Quantity]]&lt;&gt;po_master[[#This Row],[PO Quantity]]), "Qty Variance", "OK")</f>
        <v>OK</v>
      </c>
      <c r="S424" t="str">
        <f>IF(po_master[[#This Row],[Invoice Unit Price]]&gt;po_master[[#This Row],[PO Unit Price]]*1.01, "Price Variance", "OK")</f>
        <v>OK</v>
      </c>
      <c r="T424" t="str">
        <f>IF(po_master[[#This Row],[Actual Delivery Date]]&gt;po_master[[#This Row],[Promised Delivey Date]], "Late Delivery", "OK")</f>
        <v>OK</v>
      </c>
      <c r="U424" t="str">
        <f>IF(COUNTIF(po_master[PO Number],po_master[[#This Row],[PO Number]])&gt;1, "Duplicate Invoice", "OK")</f>
        <v>OK</v>
      </c>
      <c r="V424" s="5">
        <f>IF(po_master[[#This Row],[Missing Approval]]="Missing Approval", 1, 0)</f>
        <v>0</v>
      </c>
      <c r="W424" s="5">
        <f>IF(po_master[[#This Row],[GR Receipt Status]]="No GR - Not Received", 1, 0)</f>
        <v>0</v>
      </c>
      <c r="X424" s="5">
        <f>IF(po_master[[#This Row],[No invoice]]="No Invoice", 1, 0)</f>
        <v>0</v>
      </c>
      <c r="Y424" s="5">
        <f>IF(po_master[[#This Row],[Date Check]]="Invalid Date", 1, 0)</f>
        <v>0</v>
      </c>
      <c r="Z424" s="5">
        <f>IF(po_master[[#This Row],[Qty Variance Flag]]="Qty Variance", 1, 0)</f>
        <v>0</v>
      </c>
      <c r="AA424" s="5">
        <f>IF(po_master[[#This Row],[Price Variance Flag]]="Price Variance", 1, 0)</f>
        <v>0</v>
      </c>
      <c r="AB424" s="5">
        <f>IF(po_master[[#This Row],[Late Delivery Flag]]="Late Delivery", 1, 0)</f>
        <v>0</v>
      </c>
      <c r="AC424" s="5">
        <f>IF(po_master[[#This Row],[Duplicate Invoice Flag]]="Duplicate Invoice", 1, 0)</f>
        <v>0</v>
      </c>
      <c r="AD424" s="5" t="str">
        <f>TEXT(po_master[[#This Row],[Order Date]],"YYYY-MM")</f>
        <v>2026-04</v>
      </c>
    </row>
    <row r="425" spans="1:30" x14ac:dyDescent="0.25">
      <c r="A425" t="s">
        <v>1090</v>
      </c>
      <c r="B425" t="s">
        <v>1495</v>
      </c>
      <c r="C425" s="1">
        <v>46107</v>
      </c>
      <c r="D425">
        <v>377</v>
      </c>
      <c r="E425">
        <v>97.12</v>
      </c>
      <c r="F425" t="s">
        <v>1467</v>
      </c>
      <c r="G425" s="1">
        <v>46116</v>
      </c>
      <c r="I425" s="1"/>
      <c r="J425" t="s">
        <v>1091</v>
      </c>
      <c r="K425">
        <v>377</v>
      </c>
      <c r="L425">
        <v>107.47</v>
      </c>
      <c r="M425" s="1">
        <v>46120</v>
      </c>
      <c r="N425" t="str">
        <f>IF(po_master[[#This Row],[Approved By]]="", "Missing Approval", "OK")</f>
        <v>OK</v>
      </c>
      <c r="O425" t="str">
        <f>IF(ISBLANK(po_master[[#This Row],[GR Quantity]]), "No GR - Not received", "OK")</f>
        <v>No GR - Not received</v>
      </c>
      <c r="P425" t="str">
        <f>IF(po_master[[#This Row],[Promised Delivey Date]]&lt;po_master[[#This Row],[Order Date]], "Invalid", "OK")</f>
        <v>OK</v>
      </c>
      <c r="Q425" t="str">
        <f>IF(ISBLANK(po_master[[#This Row],[Invoice Number]]), "No Invoice", "OK")</f>
        <v>OK</v>
      </c>
      <c r="R425" t="str">
        <f>IF(AND(NOT(ISBLANK(po_master[[#This Row],[GR Quantity]])), po_master[[#This Row],[GR Quantity]]&lt;&gt;po_master[[#This Row],[PO Quantity]]), "Qty Variance", "OK")</f>
        <v>OK</v>
      </c>
      <c r="S425" t="str">
        <f>IF(po_master[[#This Row],[Invoice Unit Price]]&gt;po_master[[#This Row],[PO Unit Price]]*1.01, "Price Variance", "OK")</f>
        <v>Price Variance</v>
      </c>
      <c r="T425" t="str">
        <f>IF(po_master[[#This Row],[Actual Delivery Date]]&gt;po_master[[#This Row],[Promised Delivey Date]], "Late Delivery", "OK")</f>
        <v>OK</v>
      </c>
      <c r="U425" t="str">
        <f>IF(COUNTIF(po_master[PO Number],po_master[[#This Row],[PO Number]])&gt;1, "Duplicate Invoice", "OK")</f>
        <v>OK</v>
      </c>
      <c r="V425" s="5">
        <f>IF(po_master[[#This Row],[Missing Approval]]="Missing Approval", 1, 0)</f>
        <v>0</v>
      </c>
      <c r="W425" s="5">
        <f>IF(po_master[[#This Row],[GR Receipt Status]]="No GR - Not Received", 1, 0)</f>
        <v>1</v>
      </c>
      <c r="X425" s="5">
        <f>IF(po_master[[#This Row],[No invoice]]="No Invoice", 1, 0)</f>
        <v>0</v>
      </c>
      <c r="Y425" s="5">
        <f>IF(po_master[[#This Row],[Date Check]]="Invalid Date", 1, 0)</f>
        <v>0</v>
      </c>
      <c r="Z425" s="5">
        <f>IF(po_master[[#This Row],[Qty Variance Flag]]="Qty Variance", 1, 0)</f>
        <v>0</v>
      </c>
      <c r="AA425" s="5">
        <f>IF(po_master[[#This Row],[Price Variance Flag]]="Price Variance", 1, 0)</f>
        <v>1</v>
      </c>
      <c r="AB425" s="5">
        <f>IF(po_master[[#This Row],[Late Delivery Flag]]="Late Delivery", 1, 0)</f>
        <v>0</v>
      </c>
      <c r="AC425" s="5">
        <f>IF(po_master[[#This Row],[Duplicate Invoice Flag]]="Duplicate Invoice", 1, 0)</f>
        <v>0</v>
      </c>
      <c r="AD425" s="5" t="str">
        <f>TEXT(po_master[[#This Row],[Order Date]],"YYYY-MM")</f>
        <v>2026-03</v>
      </c>
    </row>
    <row r="426" spans="1:30" x14ac:dyDescent="0.25">
      <c r="A426" t="s">
        <v>379</v>
      </c>
      <c r="B426" t="s">
        <v>1492</v>
      </c>
      <c r="C426" s="1">
        <v>46167</v>
      </c>
      <c r="D426">
        <v>67</v>
      </c>
      <c r="E426">
        <v>17.04</v>
      </c>
      <c r="F426" t="s">
        <v>1442</v>
      </c>
      <c r="G426" s="1">
        <v>46188</v>
      </c>
      <c r="H426">
        <v>67</v>
      </c>
      <c r="I426" s="1">
        <v>46204</v>
      </c>
      <c r="J426" t="s">
        <v>1115</v>
      </c>
      <c r="K426">
        <v>67</v>
      </c>
      <c r="L426">
        <v>17.04</v>
      </c>
      <c r="M426" s="1">
        <v>46192</v>
      </c>
      <c r="N426" t="str">
        <f>IF(po_master[[#This Row],[Approved By]]="", "Missing Approval", "OK")</f>
        <v>OK</v>
      </c>
      <c r="O426" t="str">
        <f>IF(ISBLANK(po_master[[#This Row],[GR Quantity]]), "No GR - Not received", "OK")</f>
        <v>OK</v>
      </c>
      <c r="P426" t="str">
        <f>IF(po_master[[#This Row],[Promised Delivey Date]]&lt;po_master[[#This Row],[Order Date]], "Invalid", "OK")</f>
        <v>OK</v>
      </c>
      <c r="Q426" t="str">
        <f>IF(ISBLANK(po_master[[#This Row],[Invoice Number]]), "No Invoice", "OK")</f>
        <v>OK</v>
      </c>
      <c r="R426" t="str">
        <f>IF(AND(NOT(ISBLANK(po_master[[#This Row],[GR Quantity]])), po_master[[#This Row],[GR Quantity]]&lt;&gt;po_master[[#This Row],[PO Quantity]]), "Qty Variance", "OK")</f>
        <v>OK</v>
      </c>
      <c r="S426" t="str">
        <f>IF(po_master[[#This Row],[Invoice Unit Price]]&gt;po_master[[#This Row],[PO Unit Price]]*1.01, "Price Variance", "OK")</f>
        <v>OK</v>
      </c>
      <c r="T426" t="str">
        <f>IF(po_master[[#This Row],[Actual Delivery Date]]&gt;po_master[[#This Row],[Promised Delivey Date]], "Late Delivery", "OK")</f>
        <v>Late Delivery</v>
      </c>
      <c r="U426" t="str">
        <f>IF(COUNTIF(po_master[PO Number],po_master[[#This Row],[PO Number]])&gt;1, "Duplicate Invoice", "OK")</f>
        <v>OK</v>
      </c>
      <c r="V426" s="5">
        <f>IF(po_master[[#This Row],[Missing Approval]]="Missing Approval", 1, 0)</f>
        <v>0</v>
      </c>
      <c r="W426" s="5">
        <f>IF(po_master[[#This Row],[GR Receipt Status]]="No GR - Not Received", 1, 0)</f>
        <v>0</v>
      </c>
      <c r="X426" s="5">
        <f>IF(po_master[[#This Row],[No invoice]]="No Invoice", 1, 0)</f>
        <v>0</v>
      </c>
      <c r="Y426" s="5">
        <f>IF(po_master[[#This Row],[Date Check]]="Invalid Date", 1, 0)</f>
        <v>0</v>
      </c>
      <c r="Z426" s="5">
        <f>IF(po_master[[#This Row],[Qty Variance Flag]]="Qty Variance", 1, 0)</f>
        <v>0</v>
      </c>
      <c r="AA426" s="5">
        <f>IF(po_master[[#This Row],[Price Variance Flag]]="Price Variance", 1, 0)</f>
        <v>0</v>
      </c>
      <c r="AB426" s="5">
        <f>IF(po_master[[#This Row],[Late Delivery Flag]]="Late Delivery", 1, 0)</f>
        <v>1</v>
      </c>
      <c r="AC426" s="5">
        <f>IF(po_master[[#This Row],[Duplicate Invoice Flag]]="Duplicate Invoice", 1, 0)</f>
        <v>0</v>
      </c>
      <c r="AD426" s="5" t="str">
        <f>TEXT(po_master[[#This Row],[Order Date]],"YYYY-MM")</f>
        <v>2026-05</v>
      </c>
    </row>
    <row r="427" spans="1:30" x14ac:dyDescent="0.25">
      <c r="A427" t="s">
        <v>1092</v>
      </c>
      <c r="B427" t="s">
        <v>1481</v>
      </c>
      <c r="C427" s="1">
        <v>46163</v>
      </c>
      <c r="D427">
        <v>485</v>
      </c>
      <c r="E427">
        <v>35.799999999999997</v>
      </c>
      <c r="F427" t="s">
        <v>1446</v>
      </c>
      <c r="G427" s="1">
        <v>46183</v>
      </c>
      <c r="I427" s="1"/>
      <c r="J427" t="s">
        <v>1093</v>
      </c>
      <c r="K427">
        <v>485</v>
      </c>
      <c r="L427">
        <v>35.799999999999997</v>
      </c>
      <c r="M427" s="1">
        <v>46187</v>
      </c>
      <c r="N427" t="str">
        <f>IF(po_master[[#This Row],[Approved By]]="", "Missing Approval", "OK")</f>
        <v>OK</v>
      </c>
      <c r="O427" t="str">
        <f>IF(ISBLANK(po_master[[#This Row],[GR Quantity]]), "No GR - Not received", "OK")</f>
        <v>No GR - Not received</v>
      </c>
      <c r="P427" t="str">
        <f>IF(po_master[[#This Row],[Promised Delivey Date]]&lt;po_master[[#This Row],[Order Date]], "Invalid", "OK")</f>
        <v>OK</v>
      </c>
      <c r="Q427" t="str">
        <f>IF(ISBLANK(po_master[[#This Row],[Invoice Number]]), "No Invoice", "OK")</f>
        <v>OK</v>
      </c>
      <c r="R427" t="str">
        <f>IF(AND(NOT(ISBLANK(po_master[[#This Row],[GR Quantity]])), po_master[[#This Row],[GR Quantity]]&lt;&gt;po_master[[#This Row],[PO Quantity]]), "Qty Variance", "OK")</f>
        <v>OK</v>
      </c>
      <c r="S427" t="str">
        <f>IF(po_master[[#This Row],[Invoice Unit Price]]&gt;po_master[[#This Row],[PO Unit Price]]*1.01, "Price Variance", "OK")</f>
        <v>OK</v>
      </c>
      <c r="T427" t="str">
        <f>IF(po_master[[#This Row],[Actual Delivery Date]]&gt;po_master[[#This Row],[Promised Delivey Date]], "Late Delivery", "OK")</f>
        <v>OK</v>
      </c>
      <c r="U427" t="str">
        <f>IF(COUNTIF(po_master[PO Number],po_master[[#This Row],[PO Number]])&gt;1, "Duplicate Invoice", "OK")</f>
        <v>OK</v>
      </c>
      <c r="V427" s="5">
        <f>IF(po_master[[#This Row],[Missing Approval]]="Missing Approval", 1, 0)</f>
        <v>0</v>
      </c>
      <c r="W427" s="5">
        <f>IF(po_master[[#This Row],[GR Receipt Status]]="No GR - Not Received", 1, 0)</f>
        <v>1</v>
      </c>
      <c r="X427" s="5">
        <f>IF(po_master[[#This Row],[No invoice]]="No Invoice", 1, 0)</f>
        <v>0</v>
      </c>
      <c r="Y427" s="5">
        <f>IF(po_master[[#This Row],[Date Check]]="Invalid Date", 1, 0)</f>
        <v>0</v>
      </c>
      <c r="Z427" s="5">
        <f>IF(po_master[[#This Row],[Qty Variance Flag]]="Qty Variance", 1, 0)</f>
        <v>0</v>
      </c>
      <c r="AA427" s="5">
        <f>IF(po_master[[#This Row],[Price Variance Flag]]="Price Variance", 1, 0)</f>
        <v>0</v>
      </c>
      <c r="AB427" s="5">
        <f>IF(po_master[[#This Row],[Late Delivery Flag]]="Late Delivery", 1, 0)</f>
        <v>0</v>
      </c>
      <c r="AC427" s="5">
        <f>IF(po_master[[#This Row],[Duplicate Invoice Flag]]="Duplicate Invoice", 1, 0)</f>
        <v>0</v>
      </c>
      <c r="AD427" s="5" t="str">
        <f>TEXT(po_master[[#This Row],[Order Date]],"YYYY-MM")</f>
        <v>2026-05</v>
      </c>
    </row>
    <row r="428" spans="1:30" x14ac:dyDescent="0.25">
      <c r="A428" t="s">
        <v>380</v>
      </c>
      <c r="B428" t="s">
        <v>1505</v>
      </c>
      <c r="C428" s="1">
        <v>46169</v>
      </c>
      <c r="D428">
        <v>284</v>
      </c>
      <c r="E428">
        <v>34.22</v>
      </c>
      <c r="F428" t="s">
        <v>1472</v>
      </c>
      <c r="G428" s="1">
        <v>46190</v>
      </c>
      <c r="H428">
        <v>284</v>
      </c>
      <c r="I428" s="1">
        <v>46188</v>
      </c>
      <c r="J428" t="s">
        <v>1116</v>
      </c>
      <c r="K428">
        <v>284</v>
      </c>
      <c r="L428">
        <v>34.22</v>
      </c>
      <c r="M428" s="1">
        <v>46191</v>
      </c>
      <c r="N428" t="str">
        <f>IF(po_master[[#This Row],[Approved By]]="", "Missing Approval", "OK")</f>
        <v>OK</v>
      </c>
      <c r="O428" t="str">
        <f>IF(ISBLANK(po_master[[#This Row],[GR Quantity]]), "No GR - Not received", "OK")</f>
        <v>OK</v>
      </c>
      <c r="P428" t="str">
        <f>IF(po_master[[#This Row],[Promised Delivey Date]]&lt;po_master[[#This Row],[Order Date]], "Invalid", "OK")</f>
        <v>OK</v>
      </c>
      <c r="Q428" t="str">
        <f>IF(ISBLANK(po_master[[#This Row],[Invoice Number]]), "No Invoice", "OK")</f>
        <v>OK</v>
      </c>
      <c r="R428" t="str">
        <f>IF(AND(NOT(ISBLANK(po_master[[#This Row],[GR Quantity]])), po_master[[#This Row],[GR Quantity]]&lt;&gt;po_master[[#This Row],[PO Quantity]]), "Qty Variance", "OK")</f>
        <v>OK</v>
      </c>
      <c r="S428" t="str">
        <f>IF(po_master[[#This Row],[Invoice Unit Price]]&gt;po_master[[#This Row],[PO Unit Price]]*1.01, "Price Variance", "OK")</f>
        <v>OK</v>
      </c>
      <c r="T428" t="str">
        <f>IF(po_master[[#This Row],[Actual Delivery Date]]&gt;po_master[[#This Row],[Promised Delivey Date]], "Late Delivery", "OK")</f>
        <v>OK</v>
      </c>
      <c r="U428" t="str">
        <f>IF(COUNTIF(po_master[PO Number],po_master[[#This Row],[PO Number]])&gt;1, "Duplicate Invoice", "OK")</f>
        <v>OK</v>
      </c>
      <c r="V428" s="5">
        <f>IF(po_master[[#This Row],[Missing Approval]]="Missing Approval", 1, 0)</f>
        <v>0</v>
      </c>
      <c r="W428" s="5">
        <f>IF(po_master[[#This Row],[GR Receipt Status]]="No GR - Not Received", 1, 0)</f>
        <v>0</v>
      </c>
      <c r="X428" s="5">
        <f>IF(po_master[[#This Row],[No invoice]]="No Invoice", 1, 0)</f>
        <v>0</v>
      </c>
      <c r="Y428" s="5">
        <f>IF(po_master[[#This Row],[Date Check]]="Invalid Date", 1, 0)</f>
        <v>0</v>
      </c>
      <c r="Z428" s="5">
        <f>IF(po_master[[#This Row],[Qty Variance Flag]]="Qty Variance", 1, 0)</f>
        <v>0</v>
      </c>
      <c r="AA428" s="5">
        <f>IF(po_master[[#This Row],[Price Variance Flag]]="Price Variance", 1, 0)</f>
        <v>0</v>
      </c>
      <c r="AB428" s="5">
        <f>IF(po_master[[#This Row],[Late Delivery Flag]]="Late Delivery", 1, 0)</f>
        <v>0</v>
      </c>
      <c r="AC428" s="5">
        <f>IF(po_master[[#This Row],[Duplicate Invoice Flag]]="Duplicate Invoice", 1, 0)</f>
        <v>0</v>
      </c>
      <c r="AD428" s="5" t="str">
        <f>TEXT(po_master[[#This Row],[Order Date]],"YYYY-MM")</f>
        <v>2026-05</v>
      </c>
    </row>
    <row r="429" spans="1:30" x14ac:dyDescent="0.25">
      <c r="A429" t="s">
        <v>381</v>
      </c>
      <c r="B429" t="s">
        <v>1478</v>
      </c>
      <c r="C429" s="1">
        <v>46052</v>
      </c>
      <c r="D429">
        <v>358</v>
      </c>
      <c r="E429">
        <v>45.05</v>
      </c>
      <c r="F429" t="s">
        <v>1480</v>
      </c>
      <c r="G429" s="1">
        <v>46072</v>
      </c>
      <c r="H429">
        <v>358</v>
      </c>
      <c r="I429" s="1">
        <v>46074</v>
      </c>
      <c r="J429" t="s">
        <v>1117</v>
      </c>
      <c r="K429">
        <v>358</v>
      </c>
      <c r="L429">
        <v>45.05</v>
      </c>
      <c r="M429" s="1">
        <v>46074</v>
      </c>
      <c r="N429" t="str">
        <f>IF(po_master[[#This Row],[Approved By]]="", "Missing Approval", "OK")</f>
        <v>OK</v>
      </c>
      <c r="O429" t="str">
        <f>IF(ISBLANK(po_master[[#This Row],[GR Quantity]]), "No GR - Not received", "OK")</f>
        <v>OK</v>
      </c>
      <c r="P429" t="str">
        <f>IF(po_master[[#This Row],[Promised Delivey Date]]&lt;po_master[[#This Row],[Order Date]], "Invalid", "OK")</f>
        <v>OK</v>
      </c>
      <c r="Q429" t="str">
        <f>IF(ISBLANK(po_master[[#This Row],[Invoice Number]]), "No Invoice", "OK")</f>
        <v>OK</v>
      </c>
      <c r="R429" t="str">
        <f>IF(AND(NOT(ISBLANK(po_master[[#This Row],[GR Quantity]])), po_master[[#This Row],[GR Quantity]]&lt;&gt;po_master[[#This Row],[PO Quantity]]), "Qty Variance", "OK")</f>
        <v>OK</v>
      </c>
      <c r="S429" t="str">
        <f>IF(po_master[[#This Row],[Invoice Unit Price]]&gt;po_master[[#This Row],[PO Unit Price]]*1.01, "Price Variance", "OK")</f>
        <v>OK</v>
      </c>
      <c r="T429" t="str">
        <f>IF(po_master[[#This Row],[Actual Delivery Date]]&gt;po_master[[#This Row],[Promised Delivey Date]], "Late Delivery", "OK")</f>
        <v>Late Delivery</v>
      </c>
      <c r="U429" t="str">
        <f>IF(COUNTIF(po_master[PO Number],po_master[[#This Row],[PO Number]])&gt;1, "Duplicate Invoice", "OK")</f>
        <v>OK</v>
      </c>
      <c r="V429" s="5">
        <f>IF(po_master[[#This Row],[Missing Approval]]="Missing Approval", 1, 0)</f>
        <v>0</v>
      </c>
      <c r="W429" s="5">
        <f>IF(po_master[[#This Row],[GR Receipt Status]]="No GR - Not Received", 1, 0)</f>
        <v>0</v>
      </c>
      <c r="X429" s="5">
        <f>IF(po_master[[#This Row],[No invoice]]="No Invoice", 1, 0)</f>
        <v>0</v>
      </c>
      <c r="Y429" s="5">
        <f>IF(po_master[[#This Row],[Date Check]]="Invalid Date", 1, 0)</f>
        <v>0</v>
      </c>
      <c r="Z429" s="5">
        <f>IF(po_master[[#This Row],[Qty Variance Flag]]="Qty Variance", 1, 0)</f>
        <v>0</v>
      </c>
      <c r="AA429" s="5">
        <f>IF(po_master[[#This Row],[Price Variance Flag]]="Price Variance", 1, 0)</f>
        <v>0</v>
      </c>
      <c r="AB429" s="5">
        <f>IF(po_master[[#This Row],[Late Delivery Flag]]="Late Delivery", 1, 0)</f>
        <v>1</v>
      </c>
      <c r="AC429" s="5">
        <f>IF(po_master[[#This Row],[Duplicate Invoice Flag]]="Duplicate Invoice", 1, 0)</f>
        <v>0</v>
      </c>
      <c r="AD429" s="5" t="str">
        <f>TEXT(po_master[[#This Row],[Order Date]],"YYYY-MM")</f>
        <v>2026-01</v>
      </c>
    </row>
    <row r="430" spans="1:30" x14ac:dyDescent="0.25">
      <c r="A430" t="s">
        <v>382</v>
      </c>
      <c r="B430" t="s">
        <v>1457</v>
      </c>
      <c r="C430" s="1">
        <v>46153</v>
      </c>
      <c r="D430">
        <v>238</v>
      </c>
      <c r="E430">
        <v>162.69</v>
      </c>
      <c r="F430" t="s">
        <v>1469</v>
      </c>
      <c r="G430" s="1">
        <v>46162</v>
      </c>
      <c r="H430">
        <v>238</v>
      </c>
      <c r="I430" s="1">
        <v>46162</v>
      </c>
      <c r="J430" t="s">
        <v>1118</v>
      </c>
      <c r="K430">
        <v>238</v>
      </c>
      <c r="L430">
        <v>162.69</v>
      </c>
      <c r="M430" s="1">
        <v>46166</v>
      </c>
      <c r="N430" t="str">
        <f>IF(po_master[[#This Row],[Approved By]]="", "Missing Approval", "OK")</f>
        <v>OK</v>
      </c>
      <c r="O430" t="str">
        <f>IF(ISBLANK(po_master[[#This Row],[GR Quantity]]), "No GR - Not received", "OK")</f>
        <v>OK</v>
      </c>
      <c r="P430" t="str">
        <f>IF(po_master[[#This Row],[Promised Delivey Date]]&lt;po_master[[#This Row],[Order Date]], "Invalid", "OK")</f>
        <v>OK</v>
      </c>
      <c r="Q430" t="str">
        <f>IF(ISBLANK(po_master[[#This Row],[Invoice Number]]), "No Invoice", "OK")</f>
        <v>OK</v>
      </c>
      <c r="R430" t="str">
        <f>IF(AND(NOT(ISBLANK(po_master[[#This Row],[GR Quantity]])), po_master[[#This Row],[GR Quantity]]&lt;&gt;po_master[[#This Row],[PO Quantity]]), "Qty Variance", "OK")</f>
        <v>OK</v>
      </c>
      <c r="S430" t="str">
        <f>IF(po_master[[#This Row],[Invoice Unit Price]]&gt;po_master[[#This Row],[PO Unit Price]]*1.01, "Price Variance", "OK")</f>
        <v>OK</v>
      </c>
      <c r="T430" t="str">
        <f>IF(po_master[[#This Row],[Actual Delivery Date]]&gt;po_master[[#This Row],[Promised Delivey Date]], "Late Delivery", "OK")</f>
        <v>OK</v>
      </c>
      <c r="U430" t="str">
        <f>IF(COUNTIF(po_master[PO Number],po_master[[#This Row],[PO Number]])&gt;1, "Duplicate Invoice", "OK")</f>
        <v>OK</v>
      </c>
      <c r="V430" s="5">
        <f>IF(po_master[[#This Row],[Missing Approval]]="Missing Approval", 1, 0)</f>
        <v>0</v>
      </c>
      <c r="W430" s="5">
        <f>IF(po_master[[#This Row],[GR Receipt Status]]="No GR - Not Received", 1, 0)</f>
        <v>0</v>
      </c>
      <c r="X430" s="5">
        <f>IF(po_master[[#This Row],[No invoice]]="No Invoice", 1, 0)</f>
        <v>0</v>
      </c>
      <c r="Y430" s="5">
        <f>IF(po_master[[#This Row],[Date Check]]="Invalid Date", 1, 0)</f>
        <v>0</v>
      </c>
      <c r="Z430" s="5">
        <f>IF(po_master[[#This Row],[Qty Variance Flag]]="Qty Variance", 1, 0)</f>
        <v>0</v>
      </c>
      <c r="AA430" s="5">
        <f>IF(po_master[[#This Row],[Price Variance Flag]]="Price Variance", 1, 0)</f>
        <v>0</v>
      </c>
      <c r="AB430" s="5">
        <f>IF(po_master[[#This Row],[Late Delivery Flag]]="Late Delivery", 1, 0)</f>
        <v>0</v>
      </c>
      <c r="AC430" s="5">
        <f>IF(po_master[[#This Row],[Duplicate Invoice Flag]]="Duplicate Invoice", 1, 0)</f>
        <v>0</v>
      </c>
      <c r="AD430" s="5" t="str">
        <f>TEXT(po_master[[#This Row],[Order Date]],"YYYY-MM")</f>
        <v>2026-05</v>
      </c>
    </row>
    <row r="431" spans="1:30" x14ac:dyDescent="0.25">
      <c r="A431" t="s">
        <v>1096</v>
      </c>
      <c r="B431" t="s">
        <v>1471</v>
      </c>
      <c r="C431" s="1">
        <v>46032</v>
      </c>
      <c r="D431">
        <v>477</v>
      </c>
      <c r="E431">
        <v>184.69</v>
      </c>
      <c r="F431" t="s">
        <v>1507</v>
      </c>
      <c r="G431" s="1">
        <v>46042</v>
      </c>
      <c r="I431" s="1"/>
      <c r="J431" t="s">
        <v>1097</v>
      </c>
      <c r="K431">
        <v>477</v>
      </c>
      <c r="L431">
        <v>184.69</v>
      </c>
      <c r="M431" s="1">
        <v>46045</v>
      </c>
      <c r="N431" t="str">
        <f>IF(po_master[[#This Row],[Approved By]]="", "Missing Approval", "OK")</f>
        <v>OK</v>
      </c>
      <c r="O431" t="str">
        <f>IF(ISBLANK(po_master[[#This Row],[GR Quantity]]), "No GR - Not received", "OK")</f>
        <v>No GR - Not received</v>
      </c>
      <c r="P431" t="str">
        <f>IF(po_master[[#This Row],[Promised Delivey Date]]&lt;po_master[[#This Row],[Order Date]], "Invalid", "OK")</f>
        <v>OK</v>
      </c>
      <c r="Q431" t="str">
        <f>IF(ISBLANK(po_master[[#This Row],[Invoice Number]]), "No Invoice", "OK")</f>
        <v>OK</v>
      </c>
      <c r="R431" t="str">
        <f>IF(AND(NOT(ISBLANK(po_master[[#This Row],[GR Quantity]])), po_master[[#This Row],[GR Quantity]]&lt;&gt;po_master[[#This Row],[PO Quantity]]), "Qty Variance", "OK")</f>
        <v>OK</v>
      </c>
      <c r="S431" t="str">
        <f>IF(po_master[[#This Row],[Invoice Unit Price]]&gt;po_master[[#This Row],[PO Unit Price]]*1.01, "Price Variance", "OK")</f>
        <v>OK</v>
      </c>
      <c r="T431" t="str">
        <f>IF(po_master[[#This Row],[Actual Delivery Date]]&gt;po_master[[#This Row],[Promised Delivey Date]], "Late Delivery", "OK")</f>
        <v>OK</v>
      </c>
      <c r="U431" t="str">
        <f>IF(COUNTIF(po_master[PO Number],po_master[[#This Row],[PO Number]])&gt;1, "Duplicate Invoice", "OK")</f>
        <v>OK</v>
      </c>
      <c r="V431" s="5">
        <f>IF(po_master[[#This Row],[Missing Approval]]="Missing Approval", 1, 0)</f>
        <v>0</v>
      </c>
      <c r="W431" s="5">
        <f>IF(po_master[[#This Row],[GR Receipt Status]]="No GR - Not Received", 1, 0)</f>
        <v>1</v>
      </c>
      <c r="X431" s="5">
        <f>IF(po_master[[#This Row],[No invoice]]="No Invoice", 1, 0)</f>
        <v>0</v>
      </c>
      <c r="Y431" s="5">
        <f>IF(po_master[[#This Row],[Date Check]]="Invalid Date", 1, 0)</f>
        <v>0</v>
      </c>
      <c r="Z431" s="5">
        <f>IF(po_master[[#This Row],[Qty Variance Flag]]="Qty Variance", 1, 0)</f>
        <v>0</v>
      </c>
      <c r="AA431" s="5">
        <f>IF(po_master[[#This Row],[Price Variance Flag]]="Price Variance", 1, 0)</f>
        <v>0</v>
      </c>
      <c r="AB431" s="5">
        <f>IF(po_master[[#This Row],[Late Delivery Flag]]="Late Delivery", 1, 0)</f>
        <v>0</v>
      </c>
      <c r="AC431" s="5">
        <f>IF(po_master[[#This Row],[Duplicate Invoice Flag]]="Duplicate Invoice", 1, 0)</f>
        <v>0</v>
      </c>
      <c r="AD431" s="5" t="str">
        <f>TEXT(po_master[[#This Row],[Order Date]],"YYYY-MM")</f>
        <v>2026-01</v>
      </c>
    </row>
    <row r="432" spans="1:30" x14ac:dyDescent="0.25">
      <c r="A432" t="s">
        <v>383</v>
      </c>
      <c r="B432" t="s">
        <v>1445</v>
      </c>
      <c r="C432" s="1">
        <v>46129</v>
      </c>
      <c r="D432">
        <v>243</v>
      </c>
      <c r="E432">
        <v>114.96</v>
      </c>
      <c r="F432" t="s">
        <v>1442</v>
      </c>
      <c r="G432" s="1">
        <v>46148</v>
      </c>
      <c r="H432">
        <v>250</v>
      </c>
      <c r="I432" s="1">
        <v>46148</v>
      </c>
      <c r="J432" t="s">
        <v>1119</v>
      </c>
      <c r="K432">
        <v>243</v>
      </c>
      <c r="L432">
        <v>127.17</v>
      </c>
      <c r="M432" s="1">
        <v>46153</v>
      </c>
      <c r="N432" t="str">
        <f>IF(po_master[[#This Row],[Approved By]]="", "Missing Approval", "OK")</f>
        <v>OK</v>
      </c>
      <c r="O432" t="str">
        <f>IF(ISBLANK(po_master[[#This Row],[GR Quantity]]), "No GR - Not received", "OK")</f>
        <v>OK</v>
      </c>
      <c r="P432" t="str">
        <f>IF(po_master[[#This Row],[Promised Delivey Date]]&lt;po_master[[#This Row],[Order Date]], "Invalid", "OK")</f>
        <v>OK</v>
      </c>
      <c r="Q432" t="str">
        <f>IF(ISBLANK(po_master[[#This Row],[Invoice Number]]), "No Invoice", "OK")</f>
        <v>OK</v>
      </c>
      <c r="R432" t="str">
        <f>IF(AND(NOT(ISBLANK(po_master[[#This Row],[GR Quantity]])), po_master[[#This Row],[GR Quantity]]&lt;&gt;po_master[[#This Row],[PO Quantity]]), "Qty Variance", "OK")</f>
        <v>Qty Variance</v>
      </c>
      <c r="S432" t="str">
        <f>IF(po_master[[#This Row],[Invoice Unit Price]]&gt;po_master[[#This Row],[PO Unit Price]]*1.01, "Price Variance", "OK")</f>
        <v>Price Variance</v>
      </c>
      <c r="T432" t="str">
        <f>IF(po_master[[#This Row],[Actual Delivery Date]]&gt;po_master[[#This Row],[Promised Delivey Date]], "Late Delivery", "OK")</f>
        <v>OK</v>
      </c>
      <c r="U432" t="str">
        <f>IF(COUNTIF(po_master[PO Number],po_master[[#This Row],[PO Number]])&gt;1, "Duplicate Invoice", "OK")</f>
        <v>OK</v>
      </c>
      <c r="V432" s="5">
        <f>IF(po_master[[#This Row],[Missing Approval]]="Missing Approval", 1, 0)</f>
        <v>0</v>
      </c>
      <c r="W432" s="5">
        <f>IF(po_master[[#This Row],[GR Receipt Status]]="No GR - Not Received", 1, 0)</f>
        <v>0</v>
      </c>
      <c r="X432" s="5">
        <f>IF(po_master[[#This Row],[No invoice]]="No Invoice", 1, 0)</f>
        <v>0</v>
      </c>
      <c r="Y432" s="5">
        <f>IF(po_master[[#This Row],[Date Check]]="Invalid Date", 1, 0)</f>
        <v>0</v>
      </c>
      <c r="Z432" s="5">
        <f>IF(po_master[[#This Row],[Qty Variance Flag]]="Qty Variance", 1, 0)</f>
        <v>1</v>
      </c>
      <c r="AA432" s="5">
        <f>IF(po_master[[#This Row],[Price Variance Flag]]="Price Variance", 1, 0)</f>
        <v>1</v>
      </c>
      <c r="AB432" s="5">
        <f>IF(po_master[[#This Row],[Late Delivery Flag]]="Late Delivery", 1, 0)</f>
        <v>0</v>
      </c>
      <c r="AC432" s="5">
        <f>IF(po_master[[#This Row],[Duplicate Invoice Flag]]="Duplicate Invoice", 1, 0)</f>
        <v>0</v>
      </c>
      <c r="AD432" s="5" t="str">
        <f>TEXT(po_master[[#This Row],[Order Date]],"YYYY-MM")</f>
        <v>2026-04</v>
      </c>
    </row>
    <row r="433" spans="1:30" x14ac:dyDescent="0.25">
      <c r="A433" t="s">
        <v>384</v>
      </c>
      <c r="B433" t="s">
        <v>1461</v>
      </c>
      <c r="C433" s="1">
        <v>46101</v>
      </c>
      <c r="D433">
        <v>380</v>
      </c>
      <c r="E433">
        <v>9.25</v>
      </c>
      <c r="F433" t="s">
        <v>1458</v>
      </c>
      <c r="G433" s="1">
        <v>46106</v>
      </c>
      <c r="H433">
        <v>380</v>
      </c>
      <c r="I433" s="1">
        <v>46106</v>
      </c>
      <c r="J433" t="s">
        <v>1120</v>
      </c>
      <c r="K433">
        <v>380</v>
      </c>
      <c r="L433">
        <v>9.25</v>
      </c>
      <c r="M433" s="1">
        <v>46107</v>
      </c>
      <c r="N433" t="str">
        <f>IF(po_master[[#This Row],[Approved By]]="", "Missing Approval", "OK")</f>
        <v>OK</v>
      </c>
      <c r="O433" t="str">
        <f>IF(ISBLANK(po_master[[#This Row],[GR Quantity]]), "No GR - Not received", "OK")</f>
        <v>OK</v>
      </c>
      <c r="P433" t="str">
        <f>IF(po_master[[#This Row],[Promised Delivey Date]]&lt;po_master[[#This Row],[Order Date]], "Invalid", "OK")</f>
        <v>OK</v>
      </c>
      <c r="Q433" t="str">
        <f>IF(ISBLANK(po_master[[#This Row],[Invoice Number]]), "No Invoice", "OK")</f>
        <v>OK</v>
      </c>
      <c r="R433" t="str">
        <f>IF(AND(NOT(ISBLANK(po_master[[#This Row],[GR Quantity]])), po_master[[#This Row],[GR Quantity]]&lt;&gt;po_master[[#This Row],[PO Quantity]]), "Qty Variance", "OK")</f>
        <v>OK</v>
      </c>
      <c r="S433" t="str">
        <f>IF(po_master[[#This Row],[Invoice Unit Price]]&gt;po_master[[#This Row],[PO Unit Price]]*1.01, "Price Variance", "OK")</f>
        <v>OK</v>
      </c>
      <c r="T433" t="str">
        <f>IF(po_master[[#This Row],[Actual Delivery Date]]&gt;po_master[[#This Row],[Promised Delivey Date]], "Late Delivery", "OK")</f>
        <v>OK</v>
      </c>
      <c r="U433" t="str">
        <f>IF(COUNTIF(po_master[PO Number],po_master[[#This Row],[PO Number]])&gt;1, "Duplicate Invoice", "OK")</f>
        <v>OK</v>
      </c>
      <c r="V433" s="5">
        <f>IF(po_master[[#This Row],[Missing Approval]]="Missing Approval", 1, 0)</f>
        <v>0</v>
      </c>
      <c r="W433" s="5">
        <f>IF(po_master[[#This Row],[GR Receipt Status]]="No GR - Not Received", 1, 0)</f>
        <v>0</v>
      </c>
      <c r="X433" s="5">
        <f>IF(po_master[[#This Row],[No invoice]]="No Invoice", 1, 0)</f>
        <v>0</v>
      </c>
      <c r="Y433" s="5">
        <f>IF(po_master[[#This Row],[Date Check]]="Invalid Date", 1, 0)</f>
        <v>0</v>
      </c>
      <c r="Z433" s="5">
        <f>IF(po_master[[#This Row],[Qty Variance Flag]]="Qty Variance", 1, 0)</f>
        <v>0</v>
      </c>
      <c r="AA433" s="5">
        <f>IF(po_master[[#This Row],[Price Variance Flag]]="Price Variance", 1, 0)</f>
        <v>0</v>
      </c>
      <c r="AB433" s="5">
        <f>IF(po_master[[#This Row],[Late Delivery Flag]]="Late Delivery", 1, 0)</f>
        <v>0</v>
      </c>
      <c r="AC433" s="5">
        <f>IF(po_master[[#This Row],[Duplicate Invoice Flag]]="Duplicate Invoice", 1, 0)</f>
        <v>0</v>
      </c>
      <c r="AD433" s="5" t="str">
        <f>TEXT(po_master[[#This Row],[Order Date]],"YYYY-MM")</f>
        <v>2026-03</v>
      </c>
    </row>
    <row r="434" spans="1:30" x14ac:dyDescent="0.25">
      <c r="A434" t="s">
        <v>385</v>
      </c>
      <c r="B434" t="s">
        <v>1465</v>
      </c>
      <c r="C434" s="1">
        <v>46078</v>
      </c>
      <c r="D434">
        <v>306</v>
      </c>
      <c r="E434">
        <v>19.239999999999998</v>
      </c>
      <c r="F434" t="s">
        <v>1507</v>
      </c>
      <c r="G434" s="1">
        <v>46094</v>
      </c>
      <c r="H434">
        <v>306</v>
      </c>
      <c r="I434" s="1">
        <v>46105</v>
      </c>
      <c r="J434" t="s">
        <v>1121</v>
      </c>
      <c r="K434">
        <v>306</v>
      </c>
      <c r="L434">
        <v>19.239999999999998</v>
      </c>
      <c r="M434" s="1">
        <v>46102</v>
      </c>
      <c r="N434" t="str">
        <f>IF(po_master[[#This Row],[Approved By]]="", "Missing Approval", "OK")</f>
        <v>OK</v>
      </c>
      <c r="O434" t="str">
        <f>IF(ISBLANK(po_master[[#This Row],[GR Quantity]]), "No GR - Not received", "OK")</f>
        <v>OK</v>
      </c>
      <c r="P434" t="str">
        <f>IF(po_master[[#This Row],[Promised Delivey Date]]&lt;po_master[[#This Row],[Order Date]], "Invalid", "OK")</f>
        <v>OK</v>
      </c>
      <c r="Q434" t="str">
        <f>IF(ISBLANK(po_master[[#This Row],[Invoice Number]]), "No Invoice", "OK")</f>
        <v>OK</v>
      </c>
      <c r="R434" t="str">
        <f>IF(AND(NOT(ISBLANK(po_master[[#This Row],[GR Quantity]])), po_master[[#This Row],[GR Quantity]]&lt;&gt;po_master[[#This Row],[PO Quantity]]), "Qty Variance", "OK")</f>
        <v>OK</v>
      </c>
      <c r="S434" t="str">
        <f>IF(po_master[[#This Row],[Invoice Unit Price]]&gt;po_master[[#This Row],[PO Unit Price]]*1.01, "Price Variance", "OK")</f>
        <v>OK</v>
      </c>
      <c r="T434" t="str">
        <f>IF(po_master[[#This Row],[Actual Delivery Date]]&gt;po_master[[#This Row],[Promised Delivey Date]], "Late Delivery", "OK")</f>
        <v>Late Delivery</v>
      </c>
      <c r="U434" t="str">
        <f>IF(COUNTIF(po_master[PO Number],po_master[[#This Row],[PO Number]])&gt;1, "Duplicate Invoice", "OK")</f>
        <v>OK</v>
      </c>
      <c r="V434" s="5">
        <f>IF(po_master[[#This Row],[Missing Approval]]="Missing Approval", 1, 0)</f>
        <v>0</v>
      </c>
      <c r="W434" s="5">
        <f>IF(po_master[[#This Row],[GR Receipt Status]]="No GR - Not Received", 1, 0)</f>
        <v>0</v>
      </c>
      <c r="X434" s="5">
        <f>IF(po_master[[#This Row],[No invoice]]="No Invoice", 1, 0)</f>
        <v>0</v>
      </c>
      <c r="Y434" s="5">
        <f>IF(po_master[[#This Row],[Date Check]]="Invalid Date", 1, 0)</f>
        <v>0</v>
      </c>
      <c r="Z434" s="5">
        <f>IF(po_master[[#This Row],[Qty Variance Flag]]="Qty Variance", 1, 0)</f>
        <v>0</v>
      </c>
      <c r="AA434" s="5">
        <f>IF(po_master[[#This Row],[Price Variance Flag]]="Price Variance", 1, 0)</f>
        <v>0</v>
      </c>
      <c r="AB434" s="5">
        <f>IF(po_master[[#This Row],[Late Delivery Flag]]="Late Delivery", 1, 0)</f>
        <v>1</v>
      </c>
      <c r="AC434" s="5">
        <f>IF(po_master[[#This Row],[Duplicate Invoice Flag]]="Duplicate Invoice", 1, 0)</f>
        <v>0</v>
      </c>
      <c r="AD434" s="5" t="str">
        <f>TEXT(po_master[[#This Row],[Order Date]],"YYYY-MM")</f>
        <v>2026-02</v>
      </c>
    </row>
    <row r="435" spans="1:30" x14ac:dyDescent="0.25">
      <c r="A435" t="s">
        <v>386</v>
      </c>
      <c r="B435" t="s">
        <v>1452</v>
      </c>
      <c r="C435" s="1">
        <v>46096</v>
      </c>
      <c r="D435">
        <v>219</v>
      </c>
      <c r="E435">
        <v>40.1</v>
      </c>
      <c r="F435" t="s">
        <v>1485</v>
      </c>
      <c r="G435" s="1">
        <v>46114</v>
      </c>
      <c r="H435">
        <v>219</v>
      </c>
      <c r="I435" s="1">
        <v>46128</v>
      </c>
      <c r="J435" t="s">
        <v>1124</v>
      </c>
      <c r="K435">
        <v>219</v>
      </c>
      <c r="L435">
        <v>40.1</v>
      </c>
      <c r="M435" s="1">
        <v>46115</v>
      </c>
      <c r="N435" t="str">
        <f>IF(po_master[[#This Row],[Approved By]]="", "Missing Approval", "OK")</f>
        <v>OK</v>
      </c>
      <c r="O435" t="str">
        <f>IF(ISBLANK(po_master[[#This Row],[GR Quantity]]), "No GR - Not received", "OK")</f>
        <v>OK</v>
      </c>
      <c r="P435" t="str">
        <f>IF(po_master[[#This Row],[Promised Delivey Date]]&lt;po_master[[#This Row],[Order Date]], "Invalid", "OK")</f>
        <v>OK</v>
      </c>
      <c r="Q435" t="str">
        <f>IF(ISBLANK(po_master[[#This Row],[Invoice Number]]), "No Invoice", "OK")</f>
        <v>OK</v>
      </c>
      <c r="R435" t="str">
        <f>IF(AND(NOT(ISBLANK(po_master[[#This Row],[GR Quantity]])), po_master[[#This Row],[GR Quantity]]&lt;&gt;po_master[[#This Row],[PO Quantity]]), "Qty Variance", "OK")</f>
        <v>OK</v>
      </c>
      <c r="S435" t="str">
        <f>IF(po_master[[#This Row],[Invoice Unit Price]]&gt;po_master[[#This Row],[PO Unit Price]]*1.01, "Price Variance", "OK")</f>
        <v>OK</v>
      </c>
      <c r="T435" t="str">
        <f>IF(po_master[[#This Row],[Actual Delivery Date]]&gt;po_master[[#This Row],[Promised Delivey Date]], "Late Delivery", "OK")</f>
        <v>Late Delivery</v>
      </c>
      <c r="U435" t="str">
        <f>IF(COUNTIF(po_master[PO Number],po_master[[#This Row],[PO Number]])&gt;1, "Duplicate Invoice", "OK")</f>
        <v>OK</v>
      </c>
      <c r="V435" s="5">
        <f>IF(po_master[[#This Row],[Missing Approval]]="Missing Approval", 1, 0)</f>
        <v>0</v>
      </c>
      <c r="W435" s="5">
        <f>IF(po_master[[#This Row],[GR Receipt Status]]="No GR - Not Received", 1, 0)</f>
        <v>0</v>
      </c>
      <c r="X435" s="5">
        <f>IF(po_master[[#This Row],[No invoice]]="No Invoice", 1, 0)</f>
        <v>0</v>
      </c>
      <c r="Y435" s="5">
        <f>IF(po_master[[#This Row],[Date Check]]="Invalid Date", 1, 0)</f>
        <v>0</v>
      </c>
      <c r="Z435" s="5">
        <f>IF(po_master[[#This Row],[Qty Variance Flag]]="Qty Variance", 1, 0)</f>
        <v>0</v>
      </c>
      <c r="AA435" s="5">
        <f>IF(po_master[[#This Row],[Price Variance Flag]]="Price Variance", 1, 0)</f>
        <v>0</v>
      </c>
      <c r="AB435" s="5">
        <f>IF(po_master[[#This Row],[Late Delivery Flag]]="Late Delivery", 1, 0)</f>
        <v>1</v>
      </c>
      <c r="AC435" s="5">
        <f>IF(po_master[[#This Row],[Duplicate Invoice Flag]]="Duplicate Invoice", 1, 0)</f>
        <v>0</v>
      </c>
      <c r="AD435" s="5" t="str">
        <f>TEXT(po_master[[#This Row],[Order Date]],"YYYY-MM")</f>
        <v>2026-03</v>
      </c>
    </row>
    <row r="436" spans="1:30" x14ac:dyDescent="0.25">
      <c r="A436" t="s">
        <v>387</v>
      </c>
      <c r="B436" t="s">
        <v>1496</v>
      </c>
      <c r="C436" s="1">
        <v>46120</v>
      </c>
      <c r="D436">
        <v>239</v>
      </c>
      <c r="E436">
        <v>174.58</v>
      </c>
      <c r="F436" t="s">
        <v>1453</v>
      </c>
      <c r="G436" s="1">
        <v>46137</v>
      </c>
      <c r="H436">
        <v>239</v>
      </c>
      <c r="I436" s="1">
        <v>46138</v>
      </c>
      <c r="J436" t="s">
        <v>1125</v>
      </c>
      <c r="K436">
        <v>239</v>
      </c>
      <c r="L436">
        <v>174.58</v>
      </c>
      <c r="M436" s="1">
        <v>46142</v>
      </c>
      <c r="N436" t="str">
        <f>IF(po_master[[#This Row],[Approved By]]="", "Missing Approval", "OK")</f>
        <v>OK</v>
      </c>
      <c r="O436" t="str">
        <f>IF(ISBLANK(po_master[[#This Row],[GR Quantity]]), "No GR - Not received", "OK")</f>
        <v>OK</v>
      </c>
      <c r="P436" t="str">
        <f>IF(po_master[[#This Row],[Promised Delivey Date]]&lt;po_master[[#This Row],[Order Date]], "Invalid", "OK")</f>
        <v>OK</v>
      </c>
      <c r="Q436" t="str">
        <f>IF(ISBLANK(po_master[[#This Row],[Invoice Number]]), "No Invoice", "OK")</f>
        <v>OK</v>
      </c>
      <c r="R436" t="str">
        <f>IF(AND(NOT(ISBLANK(po_master[[#This Row],[GR Quantity]])), po_master[[#This Row],[GR Quantity]]&lt;&gt;po_master[[#This Row],[PO Quantity]]), "Qty Variance", "OK")</f>
        <v>OK</v>
      </c>
      <c r="S436" t="str">
        <f>IF(po_master[[#This Row],[Invoice Unit Price]]&gt;po_master[[#This Row],[PO Unit Price]]*1.01, "Price Variance", "OK")</f>
        <v>OK</v>
      </c>
      <c r="T436" t="str">
        <f>IF(po_master[[#This Row],[Actual Delivery Date]]&gt;po_master[[#This Row],[Promised Delivey Date]], "Late Delivery", "OK")</f>
        <v>Late Delivery</v>
      </c>
      <c r="U436" t="str">
        <f>IF(COUNTIF(po_master[PO Number],po_master[[#This Row],[PO Number]])&gt;1, "Duplicate Invoice", "OK")</f>
        <v>OK</v>
      </c>
      <c r="V436" s="5">
        <f>IF(po_master[[#This Row],[Missing Approval]]="Missing Approval", 1, 0)</f>
        <v>0</v>
      </c>
      <c r="W436" s="5">
        <f>IF(po_master[[#This Row],[GR Receipt Status]]="No GR - Not Received", 1, 0)</f>
        <v>0</v>
      </c>
      <c r="X436" s="5">
        <f>IF(po_master[[#This Row],[No invoice]]="No Invoice", 1, 0)</f>
        <v>0</v>
      </c>
      <c r="Y436" s="5">
        <f>IF(po_master[[#This Row],[Date Check]]="Invalid Date", 1, 0)</f>
        <v>0</v>
      </c>
      <c r="Z436" s="5">
        <f>IF(po_master[[#This Row],[Qty Variance Flag]]="Qty Variance", 1, 0)</f>
        <v>0</v>
      </c>
      <c r="AA436" s="5">
        <f>IF(po_master[[#This Row],[Price Variance Flag]]="Price Variance", 1, 0)</f>
        <v>0</v>
      </c>
      <c r="AB436" s="5">
        <f>IF(po_master[[#This Row],[Late Delivery Flag]]="Late Delivery", 1, 0)</f>
        <v>1</v>
      </c>
      <c r="AC436" s="5">
        <f>IF(po_master[[#This Row],[Duplicate Invoice Flag]]="Duplicate Invoice", 1, 0)</f>
        <v>0</v>
      </c>
      <c r="AD436" s="5" t="str">
        <f>TEXT(po_master[[#This Row],[Order Date]],"YYYY-MM")</f>
        <v>2026-04</v>
      </c>
    </row>
    <row r="437" spans="1:30" x14ac:dyDescent="0.25">
      <c r="A437" t="s">
        <v>388</v>
      </c>
      <c r="B437" t="s">
        <v>1486</v>
      </c>
      <c r="C437" s="1">
        <v>46160</v>
      </c>
      <c r="D437">
        <v>211</v>
      </c>
      <c r="E437">
        <v>108.12</v>
      </c>
      <c r="F437" t="s">
        <v>1490</v>
      </c>
      <c r="G437" s="1">
        <v>46172</v>
      </c>
      <c r="H437">
        <v>211</v>
      </c>
      <c r="I437" s="1">
        <v>46170</v>
      </c>
      <c r="J437" t="s">
        <v>1128</v>
      </c>
      <c r="K437">
        <v>211</v>
      </c>
      <c r="L437">
        <v>108.12</v>
      </c>
      <c r="M437" s="1">
        <v>46173</v>
      </c>
      <c r="N437" t="str">
        <f>IF(po_master[[#This Row],[Approved By]]="", "Missing Approval", "OK")</f>
        <v>OK</v>
      </c>
      <c r="O437" t="str">
        <f>IF(ISBLANK(po_master[[#This Row],[GR Quantity]]), "No GR - Not received", "OK")</f>
        <v>OK</v>
      </c>
      <c r="P437" t="str">
        <f>IF(po_master[[#This Row],[Promised Delivey Date]]&lt;po_master[[#This Row],[Order Date]], "Invalid", "OK")</f>
        <v>OK</v>
      </c>
      <c r="Q437" t="str">
        <f>IF(ISBLANK(po_master[[#This Row],[Invoice Number]]), "No Invoice", "OK")</f>
        <v>OK</v>
      </c>
      <c r="R437" t="str">
        <f>IF(AND(NOT(ISBLANK(po_master[[#This Row],[GR Quantity]])), po_master[[#This Row],[GR Quantity]]&lt;&gt;po_master[[#This Row],[PO Quantity]]), "Qty Variance", "OK")</f>
        <v>OK</v>
      </c>
      <c r="S437" t="str">
        <f>IF(po_master[[#This Row],[Invoice Unit Price]]&gt;po_master[[#This Row],[PO Unit Price]]*1.01, "Price Variance", "OK")</f>
        <v>OK</v>
      </c>
      <c r="T437" t="str">
        <f>IF(po_master[[#This Row],[Actual Delivery Date]]&gt;po_master[[#This Row],[Promised Delivey Date]], "Late Delivery", "OK")</f>
        <v>OK</v>
      </c>
      <c r="U437" t="str">
        <f>IF(COUNTIF(po_master[PO Number],po_master[[#This Row],[PO Number]])&gt;1, "Duplicate Invoice", "OK")</f>
        <v>OK</v>
      </c>
      <c r="V437" s="5">
        <f>IF(po_master[[#This Row],[Missing Approval]]="Missing Approval", 1, 0)</f>
        <v>0</v>
      </c>
      <c r="W437" s="5">
        <f>IF(po_master[[#This Row],[GR Receipt Status]]="No GR - Not Received", 1, 0)</f>
        <v>0</v>
      </c>
      <c r="X437" s="5">
        <f>IF(po_master[[#This Row],[No invoice]]="No Invoice", 1, 0)</f>
        <v>0</v>
      </c>
      <c r="Y437" s="5">
        <f>IF(po_master[[#This Row],[Date Check]]="Invalid Date", 1, 0)</f>
        <v>0</v>
      </c>
      <c r="Z437" s="5">
        <f>IF(po_master[[#This Row],[Qty Variance Flag]]="Qty Variance", 1, 0)</f>
        <v>0</v>
      </c>
      <c r="AA437" s="5">
        <f>IF(po_master[[#This Row],[Price Variance Flag]]="Price Variance", 1, 0)</f>
        <v>0</v>
      </c>
      <c r="AB437" s="5">
        <f>IF(po_master[[#This Row],[Late Delivery Flag]]="Late Delivery", 1, 0)</f>
        <v>0</v>
      </c>
      <c r="AC437" s="5">
        <f>IF(po_master[[#This Row],[Duplicate Invoice Flag]]="Duplicate Invoice", 1, 0)</f>
        <v>0</v>
      </c>
      <c r="AD437" s="5" t="str">
        <f>TEXT(po_master[[#This Row],[Order Date]],"YYYY-MM")</f>
        <v>2026-05</v>
      </c>
    </row>
    <row r="438" spans="1:30" x14ac:dyDescent="0.25">
      <c r="A438" t="s">
        <v>389</v>
      </c>
      <c r="B438" t="s">
        <v>1481</v>
      </c>
      <c r="C438" s="1">
        <v>46028</v>
      </c>
      <c r="D438">
        <v>162</v>
      </c>
      <c r="E438">
        <v>95.29</v>
      </c>
      <c r="F438" t="s">
        <v>1490</v>
      </c>
      <c r="G438" s="1">
        <v>46046</v>
      </c>
      <c r="H438">
        <v>162</v>
      </c>
      <c r="I438" s="1">
        <v>46048</v>
      </c>
      <c r="J438" t="s">
        <v>1129</v>
      </c>
      <c r="K438">
        <v>162</v>
      </c>
      <c r="L438">
        <v>95.29</v>
      </c>
      <c r="M438" s="1">
        <v>46050</v>
      </c>
      <c r="N438" t="str">
        <f>IF(po_master[[#This Row],[Approved By]]="", "Missing Approval", "OK")</f>
        <v>OK</v>
      </c>
      <c r="O438" t="str">
        <f>IF(ISBLANK(po_master[[#This Row],[GR Quantity]]), "No GR - Not received", "OK")</f>
        <v>OK</v>
      </c>
      <c r="P438" t="str">
        <f>IF(po_master[[#This Row],[Promised Delivey Date]]&lt;po_master[[#This Row],[Order Date]], "Invalid", "OK")</f>
        <v>OK</v>
      </c>
      <c r="Q438" t="str">
        <f>IF(ISBLANK(po_master[[#This Row],[Invoice Number]]), "No Invoice", "OK")</f>
        <v>OK</v>
      </c>
      <c r="R438" t="str">
        <f>IF(AND(NOT(ISBLANK(po_master[[#This Row],[GR Quantity]])), po_master[[#This Row],[GR Quantity]]&lt;&gt;po_master[[#This Row],[PO Quantity]]), "Qty Variance", "OK")</f>
        <v>OK</v>
      </c>
      <c r="S438" t="str">
        <f>IF(po_master[[#This Row],[Invoice Unit Price]]&gt;po_master[[#This Row],[PO Unit Price]]*1.01, "Price Variance", "OK")</f>
        <v>OK</v>
      </c>
      <c r="T438" t="str">
        <f>IF(po_master[[#This Row],[Actual Delivery Date]]&gt;po_master[[#This Row],[Promised Delivey Date]], "Late Delivery", "OK")</f>
        <v>Late Delivery</v>
      </c>
      <c r="U438" t="str">
        <f>IF(COUNTIF(po_master[PO Number],po_master[[#This Row],[PO Number]])&gt;1, "Duplicate Invoice", "OK")</f>
        <v>OK</v>
      </c>
      <c r="V438" s="5">
        <f>IF(po_master[[#This Row],[Missing Approval]]="Missing Approval", 1, 0)</f>
        <v>0</v>
      </c>
      <c r="W438" s="5">
        <f>IF(po_master[[#This Row],[GR Receipt Status]]="No GR - Not Received", 1, 0)</f>
        <v>0</v>
      </c>
      <c r="X438" s="5">
        <f>IF(po_master[[#This Row],[No invoice]]="No Invoice", 1, 0)</f>
        <v>0</v>
      </c>
      <c r="Y438" s="5">
        <f>IF(po_master[[#This Row],[Date Check]]="Invalid Date", 1, 0)</f>
        <v>0</v>
      </c>
      <c r="Z438" s="5">
        <f>IF(po_master[[#This Row],[Qty Variance Flag]]="Qty Variance", 1, 0)</f>
        <v>0</v>
      </c>
      <c r="AA438" s="5">
        <f>IF(po_master[[#This Row],[Price Variance Flag]]="Price Variance", 1, 0)</f>
        <v>0</v>
      </c>
      <c r="AB438" s="5">
        <f>IF(po_master[[#This Row],[Late Delivery Flag]]="Late Delivery", 1, 0)</f>
        <v>1</v>
      </c>
      <c r="AC438" s="5">
        <f>IF(po_master[[#This Row],[Duplicate Invoice Flag]]="Duplicate Invoice", 1, 0)</f>
        <v>0</v>
      </c>
      <c r="AD438" s="5" t="str">
        <f>TEXT(po_master[[#This Row],[Order Date]],"YYYY-MM")</f>
        <v>2026-01</v>
      </c>
    </row>
    <row r="439" spans="1:30" x14ac:dyDescent="0.25">
      <c r="A439" t="s">
        <v>390</v>
      </c>
      <c r="B439" t="s">
        <v>1471</v>
      </c>
      <c r="C439" s="1">
        <v>46120</v>
      </c>
      <c r="D439">
        <v>431</v>
      </c>
      <c r="E439">
        <v>49.78</v>
      </c>
      <c r="F439" t="s">
        <v>1469</v>
      </c>
      <c r="G439" s="1">
        <v>46136</v>
      </c>
      <c r="H439">
        <v>431</v>
      </c>
      <c r="I439" s="1">
        <v>46135</v>
      </c>
      <c r="J439" t="s">
        <v>1130</v>
      </c>
      <c r="K439">
        <v>431</v>
      </c>
      <c r="L439">
        <v>49.78</v>
      </c>
      <c r="M439" s="1">
        <v>46140</v>
      </c>
      <c r="N439" t="str">
        <f>IF(po_master[[#This Row],[Approved By]]="", "Missing Approval", "OK")</f>
        <v>OK</v>
      </c>
      <c r="O439" t="str">
        <f>IF(ISBLANK(po_master[[#This Row],[GR Quantity]]), "No GR - Not received", "OK")</f>
        <v>OK</v>
      </c>
      <c r="P439" t="str">
        <f>IF(po_master[[#This Row],[Promised Delivey Date]]&lt;po_master[[#This Row],[Order Date]], "Invalid", "OK")</f>
        <v>OK</v>
      </c>
      <c r="Q439" t="str">
        <f>IF(ISBLANK(po_master[[#This Row],[Invoice Number]]), "No Invoice", "OK")</f>
        <v>OK</v>
      </c>
      <c r="R439" t="str">
        <f>IF(AND(NOT(ISBLANK(po_master[[#This Row],[GR Quantity]])), po_master[[#This Row],[GR Quantity]]&lt;&gt;po_master[[#This Row],[PO Quantity]]), "Qty Variance", "OK")</f>
        <v>OK</v>
      </c>
      <c r="S439" t="str">
        <f>IF(po_master[[#This Row],[Invoice Unit Price]]&gt;po_master[[#This Row],[PO Unit Price]]*1.01, "Price Variance", "OK")</f>
        <v>OK</v>
      </c>
      <c r="T439" t="str">
        <f>IF(po_master[[#This Row],[Actual Delivery Date]]&gt;po_master[[#This Row],[Promised Delivey Date]], "Late Delivery", "OK")</f>
        <v>OK</v>
      </c>
      <c r="U439" t="str">
        <f>IF(COUNTIF(po_master[PO Number],po_master[[#This Row],[PO Number]])&gt;1, "Duplicate Invoice", "OK")</f>
        <v>OK</v>
      </c>
      <c r="V439" s="5">
        <f>IF(po_master[[#This Row],[Missing Approval]]="Missing Approval", 1, 0)</f>
        <v>0</v>
      </c>
      <c r="W439" s="5">
        <f>IF(po_master[[#This Row],[GR Receipt Status]]="No GR - Not Received", 1, 0)</f>
        <v>0</v>
      </c>
      <c r="X439" s="5">
        <f>IF(po_master[[#This Row],[No invoice]]="No Invoice", 1, 0)</f>
        <v>0</v>
      </c>
      <c r="Y439" s="5">
        <f>IF(po_master[[#This Row],[Date Check]]="Invalid Date", 1, 0)</f>
        <v>0</v>
      </c>
      <c r="Z439" s="5">
        <f>IF(po_master[[#This Row],[Qty Variance Flag]]="Qty Variance", 1, 0)</f>
        <v>0</v>
      </c>
      <c r="AA439" s="5">
        <f>IF(po_master[[#This Row],[Price Variance Flag]]="Price Variance", 1, 0)</f>
        <v>0</v>
      </c>
      <c r="AB439" s="5">
        <f>IF(po_master[[#This Row],[Late Delivery Flag]]="Late Delivery", 1, 0)</f>
        <v>0</v>
      </c>
      <c r="AC439" s="5">
        <f>IF(po_master[[#This Row],[Duplicate Invoice Flag]]="Duplicate Invoice", 1, 0)</f>
        <v>0</v>
      </c>
      <c r="AD439" s="5" t="str">
        <f>TEXT(po_master[[#This Row],[Order Date]],"YYYY-MM")</f>
        <v>2026-04</v>
      </c>
    </row>
    <row r="440" spans="1:30" x14ac:dyDescent="0.25">
      <c r="A440" t="s">
        <v>391</v>
      </c>
      <c r="B440" t="s">
        <v>1464</v>
      </c>
      <c r="C440" s="1">
        <v>46093</v>
      </c>
      <c r="D440">
        <v>106</v>
      </c>
      <c r="E440">
        <v>187.8</v>
      </c>
      <c r="F440" t="s">
        <v>1490</v>
      </c>
      <c r="G440" s="1">
        <v>46101</v>
      </c>
      <c r="H440">
        <v>90</v>
      </c>
      <c r="I440" s="1">
        <v>46099</v>
      </c>
      <c r="J440" t="s">
        <v>1131</v>
      </c>
      <c r="K440">
        <v>106</v>
      </c>
      <c r="L440">
        <v>187.8</v>
      </c>
      <c r="M440" s="1">
        <v>46107</v>
      </c>
      <c r="N440" t="str">
        <f>IF(po_master[[#This Row],[Approved By]]="", "Missing Approval", "OK")</f>
        <v>OK</v>
      </c>
      <c r="O440" t="str">
        <f>IF(ISBLANK(po_master[[#This Row],[GR Quantity]]), "No GR - Not received", "OK")</f>
        <v>OK</v>
      </c>
      <c r="P440" t="str">
        <f>IF(po_master[[#This Row],[Promised Delivey Date]]&lt;po_master[[#This Row],[Order Date]], "Invalid", "OK")</f>
        <v>OK</v>
      </c>
      <c r="Q440" t="str">
        <f>IF(ISBLANK(po_master[[#This Row],[Invoice Number]]), "No Invoice", "OK")</f>
        <v>OK</v>
      </c>
      <c r="R440" t="str">
        <f>IF(AND(NOT(ISBLANK(po_master[[#This Row],[GR Quantity]])), po_master[[#This Row],[GR Quantity]]&lt;&gt;po_master[[#This Row],[PO Quantity]]), "Qty Variance", "OK")</f>
        <v>Qty Variance</v>
      </c>
      <c r="S440" t="str">
        <f>IF(po_master[[#This Row],[Invoice Unit Price]]&gt;po_master[[#This Row],[PO Unit Price]]*1.01, "Price Variance", "OK")</f>
        <v>OK</v>
      </c>
      <c r="T440" t="str">
        <f>IF(po_master[[#This Row],[Actual Delivery Date]]&gt;po_master[[#This Row],[Promised Delivey Date]], "Late Delivery", "OK")</f>
        <v>OK</v>
      </c>
      <c r="U440" t="str">
        <f>IF(COUNTIF(po_master[PO Number],po_master[[#This Row],[PO Number]])&gt;1, "Duplicate Invoice", "OK")</f>
        <v>OK</v>
      </c>
      <c r="V440" s="5">
        <f>IF(po_master[[#This Row],[Missing Approval]]="Missing Approval", 1, 0)</f>
        <v>0</v>
      </c>
      <c r="W440" s="5">
        <f>IF(po_master[[#This Row],[GR Receipt Status]]="No GR - Not Received", 1, 0)</f>
        <v>0</v>
      </c>
      <c r="X440" s="5">
        <f>IF(po_master[[#This Row],[No invoice]]="No Invoice", 1, 0)</f>
        <v>0</v>
      </c>
      <c r="Y440" s="5">
        <f>IF(po_master[[#This Row],[Date Check]]="Invalid Date", 1, 0)</f>
        <v>0</v>
      </c>
      <c r="Z440" s="5">
        <f>IF(po_master[[#This Row],[Qty Variance Flag]]="Qty Variance", 1, 0)</f>
        <v>1</v>
      </c>
      <c r="AA440" s="5">
        <f>IF(po_master[[#This Row],[Price Variance Flag]]="Price Variance", 1, 0)</f>
        <v>0</v>
      </c>
      <c r="AB440" s="5">
        <f>IF(po_master[[#This Row],[Late Delivery Flag]]="Late Delivery", 1, 0)</f>
        <v>0</v>
      </c>
      <c r="AC440" s="5">
        <f>IF(po_master[[#This Row],[Duplicate Invoice Flag]]="Duplicate Invoice", 1, 0)</f>
        <v>0</v>
      </c>
      <c r="AD440" s="5" t="str">
        <f>TEXT(po_master[[#This Row],[Order Date]],"YYYY-MM")</f>
        <v>2026-03</v>
      </c>
    </row>
    <row r="441" spans="1:30" x14ac:dyDescent="0.25">
      <c r="A441" t="s">
        <v>392</v>
      </c>
      <c r="B441" t="s">
        <v>1452</v>
      </c>
      <c r="C441" s="1">
        <v>46130</v>
      </c>
      <c r="D441">
        <v>324</v>
      </c>
      <c r="E441">
        <v>154.38</v>
      </c>
      <c r="F441" t="s">
        <v>1448</v>
      </c>
      <c r="G441" s="1">
        <v>46142</v>
      </c>
      <c r="H441">
        <v>323</v>
      </c>
      <c r="I441" s="1">
        <v>46141</v>
      </c>
      <c r="J441" t="s">
        <v>1132</v>
      </c>
      <c r="K441">
        <v>324</v>
      </c>
      <c r="L441">
        <v>154.38</v>
      </c>
      <c r="M441" s="1">
        <v>46144</v>
      </c>
      <c r="N441" t="str">
        <f>IF(po_master[[#This Row],[Approved By]]="", "Missing Approval", "OK")</f>
        <v>OK</v>
      </c>
      <c r="O441" t="str">
        <f>IF(ISBLANK(po_master[[#This Row],[GR Quantity]]), "No GR - Not received", "OK")</f>
        <v>OK</v>
      </c>
      <c r="P441" t="str">
        <f>IF(po_master[[#This Row],[Promised Delivey Date]]&lt;po_master[[#This Row],[Order Date]], "Invalid", "OK")</f>
        <v>OK</v>
      </c>
      <c r="Q441" t="str">
        <f>IF(ISBLANK(po_master[[#This Row],[Invoice Number]]), "No Invoice", "OK")</f>
        <v>OK</v>
      </c>
      <c r="R441" t="str">
        <f>IF(AND(NOT(ISBLANK(po_master[[#This Row],[GR Quantity]])), po_master[[#This Row],[GR Quantity]]&lt;&gt;po_master[[#This Row],[PO Quantity]]), "Qty Variance", "OK")</f>
        <v>Qty Variance</v>
      </c>
      <c r="S441" t="str">
        <f>IF(po_master[[#This Row],[Invoice Unit Price]]&gt;po_master[[#This Row],[PO Unit Price]]*1.01, "Price Variance", "OK")</f>
        <v>OK</v>
      </c>
      <c r="T441" t="str">
        <f>IF(po_master[[#This Row],[Actual Delivery Date]]&gt;po_master[[#This Row],[Promised Delivey Date]], "Late Delivery", "OK")</f>
        <v>OK</v>
      </c>
      <c r="U441" t="str">
        <f>IF(COUNTIF(po_master[PO Number],po_master[[#This Row],[PO Number]])&gt;1, "Duplicate Invoice", "OK")</f>
        <v>OK</v>
      </c>
      <c r="V441" s="5">
        <f>IF(po_master[[#This Row],[Missing Approval]]="Missing Approval", 1, 0)</f>
        <v>0</v>
      </c>
      <c r="W441" s="5">
        <f>IF(po_master[[#This Row],[GR Receipt Status]]="No GR - Not Received", 1, 0)</f>
        <v>0</v>
      </c>
      <c r="X441" s="5">
        <f>IF(po_master[[#This Row],[No invoice]]="No Invoice", 1, 0)</f>
        <v>0</v>
      </c>
      <c r="Y441" s="5">
        <f>IF(po_master[[#This Row],[Date Check]]="Invalid Date", 1, 0)</f>
        <v>0</v>
      </c>
      <c r="Z441" s="5">
        <f>IF(po_master[[#This Row],[Qty Variance Flag]]="Qty Variance", 1, 0)</f>
        <v>1</v>
      </c>
      <c r="AA441" s="5">
        <f>IF(po_master[[#This Row],[Price Variance Flag]]="Price Variance", 1, 0)</f>
        <v>0</v>
      </c>
      <c r="AB441" s="5">
        <f>IF(po_master[[#This Row],[Late Delivery Flag]]="Late Delivery", 1, 0)</f>
        <v>0</v>
      </c>
      <c r="AC441" s="5">
        <f>IF(po_master[[#This Row],[Duplicate Invoice Flag]]="Duplicate Invoice", 1, 0)</f>
        <v>0</v>
      </c>
      <c r="AD441" s="5" t="str">
        <f>TEXT(po_master[[#This Row],[Order Date]],"YYYY-MM")</f>
        <v>2026-04</v>
      </c>
    </row>
    <row r="442" spans="1:30" x14ac:dyDescent="0.25">
      <c r="A442" t="s">
        <v>393</v>
      </c>
      <c r="B442" t="s">
        <v>1463</v>
      </c>
      <c r="C442" s="1">
        <v>46040</v>
      </c>
      <c r="D442">
        <v>61</v>
      </c>
      <c r="E442">
        <v>120.82</v>
      </c>
      <c r="F442" t="s">
        <v>1469</v>
      </c>
      <c r="G442" s="1">
        <v>46046</v>
      </c>
      <c r="H442">
        <v>61</v>
      </c>
      <c r="I442" s="1">
        <v>46044</v>
      </c>
      <c r="J442" t="s">
        <v>1133</v>
      </c>
      <c r="K442">
        <v>61</v>
      </c>
      <c r="L442">
        <v>130.35</v>
      </c>
      <c r="M442" s="1">
        <v>46049</v>
      </c>
      <c r="N442" t="str">
        <f>IF(po_master[[#This Row],[Approved By]]="", "Missing Approval", "OK")</f>
        <v>OK</v>
      </c>
      <c r="O442" t="str">
        <f>IF(ISBLANK(po_master[[#This Row],[GR Quantity]]), "No GR - Not received", "OK")</f>
        <v>OK</v>
      </c>
      <c r="P442" t="str">
        <f>IF(po_master[[#This Row],[Promised Delivey Date]]&lt;po_master[[#This Row],[Order Date]], "Invalid", "OK")</f>
        <v>OK</v>
      </c>
      <c r="Q442" t="str">
        <f>IF(ISBLANK(po_master[[#This Row],[Invoice Number]]), "No Invoice", "OK")</f>
        <v>OK</v>
      </c>
      <c r="R442" t="str">
        <f>IF(AND(NOT(ISBLANK(po_master[[#This Row],[GR Quantity]])), po_master[[#This Row],[GR Quantity]]&lt;&gt;po_master[[#This Row],[PO Quantity]]), "Qty Variance", "OK")</f>
        <v>OK</v>
      </c>
      <c r="S442" t="str">
        <f>IF(po_master[[#This Row],[Invoice Unit Price]]&gt;po_master[[#This Row],[PO Unit Price]]*1.01, "Price Variance", "OK")</f>
        <v>Price Variance</v>
      </c>
      <c r="T442" t="str">
        <f>IF(po_master[[#This Row],[Actual Delivery Date]]&gt;po_master[[#This Row],[Promised Delivey Date]], "Late Delivery", "OK")</f>
        <v>OK</v>
      </c>
      <c r="U442" t="str">
        <f>IF(COUNTIF(po_master[PO Number],po_master[[#This Row],[PO Number]])&gt;1, "Duplicate Invoice", "OK")</f>
        <v>OK</v>
      </c>
      <c r="V442" s="5">
        <f>IF(po_master[[#This Row],[Missing Approval]]="Missing Approval", 1, 0)</f>
        <v>0</v>
      </c>
      <c r="W442" s="5">
        <f>IF(po_master[[#This Row],[GR Receipt Status]]="No GR - Not Received", 1, 0)</f>
        <v>0</v>
      </c>
      <c r="X442" s="5">
        <f>IF(po_master[[#This Row],[No invoice]]="No Invoice", 1, 0)</f>
        <v>0</v>
      </c>
      <c r="Y442" s="5">
        <f>IF(po_master[[#This Row],[Date Check]]="Invalid Date", 1, 0)</f>
        <v>0</v>
      </c>
      <c r="Z442" s="5">
        <f>IF(po_master[[#This Row],[Qty Variance Flag]]="Qty Variance", 1, 0)</f>
        <v>0</v>
      </c>
      <c r="AA442" s="5">
        <f>IF(po_master[[#This Row],[Price Variance Flag]]="Price Variance", 1, 0)</f>
        <v>1</v>
      </c>
      <c r="AB442" s="5">
        <f>IF(po_master[[#This Row],[Late Delivery Flag]]="Late Delivery", 1, 0)</f>
        <v>0</v>
      </c>
      <c r="AC442" s="5">
        <f>IF(po_master[[#This Row],[Duplicate Invoice Flag]]="Duplicate Invoice", 1, 0)</f>
        <v>0</v>
      </c>
      <c r="AD442" s="5" t="str">
        <f>TEXT(po_master[[#This Row],[Order Date]],"YYYY-MM")</f>
        <v>2026-01</v>
      </c>
    </row>
    <row r="443" spans="1:30" x14ac:dyDescent="0.25">
      <c r="A443" t="s">
        <v>394</v>
      </c>
      <c r="B443" t="s">
        <v>1482</v>
      </c>
      <c r="C443" s="1">
        <v>46034</v>
      </c>
      <c r="D443">
        <v>215</v>
      </c>
      <c r="E443">
        <v>90.6</v>
      </c>
      <c r="F443" t="s">
        <v>1442</v>
      </c>
      <c r="G443" s="1">
        <v>46045</v>
      </c>
      <c r="H443">
        <v>215</v>
      </c>
      <c r="I443" s="1">
        <v>46057</v>
      </c>
      <c r="J443" t="s">
        <v>1134</v>
      </c>
      <c r="K443">
        <v>215</v>
      </c>
      <c r="L443">
        <v>90.6</v>
      </c>
      <c r="M443" s="1">
        <v>46048</v>
      </c>
      <c r="N443" t="str">
        <f>IF(po_master[[#This Row],[Approved By]]="", "Missing Approval", "OK")</f>
        <v>OK</v>
      </c>
      <c r="O443" t="str">
        <f>IF(ISBLANK(po_master[[#This Row],[GR Quantity]]), "No GR - Not received", "OK")</f>
        <v>OK</v>
      </c>
      <c r="P443" t="str">
        <f>IF(po_master[[#This Row],[Promised Delivey Date]]&lt;po_master[[#This Row],[Order Date]], "Invalid", "OK")</f>
        <v>OK</v>
      </c>
      <c r="Q443" t="str">
        <f>IF(ISBLANK(po_master[[#This Row],[Invoice Number]]), "No Invoice", "OK")</f>
        <v>OK</v>
      </c>
      <c r="R443" t="str">
        <f>IF(AND(NOT(ISBLANK(po_master[[#This Row],[GR Quantity]])), po_master[[#This Row],[GR Quantity]]&lt;&gt;po_master[[#This Row],[PO Quantity]]), "Qty Variance", "OK")</f>
        <v>OK</v>
      </c>
      <c r="S443" t="str">
        <f>IF(po_master[[#This Row],[Invoice Unit Price]]&gt;po_master[[#This Row],[PO Unit Price]]*1.01, "Price Variance", "OK")</f>
        <v>OK</v>
      </c>
      <c r="T443" t="str">
        <f>IF(po_master[[#This Row],[Actual Delivery Date]]&gt;po_master[[#This Row],[Promised Delivey Date]], "Late Delivery", "OK")</f>
        <v>Late Delivery</v>
      </c>
      <c r="U443" t="str">
        <f>IF(COUNTIF(po_master[PO Number],po_master[[#This Row],[PO Number]])&gt;1, "Duplicate Invoice", "OK")</f>
        <v>OK</v>
      </c>
      <c r="V443" s="5">
        <f>IF(po_master[[#This Row],[Missing Approval]]="Missing Approval", 1, 0)</f>
        <v>0</v>
      </c>
      <c r="W443" s="5">
        <f>IF(po_master[[#This Row],[GR Receipt Status]]="No GR - Not Received", 1, 0)</f>
        <v>0</v>
      </c>
      <c r="X443" s="5">
        <f>IF(po_master[[#This Row],[No invoice]]="No Invoice", 1, 0)</f>
        <v>0</v>
      </c>
      <c r="Y443" s="5">
        <f>IF(po_master[[#This Row],[Date Check]]="Invalid Date", 1, 0)</f>
        <v>0</v>
      </c>
      <c r="Z443" s="5">
        <f>IF(po_master[[#This Row],[Qty Variance Flag]]="Qty Variance", 1, 0)</f>
        <v>0</v>
      </c>
      <c r="AA443" s="5">
        <f>IF(po_master[[#This Row],[Price Variance Flag]]="Price Variance", 1, 0)</f>
        <v>0</v>
      </c>
      <c r="AB443" s="5">
        <f>IF(po_master[[#This Row],[Late Delivery Flag]]="Late Delivery", 1, 0)</f>
        <v>1</v>
      </c>
      <c r="AC443" s="5">
        <f>IF(po_master[[#This Row],[Duplicate Invoice Flag]]="Duplicate Invoice", 1, 0)</f>
        <v>0</v>
      </c>
      <c r="AD443" s="5" t="str">
        <f>TEXT(po_master[[#This Row],[Order Date]],"YYYY-MM")</f>
        <v>2026-01</v>
      </c>
    </row>
    <row r="444" spans="1:30" x14ac:dyDescent="0.25">
      <c r="A444" t="s">
        <v>395</v>
      </c>
      <c r="B444" t="s">
        <v>1493</v>
      </c>
      <c r="C444" s="1">
        <v>46105</v>
      </c>
      <c r="D444">
        <v>131</v>
      </c>
      <c r="E444">
        <v>63.84</v>
      </c>
      <c r="F444" t="s">
        <v>1485</v>
      </c>
      <c r="G444" s="1">
        <v>46126</v>
      </c>
      <c r="H444">
        <v>131</v>
      </c>
      <c r="I444" s="1">
        <v>46127</v>
      </c>
      <c r="J444" t="s">
        <v>1137</v>
      </c>
      <c r="K444">
        <v>131</v>
      </c>
      <c r="L444">
        <v>73.97</v>
      </c>
      <c r="M444" s="1">
        <v>46131</v>
      </c>
      <c r="N444" t="str">
        <f>IF(po_master[[#This Row],[Approved By]]="", "Missing Approval", "OK")</f>
        <v>OK</v>
      </c>
      <c r="O444" t="str">
        <f>IF(ISBLANK(po_master[[#This Row],[GR Quantity]]), "No GR - Not received", "OK")</f>
        <v>OK</v>
      </c>
      <c r="P444" t="str">
        <f>IF(po_master[[#This Row],[Promised Delivey Date]]&lt;po_master[[#This Row],[Order Date]], "Invalid", "OK")</f>
        <v>OK</v>
      </c>
      <c r="Q444" t="str">
        <f>IF(ISBLANK(po_master[[#This Row],[Invoice Number]]), "No Invoice", "OK")</f>
        <v>OK</v>
      </c>
      <c r="R444" t="str">
        <f>IF(AND(NOT(ISBLANK(po_master[[#This Row],[GR Quantity]])), po_master[[#This Row],[GR Quantity]]&lt;&gt;po_master[[#This Row],[PO Quantity]]), "Qty Variance", "OK")</f>
        <v>OK</v>
      </c>
      <c r="S444" t="str">
        <f>IF(po_master[[#This Row],[Invoice Unit Price]]&gt;po_master[[#This Row],[PO Unit Price]]*1.01, "Price Variance", "OK")</f>
        <v>Price Variance</v>
      </c>
      <c r="T444" t="str">
        <f>IF(po_master[[#This Row],[Actual Delivery Date]]&gt;po_master[[#This Row],[Promised Delivey Date]], "Late Delivery", "OK")</f>
        <v>Late Delivery</v>
      </c>
      <c r="U444" t="str">
        <f>IF(COUNTIF(po_master[PO Number],po_master[[#This Row],[PO Number]])&gt;1, "Duplicate Invoice", "OK")</f>
        <v>OK</v>
      </c>
      <c r="V444" s="5">
        <f>IF(po_master[[#This Row],[Missing Approval]]="Missing Approval", 1, 0)</f>
        <v>0</v>
      </c>
      <c r="W444" s="5">
        <f>IF(po_master[[#This Row],[GR Receipt Status]]="No GR - Not Received", 1, 0)</f>
        <v>0</v>
      </c>
      <c r="X444" s="5">
        <f>IF(po_master[[#This Row],[No invoice]]="No Invoice", 1, 0)</f>
        <v>0</v>
      </c>
      <c r="Y444" s="5">
        <f>IF(po_master[[#This Row],[Date Check]]="Invalid Date", 1, 0)</f>
        <v>0</v>
      </c>
      <c r="Z444" s="5">
        <f>IF(po_master[[#This Row],[Qty Variance Flag]]="Qty Variance", 1, 0)</f>
        <v>0</v>
      </c>
      <c r="AA444" s="5">
        <f>IF(po_master[[#This Row],[Price Variance Flag]]="Price Variance", 1, 0)</f>
        <v>1</v>
      </c>
      <c r="AB444" s="5">
        <f>IF(po_master[[#This Row],[Late Delivery Flag]]="Late Delivery", 1, 0)</f>
        <v>1</v>
      </c>
      <c r="AC444" s="5">
        <f>IF(po_master[[#This Row],[Duplicate Invoice Flag]]="Duplicate Invoice", 1, 0)</f>
        <v>0</v>
      </c>
      <c r="AD444" s="5" t="str">
        <f>TEXT(po_master[[#This Row],[Order Date]],"YYYY-MM")</f>
        <v>2026-03</v>
      </c>
    </row>
    <row r="445" spans="1:30" x14ac:dyDescent="0.25">
      <c r="A445" t="s">
        <v>1113</v>
      </c>
      <c r="B445" t="s">
        <v>1482</v>
      </c>
      <c r="C445" s="1">
        <v>46043</v>
      </c>
      <c r="D445">
        <v>279</v>
      </c>
      <c r="E445">
        <v>92.12</v>
      </c>
      <c r="F445" t="s">
        <v>1499</v>
      </c>
      <c r="G445" s="1">
        <v>46059</v>
      </c>
      <c r="I445" s="1"/>
      <c r="J445" t="s">
        <v>1114</v>
      </c>
      <c r="K445">
        <v>279</v>
      </c>
      <c r="L445">
        <v>92.12</v>
      </c>
      <c r="M445" s="1">
        <v>46069</v>
      </c>
      <c r="N445" t="str">
        <f>IF(po_master[[#This Row],[Approved By]]="", "Missing Approval", "OK")</f>
        <v>OK</v>
      </c>
      <c r="O445" t="str">
        <f>IF(ISBLANK(po_master[[#This Row],[GR Quantity]]), "No GR - Not received", "OK")</f>
        <v>No GR - Not received</v>
      </c>
      <c r="P445" t="str">
        <f>IF(po_master[[#This Row],[Promised Delivey Date]]&lt;po_master[[#This Row],[Order Date]], "Invalid", "OK")</f>
        <v>OK</v>
      </c>
      <c r="Q445" t="str">
        <f>IF(ISBLANK(po_master[[#This Row],[Invoice Number]]), "No Invoice", "OK")</f>
        <v>OK</v>
      </c>
      <c r="R445" t="str">
        <f>IF(AND(NOT(ISBLANK(po_master[[#This Row],[GR Quantity]])), po_master[[#This Row],[GR Quantity]]&lt;&gt;po_master[[#This Row],[PO Quantity]]), "Qty Variance", "OK")</f>
        <v>OK</v>
      </c>
      <c r="S445" t="str">
        <f>IF(po_master[[#This Row],[Invoice Unit Price]]&gt;po_master[[#This Row],[PO Unit Price]]*1.01, "Price Variance", "OK")</f>
        <v>OK</v>
      </c>
      <c r="T445" t="str">
        <f>IF(po_master[[#This Row],[Actual Delivery Date]]&gt;po_master[[#This Row],[Promised Delivey Date]], "Late Delivery", "OK")</f>
        <v>OK</v>
      </c>
      <c r="U445" t="str">
        <f>IF(COUNTIF(po_master[PO Number],po_master[[#This Row],[PO Number]])&gt;1, "Duplicate Invoice", "OK")</f>
        <v>OK</v>
      </c>
      <c r="V445" s="5">
        <f>IF(po_master[[#This Row],[Missing Approval]]="Missing Approval", 1, 0)</f>
        <v>0</v>
      </c>
      <c r="W445" s="5">
        <f>IF(po_master[[#This Row],[GR Receipt Status]]="No GR - Not Received", 1, 0)</f>
        <v>1</v>
      </c>
      <c r="X445" s="5">
        <f>IF(po_master[[#This Row],[No invoice]]="No Invoice", 1, 0)</f>
        <v>0</v>
      </c>
      <c r="Y445" s="5">
        <f>IF(po_master[[#This Row],[Date Check]]="Invalid Date", 1, 0)</f>
        <v>0</v>
      </c>
      <c r="Z445" s="5">
        <f>IF(po_master[[#This Row],[Qty Variance Flag]]="Qty Variance", 1, 0)</f>
        <v>0</v>
      </c>
      <c r="AA445" s="5">
        <f>IF(po_master[[#This Row],[Price Variance Flag]]="Price Variance", 1, 0)</f>
        <v>0</v>
      </c>
      <c r="AB445" s="5">
        <f>IF(po_master[[#This Row],[Late Delivery Flag]]="Late Delivery", 1, 0)</f>
        <v>0</v>
      </c>
      <c r="AC445" s="5">
        <f>IF(po_master[[#This Row],[Duplicate Invoice Flag]]="Duplicate Invoice", 1, 0)</f>
        <v>0</v>
      </c>
      <c r="AD445" s="5" t="str">
        <f>TEXT(po_master[[#This Row],[Order Date]],"YYYY-MM")</f>
        <v>2026-01</v>
      </c>
    </row>
    <row r="446" spans="1:30" x14ac:dyDescent="0.25">
      <c r="A446" t="s">
        <v>396</v>
      </c>
      <c r="B446" t="s">
        <v>1447</v>
      </c>
      <c r="C446" s="1">
        <v>46128</v>
      </c>
      <c r="D446">
        <v>163</v>
      </c>
      <c r="E446">
        <v>58.66</v>
      </c>
      <c r="F446" t="s">
        <v>1442</v>
      </c>
      <c r="G446" s="1">
        <v>46138</v>
      </c>
      <c r="H446">
        <v>163</v>
      </c>
      <c r="I446" s="1">
        <v>46137</v>
      </c>
      <c r="J446" t="s">
        <v>1138</v>
      </c>
      <c r="K446">
        <v>163</v>
      </c>
      <c r="L446">
        <v>58.66</v>
      </c>
      <c r="M446" s="1">
        <v>46145</v>
      </c>
      <c r="N446" t="str">
        <f>IF(po_master[[#This Row],[Approved By]]="", "Missing Approval", "OK")</f>
        <v>OK</v>
      </c>
      <c r="O446" t="str">
        <f>IF(ISBLANK(po_master[[#This Row],[GR Quantity]]), "No GR - Not received", "OK")</f>
        <v>OK</v>
      </c>
      <c r="P446" t="str">
        <f>IF(po_master[[#This Row],[Promised Delivey Date]]&lt;po_master[[#This Row],[Order Date]], "Invalid", "OK")</f>
        <v>OK</v>
      </c>
      <c r="Q446" t="str">
        <f>IF(ISBLANK(po_master[[#This Row],[Invoice Number]]), "No Invoice", "OK")</f>
        <v>OK</v>
      </c>
      <c r="R446" t="str">
        <f>IF(AND(NOT(ISBLANK(po_master[[#This Row],[GR Quantity]])), po_master[[#This Row],[GR Quantity]]&lt;&gt;po_master[[#This Row],[PO Quantity]]), "Qty Variance", "OK")</f>
        <v>OK</v>
      </c>
      <c r="S446" t="str">
        <f>IF(po_master[[#This Row],[Invoice Unit Price]]&gt;po_master[[#This Row],[PO Unit Price]]*1.01, "Price Variance", "OK")</f>
        <v>OK</v>
      </c>
      <c r="T446" t="str">
        <f>IF(po_master[[#This Row],[Actual Delivery Date]]&gt;po_master[[#This Row],[Promised Delivey Date]], "Late Delivery", "OK")</f>
        <v>OK</v>
      </c>
      <c r="U446" t="str">
        <f>IF(COUNTIF(po_master[PO Number],po_master[[#This Row],[PO Number]])&gt;1, "Duplicate Invoice", "OK")</f>
        <v>OK</v>
      </c>
      <c r="V446" s="5">
        <f>IF(po_master[[#This Row],[Missing Approval]]="Missing Approval", 1, 0)</f>
        <v>0</v>
      </c>
      <c r="W446" s="5">
        <f>IF(po_master[[#This Row],[GR Receipt Status]]="No GR - Not Received", 1, 0)</f>
        <v>0</v>
      </c>
      <c r="X446" s="5">
        <f>IF(po_master[[#This Row],[No invoice]]="No Invoice", 1, 0)</f>
        <v>0</v>
      </c>
      <c r="Y446" s="5">
        <f>IF(po_master[[#This Row],[Date Check]]="Invalid Date", 1, 0)</f>
        <v>0</v>
      </c>
      <c r="Z446" s="5">
        <f>IF(po_master[[#This Row],[Qty Variance Flag]]="Qty Variance", 1, 0)</f>
        <v>0</v>
      </c>
      <c r="AA446" s="5">
        <f>IF(po_master[[#This Row],[Price Variance Flag]]="Price Variance", 1, 0)</f>
        <v>0</v>
      </c>
      <c r="AB446" s="5">
        <f>IF(po_master[[#This Row],[Late Delivery Flag]]="Late Delivery", 1, 0)</f>
        <v>0</v>
      </c>
      <c r="AC446" s="5">
        <f>IF(po_master[[#This Row],[Duplicate Invoice Flag]]="Duplicate Invoice", 1, 0)</f>
        <v>0</v>
      </c>
      <c r="AD446" s="5" t="str">
        <f>TEXT(po_master[[#This Row],[Order Date]],"YYYY-MM")</f>
        <v>2026-04</v>
      </c>
    </row>
    <row r="447" spans="1:30" x14ac:dyDescent="0.25">
      <c r="A447" t="s">
        <v>397</v>
      </c>
      <c r="B447" t="s">
        <v>1439</v>
      </c>
      <c r="C447" s="1">
        <v>46132</v>
      </c>
      <c r="D447">
        <v>294</v>
      </c>
      <c r="E447">
        <v>101.65</v>
      </c>
      <c r="F447" t="s">
        <v>1451</v>
      </c>
      <c r="G447" s="1">
        <v>46149</v>
      </c>
      <c r="H447">
        <v>294</v>
      </c>
      <c r="I447" s="1">
        <v>46147</v>
      </c>
      <c r="J447" t="s">
        <v>1139</v>
      </c>
      <c r="K447">
        <v>294</v>
      </c>
      <c r="L447">
        <v>101.65</v>
      </c>
      <c r="M447" s="1">
        <v>46154</v>
      </c>
      <c r="N447" t="str">
        <f>IF(po_master[[#This Row],[Approved By]]="", "Missing Approval", "OK")</f>
        <v>OK</v>
      </c>
      <c r="O447" t="str">
        <f>IF(ISBLANK(po_master[[#This Row],[GR Quantity]]), "No GR - Not received", "OK")</f>
        <v>OK</v>
      </c>
      <c r="P447" t="str">
        <f>IF(po_master[[#This Row],[Promised Delivey Date]]&lt;po_master[[#This Row],[Order Date]], "Invalid", "OK")</f>
        <v>OK</v>
      </c>
      <c r="Q447" t="str">
        <f>IF(ISBLANK(po_master[[#This Row],[Invoice Number]]), "No Invoice", "OK")</f>
        <v>OK</v>
      </c>
      <c r="R447" t="str">
        <f>IF(AND(NOT(ISBLANK(po_master[[#This Row],[GR Quantity]])), po_master[[#This Row],[GR Quantity]]&lt;&gt;po_master[[#This Row],[PO Quantity]]), "Qty Variance", "OK")</f>
        <v>OK</v>
      </c>
      <c r="S447" t="str">
        <f>IF(po_master[[#This Row],[Invoice Unit Price]]&gt;po_master[[#This Row],[PO Unit Price]]*1.01, "Price Variance", "OK")</f>
        <v>OK</v>
      </c>
      <c r="T447" t="str">
        <f>IF(po_master[[#This Row],[Actual Delivery Date]]&gt;po_master[[#This Row],[Promised Delivey Date]], "Late Delivery", "OK")</f>
        <v>OK</v>
      </c>
      <c r="U447" t="str">
        <f>IF(COUNTIF(po_master[PO Number],po_master[[#This Row],[PO Number]])&gt;1, "Duplicate Invoice", "OK")</f>
        <v>OK</v>
      </c>
      <c r="V447" s="5">
        <f>IF(po_master[[#This Row],[Missing Approval]]="Missing Approval", 1, 0)</f>
        <v>0</v>
      </c>
      <c r="W447" s="5">
        <f>IF(po_master[[#This Row],[GR Receipt Status]]="No GR - Not Received", 1, 0)</f>
        <v>0</v>
      </c>
      <c r="X447" s="5">
        <f>IF(po_master[[#This Row],[No invoice]]="No Invoice", 1, 0)</f>
        <v>0</v>
      </c>
      <c r="Y447" s="5">
        <f>IF(po_master[[#This Row],[Date Check]]="Invalid Date", 1, 0)</f>
        <v>0</v>
      </c>
      <c r="Z447" s="5">
        <f>IF(po_master[[#This Row],[Qty Variance Flag]]="Qty Variance", 1, 0)</f>
        <v>0</v>
      </c>
      <c r="AA447" s="5">
        <f>IF(po_master[[#This Row],[Price Variance Flag]]="Price Variance", 1, 0)</f>
        <v>0</v>
      </c>
      <c r="AB447" s="5">
        <f>IF(po_master[[#This Row],[Late Delivery Flag]]="Late Delivery", 1, 0)</f>
        <v>0</v>
      </c>
      <c r="AC447" s="5">
        <f>IF(po_master[[#This Row],[Duplicate Invoice Flag]]="Duplicate Invoice", 1, 0)</f>
        <v>0</v>
      </c>
      <c r="AD447" s="5" t="str">
        <f>TEXT(po_master[[#This Row],[Order Date]],"YYYY-MM")</f>
        <v>2026-04</v>
      </c>
    </row>
    <row r="448" spans="1:30" x14ac:dyDescent="0.25">
      <c r="A448" t="s">
        <v>398</v>
      </c>
      <c r="B448" t="s">
        <v>1491</v>
      </c>
      <c r="C448" s="1">
        <v>46104</v>
      </c>
      <c r="D448">
        <v>366</v>
      </c>
      <c r="E448">
        <v>86.18</v>
      </c>
      <c r="F448" t="s">
        <v>1485</v>
      </c>
      <c r="G448" s="1">
        <v>46118</v>
      </c>
      <c r="H448">
        <v>366</v>
      </c>
      <c r="I448" s="1">
        <v>46117</v>
      </c>
      <c r="J448" t="s">
        <v>1140</v>
      </c>
      <c r="K448">
        <v>366</v>
      </c>
      <c r="L448">
        <v>86.18</v>
      </c>
      <c r="M448" s="1">
        <v>46122</v>
      </c>
      <c r="N448" t="str">
        <f>IF(po_master[[#This Row],[Approved By]]="", "Missing Approval", "OK")</f>
        <v>OK</v>
      </c>
      <c r="O448" t="str">
        <f>IF(ISBLANK(po_master[[#This Row],[GR Quantity]]), "No GR - Not received", "OK")</f>
        <v>OK</v>
      </c>
      <c r="P448" t="str">
        <f>IF(po_master[[#This Row],[Promised Delivey Date]]&lt;po_master[[#This Row],[Order Date]], "Invalid", "OK")</f>
        <v>OK</v>
      </c>
      <c r="Q448" t="str">
        <f>IF(ISBLANK(po_master[[#This Row],[Invoice Number]]), "No Invoice", "OK")</f>
        <v>OK</v>
      </c>
      <c r="R448" t="str">
        <f>IF(AND(NOT(ISBLANK(po_master[[#This Row],[GR Quantity]])), po_master[[#This Row],[GR Quantity]]&lt;&gt;po_master[[#This Row],[PO Quantity]]), "Qty Variance", "OK")</f>
        <v>OK</v>
      </c>
      <c r="S448" t="str">
        <f>IF(po_master[[#This Row],[Invoice Unit Price]]&gt;po_master[[#This Row],[PO Unit Price]]*1.01, "Price Variance", "OK")</f>
        <v>OK</v>
      </c>
      <c r="T448" t="str">
        <f>IF(po_master[[#This Row],[Actual Delivery Date]]&gt;po_master[[#This Row],[Promised Delivey Date]], "Late Delivery", "OK")</f>
        <v>OK</v>
      </c>
      <c r="U448" t="str">
        <f>IF(COUNTIF(po_master[PO Number],po_master[[#This Row],[PO Number]])&gt;1, "Duplicate Invoice", "OK")</f>
        <v>OK</v>
      </c>
      <c r="V448" s="5">
        <f>IF(po_master[[#This Row],[Missing Approval]]="Missing Approval", 1, 0)</f>
        <v>0</v>
      </c>
      <c r="W448" s="5">
        <f>IF(po_master[[#This Row],[GR Receipt Status]]="No GR - Not Received", 1, 0)</f>
        <v>0</v>
      </c>
      <c r="X448" s="5">
        <f>IF(po_master[[#This Row],[No invoice]]="No Invoice", 1, 0)</f>
        <v>0</v>
      </c>
      <c r="Y448" s="5">
        <f>IF(po_master[[#This Row],[Date Check]]="Invalid Date", 1, 0)</f>
        <v>0</v>
      </c>
      <c r="Z448" s="5">
        <f>IF(po_master[[#This Row],[Qty Variance Flag]]="Qty Variance", 1, 0)</f>
        <v>0</v>
      </c>
      <c r="AA448" s="5">
        <f>IF(po_master[[#This Row],[Price Variance Flag]]="Price Variance", 1, 0)</f>
        <v>0</v>
      </c>
      <c r="AB448" s="5">
        <f>IF(po_master[[#This Row],[Late Delivery Flag]]="Late Delivery", 1, 0)</f>
        <v>0</v>
      </c>
      <c r="AC448" s="5">
        <f>IF(po_master[[#This Row],[Duplicate Invoice Flag]]="Duplicate Invoice", 1, 0)</f>
        <v>0</v>
      </c>
      <c r="AD448" s="5" t="str">
        <f>TEXT(po_master[[#This Row],[Order Date]],"YYYY-MM")</f>
        <v>2026-03</v>
      </c>
    </row>
    <row r="449" spans="1:30" x14ac:dyDescent="0.25">
      <c r="A449" t="s">
        <v>399</v>
      </c>
      <c r="B449" t="s">
        <v>1502</v>
      </c>
      <c r="C449" s="1">
        <v>46070</v>
      </c>
      <c r="D449">
        <v>396</v>
      </c>
      <c r="E449">
        <v>109.9</v>
      </c>
      <c r="F449" t="s">
        <v>1440</v>
      </c>
      <c r="G449" s="1">
        <v>46082</v>
      </c>
      <c r="H449">
        <v>396</v>
      </c>
      <c r="I449" s="1">
        <v>46081</v>
      </c>
      <c r="J449" t="s">
        <v>1141</v>
      </c>
      <c r="K449">
        <v>396</v>
      </c>
      <c r="L449">
        <v>109.9</v>
      </c>
      <c r="M449" s="1">
        <v>46084</v>
      </c>
      <c r="N449" t="str">
        <f>IF(po_master[[#This Row],[Approved By]]="", "Missing Approval", "OK")</f>
        <v>OK</v>
      </c>
      <c r="O449" t="str">
        <f>IF(ISBLANK(po_master[[#This Row],[GR Quantity]]), "No GR - Not received", "OK")</f>
        <v>OK</v>
      </c>
      <c r="P449" t="str">
        <f>IF(po_master[[#This Row],[Promised Delivey Date]]&lt;po_master[[#This Row],[Order Date]], "Invalid", "OK")</f>
        <v>OK</v>
      </c>
      <c r="Q449" t="str">
        <f>IF(ISBLANK(po_master[[#This Row],[Invoice Number]]), "No Invoice", "OK")</f>
        <v>OK</v>
      </c>
      <c r="R449" t="str">
        <f>IF(AND(NOT(ISBLANK(po_master[[#This Row],[GR Quantity]])), po_master[[#This Row],[GR Quantity]]&lt;&gt;po_master[[#This Row],[PO Quantity]]), "Qty Variance", "OK")</f>
        <v>OK</v>
      </c>
      <c r="S449" t="str">
        <f>IF(po_master[[#This Row],[Invoice Unit Price]]&gt;po_master[[#This Row],[PO Unit Price]]*1.01, "Price Variance", "OK")</f>
        <v>OK</v>
      </c>
      <c r="T449" t="str">
        <f>IF(po_master[[#This Row],[Actual Delivery Date]]&gt;po_master[[#This Row],[Promised Delivey Date]], "Late Delivery", "OK")</f>
        <v>OK</v>
      </c>
      <c r="U449" t="str">
        <f>IF(COUNTIF(po_master[PO Number],po_master[[#This Row],[PO Number]])&gt;1, "Duplicate Invoice", "OK")</f>
        <v>OK</v>
      </c>
      <c r="V449" s="5">
        <f>IF(po_master[[#This Row],[Missing Approval]]="Missing Approval", 1, 0)</f>
        <v>0</v>
      </c>
      <c r="W449" s="5">
        <f>IF(po_master[[#This Row],[GR Receipt Status]]="No GR - Not Received", 1, 0)</f>
        <v>0</v>
      </c>
      <c r="X449" s="5">
        <f>IF(po_master[[#This Row],[No invoice]]="No Invoice", 1, 0)</f>
        <v>0</v>
      </c>
      <c r="Y449" s="5">
        <f>IF(po_master[[#This Row],[Date Check]]="Invalid Date", 1, 0)</f>
        <v>0</v>
      </c>
      <c r="Z449" s="5">
        <f>IF(po_master[[#This Row],[Qty Variance Flag]]="Qty Variance", 1, 0)</f>
        <v>0</v>
      </c>
      <c r="AA449" s="5">
        <f>IF(po_master[[#This Row],[Price Variance Flag]]="Price Variance", 1, 0)</f>
        <v>0</v>
      </c>
      <c r="AB449" s="5">
        <f>IF(po_master[[#This Row],[Late Delivery Flag]]="Late Delivery", 1, 0)</f>
        <v>0</v>
      </c>
      <c r="AC449" s="5">
        <f>IF(po_master[[#This Row],[Duplicate Invoice Flag]]="Duplicate Invoice", 1, 0)</f>
        <v>0</v>
      </c>
      <c r="AD449" s="5" t="str">
        <f>TEXT(po_master[[#This Row],[Order Date]],"YYYY-MM")</f>
        <v>2026-02</v>
      </c>
    </row>
    <row r="450" spans="1:30" x14ac:dyDescent="0.25">
      <c r="A450" t="s">
        <v>400</v>
      </c>
      <c r="B450" t="s">
        <v>1512</v>
      </c>
      <c r="C450" s="1">
        <v>46059</v>
      </c>
      <c r="D450">
        <v>422</v>
      </c>
      <c r="E450">
        <v>95.29</v>
      </c>
      <c r="F450" t="s">
        <v>1459</v>
      </c>
      <c r="G450" s="1">
        <v>46077</v>
      </c>
      <c r="H450">
        <v>402</v>
      </c>
      <c r="I450" s="1">
        <v>46078</v>
      </c>
      <c r="J450" t="s">
        <v>1142</v>
      </c>
      <c r="K450">
        <v>422</v>
      </c>
      <c r="L450">
        <v>95.29</v>
      </c>
      <c r="M450" s="1">
        <v>46084</v>
      </c>
      <c r="N450" t="str">
        <f>IF(po_master[[#This Row],[Approved By]]="", "Missing Approval", "OK")</f>
        <v>Missing Approval</v>
      </c>
      <c r="O450" t="str">
        <f>IF(ISBLANK(po_master[[#This Row],[GR Quantity]]), "No GR - Not received", "OK")</f>
        <v>OK</v>
      </c>
      <c r="P450" t="str">
        <f>IF(po_master[[#This Row],[Promised Delivey Date]]&lt;po_master[[#This Row],[Order Date]], "Invalid", "OK")</f>
        <v>OK</v>
      </c>
      <c r="Q450" t="str">
        <f>IF(ISBLANK(po_master[[#This Row],[Invoice Number]]), "No Invoice", "OK")</f>
        <v>OK</v>
      </c>
      <c r="R450" t="str">
        <f>IF(AND(NOT(ISBLANK(po_master[[#This Row],[GR Quantity]])), po_master[[#This Row],[GR Quantity]]&lt;&gt;po_master[[#This Row],[PO Quantity]]), "Qty Variance", "OK")</f>
        <v>Qty Variance</v>
      </c>
      <c r="S450" t="str">
        <f>IF(po_master[[#This Row],[Invoice Unit Price]]&gt;po_master[[#This Row],[PO Unit Price]]*1.01, "Price Variance", "OK")</f>
        <v>OK</v>
      </c>
      <c r="T450" t="str">
        <f>IF(po_master[[#This Row],[Actual Delivery Date]]&gt;po_master[[#This Row],[Promised Delivey Date]], "Late Delivery", "OK")</f>
        <v>Late Delivery</v>
      </c>
      <c r="U450" t="str">
        <f>IF(COUNTIF(po_master[PO Number],po_master[[#This Row],[PO Number]])&gt;1, "Duplicate Invoice", "OK")</f>
        <v>OK</v>
      </c>
      <c r="V450" s="5">
        <f>IF(po_master[[#This Row],[Missing Approval]]="Missing Approval", 1, 0)</f>
        <v>1</v>
      </c>
      <c r="W450" s="5">
        <f>IF(po_master[[#This Row],[GR Receipt Status]]="No GR - Not Received", 1, 0)</f>
        <v>0</v>
      </c>
      <c r="X450" s="5">
        <f>IF(po_master[[#This Row],[No invoice]]="No Invoice", 1, 0)</f>
        <v>0</v>
      </c>
      <c r="Y450" s="5">
        <f>IF(po_master[[#This Row],[Date Check]]="Invalid Date", 1, 0)</f>
        <v>0</v>
      </c>
      <c r="Z450" s="5">
        <f>IF(po_master[[#This Row],[Qty Variance Flag]]="Qty Variance", 1, 0)</f>
        <v>1</v>
      </c>
      <c r="AA450" s="5">
        <f>IF(po_master[[#This Row],[Price Variance Flag]]="Price Variance", 1, 0)</f>
        <v>0</v>
      </c>
      <c r="AB450" s="5">
        <f>IF(po_master[[#This Row],[Late Delivery Flag]]="Late Delivery", 1, 0)</f>
        <v>1</v>
      </c>
      <c r="AC450" s="5">
        <f>IF(po_master[[#This Row],[Duplicate Invoice Flag]]="Duplicate Invoice", 1, 0)</f>
        <v>0</v>
      </c>
      <c r="AD450" s="5" t="str">
        <f>TEXT(po_master[[#This Row],[Order Date]],"YYYY-MM")</f>
        <v>2026-02</v>
      </c>
    </row>
    <row r="451" spans="1:30" x14ac:dyDescent="0.25">
      <c r="A451" t="s">
        <v>401</v>
      </c>
      <c r="B451" t="s">
        <v>1463</v>
      </c>
      <c r="C451" s="1">
        <v>46107</v>
      </c>
      <c r="D451">
        <v>341</v>
      </c>
      <c r="E451">
        <v>20.420000000000002</v>
      </c>
      <c r="F451" t="s">
        <v>1469</v>
      </c>
      <c r="G451" s="1">
        <v>46123</v>
      </c>
      <c r="H451">
        <v>338</v>
      </c>
      <c r="I451" s="1">
        <v>46125</v>
      </c>
      <c r="J451" t="s">
        <v>1145</v>
      </c>
      <c r="K451">
        <v>341</v>
      </c>
      <c r="L451">
        <v>20.420000000000002</v>
      </c>
      <c r="M451" s="1">
        <v>46126</v>
      </c>
      <c r="N451" t="str">
        <f>IF(po_master[[#This Row],[Approved By]]="", "Missing Approval", "OK")</f>
        <v>OK</v>
      </c>
      <c r="O451" t="str">
        <f>IF(ISBLANK(po_master[[#This Row],[GR Quantity]]), "No GR - Not received", "OK")</f>
        <v>OK</v>
      </c>
      <c r="P451" t="str">
        <f>IF(po_master[[#This Row],[Promised Delivey Date]]&lt;po_master[[#This Row],[Order Date]], "Invalid", "OK")</f>
        <v>OK</v>
      </c>
      <c r="Q451" t="str">
        <f>IF(ISBLANK(po_master[[#This Row],[Invoice Number]]), "No Invoice", "OK")</f>
        <v>OK</v>
      </c>
      <c r="R451" t="str">
        <f>IF(AND(NOT(ISBLANK(po_master[[#This Row],[GR Quantity]])), po_master[[#This Row],[GR Quantity]]&lt;&gt;po_master[[#This Row],[PO Quantity]]), "Qty Variance", "OK")</f>
        <v>Qty Variance</v>
      </c>
      <c r="S451" t="str">
        <f>IF(po_master[[#This Row],[Invoice Unit Price]]&gt;po_master[[#This Row],[PO Unit Price]]*1.01, "Price Variance", "OK")</f>
        <v>OK</v>
      </c>
      <c r="T451" t="str">
        <f>IF(po_master[[#This Row],[Actual Delivery Date]]&gt;po_master[[#This Row],[Promised Delivey Date]], "Late Delivery", "OK")</f>
        <v>Late Delivery</v>
      </c>
      <c r="U451" t="str">
        <f>IF(COUNTIF(po_master[PO Number],po_master[[#This Row],[PO Number]])&gt;1, "Duplicate Invoice", "OK")</f>
        <v>OK</v>
      </c>
      <c r="V451" s="5">
        <f>IF(po_master[[#This Row],[Missing Approval]]="Missing Approval", 1, 0)</f>
        <v>0</v>
      </c>
      <c r="W451" s="5">
        <f>IF(po_master[[#This Row],[GR Receipt Status]]="No GR - Not Received", 1, 0)</f>
        <v>0</v>
      </c>
      <c r="X451" s="5">
        <f>IF(po_master[[#This Row],[No invoice]]="No Invoice", 1, 0)</f>
        <v>0</v>
      </c>
      <c r="Y451" s="5">
        <f>IF(po_master[[#This Row],[Date Check]]="Invalid Date", 1, 0)</f>
        <v>0</v>
      </c>
      <c r="Z451" s="5">
        <f>IF(po_master[[#This Row],[Qty Variance Flag]]="Qty Variance", 1, 0)</f>
        <v>1</v>
      </c>
      <c r="AA451" s="5">
        <f>IF(po_master[[#This Row],[Price Variance Flag]]="Price Variance", 1, 0)</f>
        <v>0</v>
      </c>
      <c r="AB451" s="5">
        <f>IF(po_master[[#This Row],[Late Delivery Flag]]="Late Delivery", 1, 0)</f>
        <v>1</v>
      </c>
      <c r="AC451" s="5">
        <f>IF(po_master[[#This Row],[Duplicate Invoice Flag]]="Duplicate Invoice", 1, 0)</f>
        <v>0</v>
      </c>
      <c r="AD451" s="5" t="str">
        <f>TEXT(po_master[[#This Row],[Order Date]],"YYYY-MM")</f>
        <v>2026-03</v>
      </c>
    </row>
    <row r="452" spans="1:30" x14ac:dyDescent="0.25">
      <c r="A452" t="s">
        <v>1122</v>
      </c>
      <c r="B452" t="s">
        <v>1449</v>
      </c>
      <c r="C452" s="1">
        <v>46039</v>
      </c>
      <c r="D452">
        <v>287</v>
      </c>
      <c r="E452">
        <v>198.85</v>
      </c>
      <c r="F452" t="s">
        <v>1476</v>
      </c>
      <c r="G452" s="1">
        <v>46059</v>
      </c>
      <c r="I452" s="1"/>
      <c r="J452" t="s">
        <v>1123</v>
      </c>
      <c r="K452">
        <v>287</v>
      </c>
      <c r="L452">
        <v>198.85</v>
      </c>
      <c r="M452" s="1">
        <v>46064</v>
      </c>
      <c r="N452" t="str">
        <f>IF(po_master[[#This Row],[Approved By]]="", "Missing Approval", "OK")</f>
        <v>OK</v>
      </c>
      <c r="O452" t="str">
        <f>IF(ISBLANK(po_master[[#This Row],[GR Quantity]]), "No GR - Not received", "OK")</f>
        <v>No GR - Not received</v>
      </c>
      <c r="P452" t="str">
        <f>IF(po_master[[#This Row],[Promised Delivey Date]]&lt;po_master[[#This Row],[Order Date]], "Invalid", "OK")</f>
        <v>OK</v>
      </c>
      <c r="Q452" t="str">
        <f>IF(ISBLANK(po_master[[#This Row],[Invoice Number]]), "No Invoice", "OK")</f>
        <v>OK</v>
      </c>
      <c r="R452" t="str">
        <f>IF(AND(NOT(ISBLANK(po_master[[#This Row],[GR Quantity]])), po_master[[#This Row],[GR Quantity]]&lt;&gt;po_master[[#This Row],[PO Quantity]]), "Qty Variance", "OK")</f>
        <v>OK</v>
      </c>
      <c r="S452" t="str">
        <f>IF(po_master[[#This Row],[Invoice Unit Price]]&gt;po_master[[#This Row],[PO Unit Price]]*1.01, "Price Variance", "OK")</f>
        <v>OK</v>
      </c>
      <c r="T452" t="str">
        <f>IF(po_master[[#This Row],[Actual Delivery Date]]&gt;po_master[[#This Row],[Promised Delivey Date]], "Late Delivery", "OK")</f>
        <v>OK</v>
      </c>
      <c r="U452" t="str">
        <f>IF(COUNTIF(po_master[PO Number],po_master[[#This Row],[PO Number]])&gt;1, "Duplicate Invoice", "OK")</f>
        <v>OK</v>
      </c>
      <c r="V452" s="5">
        <f>IF(po_master[[#This Row],[Missing Approval]]="Missing Approval", 1, 0)</f>
        <v>0</v>
      </c>
      <c r="W452" s="5">
        <f>IF(po_master[[#This Row],[GR Receipt Status]]="No GR - Not Received", 1, 0)</f>
        <v>1</v>
      </c>
      <c r="X452" s="5">
        <f>IF(po_master[[#This Row],[No invoice]]="No Invoice", 1, 0)</f>
        <v>0</v>
      </c>
      <c r="Y452" s="5">
        <f>IF(po_master[[#This Row],[Date Check]]="Invalid Date", 1, 0)</f>
        <v>0</v>
      </c>
      <c r="Z452" s="5">
        <f>IF(po_master[[#This Row],[Qty Variance Flag]]="Qty Variance", 1, 0)</f>
        <v>0</v>
      </c>
      <c r="AA452" s="5">
        <f>IF(po_master[[#This Row],[Price Variance Flag]]="Price Variance", 1, 0)</f>
        <v>0</v>
      </c>
      <c r="AB452" s="5">
        <f>IF(po_master[[#This Row],[Late Delivery Flag]]="Late Delivery", 1, 0)</f>
        <v>0</v>
      </c>
      <c r="AC452" s="5">
        <f>IF(po_master[[#This Row],[Duplicate Invoice Flag]]="Duplicate Invoice", 1, 0)</f>
        <v>0</v>
      </c>
      <c r="AD452" s="5" t="str">
        <f>TEXT(po_master[[#This Row],[Order Date]],"YYYY-MM")</f>
        <v>2026-01</v>
      </c>
    </row>
    <row r="453" spans="1:30" x14ac:dyDescent="0.25">
      <c r="A453" t="s">
        <v>402</v>
      </c>
      <c r="B453" t="s">
        <v>1457</v>
      </c>
      <c r="C453" s="1">
        <v>46160</v>
      </c>
      <c r="D453">
        <v>380</v>
      </c>
      <c r="E453">
        <v>166.73</v>
      </c>
      <c r="F453" t="s">
        <v>1462</v>
      </c>
      <c r="G453" s="1">
        <v>46173</v>
      </c>
      <c r="H453">
        <v>380</v>
      </c>
      <c r="I453" s="1">
        <v>46174</v>
      </c>
      <c r="J453" t="s">
        <v>1146</v>
      </c>
      <c r="K453">
        <v>380</v>
      </c>
      <c r="L453">
        <v>166.73</v>
      </c>
      <c r="M453" s="1">
        <v>46174</v>
      </c>
      <c r="N453" t="str">
        <f>IF(po_master[[#This Row],[Approved By]]="", "Missing Approval", "OK")</f>
        <v>OK</v>
      </c>
      <c r="O453" t="str">
        <f>IF(ISBLANK(po_master[[#This Row],[GR Quantity]]), "No GR - Not received", "OK")</f>
        <v>OK</v>
      </c>
      <c r="P453" t="str">
        <f>IF(po_master[[#This Row],[Promised Delivey Date]]&lt;po_master[[#This Row],[Order Date]], "Invalid", "OK")</f>
        <v>OK</v>
      </c>
      <c r="Q453" t="str">
        <f>IF(ISBLANK(po_master[[#This Row],[Invoice Number]]), "No Invoice", "OK")</f>
        <v>OK</v>
      </c>
      <c r="R453" t="str">
        <f>IF(AND(NOT(ISBLANK(po_master[[#This Row],[GR Quantity]])), po_master[[#This Row],[GR Quantity]]&lt;&gt;po_master[[#This Row],[PO Quantity]]), "Qty Variance", "OK")</f>
        <v>OK</v>
      </c>
      <c r="S453" t="str">
        <f>IF(po_master[[#This Row],[Invoice Unit Price]]&gt;po_master[[#This Row],[PO Unit Price]]*1.01, "Price Variance", "OK")</f>
        <v>OK</v>
      </c>
      <c r="T453" t="str">
        <f>IF(po_master[[#This Row],[Actual Delivery Date]]&gt;po_master[[#This Row],[Promised Delivey Date]], "Late Delivery", "OK")</f>
        <v>Late Delivery</v>
      </c>
      <c r="U453" t="str">
        <f>IF(COUNTIF(po_master[PO Number],po_master[[#This Row],[PO Number]])&gt;1, "Duplicate Invoice", "OK")</f>
        <v>OK</v>
      </c>
      <c r="V453" s="5">
        <f>IF(po_master[[#This Row],[Missing Approval]]="Missing Approval", 1, 0)</f>
        <v>0</v>
      </c>
      <c r="W453" s="5">
        <f>IF(po_master[[#This Row],[GR Receipt Status]]="No GR - Not Received", 1, 0)</f>
        <v>0</v>
      </c>
      <c r="X453" s="5">
        <f>IF(po_master[[#This Row],[No invoice]]="No Invoice", 1, 0)</f>
        <v>0</v>
      </c>
      <c r="Y453" s="5">
        <f>IF(po_master[[#This Row],[Date Check]]="Invalid Date", 1, 0)</f>
        <v>0</v>
      </c>
      <c r="Z453" s="5">
        <f>IF(po_master[[#This Row],[Qty Variance Flag]]="Qty Variance", 1, 0)</f>
        <v>0</v>
      </c>
      <c r="AA453" s="5">
        <f>IF(po_master[[#This Row],[Price Variance Flag]]="Price Variance", 1, 0)</f>
        <v>0</v>
      </c>
      <c r="AB453" s="5">
        <f>IF(po_master[[#This Row],[Late Delivery Flag]]="Late Delivery", 1, 0)</f>
        <v>1</v>
      </c>
      <c r="AC453" s="5">
        <f>IF(po_master[[#This Row],[Duplicate Invoice Flag]]="Duplicate Invoice", 1, 0)</f>
        <v>0</v>
      </c>
      <c r="AD453" s="5" t="str">
        <f>TEXT(po_master[[#This Row],[Order Date]],"YYYY-MM")</f>
        <v>2026-05</v>
      </c>
    </row>
    <row r="454" spans="1:30" x14ac:dyDescent="0.25">
      <c r="A454" t="s">
        <v>403</v>
      </c>
      <c r="B454" t="s">
        <v>1502</v>
      </c>
      <c r="C454" s="1">
        <v>46033</v>
      </c>
      <c r="D454">
        <v>457</v>
      </c>
      <c r="E454">
        <v>19.190000000000001</v>
      </c>
      <c r="F454" t="s">
        <v>1456</v>
      </c>
      <c r="G454" s="1">
        <v>46044</v>
      </c>
      <c r="H454">
        <v>457</v>
      </c>
      <c r="I454" s="1">
        <v>46046</v>
      </c>
      <c r="J454" t="s">
        <v>1147</v>
      </c>
      <c r="K454">
        <v>457</v>
      </c>
      <c r="L454">
        <v>19.190000000000001</v>
      </c>
      <c r="M454" s="1">
        <v>46046</v>
      </c>
      <c r="N454" t="str">
        <f>IF(po_master[[#This Row],[Approved By]]="", "Missing Approval", "OK")</f>
        <v>OK</v>
      </c>
      <c r="O454" t="str">
        <f>IF(ISBLANK(po_master[[#This Row],[GR Quantity]]), "No GR - Not received", "OK")</f>
        <v>OK</v>
      </c>
      <c r="P454" t="str">
        <f>IF(po_master[[#This Row],[Promised Delivey Date]]&lt;po_master[[#This Row],[Order Date]], "Invalid", "OK")</f>
        <v>OK</v>
      </c>
      <c r="Q454" t="str">
        <f>IF(ISBLANK(po_master[[#This Row],[Invoice Number]]), "No Invoice", "OK")</f>
        <v>OK</v>
      </c>
      <c r="R454" t="str">
        <f>IF(AND(NOT(ISBLANK(po_master[[#This Row],[GR Quantity]])), po_master[[#This Row],[GR Quantity]]&lt;&gt;po_master[[#This Row],[PO Quantity]]), "Qty Variance", "OK")</f>
        <v>OK</v>
      </c>
      <c r="S454" t="str">
        <f>IF(po_master[[#This Row],[Invoice Unit Price]]&gt;po_master[[#This Row],[PO Unit Price]]*1.01, "Price Variance", "OK")</f>
        <v>OK</v>
      </c>
      <c r="T454" t="str">
        <f>IF(po_master[[#This Row],[Actual Delivery Date]]&gt;po_master[[#This Row],[Promised Delivey Date]], "Late Delivery", "OK")</f>
        <v>Late Delivery</v>
      </c>
      <c r="U454" t="str">
        <f>IF(COUNTIF(po_master[PO Number],po_master[[#This Row],[PO Number]])&gt;1, "Duplicate Invoice", "OK")</f>
        <v>OK</v>
      </c>
      <c r="V454" s="5">
        <f>IF(po_master[[#This Row],[Missing Approval]]="Missing Approval", 1, 0)</f>
        <v>0</v>
      </c>
      <c r="W454" s="5">
        <f>IF(po_master[[#This Row],[GR Receipt Status]]="No GR - Not Received", 1, 0)</f>
        <v>0</v>
      </c>
      <c r="X454" s="5">
        <f>IF(po_master[[#This Row],[No invoice]]="No Invoice", 1, 0)</f>
        <v>0</v>
      </c>
      <c r="Y454" s="5">
        <f>IF(po_master[[#This Row],[Date Check]]="Invalid Date", 1, 0)</f>
        <v>0</v>
      </c>
      <c r="Z454" s="5">
        <f>IF(po_master[[#This Row],[Qty Variance Flag]]="Qty Variance", 1, 0)</f>
        <v>0</v>
      </c>
      <c r="AA454" s="5">
        <f>IF(po_master[[#This Row],[Price Variance Flag]]="Price Variance", 1, 0)</f>
        <v>0</v>
      </c>
      <c r="AB454" s="5">
        <f>IF(po_master[[#This Row],[Late Delivery Flag]]="Late Delivery", 1, 0)</f>
        <v>1</v>
      </c>
      <c r="AC454" s="5">
        <f>IF(po_master[[#This Row],[Duplicate Invoice Flag]]="Duplicate Invoice", 1, 0)</f>
        <v>0</v>
      </c>
      <c r="AD454" s="5" t="str">
        <f>TEXT(po_master[[#This Row],[Order Date]],"YYYY-MM")</f>
        <v>2026-01</v>
      </c>
    </row>
    <row r="455" spans="1:30" x14ac:dyDescent="0.25">
      <c r="A455" t="s">
        <v>404</v>
      </c>
      <c r="B455" t="s">
        <v>1510</v>
      </c>
      <c r="C455" s="1">
        <v>46076</v>
      </c>
      <c r="D455">
        <v>455</v>
      </c>
      <c r="E455">
        <v>181.87</v>
      </c>
      <c r="F455" t="s">
        <v>1459</v>
      </c>
      <c r="G455" s="1">
        <v>46081</v>
      </c>
      <c r="H455">
        <v>455</v>
      </c>
      <c r="I455" s="1">
        <v>46079</v>
      </c>
      <c r="J455" t="s">
        <v>1148</v>
      </c>
      <c r="K455">
        <v>455</v>
      </c>
      <c r="L455">
        <v>181.87</v>
      </c>
      <c r="M455" s="1">
        <v>46091</v>
      </c>
      <c r="N455" t="str">
        <f>IF(po_master[[#This Row],[Approved By]]="", "Missing Approval", "OK")</f>
        <v>Missing Approval</v>
      </c>
      <c r="O455" t="str">
        <f>IF(ISBLANK(po_master[[#This Row],[GR Quantity]]), "No GR - Not received", "OK")</f>
        <v>OK</v>
      </c>
      <c r="P455" t="str">
        <f>IF(po_master[[#This Row],[Promised Delivey Date]]&lt;po_master[[#This Row],[Order Date]], "Invalid", "OK")</f>
        <v>OK</v>
      </c>
      <c r="Q455" t="str">
        <f>IF(ISBLANK(po_master[[#This Row],[Invoice Number]]), "No Invoice", "OK")</f>
        <v>OK</v>
      </c>
      <c r="R455" t="str">
        <f>IF(AND(NOT(ISBLANK(po_master[[#This Row],[GR Quantity]])), po_master[[#This Row],[GR Quantity]]&lt;&gt;po_master[[#This Row],[PO Quantity]]), "Qty Variance", "OK")</f>
        <v>OK</v>
      </c>
      <c r="S455" t="str">
        <f>IF(po_master[[#This Row],[Invoice Unit Price]]&gt;po_master[[#This Row],[PO Unit Price]]*1.01, "Price Variance", "OK")</f>
        <v>OK</v>
      </c>
      <c r="T455" t="str">
        <f>IF(po_master[[#This Row],[Actual Delivery Date]]&gt;po_master[[#This Row],[Promised Delivey Date]], "Late Delivery", "OK")</f>
        <v>OK</v>
      </c>
      <c r="U455" t="str">
        <f>IF(COUNTIF(po_master[PO Number],po_master[[#This Row],[PO Number]])&gt;1, "Duplicate Invoice", "OK")</f>
        <v>OK</v>
      </c>
      <c r="V455" s="5">
        <f>IF(po_master[[#This Row],[Missing Approval]]="Missing Approval", 1, 0)</f>
        <v>1</v>
      </c>
      <c r="W455" s="5">
        <f>IF(po_master[[#This Row],[GR Receipt Status]]="No GR - Not Received", 1, 0)</f>
        <v>0</v>
      </c>
      <c r="X455" s="5">
        <f>IF(po_master[[#This Row],[No invoice]]="No Invoice", 1, 0)</f>
        <v>0</v>
      </c>
      <c r="Y455" s="5">
        <f>IF(po_master[[#This Row],[Date Check]]="Invalid Date", 1, 0)</f>
        <v>0</v>
      </c>
      <c r="Z455" s="5">
        <f>IF(po_master[[#This Row],[Qty Variance Flag]]="Qty Variance", 1, 0)</f>
        <v>0</v>
      </c>
      <c r="AA455" s="5">
        <f>IF(po_master[[#This Row],[Price Variance Flag]]="Price Variance", 1, 0)</f>
        <v>0</v>
      </c>
      <c r="AB455" s="5">
        <f>IF(po_master[[#This Row],[Late Delivery Flag]]="Late Delivery", 1, 0)</f>
        <v>0</v>
      </c>
      <c r="AC455" s="5">
        <f>IF(po_master[[#This Row],[Duplicate Invoice Flag]]="Duplicate Invoice", 1, 0)</f>
        <v>0</v>
      </c>
      <c r="AD455" s="5" t="str">
        <f>TEXT(po_master[[#This Row],[Order Date]],"YYYY-MM")</f>
        <v>2026-02</v>
      </c>
    </row>
    <row r="456" spans="1:30" x14ac:dyDescent="0.25">
      <c r="A456" t="s">
        <v>1126</v>
      </c>
      <c r="B456" t="s">
        <v>1457</v>
      </c>
      <c r="C456" s="1">
        <v>46161</v>
      </c>
      <c r="D456">
        <v>78</v>
      </c>
      <c r="E456">
        <v>132.44</v>
      </c>
      <c r="F456" t="s">
        <v>1451</v>
      </c>
      <c r="G456" s="1">
        <v>46169</v>
      </c>
      <c r="I456" s="1"/>
      <c r="J456" t="s">
        <v>1127</v>
      </c>
      <c r="K456">
        <v>78</v>
      </c>
      <c r="L456">
        <v>132.44</v>
      </c>
      <c r="M456" s="1">
        <v>46175</v>
      </c>
      <c r="N456" t="str">
        <f>IF(po_master[[#This Row],[Approved By]]="", "Missing Approval", "OK")</f>
        <v>OK</v>
      </c>
      <c r="O456" t="str">
        <f>IF(ISBLANK(po_master[[#This Row],[GR Quantity]]), "No GR - Not received", "OK")</f>
        <v>No GR - Not received</v>
      </c>
      <c r="P456" t="str">
        <f>IF(po_master[[#This Row],[Promised Delivey Date]]&lt;po_master[[#This Row],[Order Date]], "Invalid", "OK")</f>
        <v>OK</v>
      </c>
      <c r="Q456" t="str">
        <f>IF(ISBLANK(po_master[[#This Row],[Invoice Number]]), "No Invoice", "OK")</f>
        <v>OK</v>
      </c>
      <c r="R456" t="str">
        <f>IF(AND(NOT(ISBLANK(po_master[[#This Row],[GR Quantity]])), po_master[[#This Row],[GR Quantity]]&lt;&gt;po_master[[#This Row],[PO Quantity]]), "Qty Variance", "OK")</f>
        <v>OK</v>
      </c>
      <c r="S456" t="str">
        <f>IF(po_master[[#This Row],[Invoice Unit Price]]&gt;po_master[[#This Row],[PO Unit Price]]*1.01, "Price Variance", "OK")</f>
        <v>OK</v>
      </c>
      <c r="T456" t="str">
        <f>IF(po_master[[#This Row],[Actual Delivery Date]]&gt;po_master[[#This Row],[Promised Delivey Date]], "Late Delivery", "OK")</f>
        <v>OK</v>
      </c>
      <c r="U456" t="str">
        <f>IF(COUNTIF(po_master[PO Number],po_master[[#This Row],[PO Number]])&gt;1, "Duplicate Invoice", "OK")</f>
        <v>OK</v>
      </c>
      <c r="V456" s="5">
        <f>IF(po_master[[#This Row],[Missing Approval]]="Missing Approval", 1, 0)</f>
        <v>0</v>
      </c>
      <c r="W456" s="5">
        <f>IF(po_master[[#This Row],[GR Receipt Status]]="No GR - Not Received", 1, 0)</f>
        <v>1</v>
      </c>
      <c r="X456" s="5">
        <f>IF(po_master[[#This Row],[No invoice]]="No Invoice", 1, 0)</f>
        <v>0</v>
      </c>
      <c r="Y456" s="5">
        <f>IF(po_master[[#This Row],[Date Check]]="Invalid Date", 1, 0)</f>
        <v>0</v>
      </c>
      <c r="Z456" s="5">
        <f>IF(po_master[[#This Row],[Qty Variance Flag]]="Qty Variance", 1, 0)</f>
        <v>0</v>
      </c>
      <c r="AA456" s="5">
        <f>IF(po_master[[#This Row],[Price Variance Flag]]="Price Variance", 1, 0)</f>
        <v>0</v>
      </c>
      <c r="AB456" s="5">
        <f>IF(po_master[[#This Row],[Late Delivery Flag]]="Late Delivery", 1, 0)</f>
        <v>0</v>
      </c>
      <c r="AC456" s="5">
        <f>IF(po_master[[#This Row],[Duplicate Invoice Flag]]="Duplicate Invoice", 1, 0)</f>
        <v>0</v>
      </c>
      <c r="AD456" s="5" t="str">
        <f>TEXT(po_master[[#This Row],[Order Date]],"YYYY-MM")</f>
        <v>2026-05</v>
      </c>
    </row>
    <row r="457" spans="1:30" x14ac:dyDescent="0.25">
      <c r="A457" t="s">
        <v>405</v>
      </c>
      <c r="B457" t="s">
        <v>1463</v>
      </c>
      <c r="C457" s="1">
        <v>46071</v>
      </c>
      <c r="D457">
        <v>389</v>
      </c>
      <c r="E457">
        <v>27.88</v>
      </c>
      <c r="F457" t="s">
        <v>1456</v>
      </c>
      <c r="G457" s="1">
        <v>46091</v>
      </c>
      <c r="H457">
        <v>389</v>
      </c>
      <c r="I457" s="1">
        <v>46089</v>
      </c>
      <c r="J457" t="s">
        <v>1149</v>
      </c>
      <c r="K457">
        <v>389</v>
      </c>
      <c r="L457">
        <v>27.88</v>
      </c>
      <c r="M457" s="1">
        <v>46094</v>
      </c>
      <c r="N457" t="str">
        <f>IF(po_master[[#This Row],[Approved By]]="", "Missing Approval", "OK")</f>
        <v>OK</v>
      </c>
      <c r="O457" t="str">
        <f>IF(ISBLANK(po_master[[#This Row],[GR Quantity]]), "No GR - Not received", "OK")</f>
        <v>OK</v>
      </c>
      <c r="P457" t="str">
        <f>IF(po_master[[#This Row],[Promised Delivey Date]]&lt;po_master[[#This Row],[Order Date]], "Invalid", "OK")</f>
        <v>OK</v>
      </c>
      <c r="Q457" t="str">
        <f>IF(ISBLANK(po_master[[#This Row],[Invoice Number]]), "No Invoice", "OK")</f>
        <v>OK</v>
      </c>
      <c r="R457" t="str">
        <f>IF(AND(NOT(ISBLANK(po_master[[#This Row],[GR Quantity]])), po_master[[#This Row],[GR Quantity]]&lt;&gt;po_master[[#This Row],[PO Quantity]]), "Qty Variance", "OK")</f>
        <v>OK</v>
      </c>
      <c r="S457" t="str">
        <f>IF(po_master[[#This Row],[Invoice Unit Price]]&gt;po_master[[#This Row],[PO Unit Price]]*1.01, "Price Variance", "OK")</f>
        <v>OK</v>
      </c>
      <c r="T457" t="str">
        <f>IF(po_master[[#This Row],[Actual Delivery Date]]&gt;po_master[[#This Row],[Promised Delivey Date]], "Late Delivery", "OK")</f>
        <v>OK</v>
      </c>
      <c r="U457" t="str">
        <f>IF(COUNTIF(po_master[PO Number],po_master[[#This Row],[PO Number]])&gt;1, "Duplicate Invoice", "OK")</f>
        <v>OK</v>
      </c>
      <c r="V457" s="5">
        <f>IF(po_master[[#This Row],[Missing Approval]]="Missing Approval", 1, 0)</f>
        <v>0</v>
      </c>
      <c r="W457" s="5">
        <f>IF(po_master[[#This Row],[GR Receipt Status]]="No GR - Not Received", 1, 0)</f>
        <v>0</v>
      </c>
      <c r="X457" s="5">
        <f>IF(po_master[[#This Row],[No invoice]]="No Invoice", 1, 0)</f>
        <v>0</v>
      </c>
      <c r="Y457" s="5">
        <f>IF(po_master[[#This Row],[Date Check]]="Invalid Date", 1, 0)</f>
        <v>0</v>
      </c>
      <c r="Z457" s="5">
        <f>IF(po_master[[#This Row],[Qty Variance Flag]]="Qty Variance", 1, 0)</f>
        <v>0</v>
      </c>
      <c r="AA457" s="5">
        <f>IF(po_master[[#This Row],[Price Variance Flag]]="Price Variance", 1, 0)</f>
        <v>0</v>
      </c>
      <c r="AB457" s="5">
        <f>IF(po_master[[#This Row],[Late Delivery Flag]]="Late Delivery", 1, 0)</f>
        <v>0</v>
      </c>
      <c r="AC457" s="5">
        <f>IF(po_master[[#This Row],[Duplicate Invoice Flag]]="Duplicate Invoice", 1, 0)</f>
        <v>0</v>
      </c>
      <c r="AD457" s="5" t="str">
        <f>TEXT(po_master[[#This Row],[Order Date]],"YYYY-MM")</f>
        <v>2026-02</v>
      </c>
    </row>
    <row r="458" spans="1:30" x14ac:dyDescent="0.25">
      <c r="A458" t="s">
        <v>406</v>
      </c>
      <c r="B458" t="s">
        <v>1482</v>
      </c>
      <c r="C458" s="1">
        <v>46075</v>
      </c>
      <c r="D458">
        <v>213</v>
      </c>
      <c r="E458">
        <v>183.45</v>
      </c>
      <c r="F458" t="s">
        <v>1442</v>
      </c>
      <c r="G458" s="1">
        <v>46090</v>
      </c>
      <c r="H458">
        <v>213</v>
      </c>
      <c r="I458" s="1">
        <v>46088</v>
      </c>
      <c r="J458" t="s">
        <v>1150</v>
      </c>
      <c r="K458">
        <v>213</v>
      </c>
      <c r="L458">
        <v>183.45</v>
      </c>
      <c r="M458" s="1">
        <v>46098</v>
      </c>
      <c r="N458" t="str">
        <f>IF(po_master[[#This Row],[Approved By]]="", "Missing Approval", "OK")</f>
        <v>OK</v>
      </c>
      <c r="O458" t="str">
        <f>IF(ISBLANK(po_master[[#This Row],[GR Quantity]]), "No GR - Not received", "OK")</f>
        <v>OK</v>
      </c>
      <c r="P458" t="str">
        <f>IF(po_master[[#This Row],[Promised Delivey Date]]&lt;po_master[[#This Row],[Order Date]], "Invalid", "OK")</f>
        <v>OK</v>
      </c>
      <c r="Q458" t="str">
        <f>IF(ISBLANK(po_master[[#This Row],[Invoice Number]]), "No Invoice", "OK")</f>
        <v>OK</v>
      </c>
      <c r="R458" t="str">
        <f>IF(AND(NOT(ISBLANK(po_master[[#This Row],[GR Quantity]])), po_master[[#This Row],[GR Quantity]]&lt;&gt;po_master[[#This Row],[PO Quantity]]), "Qty Variance", "OK")</f>
        <v>OK</v>
      </c>
      <c r="S458" t="str">
        <f>IF(po_master[[#This Row],[Invoice Unit Price]]&gt;po_master[[#This Row],[PO Unit Price]]*1.01, "Price Variance", "OK")</f>
        <v>OK</v>
      </c>
      <c r="T458" t="str">
        <f>IF(po_master[[#This Row],[Actual Delivery Date]]&gt;po_master[[#This Row],[Promised Delivey Date]], "Late Delivery", "OK")</f>
        <v>OK</v>
      </c>
      <c r="U458" t="str">
        <f>IF(COUNTIF(po_master[PO Number],po_master[[#This Row],[PO Number]])&gt;1, "Duplicate Invoice", "OK")</f>
        <v>OK</v>
      </c>
      <c r="V458" s="5">
        <f>IF(po_master[[#This Row],[Missing Approval]]="Missing Approval", 1, 0)</f>
        <v>0</v>
      </c>
      <c r="W458" s="5">
        <f>IF(po_master[[#This Row],[GR Receipt Status]]="No GR - Not Received", 1, 0)</f>
        <v>0</v>
      </c>
      <c r="X458" s="5">
        <f>IF(po_master[[#This Row],[No invoice]]="No Invoice", 1, 0)</f>
        <v>0</v>
      </c>
      <c r="Y458" s="5">
        <f>IF(po_master[[#This Row],[Date Check]]="Invalid Date", 1, 0)</f>
        <v>0</v>
      </c>
      <c r="Z458" s="5">
        <f>IF(po_master[[#This Row],[Qty Variance Flag]]="Qty Variance", 1, 0)</f>
        <v>0</v>
      </c>
      <c r="AA458" s="5">
        <f>IF(po_master[[#This Row],[Price Variance Flag]]="Price Variance", 1, 0)</f>
        <v>0</v>
      </c>
      <c r="AB458" s="5">
        <f>IF(po_master[[#This Row],[Late Delivery Flag]]="Late Delivery", 1, 0)</f>
        <v>0</v>
      </c>
      <c r="AC458" s="5">
        <f>IF(po_master[[#This Row],[Duplicate Invoice Flag]]="Duplicate Invoice", 1, 0)</f>
        <v>0</v>
      </c>
      <c r="AD458" s="5" t="str">
        <f>TEXT(po_master[[#This Row],[Order Date]],"YYYY-MM")</f>
        <v>2026-02</v>
      </c>
    </row>
    <row r="459" spans="1:30" x14ac:dyDescent="0.25">
      <c r="A459" t="s">
        <v>407</v>
      </c>
      <c r="B459" t="s">
        <v>1506</v>
      </c>
      <c r="C459" s="1">
        <v>46120</v>
      </c>
      <c r="D459">
        <v>248</v>
      </c>
      <c r="E459">
        <v>109.06</v>
      </c>
      <c r="F459" t="s">
        <v>1459</v>
      </c>
      <c r="G459" s="1">
        <v>46134</v>
      </c>
      <c r="H459">
        <v>248</v>
      </c>
      <c r="I459" s="1">
        <v>46132</v>
      </c>
      <c r="J459" t="s">
        <v>1151</v>
      </c>
      <c r="K459">
        <v>248</v>
      </c>
      <c r="L459">
        <v>109.06</v>
      </c>
      <c r="M459" s="1">
        <v>46142</v>
      </c>
      <c r="N459" t="str">
        <f>IF(po_master[[#This Row],[Approved By]]="", "Missing Approval", "OK")</f>
        <v>Missing Approval</v>
      </c>
      <c r="O459" t="str">
        <f>IF(ISBLANK(po_master[[#This Row],[GR Quantity]]), "No GR - Not received", "OK")</f>
        <v>OK</v>
      </c>
      <c r="P459" t="str">
        <f>IF(po_master[[#This Row],[Promised Delivey Date]]&lt;po_master[[#This Row],[Order Date]], "Invalid", "OK")</f>
        <v>OK</v>
      </c>
      <c r="Q459" t="str">
        <f>IF(ISBLANK(po_master[[#This Row],[Invoice Number]]), "No Invoice", "OK")</f>
        <v>OK</v>
      </c>
      <c r="R459" t="str">
        <f>IF(AND(NOT(ISBLANK(po_master[[#This Row],[GR Quantity]])), po_master[[#This Row],[GR Quantity]]&lt;&gt;po_master[[#This Row],[PO Quantity]]), "Qty Variance", "OK")</f>
        <v>OK</v>
      </c>
      <c r="S459" t="str">
        <f>IF(po_master[[#This Row],[Invoice Unit Price]]&gt;po_master[[#This Row],[PO Unit Price]]*1.01, "Price Variance", "OK")</f>
        <v>OK</v>
      </c>
      <c r="T459" t="str">
        <f>IF(po_master[[#This Row],[Actual Delivery Date]]&gt;po_master[[#This Row],[Promised Delivey Date]], "Late Delivery", "OK")</f>
        <v>OK</v>
      </c>
      <c r="U459" t="str">
        <f>IF(COUNTIF(po_master[PO Number],po_master[[#This Row],[PO Number]])&gt;1, "Duplicate Invoice", "OK")</f>
        <v>OK</v>
      </c>
      <c r="V459" s="5">
        <f>IF(po_master[[#This Row],[Missing Approval]]="Missing Approval", 1, 0)</f>
        <v>1</v>
      </c>
      <c r="W459" s="5">
        <f>IF(po_master[[#This Row],[GR Receipt Status]]="No GR - Not Received", 1, 0)</f>
        <v>0</v>
      </c>
      <c r="X459" s="5">
        <f>IF(po_master[[#This Row],[No invoice]]="No Invoice", 1, 0)</f>
        <v>0</v>
      </c>
      <c r="Y459" s="5">
        <f>IF(po_master[[#This Row],[Date Check]]="Invalid Date", 1, 0)</f>
        <v>0</v>
      </c>
      <c r="Z459" s="5">
        <f>IF(po_master[[#This Row],[Qty Variance Flag]]="Qty Variance", 1, 0)</f>
        <v>0</v>
      </c>
      <c r="AA459" s="5">
        <f>IF(po_master[[#This Row],[Price Variance Flag]]="Price Variance", 1, 0)</f>
        <v>0</v>
      </c>
      <c r="AB459" s="5">
        <f>IF(po_master[[#This Row],[Late Delivery Flag]]="Late Delivery", 1, 0)</f>
        <v>0</v>
      </c>
      <c r="AC459" s="5">
        <f>IF(po_master[[#This Row],[Duplicate Invoice Flag]]="Duplicate Invoice", 1, 0)</f>
        <v>0</v>
      </c>
      <c r="AD459" s="5" t="str">
        <f>TEXT(po_master[[#This Row],[Order Date]],"YYYY-MM")</f>
        <v>2026-04</v>
      </c>
    </row>
    <row r="460" spans="1:30" x14ac:dyDescent="0.25">
      <c r="A460" t="s">
        <v>408</v>
      </c>
      <c r="B460" t="s">
        <v>1470</v>
      </c>
      <c r="C460" s="1">
        <v>46115</v>
      </c>
      <c r="D460">
        <v>272</v>
      </c>
      <c r="E460">
        <v>177.15</v>
      </c>
      <c r="F460" t="s">
        <v>1469</v>
      </c>
      <c r="G460" s="1">
        <v>46123</v>
      </c>
      <c r="H460">
        <v>272</v>
      </c>
      <c r="I460" s="1">
        <v>46125</v>
      </c>
      <c r="J460" t="s">
        <v>1152</v>
      </c>
      <c r="K460">
        <v>272</v>
      </c>
      <c r="L460">
        <v>177.15</v>
      </c>
      <c r="M460" s="1">
        <v>46131</v>
      </c>
      <c r="N460" t="str">
        <f>IF(po_master[[#This Row],[Approved By]]="", "Missing Approval", "OK")</f>
        <v>OK</v>
      </c>
      <c r="O460" t="str">
        <f>IF(ISBLANK(po_master[[#This Row],[GR Quantity]]), "No GR - Not received", "OK")</f>
        <v>OK</v>
      </c>
      <c r="P460" t="str">
        <f>IF(po_master[[#This Row],[Promised Delivey Date]]&lt;po_master[[#This Row],[Order Date]], "Invalid", "OK")</f>
        <v>OK</v>
      </c>
      <c r="Q460" t="str">
        <f>IF(ISBLANK(po_master[[#This Row],[Invoice Number]]), "No Invoice", "OK")</f>
        <v>OK</v>
      </c>
      <c r="R460" t="str">
        <f>IF(AND(NOT(ISBLANK(po_master[[#This Row],[GR Quantity]])), po_master[[#This Row],[GR Quantity]]&lt;&gt;po_master[[#This Row],[PO Quantity]]), "Qty Variance", "OK")</f>
        <v>OK</v>
      </c>
      <c r="S460" t="str">
        <f>IF(po_master[[#This Row],[Invoice Unit Price]]&gt;po_master[[#This Row],[PO Unit Price]]*1.01, "Price Variance", "OK")</f>
        <v>OK</v>
      </c>
      <c r="T460" t="str">
        <f>IF(po_master[[#This Row],[Actual Delivery Date]]&gt;po_master[[#This Row],[Promised Delivey Date]], "Late Delivery", "OK")</f>
        <v>Late Delivery</v>
      </c>
      <c r="U460" t="str">
        <f>IF(COUNTIF(po_master[PO Number],po_master[[#This Row],[PO Number]])&gt;1, "Duplicate Invoice", "OK")</f>
        <v>OK</v>
      </c>
      <c r="V460" s="5">
        <f>IF(po_master[[#This Row],[Missing Approval]]="Missing Approval", 1, 0)</f>
        <v>0</v>
      </c>
      <c r="W460" s="5">
        <f>IF(po_master[[#This Row],[GR Receipt Status]]="No GR - Not Received", 1, 0)</f>
        <v>0</v>
      </c>
      <c r="X460" s="5">
        <f>IF(po_master[[#This Row],[No invoice]]="No Invoice", 1, 0)</f>
        <v>0</v>
      </c>
      <c r="Y460" s="5">
        <f>IF(po_master[[#This Row],[Date Check]]="Invalid Date", 1, 0)</f>
        <v>0</v>
      </c>
      <c r="Z460" s="5">
        <f>IF(po_master[[#This Row],[Qty Variance Flag]]="Qty Variance", 1, 0)</f>
        <v>0</v>
      </c>
      <c r="AA460" s="5">
        <f>IF(po_master[[#This Row],[Price Variance Flag]]="Price Variance", 1, 0)</f>
        <v>0</v>
      </c>
      <c r="AB460" s="5">
        <f>IF(po_master[[#This Row],[Late Delivery Flag]]="Late Delivery", 1, 0)</f>
        <v>1</v>
      </c>
      <c r="AC460" s="5">
        <f>IF(po_master[[#This Row],[Duplicate Invoice Flag]]="Duplicate Invoice", 1, 0)</f>
        <v>0</v>
      </c>
      <c r="AD460" s="5" t="str">
        <f>TEXT(po_master[[#This Row],[Order Date]],"YYYY-MM")</f>
        <v>2026-04</v>
      </c>
    </row>
    <row r="461" spans="1:30" x14ac:dyDescent="0.25">
      <c r="A461" t="s">
        <v>409</v>
      </c>
      <c r="B461" t="s">
        <v>1477</v>
      </c>
      <c r="C461" s="1">
        <v>46143</v>
      </c>
      <c r="D461">
        <v>399</v>
      </c>
      <c r="E461">
        <v>168.75</v>
      </c>
      <c r="F461" t="s">
        <v>1444</v>
      </c>
      <c r="G461" s="1">
        <v>46159</v>
      </c>
      <c r="H461">
        <v>399</v>
      </c>
      <c r="I461" s="1">
        <v>46167</v>
      </c>
      <c r="J461" t="s">
        <v>1153</v>
      </c>
      <c r="K461">
        <v>399</v>
      </c>
      <c r="L461">
        <v>168.75</v>
      </c>
      <c r="M461" s="1">
        <v>46160</v>
      </c>
      <c r="N461" t="str">
        <f>IF(po_master[[#This Row],[Approved By]]="", "Missing Approval", "OK")</f>
        <v>OK</v>
      </c>
      <c r="O461" t="str">
        <f>IF(ISBLANK(po_master[[#This Row],[GR Quantity]]), "No GR - Not received", "OK")</f>
        <v>OK</v>
      </c>
      <c r="P461" t="str">
        <f>IF(po_master[[#This Row],[Promised Delivey Date]]&lt;po_master[[#This Row],[Order Date]], "Invalid", "OK")</f>
        <v>OK</v>
      </c>
      <c r="Q461" t="str">
        <f>IF(ISBLANK(po_master[[#This Row],[Invoice Number]]), "No Invoice", "OK")</f>
        <v>OK</v>
      </c>
      <c r="R461" t="str">
        <f>IF(AND(NOT(ISBLANK(po_master[[#This Row],[GR Quantity]])), po_master[[#This Row],[GR Quantity]]&lt;&gt;po_master[[#This Row],[PO Quantity]]), "Qty Variance", "OK")</f>
        <v>OK</v>
      </c>
      <c r="S461" t="str">
        <f>IF(po_master[[#This Row],[Invoice Unit Price]]&gt;po_master[[#This Row],[PO Unit Price]]*1.01, "Price Variance", "OK")</f>
        <v>OK</v>
      </c>
      <c r="T461" t="str">
        <f>IF(po_master[[#This Row],[Actual Delivery Date]]&gt;po_master[[#This Row],[Promised Delivey Date]], "Late Delivery", "OK")</f>
        <v>Late Delivery</v>
      </c>
      <c r="U461" t="str">
        <f>IF(COUNTIF(po_master[PO Number],po_master[[#This Row],[PO Number]])&gt;1, "Duplicate Invoice", "OK")</f>
        <v>Duplicate Invoice</v>
      </c>
      <c r="V461" s="5">
        <f>IF(po_master[[#This Row],[Missing Approval]]="Missing Approval", 1, 0)</f>
        <v>0</v>
      </c>
      <c r="W461" s="5">
        <f>IF(po_master[[#This Row],[GR Receipt Status]]="No GR - Not Received", 1, 0)</f>
        <v>0</v>
      </c>
      <c r="X461" s="5">
        <f>IF(po_master[[#This Row],[No invoice]]="No Invoice", 1, 0)</f>
        <v>0</v>
      </c>
      <c r="Y461" s="5">
        <f>IF(po_master[[#This Row],[Date Check]]="Invalid Date", 1, 0)</f>
        <v>0</v>
      </c>
      <c r="Z461" s="5">
        <f>IF(po_master[[#This Row],[Qty Variance Flag]]="Qty Variance", 1, 0)</f>
        <v>0</v>
      </c>
      <c r="AA461" s="5">
        <f>IF(po_master[[#This Row],[Price Variance Flag]]="Price Variance", 1, 0)</f>
        <v>0</v>
      </c>
      <c r="AB461" s="5">
        <f>IF(po_master[[#This Row],[Late Delivery Flag]]="Late Delivery", 1, 0)</f>
        <v>1</v>
      </c>
      <c r="AC461" s="5">
        <f>IF(po_master[[#This Row],[Duplicate Invoice Flag]]="Duplicate Invoice", 1, 0)</f>
        <v>1</v>
      </c>
      <c r="AD461" s="5" t="str">
        <f>TEXT(po_master[[#This Row],[Order Date]],"YYYY-MM")</f>
        <v>2026-05</v>
      </c>
    </row>
    <row r="462" spans="1:30" x14ac:dyDescent="0.25">
      <c r="A462" t="s">
        <v>409</v>
      </c>
      <c r="B462" t="s">
        <v>1477</v>
      </c>
      <c r="C462" s="1">
        <v>46143</v>
      </c>
      <c r="D462">
        <v>399</v>
      </c>
      <c r="E462">
        <v>168.75</v>
      </c>
      <c r="F462" t="s">
        <v>1444</v>
      </c>
      <c r="G462" s="1">
        <v>46159</v>
      </c>
      <c r="H462">
        <v>399</v>
      </c>
      <c r="I462" s="1">
        <v>46167</v>
      </c>
      <c r="J462" t="s">
        <v>1154</v>
      </c>
      <c r="K462">
        <v>399</v>
      </c>
      <c r="L462">
        <v>168.75</v>
      </c>
      <c r="M462" s="1">
        <v>46165</v>
      </c>
      <c r="N462" t="str">
        <f>IF(po_master[[#This Row],[Approved By]]="", "Missing Approval", "OK")</f>
        <v>OK</v>
      </c>
      <c r="O462" t="str">
        <f>IF(ISBLANK(po_master[[#This Row],[GR Quantity]]), "No GR - Not received", "OK")</f>
        <v>OK</v>
      </c>
      <c r="P462" t="str">
        <f>IF(po_master[[#This Row],[Promised Delivey Date]]&lt;po_master[[#This Row],[Order Date]], "Invalid", "OK")</f>
        <v>OK</v>
      </c>
      <c r="Q462" t="str">
        <f>IF(ISBLANK(po_master[[#This Row],[Invoice Number]]), "No Invoice", "OK")</f>
        <v>OK</v>
      </c>
      <c r="R462" t="str">
        <f>IF(AND(NOT(ISBLANK(po_master[[#This Row],[GR Quantity]])), po_master[[#This Row],[GR Quantity]]&lt;&gt;po_master[[#This Row],[PO Quantity]]), "Qty Variance", "OK")</f>
        <v>OK</v>
      </c>
      <c r="S462" t="str">
        <f>IF(po_master[[#This Row],[Invoice Unit Price]]&gt;po_master[[#This Row],[PO Unit Price]]*1.01, "Price Variance", "OK")</f>
        <v>OK</v>
      </c>
      <c r="T462" t="str">
        <f>IF(po_master[[#This Row],[Actual Delivery Date]]&gt;po_master[[#This Row],[Promised Delivey Date]], "Late Delivery", "OK")</f>
        <v>Late Delivery</v>
      </c>
      <c r="U462" t="str">
        <f>IF(COUNTIF(po_master[PO Number],po_master[[#This Row],[PO Number]])&gt;1, "Duplicate Invoice", "OK")</f>
        <v>Duplicate Invoice</v>
      </c>
      <c r="V462" s="5">
        <f>IF(po_master[[#This Row],[Missing Approval]]="Missing Approval", 1, 0)</f>
        <v>0</v>
      </c>
      <c r="W462" s="5">
        <f>IF(po_master[[#This Row],[GR Receipt Status]]="No GR - Not Received", 1, 0)</f>
        <v>0</v>
      </c>
      <c r="X462" s="5">
        <f>IF(po_master[[#This Row],[No invoice]]="No Invoice", 1, 0)</f>
        <v>0</v>
      </c>
      <c r="Y462" s="5">
        <f>IF(po_master[[#This Row],[Date Check]]="Invalid Date", 1, 0)</f>
        <v>0</v>
      </c>
      <c r="Z462" s="5">
        <f>IF(po_master[[#This Row],[Qty Variance Flag]]="Qty Variance", 1, 0)</f>
        <v>0</v>
      </c>
      <c r="AA462" s="5">
        <f>IF(po_master[[#This Row],[Price Variance Flag]]="Price Variance", 1, 0)</f>
        <v>0</v>
      </c>
      <c r="AB462" s="5">
        <f>IF(po_master[[#This Row],[Late Delivery Flag]]="Late Delivery", 1, 0)</f>
        <v>1</v>
      </c>
      <c r="AC462" s="5">
        <f>IF(po_master[[#This Row],[Duplicate Invoice Flag]]="Duplicate Invoice", 1, 0)</f>
        <v>1</v>
      </c>
      <c r="AD462" s="5" t="str">
        <f>TEXT(po_master[[#This Row],[Order Date]],"YYYY-MM")</f>
        <v>2026-05</v>
      </c>
    </row>
    <row r="463" spans="1:30" x14ac:dyDescent="0.25">
      <c r="A463" t="s">
        <v>410</v>
      </c>
      <c r="B463" t="s">
        <v>1509</v>
      </c>
      <c r="C463" s="1">
        <v>46128</v>
      </c>
      <c r="D463">
        <v>33</v>
      </c>
      <c r="E463">
        <v>114.69</v>
      </c>
      <c r="F463" t="s">
        <v>1440</v>
      </c>
      <c r="G463" s="1">
        <v>46137</v>
      </c>
      <c r="H463">
        <v>33</v>
      </c>
      <c r="I463" s="1">
        <v>46138</v>
      </c>
      <c r="J463" t="s">
        <v>1155</v>
      </c>
      <c r="K463">
        <v>33</v>
      </c>
      <c r="L463">
        <v>114.69</v>
      </c>
      <c r="M463" s="1">
        <v>46143</v>
      </c>
      <c r="N463" t="str">
        <f>IF(po_master[[#This Row],[Approved By]]="", "Missing Approval", "OK")</f>
        <v>OK</v>
      </c>
      <c r="O463" t="str">
        <f>IF(ISBLANK(po_master[[#This Row],[GR Quantity]]), "No GR - Not received", "OK")</f>
        <v>OK</v>
      </c>
      <c r="P463" t="str">
        <f>IF(po_master[[#This Row],[Promised Delivey Date]]&lt;po_master[[#This Row],[Order Date]], "Invalid", "OK")</f>
        <v>OK</v>
      </c>
      <c r="Q463" t="str">
        <f>IF(ISBLANK(po_master[[#This Row],[Invoice Number]]), "No Invoice", "OK")</f>
        <v>OK</v>
      </c>
      <c r="R463" t="str">
        <f>IF(AND(NOT(ISBLANK(po_master[[#This Row],[GR Quantity]])), po_master[[#This Row],[GR Quantity]]&lt;&gt;po_master[[#This Row],[PO Quantity]]), "Qty Variance", "OK")</f>
        <v>OK</v>
      </c>
      <c r="S463" t="str">
        <f>IF(po_master[[#This Row],[Invoice Unit Price]]&gt;po_master[[#This Row],[PO Unit Price]]*1.01, "Price Variance", "OK")</f>
        <v>OK</v>
      </c>
      <c r="T463" t="str">
        <f>IF(po_master[[#This Row],[Actual Delivery Date]]&gt;po_master[[#This Row],[Promised Delivey Date]], "Late Delivery", "OK")</f>
        <v>Late Delivery</v>
      </c>
      <c r="U463" t="str">
        <f>IF(COUNTIF(po_master[PO Number],po_master[[#This Row],[PO Number]])&gt;1, "Duplicate Invoice", "OK")</f>
        <v>OK</v>
      </c>
      <c r="V463" s="5">
        <f>IF(po_master[[#This Row],[Missing Approval]]="Missing Approval", 1, 0)</f>
        <v>0</v>
      </c>
      <c r="W463" s="5">
        <f>IF(po_master[[#This Row],[GR Receipt Status]]="No GR - Not Received", 1, 0)</f>
        <v>0</v>
      </c>
      <c r="X463" s="5">
        <f>IF(po_master[[#This Row],[No invoice]]="No Invoice", 1, 0)</f>
        <v>0</v>
      </c>
      <c r="Y463" s="5">
        <f>IF(po_master[[#This Row],[Date Check]]="Invalid Date", 1, 0)</f>
        <v>0</v>
      </c>
      <c r="Z463" s="5">
        <f>IF(po_master[[#This Row],[Qty Variance Flag]]="Qty Variance", 1, 0)</f>
        <v>0</v>
      </c>
      <c r="AA463" s="5">
        <f>IF(po_master[[#This Row],[Price Variance Flag]]="Price Variance", 1, 0)</f>
        <v>0</v>
      </c>
      <c r="AB463" s="5">
        <f>IF(po_master[[#This Row],[Late Delivery Flag]]="Late Delivery", 1, 0)</f>
        <v>1</v>
      </c>
      <c r="AC463" s="5">
        <f>IF(po_master[[#This Row],[Duplicate Invoice Flag]]="Duplicate Invoice", 1, 0)</f>
        <v>0</v>
      </c>
      <c r="AD463" s="5" t="str">
        <f>TEXT(po_master[[#This Row],[Order Date]],"YYYY-MM")</f>
        <v>2026-04</v>
      </c>
    </row>
    <row r="464" spans="1:30" x14ac:dyDescent="0.25">
      <c r="A464" t="s">
        <v>411</v>
      </c>
      <c r="B464" t="s">
        <v>1473</v>
      </c>
      <c r="C464" s="1">
        <v>46089</v>
      </c>
      <c r="D464">
        <v>293</v>
      </c>
      <c r="E464">
        <v>187.28</v>
      </c>
      <c r="F464" t="s">
        <v>1480</v>
      </c>
      <c r="G464" s="1">
        <v>46107</v>
      </c>
      <c r="H464">
        <v>293</v>
      </c>
      <c r="I464" s="1">
        <v>46105</v>
      </c>
      <c r="J464" t="s">
        <v>1156</v>
      </c>
      <c r="K464">
        <v>293</v>
      </c>
      <c r="L464">
        <v>187.28</v>
      </c>
      <c r="M464" s="1">
        <v>46114</v>
      </c>
      <c r="N464" t="str">
        <f>IF(po_master[[#This Row],[Approved By]]="", "Missing Approval", "OK")</f>
        <v>OK</v>
      </c>
      <c r="O464" t="str">
        <f>IF(ISBLANK(po_master[[#This Row],[GR Quantity]]), "No GR - Not received", "OK")</f>
        <v>OK</v>
      </c>
      <c r="P464" t="str">
        <f>IF(po_master[[#This Row],[Promised Delivey Date]]&lt;po_master[[#This Row],[Order Date]], "Invalid", "OK")</f>
        <v>OK</v>
      </c>
      <c r="Q464" t="str">
        <f>IF(ISBLANK(po_master[[#This Row],[Invoice Number]]), "No Invoice", "OK")</f>
        <v>OK</v>
      </c>
      <c r="R464" t="str">
        <f>IF(AND(NOT(ISBLANK(po_master[[#This Row],[GR Quantity]])), po_master[[#This Row],[GR Quantity]]&lt;&gt;po_master[[#This Row],[PO Quantity]]), "Qty Variance", "OK")</f>
        <v>OK</v>
      </c>
      <c r="S464" t="str">
        <f>IF(po_master[[#This Row],[Invoice Unit Price]]&gt;po_master[[#This Row],[PO Unit Price]]*1.01, "Price Variance", "OK")</f>
        <v>OK</v>
      </c>
      <c r="T464" t="str">
        <f>IF(po_master[[#This Row],[Actual Delivery Date]]&gt;po_master[[#This Row],[Promised Delivey Date]], "Late Delivery", "OK")</f>
        <v>OK</v>
      </c>
      <c r="U464" t="str">
        <f>IF(COUNTIF(po_master[PO Number],po_master[[#This Row],[PO Number]])&gt;1, "Duplicate Invoice", "OK")</f>
        <v>OK</v>
      </c>
      <c r="V464" s="5">
        <f>IF(po_master[[#This Row],[Missing Approval]]="Missing Approval", 1, 0)</f>
        <v>0</v>
      </c>
      <c r="W464" s="5">
        <f>IF(po_master[[#This Row],[GR Receipt Status]]="No GR - Not Received", 1, 0)</f>
        <v>0</v>
      </c>
      <c r="X464" s="5">
        <f>IF(po_master[[#This Row],[No invoice]]="No Invoice", 1, 0)</f>
        <v>0</v>
      </c>
      <c r="Y464" s="5">
        <f>IF(po_master[[#This Row],[Date Check]]="Invalid Date", 1, 0)</f>
        <v>0</v>
      </c>
      <c r="Z464" s="5">
        <f>IF(po_master[[#This Row],[Qty Variance Flag]]="Qty Variance", 1, 0)</f>
        <v>0</v>
      </c>
      <c r="AA464" s="5">
        <f>IF(po_master[[#This Row],[Price Variance Flag]]="Price Variance", 1, 0)</f>
        <v>0</v>
      </c>
      <c r="AB464" s="5">
        <f>IF(po_master[[#This Row],[Late Delivery Flag]]="Late Delivery", 1, 0)</f>
        <v>0</v>
      </c>
      <c r="AC464" s="5">
        <f>IF(po_master[[#This Row],[Duplicate Invoice Flag]]="Duplicate Invoice", 1, 0)</f>
        <v>0</v>
      </c>
      <c r="AD464" s="5" t="str">
        <f>TEXT(po_master[[#This Row],[Order Date]],"YYYY-MM")</f>
        <v>2026-03</v>
      </c>
    </row>
    <row r="465" spans="1:30" x14ac:dyDescent="0.25">
      <c r="A465" t="s">
        <v>412</v>
      </c>
      <c r="B465" t="s">
        <v>1506</v>
      </c>
      <c r="C465" s="1">
        <v>46062</v>
      </c>
      <c r="D465">
        <v>110</v>
      </c>
      <c r="E465">
        <v>69.319999999999993</v>
      </c>
      <c r="F465" t="s">
        <v>1453</v>
      </c>
      <c r="G465" s="1">
        <v>46074</v>
      </c>
      <c r="H465">
        <v>110</v>
      </c>
      <c r="I465" s="1">
        <v>46074</v>
      </c>
      <c r="J465" t="s">
        <v>1157</v>
      </c>
      <c r="K465">
        <v>110</v>
      </c>
      <c r="L465">
        <v>69.319999999999993</v>
      </c>
      <c r="M465" s="1">
        <v>46082</v>
      </c>
      <c r="N465" t="str">
        <f>IF(po_master[[#This Row],[Approved By]]="", "Missing Approval", "OK")</f>
        <v>OK</v>
      </c>
      <c r="O465" t="str">
        <f>IF(ISBLANK(po_master[[#This Row],[GR Quantity]]), "No GR - Not received", "OK")</f>
        <v>OK</v>
      </c>
      <c r="P465" t="str">
        <f>IF(po_master[[#This Row],[Promised Delivey Date]]&lt;po_master[[#This Row],[Order Date]], "Invalid", "OK")</f>
        <v>OK</v>
      </c>
      <c r="Q465" t="str">
        <f>IF(ISBLANK(po_master[[#This Row],[Invoice Number]]), "No Invoice", "OK")</f>
        <v>OK</v>
      </c>
      <c r="R465" t="str">
        <f>IF(AND(NOT(ISBLANK(po_master[[#This Row],[GR Quantity]])), po_master[[#This Row],[GR Quantity]]&lt;&gt;po_master[[#This Row],[PO Quantity]]), "Qty Variance", "OK")</f>
        <v>OK</v>
      </c>
      <c r="S465" t="str">
        <f>IF(po_master[[#This Row],[Invoice Unit Price]]&gt;po_master[[#This Row],[PO Unit Price]]*1.01, "Price Variance", "OK")</f>
        <v>OK</v>
      </c>
      <c r="T465" t="str">
        <f>IF(po_master[[#This Row],[Actual Delivery Date]]&gt;po_master[[#This Row],[Promised Delivey Date]], "Late Delivery", "OK")</f>
        <v>OK</v>
      </c>
      <c r="U465" t="str">
        <f>IF(COUNTIF(po_master[PO Number],po_master[[#This Row],[PO Number]])&gt;1, "Duplicate Invoice", "OK")</f>
        <v>OK</v>
      </c>
      <c r="V465" s="5">
        <f>IF(po_master[[#This Row],[Missing Approval]]="Missing Approval", 1, 0)</f>
        <v>0</v>
      </c>
      <c r="W465" s="5">
        <f>IF(po_master[[#This Row],[GR Receipt Status]]="No GR - Not Received", 1, 0)</f>
        <v>0</v>
      </c>
      <c r="X465" s="5">
        <f>IF(po_master[[#This Row],[No invoice]]="No Invoice", 1, 0)</f>
        <v>0</v>
      </c>
      <c r="Y465" s="5">
        <f>IF(po_master[[#This Row],[Date Check]]="Invalid Date", 1, 0)</f>
        <v>0</v>
      </c>
      <c r="Z465" s="5">
        <f>IF(po_master[[#This Row],[Qty Variance Flag]]="Qty Variance", 1, 0)</f>
        <v>0</v>
      </c>
      <c r="AA465" s="5">
        <f>IF(po_master[[#This Row],[Price Variance Flag]]="Price Variance", 1, 0)</f>
        <v>0</v>
      </c>
      <c r="AB465" s="5">
        <f>IF(po_master[[#This Row],[Late Delivery Flag]]="Late Delivery", 1, 0)</f>
        <v>0</v>
      </c>
      <c r="AC465" s="5">
        <f>IF(po_master[[#This Row],[Duplicate Invoice Flag]]="Duplicate Invoice", 1, 0)</f>
        <v>0</v>
      </c>
      <c r="AD465" s="5" t="str">
        <f>TEXT(po_master[[#This Row],[Order Date]],"YYYY-MM")</f>
        <v>2026-02</v>
      </c>
    </row>
    <row r="466" spans="1:30" x14ac:dyDescent="0.25">
      <c r="A466" t="s">
        <v>1135</v>
      </c>
      <c r="B466" t="s">
        <v>1475</v>
      </c>
      <c r="C466" s="1">
        <v>46058</v>
      </c>
      <c r="D466">
        <v>267</v>
      </c>
      <c r="E466">
        <v>198.73</v>
      </c>
      <c r="F466" t="s">
        <v>1440</v>
      </c>
      <c r="G466" s="1">
        <v>46073</v>
      </c>
      <c r="I466" s="1"/>
      <c r="J466" t="s">
        <v>1136</v>
      </c>
      <c r="K466">
        <v>267</v>
      </c>
      <c r="L466">
        <v>198.73</v>
      </c>
      <c r="M466" s="1">
        <v>46077</v>
      </c>
      <c r="N466" t="str">
        <f>IF(po_master[[#This Row],[Approved By]]="", "Missing Approval", "OK")</f>
        <v>OK</v>
      </c>
      <c r="O466" t="str">
        <f>IF(ISBLANK(po_master[[#This Row],[GR Quantity]]), "No GR - Not received", "OK")</f>
        <v>No GR - Not received</v>
      </c>
      <c r="P466" t="str">
        <f>IF(po_master[[#This Row],[Promised Delivey Date]]&lt;po_master[[#This Row],[Order Date]], "Invalid", "OK")</f>
        <v>OK</v>
      </c>
      <c r="Q466" t="str">
        <f>IF(ISBLANK(po_master[[#This Row],[Invoice Number]]), "No Invoice", "OK")</f>
        <v>OK</v>
      </c>
      <c r="R466" t="str">
        <f>IF(AND(NOT(ISBLANK(po_master[[#This Row],[GR Quantity]])), po_master[[#This Row],[GR Quantity]]&lt;&gt;po_master[[#This Row],[PO Quantity]]), "Qty Variance", "OK")</f>
        <v>OK</v>
      </c>
      <c r="S466" t="str">
        <f>IF(po_master[[#This Row],[Invoice Unit Price]]&gt;po_master[[#This Row],[PO Unit Price]]*1.01, "Price Variance", "OK")</f>
        <v>OK</v>
      </c>
      <c r="T466" t="str">
        <f>IF(po_master[[#This Row],[Actual Delivery Date]]&gt;po_master[[#This Row],[Promised Delivey Date]], "Late Delivery", "OK")</f>
        <v>OK</v>
      </c>
      <c r="U466" t="str">
        <f>IF(COUNTIF(po_master[PO Number],po_master[[#This Row],[PO Number]])&gt;1, "Duplicate Invoice", "OK")</f>
        <v>OK</v>
      </c>
      <c r="V466" s="5">
        <f>IF(po_master[[#This Row],[Missing Approval]]="Missing Approval", 1, 0)</f>
        <v>0</v>
      </c>
      <c r="W466" s="5">
        <f>IF(po_master[[#This Row],[GR Receipt Status]]="No GR - Not Received", 1, 0)</f>
        <v>1</v>
      </c>
      <c r="X466" s="5">
        <f>IF(po_master[[#This Row],[No invoice]]="No Invoice", 1, 0)</f>
        <v>0</v>
      </c>
      <c r="Y466" s="5">
        <f>IF(po_master[[#This Row],[Date Check]]="Invalid Date", 1, 0)</f>
        <v>0</v>
      </c>
      <c r="Z466" s="5">
        <f>IF(po_master[[#This Row],[Qty Variance Flag]]="Qty Variance", 1, 0)</f>
        <v>0</v>
      </c>
      <c r="AA466" s="5">
        <f>IF(po_master[[#This Row],[Price Variance Flag]]="Price Variance", 1, 0)</f>
        <v>0</v>
      </c>
      <c r="AB466" s="5">
        <f>IF(po_master[[#This Row],[Late Delivery Flag]]="Late Delivery", 1, 0)</f>
        <v>0</v>
      </c>
      <c r="AC466" s="5">
        <f>IF(po_master[[#This Row],[Duplicate Invoice Flag]]="Duplicate Invoice", 1, 0)</f>
        <v>0</v>
      </c>
      <c r="AD466" s="5" t="str">
        <f>TEXT(po_master[[#This Row],[Order Date]],"YYYY-MM")</f>
        <v>2026-02</v>
      </c>
    </row>
    <row r="467" spans="1:30" x14ac:dyDescent="0.25">
      <c r="A467" t="s">
        <v>413</v>
      </c>
      <c r="B467" t="s">
        <v>1498</v>
      </c>
      <c r="C467" s="1">
        <v>46163</v>
      </c>
      <c r="D467">
        <v>345</v>
      </c>
      <c r="E467">
        <v>188.98</v>
      </c>
      <c r="F467" t="s">
        <v>1472</v>
      </c>
      <c r="G467" s="1">
        <v>46176</v>
      </c>
      <c r="H467">
        <v>345</v>
      </c>
      <c r="I467" s="1">
        <v>46174</v>
      </c>
      <c r="J467" t="s">
        <v>1158</v>
      </c>
      <c r="K467">
        <v>345</v>
      </c>
      <c r="L467">
        <v>188.98</v>
      </c>
      <c r="M467" s="1">
        <v>46178</v>
      </c>
      <c r="N467" t="str">
        <f>IF(po_master[[#This Row],[Approved By]]="", "Missing Approval", "OK")</f>
        <v>OK</v>
      </c>
      <c r="O467" t="str">
        <f>IF(ISBLANK(po_master[[#This Row],[GR Quantity]]), "No GR - Not received", "OK")</f>
        <v>OK</v>
      </c>
      <c r="P467" t="str">
        <f>IF(po_master[[#This Row],[Promised Delivey Date]]&lt;po_master[[#This Row],[Order Date]], "Invalid", "OK")</f>
        <v>OK</v>
      </c>
      <c r="Q467" t="str">
        <f>IF(ISBLANK(po_master[[#This Row],[Invoice Number]]), "No Invoice", "OK")</f>
        <v>OK</v>
      </c>
      <c r="R467" t="str">
        <f>IF(AND(NOT(ISBLANK(po_master[[#This Row],[GR Quantity]])), po_master[[#This Row],[GR Quantity]]&lt;&gt;po_master[[#This Row],[PO Quantity]]), "Qty Variance", "OK")</f>
        <v>OK</v>
      </c>
      <c r="S467" t="str">
        <f>IF(po_master[[#This Row],[Invoice Unit Price]]&gt;po_master[[#This Row],[PO Unit Price]]*1.01, "Price Variance", "OK")</f>
        <v>OK</v>
      </c>
      <c r="T467" t="str">
        <f>IF(po_master[[#This Row],[Actual Delivery Date]]&gt;po_master[[#This Row],[Promised Delivey Date]], "Late Delivery", "OK")</f>
        <v>OK</v>
      </c>
      <c r="U467" t="str">
        <f>IF(COUNTIF(po_master[PO Number],po_master[[#This Row],[PO Number]])&gt;1, "Duplicate Invoice", "OK")</f>
        <v>OK</v>
      </c>
      <c r="V467" s="5">
        <f>IF(po_master[[#This Row],[Missing Approval]]="Missing Approval", 1, 0)</f>
        <v>0</v>
      </c>
      <c r="W467" s="5">
        <f>IF(po_master[[#This Row],[GR Receipt Status]]="No GR - Not Received", 1, 0)</f>
        <v>0</v>
      </c>
      <c r="X467" s="5">
        <f>IF(po_master[[#This Row],[No invoice]]="No Invoice", 1, 0)</f>
        <v>0</v>
      </c>
      <c r="Y467" s="5">
        <f>IF(po_master[[#This Row],[Date Check]]="Invalid Date", 1, 0)</f>
        <v>0</v>
      </c>
      <c r="Z467" s="5">
        <f>IF(po_master[[#This Row],[Qty Variance Flag]]="Qty Variance", 1, 0)</f>
        <v>0</v>
      </c>
      <c r="AA467" s="5">
        <f>IF(po_master[[#This Row],[Price Variance Flag]]="Price Variance", 1, 0)</f>
        <v>0</v>
      </c>
      <c r="AB467" s="5">
        <f>IF(po_master[[#This Row],[Late Delivery Flag]]="Late Delivery", 1, 0)</f>
        <v>0</v>
      </c>
      <c r="AC467" s="5">
        <f>IF(po_master[[#This Row],[Duplicate Invoice Flag]]="Duplicate Invoice", 1, 0)</f>
        <v>0</v>
      </c>
      <c r="AD467" s="5" t="str">
        <f>TEXT(po_master[[#This Row],[Order Date]],"YYYY-MM")</f>
        <v>2026-05</v>
      </c>
    </row>
    <row r="468" spans="1:30" x14ac:dyDescent="0.25">
      <c r="A468" t="s">
        <v>414</v>
      </c>
      <c r="B468" t="s">
        <v>1498</v>
      </c>
      <c r="C468" s="1">
        <v>46148</v>
      </c>
      <c r="D468">
        <v>245</v>
      </c>
      <c r="E468">
        <v>37.81</v>
      </c>
      <c r="F468" t="s">
        <v>1451</v>
      </c>
      <c r="G468" s="1">
        <v>46158</v>
      </c>
      <c r="H468">
        <v>245</v>
      </c>
      <c r="I468" s="1">
        <v>46156</v>
      </c>
      <c r="J468" t="s">
        <v>1159</v>
      </c>
      <c r="K468">
        <v>245</v>
      </c>
      <c r="L468">
        <v>44.93</v>
      </c>
      <c r="M468" s="1">
        <v>46165</v>
      </c>
      <c r="N468" t="str">
        <f>IF(po_master[[#This Row],[Approved By]]="", "Missing Approval", "OK")</f>
        <v>OK</v>
      </c>
      <c r="O468" t="str">
        <f>IF(ISBLANK(po_master[[#This Row],[GR Quantity]]), "No GR - Not received", "OK")</f>
        <v>OK</v>
      </c>
      <c r="P468" t="str">
        <f>IF(po_master[[#This Row],[Promised Delivey Date]]&lt;po_master[[#This Row],[Order Date]], "Invalid", "OK")</f>
        <v>OK</v>
      </c>
      <c r="Q468" t="str">
        <f>IF(ISBLANK(po_master[[#This Row],[Invoice Number]]), "No Invoice", "OK")</f>
        <v>OK</v>
      </c>
      <c r="R468" t="str">
        <f>IF(AND(NOT(ISBLANK(po_master[[#This Row],[GR Quantity]])), po_master[[#This Row],[GR Quantity]]&lt;&gt;po_master[[#This Row],[PO Quantity]]), "Qty Variance", "OK")</f>
        <v>OK</v>
      </c>
      <c r="S468" t="str">
        <f>IF(po_master[[#This Row],[Invoice Unit Price]]&gt;po_master[[#This Row],[PO Unit Price]]*1.01, "Price Variance", "OK")</f>
        <v>Price Variance</v>
      </c>
      <c r="T468" t="str">
        <f>IF(po_master[[#This Row],[Actual Delivery Date]]&gt;po_master[[#This Row],[Promised Delivey Date]], "Late Delivery", "OK")</f>
        <v>OK</v>
      </c>
      <c r="U468" t="str">
        <f>IF(COUNTIF(po_master[PO Number],po_master[[#This Row],[PO Number]])&gt;1, "Duplicate Invoice", "OK")</f>
        <v>OK</v>
      </c>
      <c r="V468" s="5">
        <f>IF(po_master[[#This Row],[Missing Approval]]="Missing Approval", 1, 0)</f>
        <v>0</v>
      </c>
      <c r="W468" s="5">
        <f>IF(po_master[[#This Row],[GR Receipt Status]]="No GR - Not Received", 1, 0)</f>
        <v>0</v>
      </c>
      <c r="X468" s="5">
        <f>IF(po_master[[#This Row],[No invoice]]="No Invoice", 1, 0)</f>
        <v>0</v>
      </c>
      <c r="Y468" s="5">
        <f>IF(po_master[[#This Row],[Date Check]]="Invalid Date", 1, 0)</f>
        <v>0</v>
      </c>
      <c r="Z468" s="5">
        <f>IF(po_master[[#This Row],[Qty Variance Flag]]="Qty Variance", 1, 0)</f>
        <v>0</v>
      </c>
      <c r="AA468" s="5">
        <f>IF(po_master[[#This Row],[Price Variance Flag]]="Price Variance", 1, 0)</f>
        <v>1</v>
      </c>
      <c r="AB468" s="5">
        <f>IF(po_master[[#This Row],[Late Delivery Flag]]="Late Delivery", 1, 0)</f>
        <v>0</v>
      </c>
      <c r="AC468" s="5">
        <f>IF(po_master[[#This Row],[Duplicate Invoice Flag]]="Duplicate Invoice", 1, 0)</f>
        <v>0</v>
      </c>
      <c r="AD468" s="5" t="str">
        <f>TEXT(po_master[[#This Row],[Order Date]],"YYYY-MM")</f>
        <v>2026-05</v>
      </c>
    </row>
    <row r="469" spans="1:30" x14ac:dyDescent="0.25">
      <c r="A469" t="s">
        <v>415</v>
      </c>
      <c r="B469" t="s">
        <v>1441</v>
      </c>
      <c r="C469" s="1">
        <v>46162</v>
      </c>
      <c r="D469">
        <v>260</v>
      </c>
      <c r="E469">
        <v>40.89</v>
      </c>
      <c r="F469" t="s">
        <v>1442</v>
      </c>
      <c r="G469" s="1">
        <v>46168</v>
      </c>
      <c r="H469">
        <v>260</v>
      </c>
      <c r="I469" s="1">
        <v>46169</v>
      </c>
      <c r="J469" t="s">
        <v>1160</v>
      </c>
      <c r="K469">
        <v>260</v>
      </c>
      <c r="L469">
        <v>40.89</v>
      </c>
      <c r="M469" s="1">
        <v>46175</v>
      </c>
      <c r="N469" t="str">
        <f>IF(po_master[[#This Row],[Approved By]]="", "Missing Approval", "OK")</f>
        <v>OK</v>
      </c>
      <c r="O469" t="str">
        <f>IF(ISBLANK(po_master[[#This Row],[GR Quantity]]), "No GR - Not received", "OK")</f>
        <v>OK</v>
      </c>
      <c r="P469" t="str">
        <f>IF(po_master[[#This Row],[Promised Delivey Date]]&lt;po_master[[#This Row],[Order Date]], "Invalid", "OK")</f>
        <v>OK</v>
      </c>
      <c r="Q469" t="str">
        <f>IF(ISBLANK(po_master[[#This Row],[Invoice Number]]), "No Invoice", "OK")</f>
        <v>OK</v>
      </c>
      <c r="R469" t="str">
        <f>IF(AND(NOT(ISBLANK(po_master[[#This Row],[GR Quantity]])), po_master[[#This Row],[GR Quantity]]&lt;&gt;po_master[[#This Row],[PO Quantity]]), "Qty Variance", "OK")</f>
        <v>OK</v>
      </c>
      <c r="S469" t="str">
        <f>IF(po_master[[#This Row],[Invoice Unit Price]]&gt;po_master[[#This Row],[PO Unit Price]]*1.01, "Price Variance", "OK")</f>
        <v>OK</v>
      </c>
      <c r="T469" t="str">
        <f>IF(po_master[[#This Row],[Actual Delivery Date]]&gt;po_master[[#This Row],[Promised Delivey Date]], "Late Delivery", "OK")</f>
        <v>Late Delivery</v>
      </c>
      <c r="U469" t="str">
        <f>IF(COUNTIF(po_master[PO Number],po_master[[#This Row],[PO Number]])&gt;1, "Duplicate Invoice", "OK")</f>
        <v>OK</v>
      </c>
      <c r="V469" s="5">
        <f>IF(po_master[[#This Row],[Missing Approval]]="Missing Approval", 1, 0)</f>
        <v>0</v>
      </c>
      <c r="W469" s="5">
        <f>IF(po_master[[#This Row],[GR Receipt Status]]="No GR - Not Received", 1, 0)</f>
        <v>0</v>
      </c>
      <c r="X469" s="5">
        <f>IF(po_master[[#This Row],[No invoice]]="No Invoice", 1, 0)</f>
        <v>0</v>
      </c>
      <c r="Y469" s="5">
        <f>IF(po_master[[#This Row],[Date Check]]="Invalid Date", 1, 0)</f>
        <v>0</v>
      </c>
      <c r="Z469" s="5">
        <f>IF(po_master[[#This Row],[Qty Variance Flag]]="Qty Variance", 1, 0)</f>
        <v>0</v>
      </c>
      <c r="AA469" s="5">
        <f>IF(po_master[[#This Row],[Price Variance Flag]]="Price Variance", 1, 0)</f>
        <v>0</v>
      </c>
      <c r="AB469" s="5">
        <f>IF(po_master[[#This Row],[Late Delivery Flag]]="Late Delivery", 1, 0)</f>
        <v>1</v>
      </c>
      <c r="AC469" s="5">
        <f>IF(po_master[[#This Row],[Duplicate Invoice Flag]]="Duplicate Invoice", 1, 0)</f>
        <v>0</v>
      </c>
      <c r="AD469" s="5" t="str">
        <f>TEXT(po_master[[#This Row],[Order Date]],"YYYY-MM")</f>
        <v>2026-05</v>
      </c>
    </row>
    <row r="470" spans="1:30" x14ac:dyDescent="0.25">
      <c r="A470" t="s">
        <v>416</v>
      </c>
      <c r="B470" t="s">
        <v>1491</v>
      </c>
      <c r="C470" s="1">
        <v>46031</v>
      </c>
      <c r="D470">
        <v>439</v>
      </c>
      <c r="E470">
        <v>170.11</v>
      </c>
      <c r="F470" t="s">
        <v>1467</v>
      </c>
      <c r="G470" s="1">
        <v>46037</v>
      </c>
      <c r="H470">
        <v>439</v>
      </c>
      <c r="I470" s="1">
        <v>46037</v>
      </c>
      <c r="J470" t="s">
        <v>1161</v>
      </c>
      <c r="K470">
        <v>439</v>
      </c>
      <c r="L470">
        <v>170.11</v>
      </c>
      <c r="M470" s="1">
        <v>46043</v>
      </c>
      <c r="N470" t="str">
        <f>IF(po_master[[#This Row],[Approved By]]="", "Missing Approval", "OK")</f>
        <v>OK</v>
      </c>
      <c r="O470" t="str">
        <f>IF(ISBLANK(po_master[[#This Row],[GR Quantity]]), "No GR - Not received", "OK")</f>
        <v>OK</v>
      </c>
      <c r="P470" t="str">
        <f>IF(po_master[[#This Row],[Promised Delivey Date]]&lt;po_master[[#This Row],[Order Date]], "Invalid", "OK")</f>
        <v>OK</v>
      </c>
      <c r="Q470" t="str">
        <f>IF(ISBLANK(po_master[[#This Row],[Invoice Number]]), "No Invoice", "OK")</f>
        <v>OK</v>
      </c>
      <c r="R470" t="str">
        <f>IF(AND(NOT(ISBLANK(po_master[[#This Row],[GR Quantity]])), po_master[[#This Row],[GR Quantity]]&lt;&gt;po_master[[#This Row],[PO Quantity]]), "Qty Variance", "OK")</f>
        <v>OK</v>
      </c>
      <c r="S470" t="str">
        <f>IF(po_master[[#This Row],[Invoice Unit Price]]&gt;po_master[[#This Row],[PO Unit Price]]*1.01, "Price Variance", "OK")</f>
        <v>OK</v>
      </c>
      <c r="T470" t="str">
        <f>IF(po_master[[#This Row],[Actual Delivery Date]]&gt;po_master[[#This Row],[Promised Delivey Date]], "Late Delivery", "OK")</f>
        <v>OK</v>
      </c>
      <c r="U470" t="str">
        <f>IF(COUNTIF(po_master[PO Number],po_master[[#This Row],[PO Number]])&gt;1, "Duplicate Invoice", "OK")</f>
        <v>OK</v>
      </c>
      <c r="V470" s="5">
        <f>IF(po_master[[#This Row],[Missing Approval]]="Missing Approval", 1, 0)</f>
        <v>0</v>
      </c>
      <c r="W470" s="5">
        <f>IF(po_master[[#This Row],[GR Receipt Status]]="No GR - Not Received", 1, 0)</f>
        <v>0</v>
      </c>
      <c r="X470" s="5">
        <f>IF(po_master[[#This Row],[No invoice]]="No Invoice", 1, 0)</f>
        <v>0</v>
      </c>
      <c r="Y470" s="5">
        <f>IF(po_master[[#This Row],[Date Check]]="Invalid Date", 1, 0)</f>
        <v>0</v>
      </c>
      <c r="Z470" s="5">
        <f>IF(po_master[[#This Row],[Qty Variance Flag]]="Qty Variance", 1, 0)</f>
        <v>0</v>
      </c>
      <c r="AA470" s="5">
        <f>IF(po_master[[#This Row],[Price Variance Flag]]="Price Variance", 1, 0)</f>
        <v>0</v>
      </c>
      <c r="AB470" s="5">
        <f>IF(po_master[[#This Row],[Late Delivery Flag]]="Late Delivery", 1, 0)</f>
        <v>0</v>
      </c>
      <c r="AC470" s="5">
        <f>IF(po_master[[#This Row],[Duplicate Invoice Flag]]="Duplicate Invoice", 1, 0)</f>
        <v>0</v>
      </c>
      <c r="AD470" s="5" t="str">
        <f>TEXT(po_master[[#This Row],[Order Date]],"YYYY-MM")</f>
        <v>2026-01</v>
      </c>
    </row>
    <row r="471" spans="1:30" x14ac:dyDescent="0.25">
      <c r="A471" t="s">
        <v>417</v>
      </c>
      <c r="B471" t="s">
        <v>1481</v>
      </c>
      <c r="C471" s="1">
        <v>46128</v>
      </c>
      <c r="D471">
        <v>80</v>
      </c>
      <c r="E471">
        <v>169.3</v>
      </c>
      <c r="F471" t="s">
        <v>1440</v>
      </c>
      <c r="G471" s="1">
        <v>46135</v>
      </c>
      <c r="H471">
        <v>80</v>
      </c>
      <c r="I471" s="1">
        <v>46134</v>
      </c>
      <c r="J471" t="s">
        <v>1162</v>
      </c>
      <c r="K471">
        <v>80</v>
      </c>
      <c r="L471">
        <v>169.3</v>
      </c>
      <c r="M471" s="1">
        <v>46141</v>
      </c>
      <c r="N471" t="str">
        <f>IF(po_master[[#This Row],[Approved By]]="", "Missing Approval", "OK")</f>
        <v>OK</v>
      </c>
      <c r="O471" t="str">
        <f>IF(ISBLANK(po_master[[#This Row],[GR Quantity]]), "No GR - Not received", "OK")</f>
        <v>OK</v>
      </c>
      <c r="P471" t="str">
        <f>IF(po_master[[#This Row],[Promised Delivey Date]]&lt;po_master[[#This Row],[Order Date]], "Invalid", "OK")</f>
        <v>OK</v>
      </c>
      <c r="Q471" t="str">
        <f>IF(ISBLANK(po_master[[#This Row],[Invoice Number]]), "No Invoice", "OK")</f>
        <v>OK</v>
      </c>
      <c r="R471" t="str">
        <f>IF(AND(NOT(ISBLANK(po_master[[#This Row],[GR Quantity]])), po_master[[#This Row],[GR Quantity]]&lt;&gt;po_master[[#This Row],[PO Quantity]]), "Qty Variance", "OK")</f>
        <v>OK</v>
      </c>
      <c r="S471" t="str">
        <f>IF(po_master[[#This Row],[Invoice Unit Price]]&gt;po_master[[#This Row],[PO Unit Price]]*1.01, "Price Variance", "OK")</f>
        <v>OK</v>
      </c>
      <c r="T471" t="str">
        <f>IF(po_master[[#This Row],[Actual Delivery Date]]&gt;po_master[[#This Row],[Promised Delivey Date]], "Late Delivery", "OK")</f>
        <v>OK</v>
      </c>
      <c r="U471" t="str">
        <f>IF(COUNTIF(po_master[PO Number],po_master[[#This Row],[PO Number]])&gt;1, "Duplicate Invoice", "OK")</f>
        <v>OK</v>
      </c>
      <c r="V471" s="5">
        <f>IF(po_master[[#This Row],[Missing Approval]]="Missing Approval", 1, 0)</f>
        <v>0</v>
      </c>
      <c r="W471" s="5">
        <f>IF(po_master[[#This Row],[GR Receipt Status]]="No GR - Not Received", 1, 0)</f>
        <v>0</v>
      </c>
      <c r="X471" s="5">
        <f>IF(po_master[[#This Row],[No invoice]]="No Invoice", 1, 0)</f>
        <v>0</v>
      </c>
      <c r="Y471" s="5">
        <f>IF(po_master[[#This Row],[Date Check]]="Invalid Date", 1, 0)</f>
        <v>0</v>
      </c>
      <c r="Z471" s="5">
        <f>IF(po_master[[#This Row],[Qty Variance Flag]]="Qty Variance", 1, 0)</f>
        <v>0</v>
      </c>
      <c r="AA471" s="5">
        <f>IF(po_master[[#This Row],[Price Variance Flag]]="Price Variance", 1, 0)</f>
        <v>0</v>
      </c>
      <c r="AB471" s="5">
        <f>IF(po_master[[#This Row],[Late Delivery Flag]]="Late Delivery", 1, 0)</f>
        <v>0</v>
      </c>
      <c r="AC471" s="5">
        <f>IF(po_master[[#This Row],[Duplicate Invoice Flag]]="Duplicate Invoice", 1, 0)</f>
        <v>0</v>
      </c>
      <c r="AD471" s="5" t="str">
        <f>TEXT(po_master[[#This Row],[Order Date]],"YYYY-MM")</f>
        <v>2026-04</v>
      </c>
    </row>
    <row r="472" spans="1:30" x14ac:dyDescent="0.25">
      <c r="A472" t="s">
        <v>418</v>
      </c>
      <c r="B472" t="s">
        <v>1455</v>
      </c>
      <c r="C472" s="1">
        <v>46061</v>
      </c>
      <c r="D472">
        <v>14</v>
      </c>
      <c r="E472">
        <v>47.65</v>
      </c>
      <c r="F472" t="s">
        <v>1469</v>
      </c>
      <c r="G472" s="1">
        <v>46077</v>
      </c>
      <c r="H472">
        <v>14</v>
      </c>
      <c r="I472" s="1">
        <v>46097</v>
      </c>
      <c r="J472" t="s">
        <v>1163</v>
      </c>
      <c r="K472">
        <v>14</v>
      </c>
      <c r="L472">
        <v>47.65</v>
      </c>
      <c r="M472" s="1">
        <v>46084</v>
      </c>
      <c r="N472" t="str">
        <f>IF(po_master[[#This Row],[Approved By]]="", "Missing Approval", "OK")</f>
        <v>OK</v>
      </c>
      <c r="O472" t="str">
        <f>IF(ISBLANK(po_master[[#This Row],[GR Quantity]]), "No GR - Not received", "OK")</f>
        <v>OK</v>
      </c>
      <c r="P472" t="str">
        <f>IF(po_master[[#This Row],[Promised Delivey Date]]&lt;po_master[[#This Row],[Order Date]], "Invalid", "OK")</f>
        <v>OK</v>
      </c>
      <c r="Q472" t="str">
        <f>IF(ISBLANK(po_master[[#This Row],[Invoice Number]]), "No Invoice", "OK")</f>
        <v>OK</v>
      </c>
      <c r="R472" t="str">
        <f>IF(AND(NOT(ISBLANK(po_master[[#This Row],[GR Quantity]])), po_master[[#This Row],[GR Quantity]]&lt;&gt;po_master[[#This Row],[PO Quantity]]), "Qty Variance", "OK")</f>
        <v>OK</v>
      </c>
      <c r="S472" t="str">
        <f>IF(po_master[[#This Row],[Invoice Unit Price]]&gt;po_master[[#This Row],[PO Unit Price]]*1.01, "Price Variance", "OK")</f>
        <v>OK</v>
      </c>
      <c r="T472" t="str">
        <f>IF(po_master[[#This Row],[Actual Delivery Date]]&gt;po_master[[#This Row],[Promised Delivey Date]], "Late Delivery", "OK")</f>
        <v>Late Delivery</v>
      </c>
      <c r="U472" t="str">
        <f>IF(COUNTIF(po_master[PO Number],po_master[[#This Row],[PO Number]])&gt;1, "Duplicate Invoice", "OK")</f>
        <v>OK</v>
      </c>
      <c r="V472" s="5">
        <f>IF(po_master[[#This Row],[Missing Approval]]="Missing Approval", 1, 0)</f>
        <v>0</v>
      </c>
      <c r="W472" s="5">
        <f>IF(po_master[[#This Row],[GR Receipt Status]]="No GR - Not Received", 1, 0)</f>
        <v>0</v>
      </c>
      <c r="X472" s="5">
        <f>IF(po_master[[#This Row],[No invoice]]="No Invoice", 1, 0)</f>
        <v>0</v>
      </c>
      <c r="Y472" s="5">
        <f>IF(po_master[[#This Row],[Date Check]]="Invalid Date", 1, 0)</f>
        <v>0</v>
      </c>
      <c r="Z472" s="5">
        <f>IF(po_master[[#This Row],[Qty Variance Flag]]="Qty Variance", 1, 0)</f>
        <v>0</v>
      </c>
      <c r="AA472" s="5">
        <f>IF(po_master[[#This Row],[Price Variance Flag]]="Price Variance", 1, 0)</f>
        <v>0</v>
      </c>
      <c r="AB472" s="5">
        <f>IF(po_master[[#This Row],[Late Delivery Flag]]="Late Delivery", 1, 0)</f>
        <v>1</v>
      </c>
      <c r="AC472" s="5">
        <f>IF(po_master[[#This Row],[Duplicate Invoice Flag]]="Duplicate Invoice", 1, 0)</f>
        <v>0</v>
      </c>
      <c r="AD472" s="5" t="str">
        <f>TEXT(po_master[[#This Row],[Order Date]],"YYYY-MM")</f>
        <v>2026-02</v>
      </c>
    </row>
    <row r="473" spans="1:30" x14ac:dyDescent="0.25">
      <c r="A473" t="s">
        <v>1143</v>
      </c>
      <c r="B473" t="s">
        <v>1495</v>
      </c>
      <c r="C473" s="1">
        <v>46165</v>
      </c>
      <c r="D473">
        <v>281</v>
      </c>
      <c r="E473">
        <v>31.15</v>
      </c>
      <c r="F473" t="s">
        <v>1440</v>
      </c>
      <c r="G473" s="1">
        <v>46178</v>
      </c>
      <c r="I473" s="1"/>
      <c r="J473" t="s">
        <v>1144</v>
      </c>
      <c r="K473">
        <v>281</v>
      </c>
      <c r="L473">
        <v>31.15</v>
      </c>
      <c r="M473" s="1">
        <v>46187</v>
      </c>
      <c r="N473" t="str">
        <f>IF(po_master[[#This Row],[Approved By]]="", "Missing Approval", "OK")</f>
        <v>OK</v>
      </c>
      <c r="O473" t="str">
        <f>IF(ISBLANK(po_master[[#This Row],[GR Quantity]]), "No GR - Not received", "OK")</f>
        <v>No GR - Not received</v>
      </c>
      <c r="P473" t="str">
        <f>IF(po_master[[#This Row],[Promised Delivey Date]]&lt;po_master[[#This Row],[Order Date]], "Invalid", "OK")</f>
        <v>OK</v>
      </c>
      <c r="Q473" t="str">
        <f>IF(ISBLANK(po_master[[#This Row],[Invoice Number]]), "No Invoice", "OK")</f>
        <v>OK</v>
      </c>
      <c r="R473" t="str">
        <f>IF(AND(NOT(ISBLANK(po_master[[#This Row],[GR Quantity]])), po_master[[#This Row],[GR Quantity]]&lt;&gt;po_master[[#This Row],[PO Quantity]]), "Qty Variance", "OK")</f>
        <v>OK</v>
      </c>
      <c r="S473" t="str">
        <f>IF(po_master[[#This Row],[Invoice Unit Price]]&gt;po_master[[#This Row],[PO Unit Price]]*1.01, "Price Variance", "OK")</f>
        <v>OK</v>
      </c>
      <c r="T473" t="str">
        <f>IF(po_master[[#This Row],[Actual Delivery Date]]&gt;po_master[[#This Row],[Promised Delivey Date]], "Late Delivery", "OK")</f>
        <v>OK</v>
      </c>
      <c r="U473" t="str">
        <f>IF(COUNTIF(po_master[PO Number],po_master[[#This Row],[PO Number]])&gt;1, "Duplicate Invoice", "OK")</f>
        <v>OK</v>
      </c>
      <c r="V473" s="5">
        <f>IF(po_master[[#This Row],[Missing Approval]]="Missing Approval", 1, 0)</f>
        <v>0</v>
      </c>
      <c r="W473" s="5">
        <f>IF(po_master[[#This Row],[GR Receipt Status]]="No GR - Not Received", 1, 0)</f>
        <v>1</v>
      </c>
      <c r="X473" s="5">
        <f>IF(po_master[[#This Row],[No invoice]]="No Invoice", 1, 0)</f>
        <v>0</v>
      </c>
      <c r="Y473" s="5">
        <f>IF(po_master[[#This Row],[Date Check]]="Invalid Date", 1, 0)</f>
        <v>0</v>
      </c>
      <c r="Z473" s="5">
        <f>IF(po_master[[#This Row],[Qty Variance Flag]]="Qty Variance", 1, 0)</f>
        <v>0</v>
      </c>
      <c r="AA473" s="5">
        <f>IF(po_master[[#This Row],[Price Variance Flag]]="Price Variance", 1, 0)</f>
        <v>0</v>
      </c>
      <c r="AB473" s="5">
        <f>IF(po_master[[#This Row],[Late Delivery Flag]]="Late Delivery", 1, 0)</f>
        <v>0</v>
      </c>
      <c r="AC473" s="5">
        <f>IF(po_master[[#This Row],[Duplicate Invoice Flag]]="Duplicate Invoice", 1, 0)</f>
        <v>0</v>
      </c>
      <c r="AD473" s="5" t="str">
        <f>TEXT(po_master[[#This Row],[Order Date]],"YYYY-MM")</f>
        <v>2026-05</v>
      </c>
    </row>
    <row r="474" spans="1:30" x14ac:dyDescent="0.25">
      <c r="A474" t="s">
        <v>419</v>
      </c>
      <c r="B474" t="s">
        <v>1481</v>
      </c>
      <c r="C474" s="1">
        <v>46027</v>
      </c>
      <c r="D474">
        <v>281</v>
      </c>
      <c r="E474">
        <v>145.83000000000001</v>
      </c>
      <c r="F474" t="s">
        <v>1442</v>
      </c>
      <c r="G474" s="1">
        <v>46041</v>
      </c>
      <c r="H474">
        <v>281</v>
      </c>
      <c r="I474" s="1">
        <v>46043</v>
      </c>
      <c r="J474" t="s">
        <v>1166</v>
      </c>
      <c r="K474">
        <v>281</v>
      </c>
      <c r="L474">
        <v>145.83000000000001</v>
      </c>
      <c r="M474" s="1">
        <v>46042</v>
      </c>
      <c r="N474" t="str">
        <f>IF(po_master[[#This Row],[Approved By]]="", "Missing Approval", "OK")</f>
        <v>OK</v>
      </c>
      <c r="O474" t="str">
        <f>IF(ISBLANK(po_master[[#This Row],[GR Quantity]]), "No GR - Not received", "OK")</f>
        <v>OK</v>
      </c>
      <c r="P474" t="str">
        <f>IF(po_master[[#This Row],[Promised Delivey Date]]&lt;po_master[[#This Row],[Order Date]], "Invalid", "OK")</f>
        <v>OK</v>
      </c>
      <c r="Q474" t="str">
        <f>IF(ISBLANK(po_master[[#This Row],[Invoice Number]]), "No Invoice", "OK")</f>
        <v>OK</v>
      </c>
      <c r="R474" t="str">
        <f>IF(AND(NOT(ISBLANK(po_master[[#This Row],[GR Quantity]])), po_master[[#This Row],[GR Quantity]]&lt;&gt;po_master[[#This Row],[PO Quantity]]), "Qty Variance", "OK")</f>
        <v>OK</v>
      </c>
      <c r="S474" t="str">
        <f>IF(po_master[[#This Row],[Invoice Unit Price]]&gt;po_master[[#This Row],[PO Unit Price]]*1.01, "Price Variance", "OK")</f>
        <v>OK</v>
      </c>
      <c r="T474" t="str">
        <f>IF(po_master[[#This Row],[Actual Delivery Date]]&gt;po_master[[#This Row],[Promised Delivey Date]], "Late Delivery", "OK")</f>
        <v>Late Delivery</v>
      </c>
      <c r="U474" t="str">
        <f>IF(COUNTIF(po_master[PO Number],po_master[[#This Row],[PO Number]])&gt;1, "Duplicate Invoice", "OK")</f>
        <v>OK</v>
      </c>
      <c r="V474" s="5">
        <f>IF(po_master[[#This Row],[Missing Approval]]="Missing Approval", 1, 0)</f>
        <v>0</v>
      </c>
      <c r="W474" s="5">
        <f>IF(po_master[[#This Row],[GR Receipt Status]]="No GR - Not Received", 1, 0)</f>
        <v>0</v>
      </c>
      <c r="X474" s="5">
        <f>IF(po_master[[#This Row],[No invoice]]="No Invoice", 1, 0)</f>
        <v>0</v>
      </c>
      <c r="Y474" s="5">
        <f>IF(po_master[[#This Row],[Date Check]]="Invalid Date", 1, 0)</f>
        <v>0</v>
      </c>
      <c r="Z474" s="5">
        <f>IF(po_master[[#This Row],[Qty Variance Flag]]="Qty Variance", 1, 0)</f>
        <v>0</v>
      </c>
      <c r="AA474" s="5">
        <f>IF(po_master[[#This Row],[Price Variance Flag]]="Price Variance", 1, 0)</f>
        <v>0</v>
      </c>
      <c r="AB474" s="5">
        <f>IF(po_master[[#This Row],[Late Delivery Flag]]="Late Delivery", 1, 0)</f>
        <v>1</v>
      </c>
      <c r="AC474" s="5">
        <f>IF(po_master[[#This Row],[Duplicate Invoice Flag]]="Duplicate Invoice", 1, 0)</f>
        <v>0</v>
      </c>
      <c r="AD474" s="5" t="str">
        <f>TEXT(po_master[[#This Row],[Order Date]],"YYYY-MM")</f>
        <v>2026-01</v>
      </c>
    </row>
    <row r="475" spans="1:30" x14ac:dyDescent="0.25">
      <c r="A475" t="s">
        <v>420</v>
      </c>
      <c r="B475" t="s">
        <v>1473</v>
      </c>
      <c r="C475" s="1">
        <v>46151</v>
      </c>
      <c r="D475">
        <v>426</v>
      </c>
      <c r="E475">
        <v>141.08000000000001</v>
      </c>
      <c r="F475" t="s">
        <v>1507</v>
      </c>
      <c r="G475" s="1">
        <v>46161</v>
      </c>
      <c r="H475">
        <v>426</v>
      </c>
      <c r="I475" s="1">
        <v>46160</v>
      </c>
      <c r="J475" t="s">
        <v>1167</v>
      </c>
      <c r="K475">
        <v>426</v>
      </c>
      <c r="L475">
        <v>141.08000000000001</v>
      </c>
      <c r="M475" s="1">
        <v>46166</v>
      </c>
      <c r="N475" t="str">
        <f>IF(po_master[[#This Row],[Approved By]]="", "Missing Approval", "OK")</f>
        <v>OK</v>
      </c>
      <c r="O475" t="str">
        <f>IF(ISBLANK(po_master[[#This Row],[GR Quantity]]), "No GR - Not received", "OK")</f>
        <v>OK</v>
      </c>
      <c r="P475" t="str">
        <f>IF(po_master[[#This Row],[Promised Delivey Date]]&lt;po_master[[#This Row],[Order Date]], "Invalid", "OK")</f>
        <v>OK</v>
      </c>
      <c r="Q475" t="str">
        <f>IF(ISBLANK(po_master[[#This Row],[Invoice Number]]), "No Invoice", "OK")</f>
        <v>OK</v>
      </c>
      <c r="R475" t="str">
        <f>IF(AND(NOT(ISBLANK(po_master[[#This Row],[GR Quantity]])), po_master[[#This Row],[GR Quantity]]&lt;&gt;po_master[[#This Row],[PO Quantity]]), "Qty Variance", "OK")</f>
        <v>OK</v>
      </c>
      <c r="S475" t="str">
        <f>IF(po_master[[#This Row],[Invoice Unit Price]]&gt;po_master[[#This Row],[PO Unit Price]]*1.01, "Price Variance", "OK")</f>
        <v>OK</v>
      </c>
      <c r="T475" t="str">
        <f>IF(po_master[[#This Row],[Actual Delivery Date]]&gt;po_master[[#This Row],[Promised Delivey Date]], "Late Delivery", "OK")</f>
        <v>OK</v>
      </c>
      <c r="U475" t="str">
        <f>IF(COUNTIF(po_master[PO Number],po_master[[#This Row],[PO Number]])&gt;1, "Duplicate Invoice", "OK")</f>
        <v>OK</v>
      </c>
      <c r="V475" s="5">
        <f>IF(po_master[[#This Row],[Missing Approval]]="Missing Approval", 1, 0)</f>
        <v>0</v>
      </c>
      <c r="W475" s="5">
        <f>IF(po_master[[#This Row],[GR Receipt Status]]="No GR - Not Received", 1, 0)</f>
        <v>0</v>
      </c>
      <c r="X475" s="5">
        <f>IF(po_master[[#This Row],[No invoice]]="No Invoice", 1, 0)</f>
        <v>0</v>
      </c>
      <c r="Y475" s="5">
        <f>IF(po_master[[#This Row],[Date Check]]="Invalid Date", 1, 0)</f>
        <v>0</v>
      </c>
      <c r="Z475" s="5">
        <f>IF(po_master[[#This Row],[Qty Variance Flag]]="Qty Variance", 1, 0)</f>
        <v>0</v>
      </c>
      <c r="AA475" s="5">
        <f>IF(po_master[[#This Row],[Price Variance Flag]]="Price Variance", 1, 0)</f>
        <v>0</v>
      </c>
      <c r="AB475" s="5">
        <f>IF(po_master[[#This Row],[Late Delivery Flag]]="Late Delivery", 1, 0)</f>
        <v>0</v>
      </c>
      <c r="AC475" s="5">
        <f>IF(po_master[[#This Row],[Duplicate Invoice Flag]]="Duplicate Invoice", 1, 0)</f>
        <v>0</v>
      </c>
      <c r="AD475" s="5" t="str">
        <f>TEXT(po_master[[#This Row],[Order Date]],"YYYY-MM")</f>
        <v>2026-05</v>
      </c>
    </row>
    <row r="476" spans="1:30" x14ac:dyDescent="0.25">
      <c r="A476" t="s">
        <v>421</v>
      </c>
      <c r="B476" t="s">
        <v>1450</v>
      </c>
      <c r="C476" s="1">
        <v>46047</v>
      </c>
      <c r="D476">
        <v>278</v>
      </c>
      <c r="E476">
        <v>34.04</v>
      </c>
      <c r="F476" t="s">
        <v>1444</v>
      </c>
      <c r="G476" s="1">
        <v>46068</v>
      </c>
      <c r="H476">
        <v>278</v>
      </c>
      <c r="I476" s="1">
        <v>46074</v>
      </c>
      <c r="J476" t="s">
        <v>1168</v>
      </c>
      <c r="K476">
        <v>278</v>
      </c>
      <c r="L476">
        <v>34.04</v>
      </c>
      <c r="M476" s="1">
        <v>46071</v>
      </c>
      <c r="N476" t="str">
        <f>IF(po_master[[#This Row],[Approved By]]="", "Missing Approval", "OK")</f>
        <v>OK</v>
      </c>
      <c r="O476" t="str">
        <f>IF(ISBLANK(po_master[[#This Row],[GR Quantity]]), "No GR - Not received", "OK")</f>
        <v>OK</v>
      </c>
      <c r="P476" t="str">
        <f>IF(po_master[[#This Row],[Promised Delivey Date]]&lt;po_master[[#This Row],[Order Date]], "Invalid", "OK")</f>
        <v>OK</v>
      </c>
      <c r="Q476" t="str">
        <f>IF(ISBLANK(po_master[[#This Row],[Invoice Number]]), "No Invoice", "OK")</f>
        <v>OK</v>
      </c>
      <c r="R476" t="str">
        <f>IF(AND(NOT(ISBLANK(po_master[[#This Row],[GR Quantity]])), po_master[[#This Row],[GR Quantity]]&lt;&gt;po_master[[#This Row],[PO Quantity]]), "Qty Variance", "OK")</f>
        <v>OK</v>
      </c>
      <c r="S476" t="str">
        <f>IF(po_master[[#This Row],[Invoice Unit Price]]&gt;po_master[[#This Row],[PO Unit Price]]*1.01, "Price Variance", "OK")</f>
        <v>OK</v>
      </c>
      <c r="T476" t="str">
        <f>IF(po_master[[#This Row],[Actual Delivery Date]]&gt;po_master[[#This Row],[Promised Delivey Date]], "Late Delivery", "OK")</f>
        <v>Late Delivery</v>
      </c>
      <c r="U476" t="str">
        <f>IF(COUNTIF(po_master[PO Number],po_master[[#This Row],[PO Number]])&gt;1, "Duplicate Invoice", "OK")</f>
        <v>OK</v>
      </c>
      <c r="V476" s="5">
        <f>IF(po_master[[#This Row],[Missing Approval]]="Missing Approval", 1, 0)</f>
        <v>0</v>
      </c>
      <c r="W476" s="5">
        <f>IF(po_master[[#This Row],[GR Receipt Status]]="No GR - Not Received", 1, 0)</f>
        <v>0</v>
      </c>
      <c r="X476" s="5">
        <f>IF(po_master[[#This Row],[No invoice]]="No Invoice", 1, 0)</f>
        <v>0</v>
      </c>
      <c r="Y476" s="5">
        <f>IF(po_master[[#This Row],[Date Check]]="Invalid Date", 1, 0)</f>
        <v>0</v>
      </c>
      <c r="Z476" s="5">
        <f>IF(po_master[[#This Row],[Qty Variance Flag]]="Qty Variance", 1, 0)</f>
        <v>0</v>
      </c>
      <c r="AA476" s="5">
        <f>IF(po_master[[#This Row],[Price Variance Flag]]="Price Variance", 1, 0)</f>
        <v>0</v>
      </c>
      <c r="AB476" s="5">
        <f>IF(po_master[[#This Row],[Late Delivery Flag]]="Late Delivery", 1, 0)</f>
        <v>1</v>
      </c>
      <c r="AC476" s="5">
        <f>IF(po_master[[#This Row],[Duplicate Invoice Flag]]="Duplicate Invoice", 1, 0)</f>
        <v>0</v>
      </c>
      <c r="AD476" s="5" t="str">
        <f>TEXT(po_master[[#This Row],[Order Date]],"YYYY-MM")</f>
        <v>2026-01</v>
      </c>
    </row>
    <row r="477" spans="1:30" x14ac:dyDescent="0.25">
      <c r="A477" t="s">
        <v>422</v>
      </c>
      <c r="B477" t="s">
        <v>1470</v>
      </c>
      <c r="C477" s="1">
        <v>46113</v>
      </c>
      <c r="D477">
        <v>146</v>
      </c>
      <c r="E477">
        <v>160.01</v>
      </c>
      <c r="F477" t="s">
        <v>1476</v>
      </c>
      <c r="G477" s="1">
        <v>46129</v>
      </c>
      <c r="H477">
        <v>146</v>
      </c>
      <c r="I477" s="1">
        <v>46130</v>
      </c>
      <c r="J477" t="s">
        <v>1169</v>
      </c>
      <c r="K477">
        <v>146</v>
      </c>
      <c r="L477">
        <v>160.01</v>
      </c>
      <c r="M477" s="1">
        <v>46132</v>
      </c>
      <c r="N477" t="str">
        <f>IF(po_master[[#This Row],[Approved By]]="", "Missing Approval", "OK")</f>
        <v>OK</v>
      </c>
      <c r="O477" t="str">
        <f>IF(ISBLANK(po_master[[#This Row],[GR Quantity]]), "No GR - Not received", "OK")</f>
        <v>OK</v>
      </c>
      <c r="P477" t="str">
        <f>IF(po_master[[#This Row],[Promised Delivey Date]]&lt;po_master[[#This Row],[Order Date]], "Invalid", "OK")</f>
        <v>OK</v>
      </c>
      <c r="Q477" t="str">
        <f>IF(ISBLANK(po_master[[#This Row],[Invoice Number]]), "No Invoice", "OK")</f>
        <v>OK</v>
      </c>
      <c r="R477" t="str">
        <f>IF(AND(NOT(ISBLANK(po_master[[#This Row],[GR Quantity]])), po_master[[#This Row],[GR Quantity]]&lt;&gt;po_master[[#This Row],[PO Quantity]]), "Qty Variance", "OK")</f>
        <v>OK</v>
      </c>
      <c r="S477" t="str">
        <f>IF(po_master[[#This Row],[Invoice Unit Price]]&gt;po_master[[#This Row],[PO Unit Price]]*1.01, "Price Variance", "OK")</f>
        <v>OK</v>
      </c>
      <c r="T477" t="str">
        <f>IF(po_master[[#This Row],[Actual Delivery Date]]&gt;po_master[[#This Row],[Promised Delivey Date]], "Late Delivery", "OK")</f>
        <v>Late Delivery</v>
      </c>
      <c r="U477" t="str">
        <f>IF(COUNTIF(po_master[PO Number],po_master[[#This Row],[PO Number]])&gt;1, "Duplicate Invoice", "OK")</f>
        <v>Duplicate Invoice</v>
      </c>
      <c r="V477" s="5">
        <f>IF(po_master[[#This Row],[Missing Approval]]="Missing Approval", 1, 0)</f>
        <v>0</v>
      </c>
      <c r="W477" s="5">
        <f>IF(po_master[[#This Row],[GR Receipt Status]]="No GR - Not Received", 1, 0)</f>
        <v>0</v>
      </c>
      <c r="X477" s="5">
        <f>IF(po_master[[#This Row],[No invoice]]="No Invoice", 1, 0)</f>
        <v>0</v>
      </c>
      <c r="Y477" s="5">
        <f>IF(po_master[[#This Row],[Date Check]]="Invalid Date", 1, 0)</f>
        <v>0</v>
      </c>
      <c r="Z477" s="5">
        <f>IF(po_master[[#This Row],[Qty Variance Flag]]="Qty Variance", 1, 0)</f>
        <v>0</v>
      </c>
      <c r="AA477" s="5">
        <f>IF(po_master[[#This Row],[Price Variance Flag]]="Price Variance", 1, 0)</f>
        <v>0</v>
      </c>
      <c r="AB477" s="5">
        <f>IF(po_master[[#This Row],[Late Delivery Flag]]="Late Delivery", 1, 0)</f>
        <v>1</v>
      </c>
      <c r="AC477" s="5">
        <f>IF(po_master[[#This Row],[Duplicate Invoice Flag]]="Duplicate Invoice", 1, 0)</f>
        <v>1</v>
      </c>
      <c r="AD477" s="5" t="str">
        <f>TEXT(po_master[[#This Row],[Order Date]],"YYYY-MM")</f>
        <v>2026-04</v>
      </c>
    </row>
    <row r="478" spans="1:30" x14ac:dyDescent="0.25">
      <c r="A478" t="s">
        <v>422</v>
      </c>
      <c r="B478" t="s">
        <v>1470</v>
      </c>
      <c r="C478" s="1">
        <v>46113</v>
      </c>
      <c r="D478">
        <v>146</v>
      </c>
      <c r="E478">
        <v>160.01</v>
      </c>
      <c r="F478" t="s">
        <v>1476</v>
      </c>
      <c r="G478" s="1">
        <v>46129</v>
      </c>
      <c r="H478">
        <v>146</v>
      </c>
      <c r="I478" s="1">
        <v>46130</v>
      </c>
      <c r="J478" t="s">
        <v>1170</v>
      </c>
      <c r="K478">
        <v>146</v>
      </c>
      <c r="L478">
        <v>160.01</v>
      </c>
      <c r="M478" s="1">
        <v>46133</v>
      </c>
      <c r="N478" t="str">
        <f>IF(po_master[[#This Row],[Approved By]]="", "Missing Approval", "OK")</f>
        <v>OK</v>
      </c>
      <c r="O478" t="str">
        <f>IF(ISBLANK(po_master[[#This Row],[GR Quantity]]), "No GR - Not received", "OK")</f>
        <v>OK</v>
      </c>
      <c r="P478" t="str">
        <f>IF(po_master[[#This Row],[Promised Delivey Date]]&lt;po_master[[#This Row],[Order Date]], "Invalid", "OK")</f>
        <v>OK</v>
      </c>
      <c r="Q478" t="str">
        <f>IF(ISBLANK(po_master[[#This Row],[Invoice Number]]), "No Invoice", "OK")</f>
        <v>OK</v>
      </c>
      <c r="R478" t="str">
        <f>IF(AND(NOT(ISBLANK(po_master[[#This Row],[GR Quantity]])), po_master[[#This Row],[GR Quantity]]&lt;&gt;po_master[[#This Row],[PO Quantity]]), "Qty Variance", "OK")</f>
        <v>OK</v>
      </c>
      <c r="S478" t="str">
        <f>IF(po_master[[#This Row],[Invoice Unit Price]]&gt;po_master[[#This Row],[PO Unit Price]]*1.01, "Price Variance", "OK")</f>
        <v>OK</v>
      </c>
      <c r="T478" t="str">
        <f>IF(po_master[[#This Row],[Actual Delivery Date]]&gt;po_master[[#This Row],[Promised Delivey Date]], "Late Delivery", "OK")</f>
        <v>Late Delivery</v>
      </c>
      <c r="U478" t="str">
        <f>IF(COUNTIF(po_master[PO Number],po_master[[#This Row],[PO Number]])&gt;1, "Duplicate Invoice", "OK")</f>
        <v>Duplicate Invoice</v>
      </c>
      <c r="V478" s="5">
        <f>IF(po_master[[#This Row],[Missing Approval]]="Missing Approval", 1, 0)</f>
        <v>0</v>
      </c>
      <c r="W478" s="5">
        <f>IF(po_master[[#This Row],[GR Receipt Status]]="No GR - Not Received", 1, 0)</f>
        <v>0</v>
      </c>
      <c r="X478" s="5">
        <f>IF(po_master[[#This Row],[No invoice]]="No Invoice", 1, 0)</f>
        <v>0</v>
      </c>
      <c r="Y478" s="5">
        <f>IF(po_master[[#This Row],[Date Check]]="Invalid Date", 1, 0)</f>
        <v>0</v>
      </c>
      <c r="Z478" s="5">
        <f>IF(po_master[[#This Row],[Qty Variance Flag]]="Qty Variance", 1, 0)</f>
        <v>0</v>
      </c>
      <c r="AA478" s="5">
        <f>IF(po_master[[#This Row],[Price Variance Flag]]="Price Variance", 1, 0)</f>
        <v>0</v>
      </c>
      <c r="AB478" s="5">
        <f>IF(po_master[[#This Row],[Late Delivery Flag]]="Late Delivery", 1, 0)</f>
        <v>1</v>
      </c>
      <c r="AC478" s="5">
        <f>IF(po_master[[#This Row],[Duplicate Invoice Flag]]="Duplicate Invoice", 1, 0)</f>
        <v>1</v>
      </c>
      <c r="AD478" s="5" t="str">
        <f>TEXT(po_master[[#This Row],[Order Date]],"YYYY-MM")</f>
        <v>2026-04</v>
      </c>
    </row>
    <row r="479" spans="1:30" x14ac:dyDescent="0.25">
      <c r="A479" t="s">
        <v>423</v>
      </c>
      <c r="B479" t="s">
        <v>1488</v>
      </c>
      <c r="C479" s="1">
        <v>46140</v>
      </c>
      <c r="D479">
        <v>299</v>
      </c>
      <c r="E479">
        <v>52.43</v>
      </c>
      <c r="F479" t="s">
        <v>1499</v>
      </c>
      <c r="G479" s="1">
        <v>46152</v>
      </c>
      <c r="H479">
        <v>299</v>
      </c>
      <c r="I479" s="1">
        <v>46152</v>
      </c>
      <c r="J479" t="s">
        <v>1171</v>
      </c>
      <c r="K479">
        <v>299</v>
      </c>
      <c r="L479">
        <v>52.43</v>
      </c>
      <c r="M479" s="1">
        <v>46159</v>
      </c>
      <c r="N479" t="str">
        <f>IF(po_master[[#This Row],[Approved By]]="", "Missing Approval", "OK")</f>
        <v>OK</v>
      </c>
      <c r="O479" t="str">
        <f>IF(ISBLANK(po_master[[#This Row],[GR Quantity]]), "No GR - Not received", "OK")</f>
        <v>OK</v>
      </c>
      <c r="P479" t="str">
        <f>IF(po_master[[#This Row],[Promised Delivey Date]]&lt;po_master[[#This Row],[Order Date]], "Invalid", "OK")</f>
        <v>OK</v>
      </c>
      <c r="Q479" t="str">
        <f>IF(ISBLANK(po_master[[#This Row],[Invoice Number]]), "No Invoice", "OK")</f>
        <v>OK</v>
      </c>
      <c r="R479" t="str">
        <f>IF(AND(NOT(ISBLANK(po_master[[#This Row],[GR Quantity]])), po_master[[#This Row],[GR Quantity]]&lt;&gt;po_master[[#This Row],[PO Quantity]]), "Qty Variance", "OK")</f>
        <v>OK</v>
      </c>
      <c r="S479" t="str">
        <f>IF(po_master[[#This Row],[Invoice Unit Price]]&gt;po_master[[#This Row],[PO Unit Price]]*1.01, "Price Variance", "OK")</f>
        <v>OK</v>
      </c>
      <c r="T479" t="str">
        <f>IF(po_master[[#This Row],[Actual Delivery Date]]&gt;po_master[[#This Row],[Promised Delivey Date]], "Late Delivery", "OK")</f>
        <v>OK</v>
      </c>
      <c r="U479" t="str">
        <f>IF(COUNTIF(po_master[PO Number],po_master[[#This Row],[PO Number]])&gt;1, "Duplicate Invoice", "OK")</f>
        <v>OK</v>
      </c>
      <c r="V479" s="5">
        <f>IF(po_master[[#This Row],[Missing Approval]]="Missing Approval", 1, 0)</f>
        <v>0</v>
      </c>
      <c r="W479" s="5">
        <f>IF(po_master[[#This Row],[GR Receipt Status]]="No GR - Not Received", 1, 0)</f>
        <v>0</v>
      </c>
      <c r="X479" s="5">
        <f>IF(po_master[[#This Row],[No invoice]]="No Invoice", 1, 0)</f>
        <v>0</v>
      </c>
      <c r="Y479" s="5">
        <f>IF(po_master[[#This Row],[Date Check]]="Invalid Date", 1, 0)</f>
        <v>0</v>
      </c>
      <c r="Z479" s="5">
        <f>IF(po_master[[#This Row],[Qty Variance Flag]]="Qty Variance", 1, 0)</f>
        <v>0</v>
      </c>
      <c r="AA479" s="5">
        <f>IF(po_master[[#This Row],[Price Variance Flag]]="Price Variance", 1, 0)</f>
        <v>0</v>
      </c>
      <c r="AB479" s="5">
        <f>IF(po_master[[#This Row],[Late Delivery Flag]]="Late Delivery", 1, 0)</f>
        <v>0</v>
      </c>
      <c r="AC479" s="5">
        <f>IF(po_master[[#This Row],[Duplicate Invoice Flag]]="Duplicate Invoice", 1, 0)</f>
        <v>0</v>
      </c>
      <c r="AD479" s="5" t="str">
        <f>TEXT(po_master[[#This Row],[Order Date]],"YYYY-MM")</f>
        <v>2026-04</v>
      </c>
    </row>
    <row r="480" spans="1:30" x14ac:dyDescent="0.25">
      <c r="A480" t="s">
        <v>424</v>
      </c>
      <c r="B480" t="s">
        <v>1512</v>
      </c>
      <c r="C480" s="1">
        <v>46043</v>
      </c>
      <c r="D480">
        <v>344</v>
      </c>
      <c r="E480">
        <v>198.38</v>
      </c>
      <c r="F480" t="s">
        <v>1446</v>
      </c>
      <c r="G480" s="1">
        <v>46049</v>
      </c>
      <c r="H480">
        <v>344</v>
      </c>
      <c r="I480" s="1">
        <v>46051</v>
      </c>
      <c r="J480" t="s">
        <v>1172</v>
      </c>
      <c r="K480">
        <v>344</v>
      </c>
      <c r="L480">
        <v>198.38</v>
      </c>
      <c r="M480" s="1">
        <v>46051</v>
      </c>
      <c r="N480" t="str">
        <f>IF(po_master[[#This Row],[Approved By]]="", "Missing Approval", "OK")</f>
        <v>OK</v>
      </c>
      <c r="O480" t="str">
        <f>IF(ISBLANK(po_master[[#This Row],[GR Quantity]]), "No GR - Not received", "OK")</f>
        <v>OK</v>
      </c>
      <c r="P480" t="str">
        <f>IF(po_master[[#This Row],[Promised Delivey Date]]&lt;po_master[[#This Row],[Order Date]], "Invalid", "OK")</f>
        <v>OK</v>
      </c>
      <c r="Q480" t="str">
        <f>IF(ISBLANK(po_master[[#This Row],[Invoice Number]]), "No Invoice", "OK")</f>
        <v>OK</v>
      </c>
      <c r="R480" t="str">
        <f>IF(AND(NOT(ISBLANK(po_master[[#This Row],[GR Quantity]])), po_master[[#This Row],[GR Quantity]]&lt;&gt;po_master[[#This Row],[PO Quantity]]), "Qty Variance", "OK")</f>
        <v>OK</v>
      </c>
      <c r="S480" t="str">
        <f>IF(po_master[[#This Row],[Invoice Unit Price]]&gt;po_master[[#This Row],[PO Unit Price]]*1.01, "Price Variance", "OK")</f>
        <v>OK</v>
      </c>
      <c r="T480" t="str">
        <f>IF(po_master[[#This Row],[Actual Delivery Date]]&gt;po_master[[#This Row],[Promised Delivey Date]], "Late Delivery", "OK")</f>
        <v>Late Delivery</v>
      </c>
      <c r="U480" t="str">
        <f>IF(COUNTIF(po_master[PO Number],po_master[[#This Row],[PO Number]])&gt;1, "Duplicate Invoice", "OK")</f>
        <v>OK</v>
      </c>
      <c r="V480" s="5">
        <f>IF(po_master[[#This Row],[Missing Approval]]="Missing Approval", 1, 0)</f>
        <v>0</v>
      </c>
      <c r="W480" s="5">
        <f>IF(po_master[[#This Row],[GR Receipt Status]]="No GR - Not Received", 1, 0)</f>
        <v>0</v>
      </c>
      <c r="X480" s="5">
        <f>IF(po_master[[#This Row],[No invoice]]="No Invoice", 1, 0)</f>
        <v>0</v>
      </c>
      <c r="Y480" s="5">
        <f>IF(po_master[[#This Row],[Date Check]]="Invalid Date", 1, 0)</f>
        <v>0</v>
      </c>
      <c r="Z480" s="5">
        <f>IF(po_master[[#This Row],[Qty Variance Flag]]="Qty Variance", 1, 0)</f>
        <v>0</v>
      </c>
      <c r="AA480" s="5">
        <f>IF(po_master[[#This Row],[Price Variance Flag]]="Price Variance", 1, 0)</f>
        <v>0</v>
      </c>
      <c r="AB480" s="5">
        <f>IF(po_master[[#This Row],[Late Delivery Flag]]="Late Delivery", 1, 0)</f>
        <v>1</v>
      </c>
      <c r="AC480" s="5">
        <f>IF(po_master[[#This Row],[Duplicate Invoice Flag]]="Duplicate Invoice", 1, 0)</f>
        <v>0</v>
      </c>
      <c r="AD480" s="5" t="str">
        <f>TEXT(po_master[[#This Row],[Order Date]],"YYYY-MM")</f>
        <v>2026-01</v>
      </c>
    </row>
    <row r="481" spans="1:30" x14ac:dyDescent="0.25">
      <c r="A481" t="s">
        <v>425</v>
      </c>
      <c r="B481" t="s">
        <v>1457</v>
      </c>
      <c r="C481" s="1">
        <v>46126</v>
      </c>
      <c r="D481">
        <v>204</v>
      </c>
      <c r="E481">
        <v>78.55</v>
      </c>
      <c r="F481" t="s">
        <v>1487</v>
      </c>
      <c r="G481" s="1">
        <v>46132</v>
      </c>
      <c r="H481">
        <v>204</v>
      </c>
      <c r="I481" s="1">
        <v>46152</v>
      </c>
      <c r="J481" t="s">
        <v>1173</v>
      </c>
      <c r="K481">
        <v>204</v>
      </c>
      <c r="L481">
        <v>78.55</v>
      </c>
      <c r="M481" s="1">
        <v>46139</v>
      </c>
      <c r="N481" t="str">
        <f>IF(po_master[[#This Row],[Approved By]]="", "Missing Approval", "OK")</f>
        <v>OK</v>
      </c>
      <c r="O481" t="str">
        <f>IF(ISBLANK(po_master[[#This Row],[GR Quantity]]), "No GR - Not received", "OK")</f>
        <v>OK</v>
      </c>
      <c r="P481" t="str">
        <f>IF(po_master[[#This Row],[Promised Delivey Date]]&lt;po_master[[#This Row],[Order Date]], "Invalid", "OK")</f>
        <v>OK</v>
      </c>
      <c r="Q481" t="str">
        <f>IF(ISBLANK(po_master[[#This Row],[Invoice Number]]), "No Invoice", "OK")</f>
        <v>OK</v>
      </c>
      <c r="R481" t="str">
        <f>IF(AND(NOT(ISBLANK(po_master[[#This Row],[GR Quantity]])), po_master[[#This Row],[GR Quantity]]&lt;&gt;po_master[[#This Row],[PO Quantity]]), "Qty Variance", "OK")</f>
        <v>OK</v>
      </c>
      <c r="S481" t="str">
        <f>IF(po_master[[#This Row],[Invoice Unit Price]]&gt;po_master[[#This Row],[PO Unit Price]]*1.01, "Price Variance", "OK")</f>
        <v>OK</v>
      </c>
      <c r="T481" t="str">
        <f>IF(po_master[[#This Row],[Actual Delivery Date]]&gt;po_master[[#This Row],[Promised Delivey Date]], "Late Delivery", "OK")</f>
        <v>Late Delivery</v>
      </c>
      <c r="U481" t="str">
        <f>IF(COUNTIF(po_master[PO Number],po_master[[#This Row],[PO Number]])&gt;1, "Duplicate Invoice", "OK")</f>
        <v>OK</v>
      </c>
      <c r="V481" s="5">
        <f>IF(po_master[[#This Row],[Missing Approval]]="Missing Approval", 1, 0)</f>
        <v>0</v>
      </c>
      <c r="W481" s="5">
        <f>IF(po_master[[#This Row],[GR Receipt Status]]="No GR - Not Received", 1, 0)</f>
        <v>0</v>
      </c>
      <c r="X481" s="5">
        <f>IF(po_master[[#This Row],[No invoice]]="No Invoice", 1, 0)</f>
        <v>0</v>
      </c>
      <c r="Y481" s="5">
        <f>IF(po_master[[#This Row],[Date Check]]="Invalid Date", 1, 0)</f>
        <v>0</v>
      </c>
      <c r="Z481" s="5">
        <f>IF(po_master[[#This Row],[Qty Variance Flag]]="Qty Variance", 1, 0)</f>
        <v>0</v>
      </c>
      <c r="AA481" s="5">
        <f>IF(po_master[[#This Row],[Price Variance Flag]]="Price Variance", 1, 0)</f>
        <v>0</v>
      </c>
      <c r="AB481" s="5">
        <f>IF(po_master[[#This Row],[Late Delivery Flag]]="Late Delivery", 1, 0)</f>
        <v>1</v>
      </c>
      <c r="AC481" s="5">
        <f>IF(po_master[[#This Row],[Duplicate Invoice Flag]]="Duplicate Invoice", 1, 0)</f>
        <v>0</v>
      </c>
      <c r="AD481" s="5" t="str">
        <f>TEXT(po_master[[#This Row],[Order Date]],"YYYY-MM")</f>
        <v>2026-04</v>
      </c>
    </row>
    <row r="482" spans="1:30" x14ac:dyDescent="0.25">
      <c r="A482" t="s">
        <v>426</v>
      </c>
      <c r="B482" t="s">
        <v>1439</v>
      </c>
      <c r="C482" s="1">
        <v>46025</v>
      </c>
      <c r="D482">
        <v>369</v>
      </c>
      <c r="E482">
        <v>38.42</v>
      </c>
      <c r="F482" t="s">
        <v>1487</v>
      </c>
      <c r="G482" s="1">
        <v>46043</v>
      </c>
      <c r="H482">
        <v>369</v>
      </c>
      <c r="I482" s="1">
        <v>46044</v>
      </c>
      <c r="J482" t="s">
        <v>1174</v>
      </c>
      <c r="K482">
        <v>369</v>
      </c>
      <c r="L482">
        <v>38.42</v>
      </c>
      <c r="M482" s="1">
        <v>46048</v>
      </c>
      <c r="N482" t="str">
        <f>IF(po_master[[#This Row],[Approved By]]="", "Missing Approval", "OK")</f>
        <v>OK</v>
      </c>
      <c r="O482" t="str">
        <f>IF(ISBLANK(po_master[[#This Row],[GR Quantity]]), "No GR - Not received", "OK")</f>
        <v>OK</v>
      </c>
      <c r="P482" t="str">
        <f>IF(po_master[[#This Row],[Promised Delivey Date]]&lt;po_master[[#This Row],[Order Date]], "Invalid", "OK")</f>
        <v>OK</v>
      </c>
      <c r="Q482" t="str">
        <f>IF(ISBLANK(po_master[[#This Row],[Invoice Number]]), "No Invoice", "OK")</f>
        <v>OK</v>
      </c>
      <c r="R482" t="str">
        <f>IF(AND(NOT(ISBLANK(po_master[[#This Row],[GR Quantity]])), po_master[[#This Row],[GR Quantity]]&lt;&gt;po_master[[#This Row],[PO Quantity]]), "Qty Variance", "OK")</f>
        <v>OK</v>
      </c>
      <c r="S482" t="str">
        <f>IF(po_master[[#This Row],[Invoice Unit Price]]&gt;po_master[[#This Row],[PO Unit Price]]*1.01, "Price Variance", "OK")</f>
        <v>OK</v>
      </c>
      <c r="T482" t="str">
        <f>IF(po_master[[#This Row],[Actual Delivery Date]]&gt;po_master[[#This Row],[Promised Delivey Date]], "Late Delivery", "OK")</f>
        <v>Late Delivery</v>
      </c>
      <c r="U482" t="str">
        <f>IF(COUNTIF(po_master[PO Number],po_master[[#This Row],[PO Number]])&gt;1, "Duplicate Invoice", "OK")</f>
        <v>OK</v>
      </c>
      <c r="V482" s="5">
        <f>IF(po_master[[#This Row],[Missing Approval]]="Missing Approval", 1, 0)</f>
        <v>0</v>
      </c>
      <c r="W482" s="5">
        <f>IF(po_master[[#This Row],[GR Receipt Status]]="No GR - Not Received", 1, 0)</f>
        <v>0</v>
      </c>
      <c r="X482" s="5">
        <f>IF(po_master[[#This Row],[No invoice]]="No Invoice", 1, 0)</f>
        <v>0</v>
      </c>
      <c r="Y482" s="5">
        <f>IF(po_master[[#This Row],[Date Check]]="Invalid Date", 1, 0)</f>
        <v>0</v>
      </c>
      <c r="Z482" s="5">
        <f>IF(po_master[[#This Row],[Qty Variance Flag]]="Qty Variance", 1, 0)</f>
        <v>0</v>
      </c>
      <c r="AA482" s="5">
        <f>IF(po_master[[#This Row],[Price Variance Flag]]="Price Variance", 1, 0)</f>
        <v>0</v>
      </c>
      <c r="AB482" s="5">
        <f>IF(po_master[[#This Row],[Late Delivery Flag]]="Late Delivery", 1, 0)</f>
        <v>1</v>
      </c>
      <c r="AC482" s="5">
        <f>IF(po_master[[#This Row],[Duplicate Invoice Flag]]="Duplicate Invoice", 1, 0)</f>
        <v>0</v>
      </c>
      <c r="AD482" s="5" t="str">
        <f>TEXT(po_master[[#This Row],[Order Date]],"YYYY-MM")</f>
        <v>2026-01</v>
      </c>
    </row>
    <row r="483" spans="1:30" x14ac:dyDescent="0.25">
      <c r="A483" t="s">
        <v>427</v>
      </c>
      <c r="B483" t="s">
        <v>1508</v>
      </c>
      <c r="C483" s="1">
        <v>46107</v>
      </c>
      <c r="D483">
        <v>299</v>
      </c>
      <c r="E483">
        <v>195.58</v>
      </c>
      <c r="F483" t="s">
        <v>1483</v>
      </c>
      <c r="G483" s="1">
        <v>46128</v>
      </c>
      <c r="H483">
        <v>299</v>
      </c>
      <c r="I483" s="1">
        <v>46127</v>
      </c>
      <c r="J483" t="s">
        <v>1175</v>
      </c>
      <c r="K483">
        <v>299</v>
      </c>
      <c r="L483">
        <v>195.58</v>
      </c>
      <c r="M483" s="1">
        <v>46135</v>
      </c>
      <c r="N483" t="str">
        <f>IF(po_master[[#This Row],[Approved By]]="", "Missing Approval", "OK")</f>
        <v>OK</v>
      </c>
      <c r="O483" t="str">
        <f>IF(ISBLANK(po_master[[#This Row],[GR Quantity]]), "No GR - Not received", "OK")</f>
        <v>OK</v>
      </c>
      <c r="P483" t="str">
        <f>IF(po_master[[#This Row],[Promised Delivey Date]]&lt;po_master[[#This Row],[Order Date]], "Invalid", "OK")</f>
        <v>OK</v>
      </c>
      <c r="Q483" t="str">
        <f>IF(ISBLANK(po_master[[#This Row],[Invoice Number]]), "No Invoice", "OK")</f>
        <v>OK</v>
      </c>
      <c r="R483" t="str">
        <f>IF(AND(NOT(ISBLANK(po_master[[#This Row],[GR Quantity]])), po_master[[#This Row],[GR Quantity]]&lt;&gt;po_master[[#This Row],[PO Quantity]]), "Qty Variance", "OK")</f>
        <v>OK</v>
      </c>
      <c r="S483" t="str">
        <f>IF(po_master[[#This Row],[Invoice Unit Price]]&gt;po_master[[#This Row],[PO Unit Price]]*1.01, "Price Variance", "OK")</f>
        <v>OK</v>
      </c>
      <c r="T483" t="str">
        <f>IF(po_master[[#This Row],[Actual Delivery Date]]&gt;po_master[[#This Row],[Promised Delivey Date]], "Late Delivery", "OK")</f>
        <v>OK</v>
      </c>
      <c r="U483" t="str">
        <f>IF(COUNTIF(po_master[PO Number],po_master[[#This Row],[PO Number]])&gt;1, "Duplicate Invoice", "OK")</f>
        <v>OK</v>
      </c>
      <c r="V483" s="5">
        <f>IF(po_master[[#This Row],[Missing Approval]]="Missing Approval", 1, 0)</f>
        <v>0</v>
      </c>
      <c r="W483" s="5">
        <f>IF(po_master[[#This Row],[GR Receipt Status]]="No GR - Not Received", 1, 0)</f>
        <v>0</v>
      </c>
      <c r="X483" s="5">
        <f>IF(po_master[[#This Row],[No invoice]]="No Invoice", 1, 0)</f>
        <v>0</v>
      </c>
      <c r="Y483" s="5">
        <f>IF(po_master[[#This Row],[Date Check]]="Invalid Date", 1, 0)</f>
        <v>0</v>
      </c>
      <c r="Z483" s="5">
        <f>IF(po_master[[#This Row],[Qty Variance Flag]]="Qty Variance", 1, 0)</f>
        <v>0</v>
      </c>
      <c r="AA483" s="5">
        <f>IF(po_master[[#This Row],[Price Variance Flag]]="Price Variance", 1, 0)</f>
        <v>0</v>
      </c>
      <c r="AB483" s="5">
        <f>IF(po_master[[#This Row],[Late Delivery Flag]]="Late Delivery", 1, 0)</f>
        <v>0</v>
      </c>
      <c r="AC483" s="5">
        <f>IF(po_master[[#This Row],[Duplicate Invoice Flag]]="Duplicate Invoice", 1, 0)</f>
        <v>0</v>
      </c>
      <c r="AD483" s="5" t="str">
        <f>TEXT(po_master[[#This Row],[Order Date]],"YYYY-MM")</f>
        <v>2026-03</v>
      </c>
    </row>
    <row r="484" spans="1:30" x14ac:dyDescent="0.25">
      <c r="A484" t="s">
        <v>428</v>
      </c>
      <c r="B484" t="s">
        <v>1452</v>
      </c>
      <c r="C484" s="1">
        <v>46081</v>
      </c>
      <c r="D484">
        <v>118</v>
      </c>
      <c r="E484">
        <v>180.75</v>
      </c>
      <c r="F484" t="s">
        <v>1499</v>
      </c>
      <c r="G484" s="1">
        <v>46101</v>
      </c>
      <c r="H484">
        <v>118</v>
      </c>
      <c r="I484" s="1">
        <v>46103</v>
      </c>
      <c r="J484" t="s">
        <v>1176</v>
      </c>
      <c r="K484">
        <v>118</v>
      </c>
      <c r="L484">
        <v>180.75</v>
      </c>
      <c r="M484" s="1">
        <v>46103</v>
      </c>
      <c r="N484" t="str">
        <f>IF(po_master[[#This Row],[Approved By]]="", "Missing Approval", "OK")</f>
        <v>OK</v>
      </c>
      <c r="O484" t="str">
        <f>IF(ISBLANK(po_master[[#This Row],[GR Quantity]]), "No GR - Not received", "OK")</f>
        <v>OK</v>
      </c>
      <c r="P484" t="str">
        <f>IF(po_master[[#This Row],[Promised Delivey Date]]&lt;po_master[[#This Row],[Order Date]], "Invalid", "OK")</f>
        <v>OK</v>
      </c>
      <c r="Q484" t="str">
        <f>IF(ISBLANK(po_master[[#This Row],[Invoice Number]]), "No Invoice", "OK")</f>
        <v>OK</v>
      </c>
      <c r="R484" t="str">
        <f>IF(AND(NOT(ISBLANK(po_master[[#This Row],[GR Quantity]])), po_master[[#This Row],[GR Quantity]]&lt;&gt;po_master[[#This Row],[PO Quantity]]), "Qty Variance", "OK")</f>
        <v>OK</v>
      </c>
      <c r="S484" t="str">
        <f>IF(po_master[[#This Row],[Invoice Unit Price]]&gt;po_master[[#This Row],[PO Unit Price]]*1.01, "Price Variance", "OK")</f>
        <v>OK</v>
      </c>
      <c r="T484" t="str">
        <f>IF(po_master[[#This Row],[Actual Delivery Date]]&gt;po_master[[#This Row],[Promised Delivey Date]], "Late Delivery", "OK")</f>
        <v>Late Delivery</v>
      </c>
      <c r="U484" t="str">
        <f>IF(COUNTIF(po_master[PO Number],po_master[[#This Row],[PO Number]])&gt;1, "Duplicate Invoice", "OK")</f>
        <v>OK</v>
      </c>
      <c r="V484" s="5">
        <f>IF(po_master[[#This Row],[Missing Approval]]="Missing Approval", 1, 0)</f>
        <v>0</v>
      </c>
      <c r="W484" s="5">
        <f>IF(po_master[[#This Row],[GR Receipt Status]]="No GR - Not Received", 1, 0)</f>
        <v>0</v>
      </c>
      <c r="X484" s="5">
        <f>IF(po_master[[#This Row],[No invoice]]="No Invoice", 1, 0)</f>
        <v>0</v>
      </c>
      <c r="Y484" s="5">
        <f>IF(po_master[[#This Row],[Date Check]]="Invalid Date", 1, 0)</f>
        <v>0</v>
      </c>
      <c r="Z484" s="5">
        <f>IF(po_master[[#This Row],[Qty Variance Flag]]="Qty Variance", 1, 0)</f>
        <v>0</v>
      </c>
      <c r="AA484" s="5">
        <f>IF(po_master[[#This Row],[Price Variance Flag]]="Price Variance", 1, 0)</f>
        <v>0</v>
      </c>
      <c r="AB484" s="5">
        <f>IF(po_master[[#This Row],[Late Delivery Flag]]="Late Delivery", 1, 0)</f>
        <v>1</v>
      </c>
      <c r="AC484" s="5">
        <f>IF(po_master[[#This Row],[Duplicate Invoice Flag]]="Duplicate Invoice", 1, 0)</f>
        <v>0</v>
      </c>
      <c r="AD484" s="5" t="str">
        <f>TEXT(po_master[[#This Row],[Order Date]],"YYYY-MM")</f>
        <v>2026-02</v>
      </c>
    </row>
    <row r="485" spans="1:30" x14ac:dyDescent="0.25">
      <c r="A485" t="s">
        <v>429</v>
      </c>
      <c r="B485" t="s">
        <v>1511</v>
      </c>
      <c r="C485" s="1">
        <v>46034</v>
      </c>
      <c r="D485">
        <v>483</v>
      </c>
      <c r="E485">
        <v>19.5</v>
      </c>
      <c r="F485" t="s">
        <v>1458</v>
      </c>
      <c r="G485" s="1">
        <v>46040</v>
      </c>
      <c r="H485">
        <v>483</v>
      </c>
      <c r="I485" s="1">
        <v>46041</v>
      </c>
      <c r="J485" t="s">
        <v>1177</v>
      </c>
      <c r="K485">
        <v>483</v>
      </c>
      <c r="L485">
        <v>19.5</v>
      </c>
      <c r="M485" s="1">
        <v>46046</v>
      </c>
      <c r="N485" t="str">
        <f>IF(po_master[[#This Row],[Approved By]]="", "Missing Approval", "OK")</f>
        <v>OK</v>
      </c>
      <c r="O485" t="str">
        <f>IF(ISBLANK(po_master[[#This Row],[GR Quantity]]), "No GR - Not received", "OK")</f>
        <v>OK</v>
      </c>
      <c r="P485" t="str">
        <f>IF(po_master[[#This Row],[Promised Delivey Date]]&lt;po_master[[#This Row],[Order Date]], "Invalid", "OK")</f>
        <v>OK</v>
      </c>
      <c r="Q485" t="str">
        <f>IF(ISBLANK(po_master[[#This Row],[Invoice Number]]), "No Invoice", "OK")</f>
        <v>OK</v>
      </c>
      <c r="R485" t="str">
        <f>IF(AND(NOT(ISBLANK(po_master[[#This Row],[GR Quantity]])), po_master[[#This Row],[GR Quantity]]&lt;&gt;po_master[[#This Row],[PO Quantity]]), "Qty Variance", "OK")</f>
        <v>OK</v>
      </c>
      <c r="S485" t="str">
        <f>IF(po_master[[#This Row],[Invoice Unit Price]]&gt;po_master[[#This Row],[PO Unit Price]]*1.01, "Price Variance", "OK")</f>
        <v>OK</v>
      </c>
      <c r="T485" t="str">
        <f>IF(po_master[[#This Row],[Actual Delivery Date]]&gt;po_master[[#This Row],[Promised Delivey Date]], "Late Delivery", "OK")</f>
        <v>Late Delivery</v>
      </c>
      <c r="U485" t="str">
        <f>IF(COUNTIF(po_master[PO Number],po_master[[#This Row],[PO Number]])&gt;1, "Duplicate Invoice", "OK")</f>
        <v>OK</v>
      </c>
      <c r="V485" s="5">
        <f>IF(po_master[[#This Row],[Missing Approval]]="Missing Approval", 1, 0)</f>
        <v>0</v>
      </c>
      <c r="W485" s="5">
        <f>IF(po_master[[#This Row],[GR Receipt Status]]="No GR - Not Received", 1, 0)</f>
        <v>0</v>
      </c>
      <c r="X485" s="5">
        <f>IF(po_master[[#This Row],[No invoice]]="No Invoice", 1, 0)</f>
        <v>0</v>
      </c>
      <c r="Y485" s="5">
        <f>IF(po_master[[#This Row],[Date Check]]="Invalid Date", 1, 0)</f>
        <v>0</v>
      </c>
      <c r="Z485" s="5">
        <f>IF(po_master[[#This Row],[Qty Variance Flag]]="Qty Variance", 1, 0)</f>
        <v>0</v>
      </c>
      <c r="AA485" s="5">
        <f>IF(po_master[[#This Row],[Price Variance Flag]]="Price Variance", 1, 0)</f>
        <v>0</v>
      </c>
      <c r="AB485" s="5">
        <f>IF(po_master[[#This Row],[Late Delivery Flag]]="Late Delivery", 1, 0)</f>
        <v>1</v>
      </c>
      <c r="AC485" s="5">
        <f>IF(po_master[[#This Row],[Duplicate Invoice Flag]]="Duplicate Invoice", 1, 0)</f>
        <v>0</v>
      </c>
      <c r="AD485" s="5" t="str">
        <f>TEXT(po_master[[#This Row],[Order Date]],"YYYY-MM")</f>
        <v>2026-01</v>
      </c>
    </row>
    <row r="486" spans="1:30" x14ac:dyDescent="0.25">
      <c r="A486" t="s">
        <v>430</v>
      </c>
      <c r="B486" t="s">
        <v>1455</v>
      </c>
      <c r="C486" s="1">
        <v>46124</v>
      </c>
      <c r="D486">
        <v>485</v>
      </c>
      <c r="E486">
        <v>20</v>
      </c>
      <c r="F486" t="s">
        <v>1501</v>
      </c>
      <c r="G486" s="1">
        <v>46136</v>
      </c>
      <c r="H486">
        <v>485</v>
      </c>
      <c r="I486" s="1">
        <v>46134</v>
      </c>
      <c r="J486" t="s">
        <v>1180</v>
      </c>
      <c r="K486">
        <v>485</v>
      </c>
      <c r="L486">
        <v>20</v>
      </c>
      <c r="M486" s="1">
        <v>46141</v>
      </c>
      <c r="N486" t="str">
        <f>IF(po_master[[#This Row],[Approved By]]="", "Missing Approval", "OK")</f>
        <v>OK</v>
      </c>
      <c r="O486" t="str">
        <f>IF(ISBLANK(po_master[[#This Row],[GR Quantity]]), "No GR - Not received", "OK")</f>
        <v>OK</v>
      </c>
      <c r="P486" t="str">
        <f>IF(po_master[[#This Row],[Promised Delivey Date]]&lt;po_master[[#This Row],[Order Date]], "Invalid", "OK")</f>
        <v>OK</v>
      </c>
      <c r="Q486" t="str">
        <f>IF(ISBLANK(po_master[[#This Row],[Invoice Number]]), "No Invoice", "OK")</f>
        <v>OK</v>
      </c>
      <c r="R486" t="str">
        <f>IF(AND(NOT(ISBLANK(po_master[[#This Row],[GR Quantity]])), po_master[[#This Row],[GR Quantity]]&lt;&gt;po_master[[#This Row],[PO Quantity]]), "Qty Variance", "OK")</f>
        <v>OK</v>
      </c>
      <c r="S486" t="str">
        <f>IF(po_master[[#This Row],[Invoice Unit Price]]&gt;po_master[[#This Row],[PO Unit Price]]*1.01, "Price Variance", "OK")</f>
        <v>OK</v>
      </c>
      <c r="T486" t="str">
        <f>IF(po_master[[#This Row],[Actual Delivery Date]]&gt;po_master[[#This Row],[Promised Delivey Date]], "Late Delivery", "OK")</f>
        <v>OK</v>
      </c>
      <c r="U486" t="str">
        <f>IF(COUNTIF(po_master[PO Number],po_master[[#This Row],[PO Number]])&gt;1, "Duplicate Invoice", "OK")</f>
        <v>Duplicate Invoice</v>
      </c>
      <c r="V486" s="5">
        <f>IF(po_master[[#This Row],[Missing Approval]]="Missing Approval", 1, 0)</f>
        <v>0</v>
      </c>
      <c r="W486" s="5">
        <f>IF(po_master[[#This Row],[GR Receipt Status]]="No GR - Not Received", 1, 0)</f>
        <v>0</v>
      </c>
      <c r="X486" s="5">
        <f>IF(po_master[[#This Row],[No invoice]]="No Invoice", 1, 0)</f>
        <v>0</v>
      </c>
      <c r="Y486" s="5">
        <f>IF(po_master[[#This Row],[Date Check]]="Invalid Date", 1, 0)</f>
        <v>0</v>
      </c>
      <c r="Z486" s="5">
        <f>IF(po_master[[#This Row],[Qty Variance Flag]]="Qty Variance", 1, 0)</f>
        <v>0</v>
      </c>
      <c r="AA486" s="5">
        <f>IF(po_master[[#This Row],[Price Variance Flag]]="Price Variance", 1, 0)</f>
        <v>0</v>
      </c>
      <c r="AB486" s="5">
        <f>IF(po_master[[#This Row],[Late Delivery Flag]]="Late Delivery", 1, 0)</f>
        <v>0</v>
      </c>
      <c r="AC486" s="5">
        <f>IF(po_master[[#This Row],[Duplicate Invoice Flag]]="Duplicate Invoice", 1, 0)</f>
        <v>1</v>
      </c>
      <c r="AD486" s="5" t="str">
        <f>TEXT(po_master[[#This Row],[Order Date]],"YYYY-MM")</f>
        <v>2026-04</v>
      </c>
    </row>
    <row r="487" spans="1:30" x14ac:dyDescent="0.25">
      <c r="A487" t="s">
        <v>430</v>
      </c>
      <c r="B487" t="s">
        <v>1455</v>
      </c>
      <c r="C487" s="1">
        <v>46124</v>
      </c>
      <c r="D487">
        <v>485</v>
      </c>
      <c r="E487">
        <v>20</v>
      </c>
      <c r="F487" t="s">
        <v>1501</v>
      </c>
      <c r="G487" s="1">
        <v>46136</v>
      </c>
      <c r="H487">
        <v>485</v>
      </c>
      <c r="I487" s="1">
        <v>46134</v>
      </c>
      <c r="J487" t="s">
        <v>1181</v>
      </c>
      <c r="K487">
        <v>485</v>
      </c>
      <c r="L487">
        <v>20</v>
      </c>
      <c r="M487" s="1">
        <v>46143</v>
      </c>
      <c r="N487" t="str">
        <f>IF(po_master[[#This Row],[Approved By]]="", "Missing Approval", "OK")</f>
        <v>OK</v>
      </c>
      <c r="O487" t="str">
        <f>IF(ISBLANK(po_master[[#This Row],[GR Quantity]]), "No GR - Not received", "OK")</f>
        <v>OK</v>
      </c>
      <c r="P487" t="str">
        <f>IF(po_master[[#This Row],[Promised Delivey Date]]&lt;po_master[[#This Row],[Order Date]], "Invalid", "OK")</f>
        <v>OK</v>
      </c>
      <c r="Q487" t="str">
        <f>IF(ISBLANK(po_master[[#This Row],[Invoice Number]]), "No Invoice", "OK")</f>
        <v>OK</v>
      </c>
      <c r="R487" t="str">
        <f>IF(AND(NOT(ISBLANK(po_master[[#This Row],[GR Quantity]])), po_master[[#This Row],[GR Quantity]]&lt;&gt;po_master[[#This Row],[PO Quantity]]), "Qty Variance", "OK")</f>
        <v>OK</v>
      </c>
      <c r="S487" t="str">
        <f>IF(po_master[[#This Row],[Invoice Unit Price]]&gt;po_master[[#This Row],[PO Unit Price]]*1.01, "Price Variance", "OK")</f>
        <v>OK</v>
      </c>
      <c r="T487" t="str">
        <f>IF(po_master[[#This Row],[Actual Delivery Date]]&gt;po_master[[#This Row],[Promised Delivey Date]], "Late Delivery", "OK")</f>
        <v>OK</v>
      </c>
      <c r="U487" t="str">
        <f>IF(COUNTIF(po_master[PO Number],po_master[[#This Row],[PO Number]])&gt;1, "Duplicate Invoice", "OK")</f>
        <v>Duplicate Invoice</v>
      </c>
      <c r="V487" s="5">
        <f>IF(po_master[[#This Row],[Missing Approval]]="Missing Approval", 1, 0)</f>
        <v>0</v>
      </c>
      <c r="W487" s="5">
        <f>IF(po_master[[#This Row],[GR Receipt Status]]="No GR - Not Received", 1, 0)</f>
        <v>0</v>
      </c>
      <c r="X487" s="5">
        <f>IF(po_master[[#This Row],[No invoice]]="No Invoice", 1, 0)</f>
        <v>0</v>
      </c>
      <c r="Y487" s="5">
        <f>IF(po_master[[#This Row],[Date Check]]="Invalid Date", 1, 0)</f>
        <v>0</v>
      </c>
      <c r="Z487" s="5">
        <f>IF(po_master[[#This Row],[Qty Variance Flag]]="Qty Variance", 1, 0)</f>
        <v>0</v>
      </c>
      <c r="AA487" s="5">
        <f>IF(po_master[[#This Row],[Price Variance Flag]]="Price Variance", 1, 0)</f>
        <v>0</v>
      </c>
      <c r="AB487" s="5">
        <f>IF(po_master[[#This Row],[Late Delivery Flag]]="Late Delivery", 1, 0)</f>
        <v>0</v>
      </c>
      <c r="AC487" s="5">
        <f>IF(po_master[[#This Row],[Duplicate Invoice Flag]]="Duplicate Invoice", 1, 0)</f>
        <v>1</v>
      </c>
      <c r="AD487" s="5" t="str">
        <f>TEXT(po_master[[#This Row],[Order Date]],"YYYY-MM")</f>
        <v>2026-04</v>
      </c>
    </row>
    <row r="488" spans="1:30" x14ac:dyDescent="0.25">
      <c r="A488" t="s">
        <v>431</v>
      </c>
      <c r="B488" t="s">
        <v>1493</v>
      </c>
      <c r="C488" s="1">
        <v>46122</v>
      </c>
      <c r="D488">
        <v>356</v>
      </c>
      <c r="E488">
        <v>179.82</v>
      </c>
      <c r="F488" t="s">
        <v>1472</v>
      </c>
      <c r="G488" s="1">
        <v>46139</v>
      </c>
      <c r="H488">
        <v>356</v>
      </c>
      <c r="I488" s="1">
        <v>46137</v>
      </c>
      <c r="J488" t="s">
        <v>1182</v>
      </c>
      <c r="K488">
        <v>356</v>
      </c>
      <c r="L488">
        <v>179.82</v>
      </c>
      <c r="M488" s="1">
        <v>46140</v>
      </c>
      <c r="N488" t="str">
        <f>IF(po_master[[#This Row],[Approved By]]="", "Missing Approval", "OK")</f>
        <v>OK</v>
      </c>
      <c r="O488" t="str">
        <f>IF(ISBLANK(po_master[[#This Row],[GR Quantity]]), "No GR - Not received", "OK")</f>
        <v>OK</v>
      </c>
      <c r="P488" t="str">
        <f>IF(po_master[[#This Row],[Promised Delivey Date]]&lt;po_master[[#This Row],[Order Date]], "Invalid", "OK")</f>
        <v>OK</v>
      </c>
      <c r="Q488" t="str">
        <f>IF(ISBLANK(po_master[[#This Row],[Invoice Number]]), "No Invoice", "OK")</f>
        <v>OK</v>
      </c>
      <c r="R488" t="str">
        <f>IF(AND(NOT(ISBLANK(po_master[[#This Row],[GR Quantity]])), po_master[[#This Row],[GR Quantity]]&lt;&gt;po_master[[#This Row],[PO Quantity]]), "Qty Variance", "OK")</f>
        <v>OK</v>
      </c>
      <c r="S488" t="str">
        <f>IF(po_master[[#This Row],[Invoice Unit Price]]&gt;po_master[[#This Row],[PO Unit Price]]*1.01, "Price Variance", "OK")</f>
        <v>OK</v>
      </c>
      <c r="T488" t="str">
        <f>IF(po_master[[#This Row],[Actual Delivery Date]]&gt;po_master[[#This Row],[Promised Delivey Date]], "Late Delivery", "OK")</f>
        <v>OK</v>
      </c>
      <c r="U488" t="str">
        <f>IF(COUNTIF(po_master[PO Number],po_master[[#This Row],[PO Number]])&gt;1, "Duplicate Invoice", "OK")</f>
        <v>OK</v>
      </c>
      <c r="V488" s="5">
        <f>IF(po_master[[#This Row],[Missing Approval]]="Missing Approval", 1, 0)</f>
        <v>0</v>
      </c>
      <c r="W488" s="5">
        <f>IF(po_master[[#This Row],[GR Receipt Status]]="No GR - Not Received", 1, 0)</f>
        <v>0</v>
      </c>
      <c r="X488" s="5">
        <f>IF(po_master[[#This Row],[No invoice]]="No Invoice", 1, 0)</f>
        <v>0</v>
      </c>
      <c r="Y488" s="5">
        <f>IF(po_master[[#This Row],[Date Check]]="Invalid Date", 1, 0)</f>
        <v>0</v>
      </c>
      <c r="Z488" s="5">
        <f>IF(po_master[[#This Row],[Qty Variance Flag]]="Qty Variance", 1, 0)</f>
        <v>0</v>
      </c>
      <c r="AA488" s="5">
        <f>IF(po_master[[#This Row],[Price Variance Flag]]="Price Variance", 1, 0)</f>
        <v>0</v>
      </c>
      <c r="AB488" s="5">
        <f>IF(po_master[[#This Row],[Late Delivery Flag]]="Late Delivery", 1, 0)</f>
        <v>0</v>
      </c>
      <c r="AC488" s="5">
        <f>IF(po_master[[#This Row],[Duplicate Invoice Flag]]="Duplicate Invoice", 1, 0)</f>
        <v>0</v>
      </c>
      <c r="AD488" s="5" t="str">
        <f>TEXT(po_master[[#This Row],[Order Date]],"YYYY-MM")</f>
        <v>2026-04</v>
      </c>
    </row>
    <row r="489" spans="1:30" x14ac:dyDescent="0.25">
      <c r="A489" t="s">
        <v>432</v>
      </c>
      <c r="B489" t="s">
        <v>1465</v>
      </c>
      <c r="C489" s="1">
        <v>46058</v>
      </c>
      <c r="D489">
        <v>414</v>
      </c>
      <c r="E489">
        <v>197.75</v>
      </c>
      <c r="F489" t="s">
        <v>1490</v>
      </c>
      <c r="G489" s="1">
        <v>46065</v>
      </c>
      <c r="H489">
        <v>414</v>
      </c>
      <c r="I489" s="1">
        <v>46063</v>
      </c>
      <c r="J489" t="s">
        <v>1183</v>
      </c>
      <c r="K489">
        <v>414</v>
      </c>
      <c r="L489">
        <v>197.75</v>
      </c>
      <c r="M489" s="1">
        <v>46072</v>
      </c>
      <c r="N489" t="str">
        <f>IF(po_master[[#This Row],[Approved By]]="", "Missing Approval", "OK")</f>
        <v>OK</v>
      </c>
      <c r="O489" t="str">
        <f>IF(ISBLANK(po_master[[#This Row],[GR Quantity]]), "No GR - Not received", "OK")</f>
        <v>OK</v>
      </c>
      <c r="P489" t="str">
        <f>IF(po_master[[#This Row],[Promised Delivey Date]]&lt;po_master[[#This Row],[Order Date]], "Invalid", "OK")</f>
        <v>OK</v>
      </c>
      <c r="Q489" t="str">
        <f>IF(ISBLANK(po_master[[#This Row],[Invoice Number]]), "No Invoice", "OK")</f>
        <v>OK</v>
      </c>
      <c r="R489" t="str">
        <f>IF(AND(NOT(ISBLANK(po_master[[#This Row],[GR Quantity]])), po_master[[#This Row],[GR Quantity]]&lt;&gt;po_master[[#This Row],[PO Quantity]]), "Qty Variance", "OK")</f>
        <v>OK</v>
      </c>
      <c r="S489" t="str">
        <f>IF(po_master[[#This Row],[Invoice Unit Price]]&gt;po_master[[#This Row],[PO Unit Price]]*1.01, "Price Variance", "OK")</f>
        <v>OK</v>
      </c>
      <c r="T489" t="str">
        <f>IF(po_master[[#This Row],[Actual Delivery Date]]&gt;po_master[[#This Row],[Promised Delivey Date]], "Late Delivery", "OK")</f>
        <v>OK</v>
      </c>
      <c r="U489" t="str">
        <f>IF(COUNTIF(po_master[PO Number],po_master[[#This Row],[PO Number]])&gt;1, "Duplicate Invoice", "OK")</f>
        <v>OK</v>
      </c>
      <c r="V489" s="5">
        <f>IF(po_master[[#This Row],[Missing Approval]]="Missing Approval", 1, 0)</f>
        <v>0</v>
      </c>
      <c r="W489" s="5">
        <f>IF(po_master[[#This Row],[GR Receipt Status]]="No GR - Not Received", 1, 0)</f>
        <v>0</v>
      </c>
      <c r="X489" s="5">
        <f>IF(po_master[[#This Row],[No invoice]]="No Invoice", 1, 0)</f>
        <v>0</v>
      </c>
      <c r="Y489" s="5">
        <f>IF(po_master[[#This Row],[Date Check]]="Invalid Date", 1, 0)</f>
        <v>0</v>
      </c>
      <c r="Z489" s="5">
        <f>IF(po_master[[#This Row],[Qty Variance Flag]]="Qty Variance", 1, 0)</f>
        <v>0</v>
      </c>
      <c r="AA489" s="5">
        <f>IF(po_master[[#This Row],[Price Variance Flag]]="Price Variance", 1, 0)</f>
        <v>0</v>
      </c>
      <c r="AB489" s="5">
        <f>IF(po_master[[#This Row],[Late Delivery Flag]]="Late Delivery", 1, 0)</f>
        <v>0</v>
      </c>
      <c r="AC489" s="5">
        <f>IF(po_master[[#This Row],[Duplicate Invoice Flag]]="Duplicate Invoice", 1, 0)</f>
        <v>0</v>
      </c>
      <c r="AD489" s="5" t="str">
        <f>TEXT(po_master[[#This Row],[Order Date]],"YYYY-MM")</f>
        <v>2026-02</v>
      </c>
    </row>
    <row r="490" spans="1:30" x14ac:dyDescent="0.25">
      <c r="A490" t="s">
        <v>433</v>
      </c>
      <c r="B490" t="s">
        <v>1445</v>
      </c>
      <c r="C490" s="1">
        <v>46111</v>
      </c>
      <c r="D490">
        <v>37</v>
      </c>
      <c r="E490">
        <v>24.05</v>
      </c>
      <c r="F490" t="s">
        <v>1440</v>
      </c>
      <c r="G490" s="1">
        <v>46118</v>
      </c>
      <c r="H490">
        <v>37</v>
      </c>
      <c r="I490" s="1">
        <v>46118</v>
      </c>
      <c r="J490" t="s">
        <v>1184</v>
      </c>
      <c r="K490">
        <v>37</v>
      </c>
      <c r="L490">
        <v>24.05</v>
      </c>
      <c r="M490" s="1">
        <v>46125</v>
      </c>
      <c r="N490" t="str">
        <f>IF(po_master[[#This Row],[Approved By]]="", "Missing Approval", "OK")</f>
        <v>OK</v>
      </c>
      <c r="O490" t="str">
        <f>IF(ISBLANK(po_master[[#This Row],[GR Quantity]]), "No GR - Not received", "OK")</f>
        <v>OK</v>
      </c>
      <c r="P490" t="str">
        <f>IF(po_master[[#This Row],[Promised Delivey Date]]&lt;po_master[[#This Row],[Order Date]], "Invalid", "OK")</f>
        <v>OK</v>
      </c>
      <c r="Q490" t="str">
        <f>IF(ISBLANK(po_master[[#This Row],[Invoice Number]]), "No Invoice", "OK")</f>
        <v>OK</v>
      </c>
      <c r="R490" t="str">
        <f>IF(AND(NOT(ISBLANK(po_master[[#This Row],[GR Quantity]])), po_master[[#This Row],[GR Quantity]]&lt;&gt;po_master[[#This Row],[PO Quantity]]), "Qty Variance", "OK")</f>
        <v>OK</v>
      </c>
      <c r="S490" t="str">
        <f>IF(po_master[[#This Row],[Invoice Unit Price]]&gt;po_master[[#This Row],[PO Unit Price]]*1.01, "Price Variance", "OK")</f>
        <v>OK</v>
      </c>
      <c r="T490" t="str">
        <f>IF(po_master[[#This Row],[Actual Delivery Date]]&gt;po_master[[#This Row],[Promised Delivey Date]], "Late Delivery", "OK")</f>
        <v>OK</v>
      </c>
      <c r="U490" t="str">
        <f>IF(COUNTIF(po_master[PO Number],po_master[[#This Row],[PO Number]])&gt;1, "Duplicate Invoice", "OK")</f>
        <v>OK</v>
      </c>
      <c r="V490" s="5">
        <f>IF(po_master[[#This Row],[Missing Approval]]="Missing Approval", 1, 0)</f>
        <v>0</v>
      </c>
      <c r="W490" s="5">
        <f>IF(po_master[[#This Row],[GR Receipt Status]]="No GR - Not Received", 1, 0)</f>
        <v>0</v>
      </c>
      <c r="X490" s="5">
        <f>IF(po_master[[#This Row],[No invoice]]="No Invoice", 1, 0)</f>
        <v>0</v>
      </c>
      <c r="Y490" s="5">
        <f>IF(po_master[[#This Row],[Date Check]]="Invalid Date", 1, 0)</f>
        <v>0</v>
      </c>
      <c r="Z490" s="5">
        <f>IF(po_master[[#This Row],[Qty Variance Flag]]="Qty Variance", 1, 0)</f>
        <v>0</v>
      </c>
      <c r="AA490" s="5">
        <f>IF(po_master[[#This Row],[Price Variance Flag]]="Price Variance", 1, 0)</f>
        <v>0</v>
      </c>
      <c r="AB490" s="5">
        <f>IF(po_master[[#This Row],[Late Delivery Flag]]="Late Delivery", 1, 0)</f>
        <v>0</v>
      </c>
      <c r="AC490" s="5">
        <f>IF(po_master[[#This Row],[Duplicate Invoice Flag]]="Duplicate Invoice", 1, 0)</f>
        <v>0</v>
      </c>
      <c r="AD490" s="5" t="str">
        <f>TEXT(po_master[[#This Row],[Order Date]],"YYYY-MM")</f>
        <v>2026-03</v>
      </c>
    </row>
    <row r="491" spans="1:30" x14ac:dyDescent="0.25">
      <c r="A491" t="s">
        <v>434</v>
      </c>
      <c r="B491" t="s">
        <v>1479</v>
      </c>
      <c r="C491" s="1">
        <v>46124</v>
      </c>
      <c r="D491">
        <v>406</v>
      </c>
      <c r="E491">
        <v>68.64</v>
      </c>
      <c r="F491" t="s">
        <v>1446</v>
      </c>
      <c r="G491" s="1">
        <v>46137</v>
      </c>
      <c r="H491">
        <v>406</v>
      </c>
      <c r="I491" s="1">
        <v>46138</v>
      </c>
      <c r="J491" t="s">
        <v>1185</v>
      </c>
      <c r="K491">
        <v>406</v>
      </c>
      <c r="L491">
        <v>68.64</v>
      </c>
      <c r="M491" s="1">
        <v>46140</v>
      </c>
      <c r="N491" t="str">
        <f>IF(po_master[[#This Row],[Approved By]]="", "Missing Approval", "OK")</f>
        <v>OK</v>
      </c>
      <c r="O491" t="str">
        <f>IF(ISBLANK(po_master[[#This Row],[GR Quantity]]), "No GR - Not received", "OK")</f>
        <v>OK</v>
      </c>
      <c r="P491" t="str">
        <f>IF(po_master[[#This Row],[Promised Delivey Date]]&lt;po_master[[#This Row],[Order Date]], "Invalid", "OK")</f>
        <v>OK</v>
      </c>
      <c r="Q491" t="str">
        <f>IF(ISBLANK(po_master[[#This Row],[Invoice Number]]), "No Invoice", "OK")</f>
        <v>OK</v>
      </c>
      <c r="R491" t="str">
        <f>IF(AND(NOT(ISBLANK(po_master[[#This Row],[GR Quantity]])), po_master[[#This Row],[GR Quantity]]&lt;&gt;po_master[[#This Row],[PO Quantity]]), "Qty Variance", "OK")</f>
        <v>OK</v>
      </c>
      <c r="S491" t="str">
        <f>IF(po_master[[#This Row],[Invoice Unit Price]]&gt;po_master[[#This Row],[PO Unit Price]]*1.01, "Price Variance", "OK")</f>
        <v>OK</v>
      </c>
      <c r="T491" t="str">
        <f>IF(po_master[[#This Row],[Actual Delivery Date]]&gt;po_master[[#This Row],[Promised Delivey Date]], "Late Delivery", "OK")</f>
        <v>Late Delivery</v>
      </c>
      <c r="U491" t="str">
        <f>IF(COUNTIF(po_master[PO Number],po_master[[#This Row],[PO Number]])&gt;1, "Duplicate Invoice", "OK")</f>
        <v>OK</v>
      </c>
      <c r="V491" s="5">
        <f>IF(po_master[[#This Row],[Missing Approval]]="Missing Approval", 1, 0)</f>
        <v>0</v>
      </c>
      <c r="W491" s="5">
        <f>IF(po_master[[#This Row],[GR Receipt Status]]="No GR - Not Received", 1, 0)</f>
        <v>0</v>
      </c>
      <c r="X491" s="5">
        <f>IF(po_master[[#This Row],[No invoice]]="No Invoice", 1, 0)</f>
        <v>0</v>
      </c>
      <c r="Y491" s="5">
        <f>IF(po_master[[#This Row],[Date Check]]="Invalid Date", 1, 0)</f>
        <v>0</v>
      </c>
      <c r="Z491" s="5">
        <f>IF(po_master[[#This Row],[Qty Variance Flag]]="Qty Variance", 1, 0)</f>
        <v>0</v>
      </c>
      <c r="AA491" s="5">
        <f>IF(po_master[[#This Row],[Price Variance Flag]]="Price Variance", 1, 0)</f>
        <v>0</v>
      </c>
      <c r="AB491" s="5">
        <f>IF(po_master[[#This Row],[Late Delivery Flag]]="Late Delivery", 1, 0)</f>
        <v>1</v>
      </c>
      <c r="AC491" s="5">
        <f>IF(po_master[[#This Row],[Duplicate Invoice Flag]]="Duplicate Invoice", 1, 0)</f>
        <v>0</v>
      </c>
      <c r="AD491" s="5" t="str">
        <f>TEXT(po_master[[#This Row],[Order Date]],"YYYY-MM")</f>
        <v>2026-04</v>
      </c>
    </row>
    <row r="492" spans="1:30" x14ac:dyDescent="0.25">
      <c r="A492" t="s">
        <v>435</v>
      </c>
      <c r="B492" t="s">
        <v>1478</v>
      </c>
      <c r="C492" s="1">
        <v>46148</v>
      </c>
      <c r="D492">
        <v>126</v>
      </c>
      <c r="E492">
        <v>74.38</v>
      </c>
      <c r="F492" t="s">
        <v>1453</v>
      </c>
      <c r="G492" s="1">
        <v>46166</v>
      </c>
      <c r="H492">
        <v>126</v>
      </c>
      <c r="I492" s="1">
        <v>46168</v>
      </c>
      <c r="J492" t="s">
        <v>1186</v>
      </c>
      <c r="K492">
        <v>126</v>
      </c>
      <c r="L492">
        <v>74.38</v>
      </c>
      <c r="M492" s="1">
        <v>46168</v>
      </c>
      <c r="N492" t="str">
        <f>IF(po_master[[#This Row],[Approved By]]="", "Missing Approval", "OK")</f>
        <v>OK</v>
      </c>
      <c r="O492" t="str">
        <f>IF(ISBLANK(po_master[[#This Row],[GR Quantity]]), "No GR - Not received", "OK")</f>
        <v>OK</v>
      </c>
      <c r="P492" t="str">
        <f>IF(po_master[[#This Row],[Promised Delivey Date]]&lt;po_master[[#This Row],[Order Date]], "Invalid", "OK")</f>
        <v>OK</v>
      </c>
      <c r="Q492" t="str">
        <f>IF(ISBLANK(po_master[[#This Row],[Invoice Number]]), "No Invoice", "OK")</f>
        <v>OK</v>
      </c>
      <c r="R492" t="str">
        <f>IF(AND(NOT(ISBLANK(po_master[[#This Row],[GR Quantity]])), po_master[[#This Row],[GR Quantity]]&lt;&gt;po_master[[#This Row],[PO Quantity]]), "Qty Variance", "OK")</f>
        <v>OK</v>
      </c>
      <c r="S492" t="str">
        <f>IF(po_master[[#This Row],[Invoice Unit Price]]&gt;po_master[[#This Row],[PO Unit Price]]*1.01, "Price Variance", "OK")</f>
        <v>OK</v>
      </c>
      <c r="T492" t="str">
        <f>IF(po_master[[#This Row],[Actual Delivery Date]]&gt;po_master[[#This Row],[Promised Delivey Date]], "Late Delivery", "OK")</f>
        <v>Late Delivery</v>
      </c>
      <c r="U492" t="str">
        <f>IF(COUNTIF(po_master[PO Number],po_master[[#This Row],[PO Number]])&gt;1, "Duplicate Invoice", "OK")</f>
        <v>OK</v>
      </c>
      <c r="V492" s="5">
        <f>IF(po_master[[#This Row],[Missing Approval]]="Missing Approval", 1, 0)</f>
        <v>0</v>
      </c>
      <c r="W492" s="5">
        <f>IF(po_master[[#This Row],[GR Receipt Status]]="No GR - Not Received", 1, 0)</f>
        <v>0</v>
      </c>
      <c r="X492" s="5">
        <f>IF(po_master[[#This Row],[No invoice]]="No Invoice", 1, 0)</f>
        <v>0</v>
      </c>
      <c r="Y492" s="5">
        <f>IF(po_master[[#This Row],[Date Check]]="Invalid Date", 1, 0)</f>
        <v>0</v>
      </c>
      <c r="Z492" s="5">
        <f>IF(po_master[[#This Row],[Qty Variance Flag]]="Qty Variance", 1, 0)</f>
        <v>0</v>
      </c>
      <c r="AA492" s="5">
        <f>IF(po_master[[#This Row],[Price Variance Flag]]="Price Variance", 1, 0)</f>
        <v>0</v>
      </c>
      <c r="AB492" s="5">
        <f>IF(po_master[[#This Row],[Late Delivery Flag]]="Late Delivery", 1, 0)</f>
        <v>1</v>
      </c>
      <c r="AC492" s="5">
        <f>IF(po_master[[#This Row],[Duplicate Invoice Flag]]="Duplicate Invoice", 1, 0)</f>
        <v>0</v>
      </c>
      <c r="AD492" s="5" t="str">
        <f>TEXT(po_master[[#This Row],[Order Date]],"YYYY-MM")</f>
        <v>2026-05</v>
      </c>
    </row>
    <row r="493" spans="1:30" x14ac:dyDescent="0.25">
      <c r="A493" t="s">
        <v>1164</v>
      </c>
      <c r="B493" t="s">
        <v>1475</v>
      </c>
      <c r="C493" s="1">
        <v>46146</v>
      </c>
      <c r="D493">
        <v>347</v>
      </c>
      <c r="E493">
        <v>100.13</v>
      </c>
      <c r="F493" t="s">
        <v>1448</v>
      </c>
      <c r="G493" s="1">
        <v>46164</v>
      </c>
      <c r="I493" s="1"/>
      <c r="J493" t="s">
        <v>1165</v>
      </c>
      <c r="K493">
        <v>347</v>
      </c>
      <c r="L493">
        <v>100.13</v>
      </c>
      <c r="M493" s="1">
        <v>46165</v>
      </c>
      <c r="N493" t="str">
        <f>IF(po_master[[#This Row],[Approved By]]="", "Missing Approval", "OK")</f>
        <v>OK</v>
      </c>
      <c r="O493" t="str">
        <f>IF(ISBLANK(po_master[[#This Row],[GR Quantity]]), "No GR - Not received", "OK")</f>
        <v>No GR - Not received</v>
      </c>
      <c r="P493" t="str">
        <f>IF(po_master[[#This Row],[Promised Delivey Date]]&lt;po_master[[#This Row],[Order Date]], "Invalid", "OK")</f>
        <v>OK</v>
      </c>
      <c r="Q493" t="str">
        <f>IF(ISBLANK(po_master[[#This Row],[Invoice Number]]), "No Invoice", "OK")</f>
        <v>OK</v>
      </c>
      <c r="R493" t="str">
        <f>IF(AND(NOT(ISBLANK(po_master[[#This Row],[GR Quantity]])), po_master[[#This Row],[GR Quantity]]&lt;&gt;po_master[[#This Row],[PO Quantity]]), "Qty Variance", "OK")</f>
        <v>OK</v>
      </c>
      <c r="S493" t="str">
        <f>IF(po_master[[#This Row],[Invoice Unit Price]]&gt;po_master[[#This Row],[PO Unit Price]]*1.01, "Price Variance", "OK")</f>
        <v>OK</v>
      </c>
      <c r="T493" t="str">
        <f>IF(po_master[[#This Row],[Actual Delivery Date]]&gt;po_master[[#This Row],[Promised Delivey Date]], "Late Delivery", "OK")</f>
        <v>OK</v>
      </c>
      <c r="U493" t="str">
        <f>IF(COUNTIF(po_master[PO Number],po_master[[#This Row],[PO Number]])&gt;1, "Duplicate Invoice", "OK")</f>
        <v>OK</v>
      </c>
      <c r="V493" s="5">
        <f>IF(po_master[[#This Row],[Missing Approval]]="Missing Approval", 1, 0)</f>
        <v>0</v>
      </c>
      <c r="W493" s="5">
        <f>IF(po_master[[#This Row],[GR Receipt Status]]="No GR - Not Received", 1, 0)</f>
        <v>1</v>
      </c>
      <c r="X493" s="5">
        <f>IF(po_master[[#This Row],[No invoice]]="No Invoice", 1, 0)</f>
        <v>0</v>
      </c>
      <c r="Y493" s="5">
        <f>IF(po_master[[#This Row],[Date Check]]="Invalid Date", 1, 0)</f>
        <v>0</v>
      </c>
      <c r="Z493" s="5">
        <f>IF(po_master[[#This Row],[Qty Variance Flag]]="Qty Variance", 1, 0)</f>
        <v>0</v>
      </c>
      <c r="AA493" s="5">
        <f>IF(po_master[[#This Row],[Price Variance Flag]]="Price Variance", 1, 0)</f>
        <v>0</v>
      </c>
      <c r="AB493" s="5">
        <f>IF(po_master[[#This Row],[Late Delivery Flag]]="Late Delivery", 1, 0)</f>
        <v>0</v>
      </c>
      <c r="AC493" s="5">
        <f>IF(po_master[[#This Row],[Duplicate Invoice Flag]]="Duplicate Invoice", 1, 0)</f>
        <v>0</v>
      </c>
      <c r="AD493" s="5" t="str">
        <f>TEXT(po_master[[#This Row],[Order Date]],"YYYY-MM")</f>
        <v>2026-05</v>
      </c>
    </row>
    <row r="494" spans="1:30" x14ac:dyDescent="0.25">
      <c r="A494" t="s">
        <v>436</v>
      </c>
      <c r="B494" t="s">
        <v>1482</v>
      </c>
      <c r="C494" s="1">
        <v>46041</v>
      </c>
      <c r="D494">
        <v>52</v>
      </c>
      <c r="E494">
        <v>57.25</v>
      </c>
      <c r="F494" t="s">
        <v>1453</v>
      </c>
      <c r="G494" s="1">
        <v>46050</v>
      </c>
      <c r="H494">
        <v>52</v>
      </c>
      <c r="I494" s="1">
        <v>46051</v>
      </c>
      <c r="J494" t="s">
        <v>1189</v>
      </c>
      <c r="K494">
        <v>52</v>
      </c>
      <c r="L494">
        <v>57.25</v>
      </c>
      <c r="M494" s="1">
        <v>46054</v>
      </c>
      <c r="N494" t="str">
        <f>IF(po_master[[#This Row],[Approved By]]="", "Missing Approval", "OK")</f>
        <v>OK</v>
      </c>
      <c r="O494" t="str">
        <f>IF(ISBLANK(po_master[[#This Row],[GR Quantity]]), "No GR - Not received", "OK")</f>
        <v>OK</v>
      </c>
      <c r="P494" t="str">
        <f>IF(po_master[[#This Row],[Promised Delivey Date]]&lt;po_master[[#This Row],[Order Date]], "Invalid", "OK")</f>
        <v>OK</v>
      </c>
      <c r="Q494" t="str">
        <f>IF(ISBLANK(po_master[[#This Row],[Invoice Number]]), "No Invoice", "OK")</f>
        <v>OK</v>
      </c>
      <c r="R494" t="str">
        <f>IF(AND(NOT(ISBLANK(po_master[[#This Row],[GR Quantity]])), po_master[[#This Row],[GR Quantity]]&lt;&gt;po_master[[#This Row],[PO Quantity]]), "Qty Variance", "OK")</f>
        <v>OK</v>
      </c>
      <c r="S494" t="str">
        <f>IF(po_master[[#This Row],[Invoice Unit Price]]&gt;po_master[[#This Row],[PO Unit Price]]*1.01, "Price Variance", "OK")</f>
        <v>OK</v>
      </c>
      <c r="T494" t="str">
        <f>IF(po_master[[#This Row],[Actual Delivery Date]]&gt;po_master[[#This Row],[Promised Delivey Date]], "Late Delivery", "OK")</f>
        <v>Late Delivery</v>
      </c>
      <c r="U494" t="str">
        <f>IF(COUNTIF(po_master[PO Number],po_master[[#This Row],[PO Number]])&gt;1, "Duplicate Invoice", "OK")</f>
        <v>OK</v>
      </c>
      <c r="V494" s="5">
        <f>IF(po_master[[#This Row],[Missing Approval]]="Missing Approval", 1, 0)</f>
        <v>0</v>
      </c>
      <c r="W494" s="5">
        <f>IF(po_master[[#This Row],[GR Receipt Status]]="No GR - Not Received", 1, 0)</f>
        <v>0</v>
      </c>
      <c r="X494" s="5">
        <f>IF(po_master[[#This Row],[No invoice]]="No Invoice", 1, 0)</f>
        <v>0</v>
      </c>
      <c r="Y494" s="5">
        <f>IF(po_master[[#This Row],[Date Check]]="Invalid Date", 1, 0)</f>
        <v>0</v>
      </c>
      <c r="Z494" s="5">
        <f>IF(po_master[[#This Row],[Qty Variance Flag]]="Qty Variance", 1, 0)</f>
        <v>0</v>
      </c>
      <c r="AA494" s="5">
        <f>IF(po_master[[#This Row],[Price Variance Flag]]="Price Variance", 1, 0)</f>
        <v>0</v>
      </c>
      <c r="AB494" s="5">
        <f>IF(po_master[[#This Row],[Late Delivery Flag]]="Late Delivery", 1, 0)</f>
        <v>1</v>
      </c>
      <c r="AC494" s="5">
        <f>IF(po_master[[#This Row],[Duplicate Invoice Flag]]="Duplicate Invoice", 1, 0)</f>
        <v>0</v>
      </c>
      <c r="AD494" s="5" t="str">
        <f>TEXT(po_master[[#This Row],[Order Date]],"YYYY-MM")</f>
        <v>2026-01</v>
      </c>
    </row>
    <row r="495" spans="1:30" x14ac:dyDescent="0.25">
      <c r="A495" t="s">
        <v>437</v>
      </c>
      <c r="B495" t="s">
        <v>1465</v>
      </c>
      <c r="C495" s="1">
        <v>46122</v>
      </c>
      <c r="D495">
        <v>172</v>
      </c>
      <c r="E495">
        <v>75.34</v>
      </c>
      <c r="F495" t="s">
        <v>1476</v>
      </c>
      <c r="G495" s="1">
        <v>46127</v>
      </c>
      <c r="H495">
        <v>172</v>
      </c>
      <c r="I495" s="1">
        <v>46125</v>
      </c>
      <c r="J495" t="s">
        <v>1190</v>
      </c>
      <c r="K495">
        <v>172</v>
      </c>
      <c r="L495">
        <v>75.34</v>
      </c>
      <c r="M495" s="1">
        <v>46134</v>
      </c>
      <c r="N495" t="str">
        <f>IF(po_master[[#This Row],[Approved By]]="", "Missing Approval", "OK")</f>
        <v>OK</v>
      </c>
      <c r="O495" t="str">
        <f>IF(ISBLANK(po_master[[#This Row],[GR Quantity]]), "No GR - Not received", "OK")</f>
        <v>OK</v>
      </c>
      <c r="P495" t="str">
        <f>IF(po_master[[#This Row],[Promised Delivey Date]]&lt;po_master[[#This Row],[Order Date]], "Invalid", "OK")</f>
        <v>OK</v>
      </c>
      <c r="Q495" t="str">
        <f>IF(ISBLANK(po_master[[#This Row],[Invoice Number]]), "No Invoice", "OK")</f>
        <v>OK</v>
      </c>
      <c r="R495" t="str">
        <f>IF(AND(NOT(ISBLANK(po_master[[#This Row],[GR Quantity]])), po_master[[#This Row],[GR Quantity]]&lt;&gt;po_master[[#This Row],[PO Quantity]]), "Qty Variance", "OK")</f>
        <v>OK</v>
      </c>
      <c r="S495" t="str">
        <f>IF(po_master[[#This Row],[Invoice Unit Price]]&gt;po_master[[#This Row],[PO Unit Price]]*1.01, "Price Variance", "OK")</f>
        <v>OK</v>
      </c>
      <c r="T495" t="str">
        <f>IF(po_master[[#This Row],[Actual Delivery Date]]&gt;po_master[[#This Row],[Promised Delivey Date]], "Late Delivery", "OK")</f>
        <v>OK</v>
      </c>
      <c r="U495" t="str">
        <f>IF(COUNTIF(po_master[PO Number],po_master[[#This Row],[PO Number]])&gt;1, "Duplicate Invoice", "OK")</f>
        <v>OK</v>
      </c>
      <c r="V495" s="5">
        <f>IF(po_master[[#This Row],[Missing Approval]]="Missing Approval", 1, 0)</f>
        <v>0</v>
      </c>
      <c r="W495" s="5">
        <f>IF(po_master[[#This Row],[GR Receipt Status]]="No GR - Not Received", 1, 0)</f>
        <v>0</v>
      </c>
      <c r="X495" s="5">
        <f>IF(po_master[[#This Row],[No invoice]]="No Invoice", 1, 0)</f>
        <v>0</v>
      </c>
      <c r="Y495" s="5">
        <f>IF(po_master[[#This Row],[Date Check]]="Invalid Date", 1, 0)</f>
        <v>0</v>
      </c>
      <c r="Z495" s="5">
        <f>IF(po_master[[#This Row],[Qty Variance Flag]]="Qty Variance", 1, 0)</f>
        <v>0</v>
      </c>
      <c r="AA495" s="5">
        <f>IF(po_master[[#This Row],[Price Variance Flag]]="Price Variance", 1, 0)</f>
        <v>0</v>
      </c>
      <c r="AB495" s="5">
        <f>IF(po_master[[#This Row],[Late Delivery Flag]]="Late Delivery", 1, 0)</f>
        <v>0</v>
      </c>
      <c r="AC495" s="5">
        <f>IF(po_master[[#This Row],[Duplicate Invoice Flag]]="Duplicate Invoice", 1, 0)</f>
        <v>0</v>
      </c>
      <c r="AD495" s="5" t="str">
        <f>TEXT(po_master[[#This Row],[Order Date]],"YYYY-MM")</f>
        <v>2026-04</v>
      </c>
    </row>
    <row r="496" spans="1:30" x14ac:dyDescent="0.25">
      <c r="A496" t="s">
        <v>438</v>
      </c>
      <c r="B496" t="s">
        <v>1457</v>
      </c>
      <c r="C496" s="1">
        <v>46070</v>
      </c>
      <c r="D496">
        <v>230</v>
      </c>
      <c r="E496">
        <v>92.52</v>
      </c>
      <c r="F496" t="s">
        <v>1459</v>
      </c>
      <c r="G496" s="1">
        <v>46091</v>
      </c>
      <c r="H496">
        <v>230</v>
      </c>
      <c r="I496" s="1">
        <v>46089</v>
      </c>
      <c r="J496" t="s">
        <v>1193</v>
      </c>
      <c r="K496">
        <v>230</v>
      </c>
      <c r="L496">
        <v>92.52</v>
      </c>
      <c r="M496" s="1">
        <v>46096</v>
      </c>
      <c r="N496" t="str">
        <f>IF(po_master[[#This Row],[Approved By]]="", "Missing Approval", "OK")</f>
        <v>Missing Approval</v>
      </c>
      <c r="O496" t="str">
        <f>IF(ISBLANK(po_master[[#This Row],[GR Quantity]]), "No GR - Not received", "OK")</f>
        <v>OK</v>
      </c>
      <c r="P496" t="str">
        <f>IF(po_master[[#This Row],[Promised Delivey Date]]&lt;po_master[[#This Row],[Order Date]], "Invalid", "OK")</f>
        <v>OK</v>
      </c>
      <c r="Q496" t="str">
        <f>IF(ISBLANK(po_master[[#This Row],[Invoice Number]]), "No Invoice", "OK")</f>
        <v>OK</v>
      </c>
      <c r="R496" t="str">
        <f>IF(AND(NOT(ISBLANK(po_master[[#This Row],[GR Quantity]])), po_master[[#This Row],[GR Quantity]]&lt;&gt;po_master[[#This Row],[PO Quantity]]), "Qty Variance", "OK")</f>
        <v>OK</v>
      </c>
      <c r="S496" t="str">
        <f>IF(po_master[[#This Row],[Invoice Unit Price]]&gt;po_master[[#This Row],[PO Unit Price]]*1.01, "Price Variance", "OK")</f>
        <v>OK</v>
      </c>
      <c r="T496" t="str">
        <f>IF(po_master[[#This Row],[Actual Delivery Date]]&gt;po_master[[#This Row],[Promised Delivey Date]], "Late Delivery", "OK")</f>
        <v>OK</v>
      </c>
      <c r="U496" t="str">
        <f>IF(COUNTIF(po_master[PO Number],po_master[[#This Row],[PO Number]])&gt;1, "Duplicate Invoice", "OK")</f>
        <v>OK</v>
      </c>
      <c r="V496" s="5">
        <f>IF(po_master[[#This Row],[Missing Approval]]="Missing Approval", 1, 0)</f>
        <v>1</v>
      </c>
      <c r="W496" s="5">
        <f>IF(po_master[[#This Row],[GR Receipt Status]]="No GR - Not Received", 1, 0)</f>
        <v>0</v>
      </c>
      <c r="X496" s="5">
        <f>IF(po_master[[#This Row],[No invoice]]="No Invoice", 1, 0)</f>
        <v>0</v>
      </c>
      <c r="Y496" s="5">
        <f>IF(po_master[[#This Row],[Date Check]]="Invalid Date", 1, 0)</f>
        <v>0</v>
      </c>
      <c r="Z496" s="5">
        <f>IF(po_master[[#This Row],[Qty Variance Flag]]="Qty Variance", 1, 0)</f>
        <v>0</v>
      </c>
      <c r="AA496" s="5">
        <f>IF(po_master[[#This Row],[Price Variance Flag]]="Price Variance", 1, 0)</f>
        <v>0</v>
      </c>
      <c r="AB496" s="5">
        <f>IF(po_master[[#This Row],[Late Delivery Flag]]="Late Delivery", 1, 0)</f>
        <v>0</v>
      </c>
      <c r="AC496" s="5">
        <f>IF(po_master[[#This Row],[Duplicate Invoice Flag]]="Duplicate Invoice", 1, 0)</f>
        <v>0</v>
      </c>
      <c r="AD496" s="5" t="str">
        <f>TEXT(po_master[[#This Row],[Order Date]],"YYYY-MM")</f>
        <v>2026-02</v>
      </c>
    </row>
    <row r="497" spans="1:30" x14ac:dyDescent="0.25">
      <c r="A497" t="s">
        <v>439</v>
      </c>
      <c r="B497" t="s">
        <v>1495</v>
      </c>
      <c r="C497" s="1">
        <v>46049</v>
      </c>
      <c r="D497">
        <v>23</v>
      </c>
      <c r="E497">
        <v>22.48</v>
      </c>
      <c r="F497" t="s">
        <v>1442</v>
      </c>
      <c r="G497" s="1">
        <v>46056</v>
      </c>
      <c r="H497">
        <v>23</v>
      </c>
      <c r="I497" s="1">
        <v>46058</v>
      </c>
      <c r="J497" t="s">
        <v>1194</v>
      </c>
      <c r="K497">
        <v>23</v>
      </c>
      <c r="L497">
        <v>22.48</v>
      </c>
      <c r="M497" s="1">
        <v>46058</v>
      </c>
      <c r="N497" t="str">
        <f>IF(po_master[[#This Row],[Approved By]]="", "Missing Approval", "OK")</f>
        <v>OK</v>
      </c>
      <c r="O497" t="str">
        <f>IF(ISBLANK(po_master[[#This Row],[GR Quantity]]), "No GR - Not received", "OK")</f>
        <v>OK</v>
      </c>
      <c r="P497" t="str">
        <f>IF(po_master[[#This Row],[Promised Delivey Date]]&lt;po_master[[#This Row],[Order Date]], "Invalid", "OK")</f>
        <v>OK</v>
      </c>
      <c r="Q497" t="str">
        <f>IF(ISBLANK(po_master[[#This Row],[Invoice Number]]), "No Invoice", "OK")</f>
        <v>OK</v>
      </c>
      <c r="R497" t="str">
        <f>IF(AND(NOT(ISBLANK(po_master[[#This Row],[GR Quantity]])), po_master[[#This Row],[GR Quantity]]&lt;&gt;po_master[[#This Row],[PO Quantity]]), "Qty Variance", "OK")</f>
        <v>OK</v>
      </c>
      <c r="S497" t="str">
        <f>IF(po_master[[#This Row],[Invoice Unit Price]]&gt;po_master[[#This Row],[PO Unit Price]]*1.01, "Price Variance", "OK")</f>
        <v>OK</v>
      </c>
      <c r="T497" t="str">
        <f>IF(po_master[[#This Row],[Actual Delivery Date]]&gt;po_master[[#This Row],[Promised Delivey Date]], "Late Delivery", "OK")</f>
        <v>Late Delivery</v>
      </c>
      <c r="U497" t="str">
        <f>IF(COUNTIF(po_master[PO Number],po_master[[#This Row],[PO Number]])&gt;1, "Duplicate Invoice", "OK")</f>
        <v>OK</v>
      </c>
      <c r="V497" s="5">
        <f>IF(po_master[[#This Row],[Missing Approval]]="Missing Approval", 1, 0)</f>
        <v>0</v>
      </c>
      <c r="W497" s="5">
        <f>IF(po_master[[#This Row],[GR Receipt Status]]="No GR - Not Received", 1, 0)</f>
        <v>0</v>
      </c>
      <c r="X497" s="5">
        <f>IF(po_master[[#This Row],[No invoice]]="No Invoice", 1, 0)</f>
        <v>0</v>
      </c>
      <c r="Y497" s="5">
        <f>IF(po_master[[#This Row],[Date Check]]="Invalid Date", 1, 0)</f>
        <v>0</v>
      </c>
      <c r="Z497" s="5">
        <f>IF(po_master[[#This Row],[Qty Variance Flag]]="Qty Variance", 1, 0)</f>
        <v>0</v>
      </c>
      <c r="AA497" s="5">
        <f>IF(po_master[[#This Row],[Price Variance Flag]]="Price Variance", 1, 0)</f>
        <v>0</v>
      </c>
      <c r="AB497" s="5">
        <f>IF(po_master[[#This Row],[Late Delivery Flag]]="Late Delivery", 1, 0)</f>
        <v>1</v>
      </c>
      <c r="AC497" s="5">
        <f>IF(po_master[[#This Row],[Duplicate Invoice Flag]]="Duplicate Invoice", 1, 0)</f>
        <v>0</v>
      </c>
      <c r="AD497" s="5" t="str">
        <f>TEXT(po_master[[#This Row],[Order Date]],"YYYY-MM")</f>
        <v>2026-01</v>
      </c>
    </row>
    <row r="498" spans="1:30" x14ac:dyDescent="0.25">
      <c r="A498" t="s">
        <v>440</v>
      </c>
      <c r="B498" t="s">
        <v>1468</v>
      </c>
      <c r="C498" s="1">
        <v>46106</v>
      </c>
      <c r="D498">
        <v>452</v>
      </c>
      <c r="E498">
        <v>80.12</v>
      </c>
      <c r="F498" t="s">
        <v>1474</v>
      </c>
      <c r="G498" s="1">
        <v>46124</v>
      </c>
      <c r="H498">
        <v>452</v>
      </c>
      <c r="I498" s="1">
        <v>46122</v>
      </c>
      <c r="J498" t="s">
        <v>1195</v>
      </c>
      <c r="K498">
        <v>452</v>
      </c>
      <c r="L498">
        <v>80.12</v>
      </c>
      <c r="M498" s="1">
        <v>46132</v>
      </c>
      <c r="N498" t="str">
        <f>IF(po_master[[#This Row],[Approved By]]="", "Missing Approval", "OK")</f>
        <v>OK</v>
      </c>
      <c r="O498" t="str">
        <f>IF(ISBLANK(po_master[[#This Row],[GR Quantity]]), "No GR - Not received", "OK")</f>
        <v>OK</v>
      </c>
      <c r="P498" t="str">
        <f>IF(po_master[[#This Row],[Promised Delivey Date]]&lt;po_master[[#This Row],[Order Date]], "Invalid", "OK")</f>
        <v>OK</v>
      </c>
      <c r="Q498" t="str">
        <f>IF(ISBLANK(po_master[[#This Row],[Invoice Number]]), "No Invoice", "OK")</f>
        <v>OK</v>
      </c>
      <c r="R498" t="str">
        <f>IF(AND(NOT(ISBLANK(po_master[[#This Row],[GR Quantity]])), po_master[[#This Row],[GR Quantity]]&lt;&gt;po_master[[#This Row],[PO Quantity]]), "Qty Variance", "OK")</f>
        <v>OK</v>
      </c>
      <c r="S498" t="str">
        <f>IF(po_master[[#This Row],[Invoice Unit Price]]&gt;po_master[[#This Row],[PO Unit Price]]*1.01, "Price Variance", "OK")</f>
        <v>OK</v>
      </c>
      <c r="T498" t="str">
        <f>IF(po_master[[#This Row],[Actual Delivery Date]]&gt;po_master[[#This Row],[Promised Delivey Date]], "Late Delivery", "OK")</f>
        <v>OK</v>
      </c>
      <c r="U498" t="str">
        <f>IF(COUNTIF(po_master[PO Number],po_master[[#This Row],[PO Number]])&gt;1, "Duplicate Invoice", "OK")</f>
        <v>OK</v>
      </c>
      <c r="V498" s="5">
        <f>IF(po_master[[#This Row],[Missing Approval]]="Missing Approval", 1, 0)</f>
        <v>0</v>
      </c>
      <c r="W498" s="5">
        <f>IF(po_master[[#This Row],[GR Receipt Status]]="No GR - Not Received", 1, 0)</f>
        <v>0</v>
      </c>
      <c r="X498" s="5">
        <f>IF(po_master[[#This Row],[No invoice]]="No Invoice", 1, 0)</f>
        <v>0</v>
      </c>
      <c r="Y498" s="5">
        <f>IF(po_master[[#This Row],[Date Check]]="Invalid Date", 1, 0)</f>
        <v>0</v>
      </c>
      <c r="Z498" s="5">
        <f>IF(po_master[[#This Row],[Qty Variance Flag]]="Qty Variance", 1, 0)</f>
        <v>0</v>
      </c>
      <c r="AA498" s="5">
        <f>IF(po_master[[#This Row],[Price Variance Flag]]="Price Variance", 1, 0)</f>
        <v>0</v>
      </c>
      <c r="AB498" s="5">
        <f>IF(po_master[[#This Row],[Late Delivery Flag]]="Late Delivery", 1, 0)</f>
        <v>0</v>
      </c>
      <c r="AC498" s="5">
        <f>IF(po_master[[#This Row],[Duplicate Invoice Flag]]="Duplicate Invoice", 1, 0)</f>
        <v>0</v>
      </c>
      <c r="AD498" s="5" t="str">
        <f>TEXT(po_master[[#This Row],[Order Date]],"YYYY-MM")</f>
        <v>2026-03</v>
      </c>
    </row>
    <row r="499" spans="1:30" x14ac:dyDescent="0.25">
      <c r="A499" t="s">
        <v>441</v>
      </c>
      <c r="B499" t="s">
        <v>1502</v>
      </c>
      <c r="C499" s="1">
        <v>46044</v>
      </c>
      <c r="D499">
        <v>381</v>
      </c>
      <c r="E499">
        <v>180.72</v>
      </c>
      <c r="F499" t="s">
        <v>1440</v>
      </c>
      <c r="G499" s="1">
        <v>46065</v>
      </c>
      <c r="H499">
        <v>381</v>
      </c>
      <c r="I499" s="1">
        <v>46067</v>
      </c>
      <c r="J499" t="s">
        <v>1196</v>
      </c>
      <c r="K499">
        <v>381</v>
      </c>
      <c r="L499">
        <v>180.72</v>
      </c>
      <c r="M499" s="1">
        <v>46066</v>
      </c>
      <c r="N499" t="str">
        <f>IF(po_master[[#This Row],[Approved By]]="", "Missing Approval", "OK")</f>
        <v>OK</v>
      </c>
      <c r="O499" t="str">
        <f>IF(ISBLANK(po_master[[#This Row],[GR Quantity]]), "No GR - Not received", "OK")</f>
        <v>OK</v>
      </c>
      <c r="P499" t="str">
        <f>IF(po_master[[#This Row],[Promised Delivey Date]]&lt;po_master[[#This Row],[Order Date]], "Invalid", "OK")</f>
        <v>OK</v>
      </c>
      <c r="Q499" t="str">
        <f>IF(ISBLANK(po_master[[#This Row],[Invoice Number]]), "No Invoice", "OK")</f>
        <v>OK</v>
      </c>
      <c r="R499" t="str">
        <f>IF(AND(NOT(ISBLANK(po_master[[#This Row],[GR Quantity]])), po_master[[#This Row],[GR Quantity]]&lt;&gt;po_master[[#This Row],[PO Quantity]]), "Qty Variance", "OK")</f>
        <v>OK</v>
      </c>
      <c r="S499" t="str">
        <f>IF(po_master[[#This Row],[Invoice Unit Price]]&gt;po_master[[#This Row],[PO Unit Price]]*1.01, "Price Variance", "OK")</f>
        <v>OK</v>
      </c>
      <c r="T499" t="str">
        <f>IF(po_master[[#This Row],[Actual Delivery Date]]&gt;po_master[[#This Row],[Promised Delivey Date]], "Late Delivery", "OK")</f>
        <v>Late Delivery</v>
      </c>
      <c r="U499" t="str">
        <f>IF(COUNTIF(po_master[PO Number],po_master[[#This Row],[PO Number]])&gt;1, "Duplicate Invoice", "OK")</f>
        <v>OK</v>
      </c>
      <c r="V499" s="5">
        <f>IF(po_master[[#This Row],[Missing Approval]]="Missing Approval", 1, 0)</f>
        <v>0</v>
      </c>
      <c r="W499" s="5">
        <f>IF(po_master[[#This Row],[GR Receipt Status]]="No GR - Not Received", 1, 0)</f>
        <v>0</v>
      </c>
      <c r="X499" s="5">
        <f>IF(po_master[[#This Row],[No invoice]]="No Invoice", 1, 0)</f>
        <v>0</v>
      </c>
      <c r="Y499" s="5">
        <f>IF(po_master[[#This Row],[Date Check]]="Invalid Date", 1, 0)</f>
        <v>0</v>
      </c>
      <c r="Z499" s="5">
        <f>IF(po_master[[#This Row],[Qty Variance Flag]]="Qty Variance", 1, 0)</f>
        <v>0</v>
      </c>
      <c r="AA499" s="5">
        <f>IF(po_master[[#This Row],[Price Variance Flag]]="Price Variance", 1, 0)</f>
        <v>0</v>
      </c>
      <c r="AB499" s="5">
        <f>IF(po_master[[#This Row],[Late Delivery Flag]]="Late Delivery", 1, 0)</f>
        <v>1</v>
      </c>
      <c r="AC499" s="5">
        <f>IF(po_master[[#This Row],[Duplicate Invoice Flag]]="Duplicate Invoice", 1, 0)</f>
        <v>0</v>
      </c>
      <c r="AD499" s="5" t="str">
        <f>TEXT(po_master[[#This Row],[Order Date]],"YYYY-MM")</f>
        <v>2026-01</v>
      </c>
    </row>
    <row r="500" spans="1:30" x14ac:dyDescent="0.25">
      <c r="A500" t="s">
        <v>442</v>
      </c>
      <c r="B500" t="s">
        <v>1460</v>
      </c>
      <c r="C500" s="1">
        <v>46120</v>
      </c>
      <c r="D500">
        <v>96</v>
      </c>
      <c r="E500">
        <v>32.07</v>
      </c>
      <c r="F500" t="s">
        <v>1474</v>
      </c>
      <c r="G500" s="1">
        <v>46133</v>
      </c>
      <c r="H500">
        <v>96</v>
      </c>
      <c r="I500" s="1">
        <v>46131</v>
      </c>
      <c r="J500" t="s">
        <v>1197</v>
      </c>
      <c r="K500">
        <v>96</v>
      </c>
      <c r="L500">
        <v>32.07</v>
      </c>
      <c r="M500" s="1">
        <v>46134</v>
      </c>
      <c r="N500" t="str">
        <f>IF(po_master[[#This Row],[Approved By]]="", "Missing Approval", "OK")</f>
        <v>OK</v>
      </c>
      <c r="O500" t="str">
        <f>IF(ISBLANK(po_master[[#This Row],[GR Quantity]]), "No GR - Not received", "OK")</f>
        <v>OK</v>
      </c>
      <c r="P500" t="str">
        <f>IF(po_master[[#This Row],[Promised Delivey Date]]&lt;po_master[[#This Row],[Order Date]], "Invalid", "OK")</f>
        <v>OK</v>
      </c>
      <c r="Q500" t="str">
        <f>IF(ISBLANK(po_master[[#This Row],[Invoice Number]]), "No Invoice", "OK")</f>
        <v>OK</v>
      </c>
      <c r="R500" t="str">
        <f>IF(AND(NOT(ISBLANK(po_master[[#This Row],[GR Quantity]])), po_master[[#This Row],[GR Quantity]]&lt;&gt;po_master[[#This Row],[PO Quantity]]), "Qty Variance", "OK")</f>
        <v>OK</v>
      </c>
      <c r="S500" t="str">
        <f>IF(po_master[[#This Row],[Invoice Unit Price]]&gt;po_master[[#This Row],[PO Unit Price]]*1.01, "Price Variance", "OK")</f>
        <v>OK</v>
      </c>
      <c r="T500" t="str">
        <f>IF(po_master[[#This Row],[Actual Delivery Date]]&gt;po_master[[#This Row],[Promised Delivey Date]], "Late Delivery", "OK")</f>
        <v>OK</v>
      </c>
      <c r="U500" t="str">
        <f>IF(COUNTIF(po_master[PO Number],po_master[[#This Row],[PO Number]])&gt;1, "Duplicate Invoice", "OK")</f>
        <v>OK</v>
      </c>
      <c r="V500" s="5">
        <f>IF(po_master[[#This Row],[Missing Approval]]="Missing Approval", 1, 0)</f>
        <v>0</v>
      </c>
      <c r="W500" s="5">
        <f>IF(po_master[[#This Row],[GR Receipt Status]]="No GR - Not Received", 1, 0)</f>
        <v>0</v>
      </c>
      <c r="X500" s="5">
        <f>IF(po_master[[#This Row],[No invoice]]="No Invoice", 1, 0)</f>
        <v>0</v>
      </c>
      <c r="Y500" s="5">
        <f>IF(po_master[[#This Row],[Date Check]]="Invalid Date", 1, 0)</f>
        <v>0</v>
      </c>
      <c r="Z500" s="5">
        <f>IF(po_master[[#This Row],[Qty Variance Flag]]="Qty Variance", 1, 0)</f>
        <v>0</v>
      </c>
      <c r="AA500" s="5">
        <f>IF(po_master[[#This Row],[Price Variance Flag]]="Price Variance", 1, 0)</f>
        <v>0</v>
      </c>
      <c r="AB500" s="5">
        <f>IF(po_master[[#This Row],[Late Delivery Flag]]="Late Delivery", 1, 0)</f>
        <v>0</v>
      </c>
      <c r="AC500" s="5">
        <f>IF(po_master[[#This Row],[Duplicate Invoice Flag]]="Duplicate Invoice", 1, 0)</f>
        <v>0</v>
      </c>
      <c r="AD500" s="5" t="str">
        <f>TEXT(po_master[[#This Row],[Order Date]],"YYYY-MM")</f>
        <v>2026-04</v>
      </c>
    </row>
    <row r="501" spans="1:30" x14ac:dyDescent="0.25">
      <c r="A501" t="s">
        <v>443</v>
      </c>
      <c r="B501" t="s">
        <v>1498</v>
      </c>
      <c r="C501" s="1">
        <v>46060</v>
      </c>
      <c r="D501">
        <v>42</v>
      </c>
      <c r="E501">
        <v>37.61</v>
      </c>
      <c r="F501" t="s">
        <v>1458</v>
      </c>
      <c r="G501" s="1">
        <v>46078</v>
      </c>
      <c r="H501">
        <v>48</v>
      </c>
      <c r="I501" s="1">
        <v>46080</v>
      </c>
      <c r="J501" t="s">
        <v>1198</v>
      </c>
      <c r="K501">
        <v>42</v>
      </c>
      <c r="L501">
        <v>37.61</v>
      </c>
      <c r="M501" s="1">
        <v>46079</v>
      </c>
      <c r="N501" t="str">
        <f>IF(po_master[[#This Row],[Approved By]]="", "Missing Approval", "OK")</f>
        <v>OK</v>
      </c>
      <c r="O501" t="str">
        <f>IF(ISBLANK(po_master[[#This Row],[GR Quantity]]), "No GR - Not received", "OK")</f>
        <v>OK</v>
      </c>
      <c r="P501" t="str">
        <f>IF(po_master[[#This Row],[Promised Delivey Date]]&lt;po_master[[#This Row],[Order Date]], "Invalid", "OK")</f>
        <v>OK</v>
      </c>
      <c r="Q501" t="str">
        <f>IF(ISBLANK(po_master[[#This Row],[Invoice Number]]), "No Invoice", "OK")</f>
        <v>OK</v>
      </c>
      <c r="R501" t="str">
        <f>IF(AND(NOT(ISBLANK(po_master[[#This Row],[GR Quantity]])), po_master[[#This Row],[GR Quantity]]&lt;&gt;po_master[[#This Row],[PO Quantity]]), "Qty Variance", "OK")</f>
        <v>Qty Variance</v>
      </c>
      <c r="S501" t="str">
        <f>IF(po_master[[#This Row],[Invoice Unit Price]]&gt;po_master[[#This Row],[PO Unit Price]]*1.01, "Price Variance", "OK")</f>
        <v>OK</v>
      </c>
      <c r="T501" t="str">
        <f>IF(po_master[[#This Row],[Actual Delivery Date]]&gt;po_master[[#This Row],[Promised Delivey Date]], "Late Delivery", "OK")</f>
        <v>Late Delivery</v>
      </c>
      <c r="U501" t="str">
        <f>IF(COUNTIF(po_master[PO Number],po_master[[#This Row],[PO Number]])&gt;1, "Duplicate Invoice", "OK")</f>
        <v>OK</v>
      </c>
      <c r="V501" s="5">
        <f>IF(po_master[[#This Row],[Missing Approval]]="Missing Approval", 1, 0)</f>
        <v>0</v>
      </c>
      <c r="W501" s="5">
        <f>IF(po_master[[#This Row],[GR Receipt Status]]="No GR - Not Received", 1, 0)</f>
        <v>0</v>
      </c>
      <c r="X501" s="5">
        <f>IF(po_master[[#This Row],[No invoice]]="No Invoice", 1, 0)</f>
        <v>0</v>
      </c>
      <c r="Y501" s="5">
        <f>IF(po_master[[#This Row],[Date Check]]="Invalid Date", 1, 0)</f>
        <v>0</v>
      </c>
      <c r="Z501" s="5">
        <f>IF(po_master[[#This Row],[Qty Variance Flag]]="Qty Variance", 1, 0)</f>
        <v>1</v>
      </c>
      <c r="AA501" s="5">
        <f>IF(po_master[[#This Row],[Price Variance Flag]]="Price Variance", 1, 0)</f>
        <v>0</v>
      </c>
      <c r="AB501" s="5">
        <f>IF(po_master[[#This Row],[Late Delivery Flag]]="Late Delivery", 1, 0)</f>
        <v>1</v>
      </c>
      <c r="AC501" s="5">
        <f>IF(po_master[[#This Row],[Duplicate Invoice Flag]]="Duplicate Invoice", 1, 0)</f>
        <v>0</v>
      </c>
      <c r="AD501" s="5" t="str">
        <f>TEXT(po_master[[#This Row],[Order Date]],"YYYY-MM")</f>
        <v>2026-02</v>
      </c>
    </row>
    <row r="502" spans="1:30" x14ac:dyDescent="0.25">
      <c r="A502" t="s">
        <v>444</v>
      </c>
      <c r="B502" t="s">
        <v>1512</v>
      </c>
      <c r="C502" s="1">
        <v>46146</v>
      </c>
      <c r="D502">
        <v>410</v>
      </c>
      <c r="E502">
        <v>20</v>
      </c>
      <c r="F502" t="s">
        <v>1458</v>
      </c>
      <c r="G502" s="1">
        <v>46158</v>
      </c>
      <c r="H502">
        <v>410</v>
      </c>
      <c r="I502" s="1">
        <v>46157</v>
      </c>
      <c r="J502" t="s">
        <v>1199</v>
      </c>
      <c r="K502">
        <v>410</v>
      </c>
      <c r="L502">
        <v>20</v>
      </c>
      <c r="M502" s="1">
        <v>46159</v>
      </c>
      <c r="N502" t="str">
        <f>IF(po_master[[#This Row],[Approved By]]="", "Missing Approval", "OK")</f>
        <v>OK</v>
      </c>
      <c r="O502" t="str">
        <f>IF(ISBLANK(po_master[[#This Row],[GR Quantity]]), "No GR - Not received", "OK")</f>
        <v>OK</v>
      </c>
      <c r="P502" t="str">
        <f>IF(po_master[[#This Row],[Promised Delivey Date]]&lt;po_master[[#This Row],[Order Date]], "Invalid", "OK")</f>
        <v>OK</v>
      </c>
      <c r="Q502" t="str">
        <f>IF(ISBLANK(po_master[[#This Row],[Invoice Number]]), "No Invoice", "OK")</f>
        <v>OK</v>
      </c>
      <c r="R502" t="str">
        <f>IF(AND(NOT(ISBLANK(po_master[[#This Row],[GR Quantity]])), po_master[[#This Row],[GR Quantity]]&lt;&gt;po_master[[#This Row],[PO Quantity]]), "Qty Variance", "OK")</f>
        <v>OK</v>
      </c>
      <c r="S502" t="str">
        <f>IF(po_master[[#This Row],[Invoice Unit Price]]&gt;po_master[[#This Row],[PO Unit Price]]*1.01, "Price Variance", "OK")</f>
        <v>OK</v>
      </c>
      <c r="T502" t="str">
        <f>IF(po_master[[#This Row],[Actual Delivery Date]]&gt;po_master[[#This Row],[Promised Delivey Date]], "Late Delivery", "OK")</f>
        <v>OK</v>
      </c>
      <c r="U502" t="str">
        <f>IF(COUNTIF(po_master[PO Number],po_master[[#This Row],[PO Number]])&gt;1, "Duplicate Invoice", "OK")</f>
        <v>OK</v>
      </c>
      <c r="V502" s="5">
        <f>IF(po_master[[#This Row],[Missing Approval]]="Missing Approval", 1, 0)</f>
        <v>0</v>
      </c>
      <c r="W502" s="5">
        <f>IF(po_master[[#This Row],[GR Receipt Status]]="No GR - Not Received", 1, 0)</f>
        <v>0</v>
      </c>
      <c r="X502" s="5">
        <f>IF(po_master[[#This Row],[No invoice]]="No Invoice", 1, 0)</f>
        <v>0</v>
      </c>
      <c r="Y502" s="5">
        <f>IF(po_master[[#This Row],[Date Check]]="Invalid Date", 1, 0)</f>
        <v>0</v>
      </c>
      <c r="Z502" s="5">
        <f>IF(po_master[[#This Row],[Qty Variance Flag]]="Qty Variance", 1, 0)</f>
        <v>0</v>
      </c>
      <c r="AA502" s="5">
        <f>IF(po_master[[#This Row],[Price Variance Flag]]="Price Variance", 1, 0)</f>
        <v>0</v>
      </c>
      <c r="AB502" s="5">
        <f>IF(po_master[[#This Row],[Late Delivery Flag]]="Late Delivery", 1, 0)</f>
        <v>0</v>
      </c>
      <c r="AC502" s="5">
        <f>IF(po_master[[#This Row],[Duplicate Invoice Flag]]="Duplicate Invoice", 1, 0)</f>
        <v>0</v>
      </c>
      <c r="AD502" s="5" t="str">
        <f>TEXT(po_master[[#This Row],[Order Date]],"YYYY-MM")</f>
        <v>2026-05</v>
      </c>
    </row>
    <row r="503" spans="1:30" x14ac:dyDescent="0.25">
      <c r="A503" t="s">
        <v>445</v>
      </c>
      <c r="B503" t="s">
        <v>1477</v>
      </c>
      <c r="C503" s="1">
        <v>46149</v>
      </c>
      <c r="D503">
        <v>314</v>
      </c>
      <c r="E503">
        <v>125.25</v>
      </c>
      <c r="F503" t="s">
        <v>1459</v>
      </c>
      <c r="G503" s="1">
        <v>46157</v>
      </c>
      <c r="H503">
        <v>314</v>
      </c>
      <c r="I503" s="1">
        <v>46158</v>
      </c>
      <c r="J503" t="s">
        <v>1200</v>
      </c>
      <c r="K503">
        <v>314</v>
      </c>
      <c r="L503">
        <v>125.25</v>
      </c>
      <c r="M503" s="1">
        <v>46162</v>
      </c>
      <c r="N503" t="str">
        <f>IF(po_master[[#This Row],[Approved By]]="", "Missing Approval", "OK")</f>
        <v>Missing Approval</v>
      </c>
      <c r="O503" t="str">
        <f>IF(ISBLANK(po_master[[#This Row],[GR Quantity]]), "No GR - Not received", "OK")</f>
        <v>OK</v>
      </c>
      <c r="P503" t="str">
        <f>IF(po_master[[#This Row],[Promised Delivey Date]]&lt;po_master[[#This Row],[Order Date]], "Invalid", "OK")</f>
        <v>OK</v>
      </c>
      <c r="Q503" t="str">
        <f>IF(ISBLANK(po_master[[#This Row],[Invoice Number]]), "No Invoice", "OK")</f>
        <v>OK</v>
      </c>
      <c r="R503" t="str">
        <f>IF(AND(NOT(ISBLANK(po_master[[#This Row],[GR Quantity]])), po_master[[#This Row],[GR Quantity]]&lt;&gt;po_master[[#This Row],[PO Quantity]]), "Qty Variance", "OK")</f>
        <v>OK</v>
      </c>
      <c r="S503" t="str">
        <f>IF(po_master[[#This Row],[Invoice Unit Price]]&gt;po_master[[#This Row],[PO Unit Price]]*1.01, "Price Variance", "OK")</f>
        <v>OK</v>
      </c>
      <c r="T503" t="str">
        <f>IF(po_master[[#This Row],[Actual Delivery Date]]&gt;po_master[[#This Row],[Promised Delivey Date]], "Late Delivery", "OK")</f>
        <v>Late Delivery</v>
      </c>
      <c r="U503" t="str">
        <f>IF(COUNTIF(po_master[PO Number],po_master[[#This Row],[PO Number]])&gt;1, "Duplicate Invoice", "OK")</f>
        <v>OK</v>
      </c>
      <c r="V503" s="5">
        <f>IF(po_master[[#This Row],[Missing Approval]]="Missing Approval", 1, 0)</f>
        <v>1</v>
      </c>
      <c r="W503" s="5">
        <f>IF(po_master[[#This Row],[GR Receipt Status]]="No GR - Not Received", 1, 0)</f>
        <v>0</v>
      </c>
      <c r="X503" s="5">
        <f>IF(po_master[[#This Row],[No invoice]]="No Invoice", 1, 0)</f>
        <v>0</v>
      </c>
      <c r="Y503" s="5">
        <f>IF(po_master[[#This Row],[Date Check]]="Invalid Date", 1, 0)</f>
        <v>0</v>
      </c>
      <c r="Z503" s="5">
        <f>IF(po_master[[#This Row],[Qty Variance Flag]]="Qty Variance", 1, 0)</f>
        <v>0</v>
      </c>
      <c r="AA503" s="5">
        <f>IF(po_master[[#This Row],[Price Variance Flag]]="Price Variance", 1, 0)</f>
        <v>0</v>
      </c>
      <c r="AB503" s="5">
        <f>IF(po_master[[#This Row],[Late Delivery Flag]]="Late Delivery", 1, 0)</f>
        <v>1</v>
      </c>
      <c r="AC503" s="5">
        <f>IF(po_master[[#This Row],[Duplicate Invoice Flag]]="Duplicate Invoice", 1, 0)</f>
        <v>0</v>
      </c>
      <c r="AD503" s="5" t="str">
        <f>TEXT(po_master[[#This Row],[Order Date]],"YYYY-MM")</f>
        <v>2026-05</v>
      </c>
    </row>
    <row r="504" spans="1:30" x14ac:dyDescent="0.25">
      <c r="A504" t="s">
        <v>446</v>
      </c>
      <c r="B504" t="s">
        <v>1441</v>
      </c>
      <c r="C504" s="1">
        <v>46100</v>
      </c>
      <c r="D504">
        <v>13</v>
      </c>
      <c r="E504">
        <v>190.02</v>
      </c>
      <c r="F504" t="s">
        <v>1472</v>
      </c>
      <c r="G504" s="1">
        <v>46117</v>
      </c>
      <c r="H504">
        <v>13</v>
      </c>
      <c r="I504" s="1">
        <v>46116</v>
      </c>
      <c r="J504" t="s">
        <v>1201</v>
      </c>
      <c r="K504">
        <v>13</v>
      </c>
      <c r="L504">
        <v>190.02</v>
      </c>
      <c r="M504" s="1">
        <v>46123</v>
      </c>
      <c r="N504" t="str">
        <f>IF(po_master[[#This Row],[Approved By]]="", "Missing Approval", "OK")</f>
        <v>OK</v>
      </c>
      <c r="O504" t="str">
        <f>IF(ISBLANK(po_master[[#This Row],[GR Quantity]]), "No GR - Not received", "OK")</f>
        <v>OK</v>
      </c>
      <c r="P504" t="str">
        <f>IF(po_master[[#This Row],[Promised Delivey Date]]&lt;po_master[[#This Row],[Order Date]], "Invalid", "OK")</f>
        <v>OK</v>
      </c>
      <c r="Q504" t="str">
        <f>IF(ISBLANK(po_master[[#This Row],[Invoice Number]]), "No Invoice", "OK")</f>
        <v>OK</v>
      </c>
      <c r="R504" t="str">
        <f>IF(AND(NOT(ISBLANK(po_master[[#This Row],[GR Quantity]])), po_master[[#This Row],[GR Quantity]]&lt;&gt;po_master[[#This Row],[PO Quantity]]), "Qty Variance", "OK")</f>
        <v>OK</v>
      </c>
      <c r="S504" t="str">
        <f>IF(po_master[[#This Row],[Invoice Unit Price]]&gt;po_master[[#This Row],[PO Unit Price]]*1.01, "Price Variance", "OK")</f>
        <v>OK</v>
      </c>
      <c r="T504" t="str">
        <f>IF(po_master[[#This Row],[Actual Delivery Date]]&gt;po_master[[#This Row],[Promised Delivey Date]], "Late Delivery", "OK")</f>
        <v>OK</v>
      </c>
      <c r="U504" t="str">
        <f>IF(COUNTIF(po_master[PO Number],po_master[[#This Row],[PO Number]])&gt;1, "Duplicate Invoice", "OK")</f>
        <v>OK</v>
      </c>
      <c r="V504" s="5">
        <f>IF(po_master[[#This Row],[Missing Approval]]="Missing Approval", 1, 0)</f>
        <v>0</v>
      </c>
      <c r="W504" s="5">
        <f>IF(po_master[[#This Row],[GR Receipt Status]]="No GR - Not Received", 1, 0)</f>
        <v>0</v>
      </c>
      <c r="X504" s="5">
        <f>IF(po_master[[#This Row],[No invoice]]="No Invoice", 1, 0)</f>
        <v>0</v>
      </c>
      <c r="Y504" s="5">
        <f>IF(po_master[[#This Row],[Date Check]]="Invalid Date", 1, 0)</f>
        <v>0</v>
      </c>
      <c r="Z504" s="5">
        <f>IF(po_master[[#This Row],[Qty Variance Flag]]="Qty Variance", 1, 0)</f>
        <v>0</v>
      </c>
      <c r="AA504" s="5">
        <f>IF(po_master[[#This Row],[Price Variance Flag]]="Price Variance", 1, 0)</f>
        <v>0</v>
      </c>
      <c r="AB504" s="5">
        <f>IF(po_master[[#This Row],[Late Delivery Flag]]="Late Delivery", 1, 0)</f>
        <v>0</v>
      </c>
      <c r="AC504" s="5">
        <f>IF(po_master[[#This Row],[Duplicate Invoice Flag]]="Duplicate Invoice", 1, 0)</f>
        <v>0</v>
      </c>
      <c r="AD504" s="5" t="str">
        <f>TEXT(po_master[[#This Row],[Order Date]],"YYYY-MM")</f>
        <v>2026-03</v>
      </c>
    </row>
    <row r="505" spans="1:30" x14ac:dyDescent="0.25">
      <c r="A505" t="s">
        <v>447</v>
      </c>
      <c r="B505" t="s">
        <v>1479</v>
      </c>
      <c r="C505" s="1">
        <v>46135</v>
      </c>
      <c r="D505">
        <v>181</v>
      </c>
      <c r="E505">
        <v>88.97</v>
      </c>
      <c r="F505" t="s">
        <v>1446</v>
      </c>
      <c r="G505" s="1">
        <v>46144</v>
      </c>
      <c r="H505">
        <v>181</v>
      </c>
      <c r="I505" s="1">
        <v>46144</v>
      </c>
      <c r="J505" t="s">
        <v>1202</v>
      </c>
      <c r="K505">
        <v>181</v>
      </c>
      <c r="L505">
        <v>88.97</v>
      </c>
      <c r="M505" s="1">
        <v>46150</v>
      </c>
      <c r="N505" t="str">
        <f>IF(po_master[[#This Row],[Approved By]]="", "Missing Approval", "OK")</f>
        <v>OK</v>
      </c>
      <c r="O505" t="str">
        <f>IF(ISBLANK(po_master[[#This Row],[GR Quantity]]), "No GR - Not received", "OK")</f>
        <v>OK</v>
      </c>
      <c r="P505" t="str">
        <f>IF(po_master[[#This Row],[Promised Delivey Date]]&lt;po_master[[#This Row],[Order Date]], "Invalid", "OK")</f>
        <v>OK</v>
      </c>
      <c r="Q505" t="str">
        <f>IF(ISBLANK(po_master[[#This Row],[Invoice Number]]), "No Invoice", "OK")</f>
        <v>OK</v>
      </c>
      <c r="R505" t="str">
        <f>IF(AND(NOT(ISBLANK(po_master[[#This Row],[GR Quantity]])), po_master[[#This Row],[GR Quantity]]&lt;&gt;po_master[[#This Row],[PO Quantity]]), "Qty Variance", "OK")</f>
        <v>OK</v>
      </c>
      <c r="S505" t="str">
        <f>IF(po_master[[#This Row],[Invoice Unit Price]]&gt;po_master[[#This Row],[PO Unit Price]]*1.01, "Price Variance", "OK")</f>
        <v>OK</v>
      </c>
      <c r="T505" t="str">
        <f>IF(po_master[[#This Row],[Actual Delivery Date]]&gt;po_master[[#This Row],[Promised Delivey Date]], "Late Delivery", "OK")</f>
        <v>OK</v>
      </c>
      <c r="U505" t="str">
        <f>IF(COUNTIF(po_master[PO Number],po_master[[#This Row],[PO Number]])&gt;1, "Duplicate Invoice", "OK")</f>
        <v>OK</v>
      </c>
      <c r="V505" s="5">
        <f>IF(po_master[[#This Row],[Missing Approval]]="Missing Approval", 1, 0)</f>
        <v>0</v>
      </c>
      <c r="W505" s="5">
        <f>IF(po_master[[#This Row],[GR Receipt Status]]="No GR - Not Received", 1, 0)</f>
        <v>0</v>
      </c>
      <c r="X505" s="5">
        <f>IF(po_master[[#This Row],[No invoice]]="No Invoice", 1, 0)</f>
        <v>0</v>
      </c>
      <c r="Y505" s="5">
        <f>IF(po_master[[#This Row],[Date Check]]="Invalid Date", 1, 0)</f>
        <v>0</v>
      </c>
      <c r="Z505" s="5">
        <f>IF(po_master[[#This Row],[Qty Variance Flag]]="Qty Variance", 1, 0)</f>
        <v>0</v>
      </c>
      <c r="AA505" s="5">
        <f>IF(po_master[[#This Row],[Price Variance Flag]]="Price Variance", 1, 0)</f>
        <v>0</v>
      </c>
      <c r="AB505" s="5">
        <f>IF(po_master[[#This Row],[Late Delivery Flag]]="Late Delivery", 1, 0)</f>
        <v>0</v>
      </c>
      <c r="AC505" s="5">
        <f>IF(po_master[[#This Row],[Duplicate Invoice Flag]]="Duplicate Invoice", 1, 0)</f>
        <v>0</v>
      </c>
      <c r="AD505" s="5" t="str">
        <f>TEXT(po_master[[#This Row],[Order Date]],"YYYY-MM")</f>
        <v>2026-04</v>
      </c>
    </row>
    <row r="506" spans="1:30" x14ac:dyDescent="0.25">
      <c r="A506" t="s">
        <v>1178</v>
      </c>
      <c r="B506" t="s">
        <v>1486</v>
      </c>
      <c r="C506" s="1">
        <v>46103</v>
      </c>
      <c r="D506">
        <v>18</v>
      </c>
      <c r="E506">
        <v>192.49</v>
      </c>
      <c r="F506" t="s">
        <v>1480</v>
      </c>
      <c r="G506" s="1">
        <v>46112</v>
      </c>
      <c r="I506" s="1"/>
      <c r="J506" t="s">
        <v>1179</v>
      </c>
      <c r="K506">
        <v>18</v>
      </c>
      <c r="L506">
        <v>192.49</v>
      </c>
      <c r="M506" s="1">
        <v>46116</v>
      </c>
      <c r="N506" t="str">
        <f>IF(po_master[[#This Row],[Approved By]]="", "Missing Approval", "OK")</f>
        <v>OK</v>
      </c>
      <c r="O506" t="str">
        <f>IF(ISBLANK(po_master[[#This Row],[GR Quantity]]), "No GR - Not received", "OK")</f>
        <v>No GR - Not received</v>
      </c>
      <c r="P506" t="str">
        <f>IF(po_master[[#This Row],[Promised Delivey Date]]&lt;po_master[[#This Row],[Order Date]], "Invalid", "OK")</f>
        <v>OK</v>
      </c>
      <c r="Q506" t="str">
        <f>IF(ISBLANK(po_master[[#This Row],[Invoice Number]]), "No Invoice", "OK")</f>
        <v>OK</v>
      </c>
      <c r="R506" t="str">
        <f>IF(AND(NOT(ISBLANK(po_master[[#This Row],[GR Quantity]])), po_master[[#This Row],[GR Quantity]]&lt;&gt;po_master[[#This Row],[PO Quantity]]), "Qty Variance", "OK")</f>
        <v>OK</v>
      </c>
      <c r="S506" t="str">
        <f>IF(po_master[[#This Row],[Invoice Unit Price]]&gt;po_master[[#This Row],[PO Unit Price]]*1.01, "Price Variance", "OK")</f>
        <v>OK</v>
      </c>
      <c r="T506" t="str">
        <f>IF(po_master[[#This Row],[Actual Delivery Date]]&gt;po_master[[#This Row],[Promised Delivey Date]], "Late Delivery", "OK")</f>
        <v>OK</v>
      </c>
      <c r="U506" t="str">
        <f>IF(COUNTIF(po_master[PO Number],po_master[[#This Row],[PO Number]])&gt;1, "Duplicate Invoice", "OK")</f>
        <v>OK</v>
      </c>
      <c r="V506" s="5">
        <f>IF(po_master[[#This Row],[Missing Approval]]="Missing Approval", 1, 0)</f>
        <v>0</v>
      </c>
      <c r="W506" s="5">
        <f>IF(po_master[[#This Row],[GR Receipt Status]]="No GR - Not Received", 1, 0)</f>
        <v>1</v>
      </c>
      <c r="X506" s="5">
        <f>IF(po_master[[#This Row],[No invoice]]="No Invoice", 1, 0)</f>
        <v>0</v>
      </c>
      <c r="Y506" s="5">
        <f>IF(po_master[[#This Row],[Date Check]]="Invalid Date", 1, 0)</f>
        <v>0</v>
      </c>
      <c r="Z506" s="5">
        <f>IF(po_master[[#This Row],[Qty Variance Flag]]="Qty Variance", 1, 0)</f>
        <v>0</v>
      </c>
      <c r="AA506" s="5">
        <f>IF(po_master[[#This Row],[Price Variance Flag]]="Price Variance", 1, 0)</f>
        <v>0</v>
      </c>
      <c r="AB506" s="5">
        <f>IF(po_master[[#This Row],[Late Delivery Flag]]="Late Delivery", 1, 0)</f>
        <v>0</v>
      </c>
      <c r="AC506" s="5">
        <f>IF(po_master[[#This Row],[Duplicate Invoice Flag]]="Duplicate Invoice", 1, 0)</f>
        <v>0</v>
      </c>
      <c r="AD506" s="5" t="str">
        <f>TEXT(po_master[[#This Row],[Order Date]],"YYYY-MM")</f>
        <v>2026-03</v>
      </c>
    </row>
    <row r="507" spans="1:30" x14ac:dyDescent="0.25">
      <c r="A507" t="s">
        <v>448</v>
      </c>
      <c r="B507" t="s">
        <v>1512</v>
      </c>
      <c r="C507" s="1">
        <v>46105</v>
      </c>
      <c r="D507">
        <v>318</v>
      </c>
      <c r="E507">
        <v>189.72</v>
      </c>
      <c r="F507" t="s">
        <v>1444</v>
      </c>
      <c r="G507" s="1">
        <v>46125</v>
      </c>
      <c r="H507">
        <v>330</v>
      </c>
      <c r="I507" s="1">
        <v>46126</v>
      </c>
      <c r="J507" t="s">
        <v>1203</v>
      </c>
      <c r="K507">
        <v>318</v>
      </c>
      <c r="L507">
        <v>189.72</v>
      </c>
      <c r="M507" s="1">
        <v>46131</v>
      </c>
      <c r="N507" t="str">
        <f>IF(po_master[[#This Row],[Approved By]]="", "Missing Approval", "OK")</f>
        <v>OK</v>
      </c>
      <c r="O507" t="str">
        <f>IF(ISBLANK(po_master[[#This Row],[GR Quantity]]), "No GR - Not received", "OK")</f>
        <v>OK</v>
      </c>
      <c r="P507" t="str">
        <f>IF(po_master[[#This Row],[Promised Delivey Date]]&lt;po_master[[#This Row],[Order Date]], "Invalid", "OK")</f>
        <v>OK</v>
      </c>
      <c r="Q507" t="str">
        <f>IF(ISBLANK(po_master[[#This Row],[Invoice Number]]), "No Invoice", "OK")</f>
        <v>OK</v>
      </c>
      <c r="R507" t="str">
        <f>IF(AND(NOT(ISBLANK(po_master[[#This Row],[GR Quantity]])), po_master[[#This Row],[GR Quantity]]&lt;&gt;po_master[[#This Row],[PO Quantity]]), "Qty Variance", "OK")</f>
        <v>Qty Variance</v>
      </c>
      <c r="S507" t="str">
        <f>IF(po_master[[#This Row],[Invoice Unit Price]]&gt;po_master[[#This Row],[PO Unit Price]]*1.01, "Price Variance", "OK")</f>
        <v>OK</v>
      </c>
      <c r="T507" t="str">
        <f>IF(po_master[[#This Row],[Actual Delivery Date]]&gt;po_master[[#This Row],[Promised Delivey Date]], "Late Delivery", "OK")</f>
        <v>Late Delivery</v>
      </c>
      <c r="U507" t="str">
        <f>IF(COUNTIF(po_master[PO Number],po_master[[#This Row],[PO Number]])&gt;1, "Duplicate Invoice", "OK")</f>
        <v>OK</v>
      </c>
      <c r="V507" s="5">
        <f>IF(po_master[[#This Row],[Missing Approval]]="Missing Approval", 1, 0)</f>
        <v>0</v>
      </c>
      <c r="W507" s="5">
        <f>IF(po_master[[#This Row],[GR Receipt Status]]="No GR - Not Received", 1, 0)</f>
        <v>0</v>
      </c>
      <c r="X507" s="5">
        <f>IF(po_master[[#This Row],[No invoice]]="No Invoice", 1, 0)</f>
        <v>0</v>
      </c>
      <c r="Y507" s="5">
        <f>IF(po_master[[#This Row],[Date Check]]="Invalid Date", 1, 0)</f>
        <v>0</v>
      </c>
      <c r="Z507" s="5">
        <f>IF(po_master[[#This Row],[Qty Variance Flag]]="Qty Variance", 1, 0)</f>
        <v>1</v>
      </c>
      <c r="AA507" s="5">
        <f>IF(po_master[[#This Row],[Price Variance Flag]]="Price Variance", 1, 0)</f>
        <v>0</v>
      </c>
      <c r="AB507" s="5">
        <f>IF(po_master[[#This Row],[Late Delivery Flag]]="Late Delivery", 1, 0)</f>
        <v>1</v>
      </c>
      <c r="AC507" s="5">
        <f>IF(po_master[[#This Row],[Duplicate Invoice Flag]]="Duplicate Invoice", 1, 0)</f>
        <v>0</v>
      </c>
      <c r="AD507" s="5" t="str">
        <f>TEXT(po_master[[#This Row],[Order Date]],"YYYY-MM")</f>
        <v>2026-03</v>
      </c>
    </row>
    <row r="508" spans="1:30" x14ac:dyDescent="0.25">
      <c r="A508" t="s">
        <v>449</v>
      </c>
      <c r="B508" t="s">
        <v>1509</v>
      </c>
      <c r="C508" s="1">
        <v>46068</v>
      </c>
      <c r="D508">
        <v>213</v>
      </c>
      <c r="E508">
        <v>193.9</v>
      </c>
      <c r="F508" t="s">
        <v>1474</v>
      </c>
      <c r="G508" s="1">
        <v>46088</v>
      </c>
      <c r="H508">
        <v>213</v>
      </c>
      <c r="I508" s="1">
        <v>46090</v>
      </c>
      <c r="J508" t="s">
        <v>1204</v>
      </c>
      <c r="K508">
        <v>213</v>
      </c>
      <c r="L508">
        <v>193.9</v>
      </c>
      <c r="M508" s="1">
        <v>46089</v>
      </c>
      <c r="N508" t="str">
        <f>IF(po_master[[#This Row],[Approved By]]="", "Missing Approval", "OK")</f>
        <v>OK</v>
      </c>
      <c r="O508" t="str">
        <f>IF(ISBLANK(po_master[[#This Row],[GR Quantity]]), "No GR - Not received", "OK")</f>
        <v>OK</v>
      </c>
      <c r="P508" t="str">
        <f>IF(po_master[[#This Row],[Promised Delivey Date]]&lt;po_master[[#This Row],[Order Date]], "Invalid", "OK")</f>
        <v>OK</v>
      </c>
      <c r="Q508" t="str">
        <f>IF(ISBLANK(po_master[[#This Row],[Invoice Number]]), "No Invoice", "OK")</f>
        <v>OK</v>
      </c>
      <c r="R508" t="str">
        <f>IF(AND(NOT(ISBLANK(po_master[[#This Row],[GR Quantity]])), po_master[[#This Row],[GR Quantity]]&lt;&gt;po_master[[#This Row],[PO Quantity]]), "Qty Variance", "OK")</f>
        <v>OK</v>
      </c>
      <c r="S508" t="str">
        <f>IF(po_master[[#This Row],[Invoice Unit Price]]&gt;po_master[[#This Row],[PO Unit Price]]*1.01, "Price Variance", "OK")</f>
        <v>OK</v>
      </c>
      <c r="T508" t="str">
        <f>IF(po_master[[#This Row],[Actual Delivery Date]]&gt;po_master[[#This Row],[Promised Delivey Date]], "Late Delivery", "OK")</f>
        <v>Late Delivery</v>
      </c>
      <c r="U508" t="str">
        <f>IF(COUNTIF(po_master[PO Number],po_master[[#This Row],[PO Number]])&gt;1, "Duplicate Invoice", "OK")</f>
        <v>OK</v>
      </c>
      <c r="V508" s="5">
        <f>IF(po_master[[#This Row],[Missing Approval]]="Missing Approval", 1, 0)</f>
        <v>0</v>
      </c>
      <c r="W508" s="5">
        <f>IF(po_master[[#This Row],[GR Receipt Status]]="No GR - Not Received", 1, 0)</f>
        <v>0</v>
      </c>
      <c r="X508" s="5">
        <f>IF(po_master[[#This Row],[No invoice]]="No Invoice", 1, 0)</f>
        <v>0</v>
      </c>
      <c r="Y508" s="5">
        <f>IF(po_master[[#This Row],[Date Check]]="Invalid Date", 1, 0)</f>
        <v>0</v>
      </c>
      <c r="Z508" s="5">
        <f>IF(po_master[[#This Row],[Qty Variance Flag]]="Qty Variance", 1, 0)</f>
        <v>0</v>
      </c>
      <c r="AA508" s="5">
        <f>IF(po_master[[#This Row],[Price Variance Flag]]="Price Variance", 1, 0)</f>
        <v>0</v>
      </c>
      <c r="AB508" s="5">
        <f>IF(po_master[[#This Row],[Late Delivery Flag]]="Late Delivery", 1, 0)</f>
        <v>1</v>
      </c>
      <c r="AC508" s="5">
        <f>IF(po_master[[#This Row],[Duplicate Invoice Flag]]="Duplicate Invoice", 1, 0)</f>
        <v>0</v>
      </c>
      <c r="AD508" s="5" t="str">
        <f>TEXT(po_master[[#This Row],[Order Date]],"YYYY-MM")</f>
        <v>2026-02</v>
      </c>
    </row>
    <row r="509" spans="1:30" x14ac:dyDescent="0.25">
      <c r="A509" t="s">
        <v>450</v>
      </c>
      <c r="B509" t="s">
        <v>1493</v>
      </c>
      <c r="C509" s="1">
        <v>46085</v>
      </c>
      <c r="D509">
        <v>176</v>
      </c>
      <c r="E509">
        <v>78.33</v>
      </c>
      <c r="F509" t="s">
        <v>1453</v>
      </c>
      <c r="G509" s="1">
        <v>46101</v>
      </c>
      <c r="H509">
        <v>176</v>
      </c>
      <c r="I509" s="1">
        <v>46103</v>
      </c>
      <c r="J509" t="s">
        <v>1205</v>
      </c>
      <c r="K509">
        <v>176</v>
      </c>
      <c r="L509">
        <v>78.33</v>
      </c>
      <c r="M509" s="1">
        <v>46103</v>
      </c>
      <c r="N509" t="str">
        <f>IF(po_master[[#This Row],[Approved By]]="", "Missing Approval", "OK")</f>
        <v>OK</v>
      </c>
      <c r="O509" t="str">
        <f>IF(ISBLANK(po_master[[#This Row],[GR Quantity]]), "No GR - Not received", "OK")</f>
        <v>OK</v>
      </c>
      <c r="P509" t="str">
        <f>IF(po_master[[#This Row],[Promised Delivey Date]]&lt;po_master[[#This Row],[Order Date]], "Invalid", "OK")</f>
        <v>OK</v>
      </c>
      <c r="Q509" t="str">
        <f>IF(ISBLANK(po_master[[#This Row],[Invoice Number]]), "No Invoice", "OK")</f>
        <v>OK</v>
      </c>
      <c r="R509" t="str">
        <f>IF(AND(NOT(ISBLANK(po_master[[#This Row],[GR Quantity]])), po_master[[#This Row],[GR Quantity]]&lt;&gt;po_master[[#This Row],[PO Quantity]]), "Qty Variance", "OK")</f>
        <v>OK</v>
      </c>
      <c r="S509" t="str">
        <f>IF(po_master[[#This Row],[Invoice Unit Price]]&gt;po_master[[#This Row],[PO Unit Price]]*1.01, "Price Variance", "OK")</f>
        <v>OK</v>
      </c>
      <c r="T509" t="str">
        <f>IF(po_master[[#This Row],[Actual Delivery Date]]&gt;po_master[[#This Row],[Promised Delivey Date]], "Late Delivery", "OK")</f>
        <v>Late Delivery</v>
      </c>
      <c r="U509" t="str">
        <f>IF(COUNTIF(po_master[PO Number],po_master[[#This Row],[PO Number]])&gt;1, "Duplicate Invoice", "OK")</f>
        <v>Duplicate Invoice</v>
      </c>
      <c r="V509" s="5">
        <f>IF(po_master[[#This Row],[Missing Approval]]="Missing Approval", 1, 0)</f>
        <v>0</v>
      </c>
      <c r="W509" s="5">
        <f>IF(po_master[[#This Row],[GR Receipt Status]]="No GR - Not Received", 1, 0)</f>
        <v>0</v>
      </c>
      <c r="X509" s="5">
        <f>IF(po_master[[#This Row],[No invoice]]="No Invoice", 1, 0)</f>
        <v>0</v>
      </c>
      <c r="Y509" s="5">
        <f>IF(po_master[[#This Row],[Date Check]]="Invalid Date", 1, 0)</f>
        <v>0</v>
      </c>
      <c r="Z509" s="5">
        <f>IF(po_master[[#This Row],[Qty Variance Flag]]="Qty Variance", 1, 0)</f>
        <v>0</v>
      </c>
      <c r="AA509" s="5">
        <f>IF(po_master[[#This Row],[Price Variance Flag]]="Price Variance", 1, 0)</f>
        <v>0</v>
      </c>
      <c r="AB509" s="5">
        <f>IF(po_master[[#This Row],[Late Delivery Flag]]="Late Delivery", 1, 0)</f>
        <v>1</v>
      </c>
      <c r="AC509" s="5">
        <f>IF(po_master[[#This Row],[Duplicate Invoice Flag]]="Duplicate Invoice", 1, 0)</f>
        <v>1</v>
      </c>
      <c r="AD509" s="5" t="str">
        <f>TEXT(po_master[[#This Row],[Order Date]],"YYYY-MM")</f>
        <v>2026-03</v>
      </c>
    </row>
    <row r="510" spans="1:30" x14ac:dyDescent="0.25">
      <c r="A510" t="s">
        <v>450</v>
      </c>
      <c r="B510" t="s">
        <v>1493</v>
      </c>
      <c r="C510" s="1">
        <v>46085</v>
      </c>
      <c r="D510">
        <v>176</v>
      </c>
      <c r="E510">
        <v>78.33</v>
      </c>
      <c r="F510" t="s">
        <v>1453</v>
      </c>
      <c r="G510" s="1">
        <v>46101</v>
      </c>
      <c r="H510">
        <v>176</v>
      </c>
      <c r="I510" s="1">
        <v>46103</v>
      </c>
      <c r="J510" t="s">
        <v>1206</v>
      </c>
      <c r="K510">
        <v>176</v>
      </c>
      <c r="L510">
        <v>78.33</v>
      </c>
      <c r="M510" s="1">
        <v>46107</v>
      </c>
      <c r="N510" t="str">
        <f>IF(po_master[[#This Row],[Approved By]]="", "Missing Approval", "OK")</f>
        <v>OK</v>
      </c>
      <c r="O510" t="str">
        <f>IF(ISBLANK(po_master[[#This Row],[GR Quantity]]), "No GR - Not received", "OK")</f>
        <v>OK</v>
      </c>
      <c r="P510" t="str">
        <f>IF(po_master[[#This Row],[Promised Delivey Date]]&lt;po_master[[#This Row],[Order Date]], "Invalid", "OK")</f>
        <v>OK</v>
      </c>
      <c r="Q510" t="str">
        <f>IF(ISBLANK(po_master[[#This Row],[Invoice Number]]), "No Invoice", "OK")</f>
        <v>OK</v>
      </c>
      <c r="R510" t="str">
        <f>IF(AND(NOT(ISBLANK(po_master[[#This Row],[GR Quantity]])), po_master[[#This Row],[GR Quantity]]&lt;&gt;po_master[[#This Row],[PO Quantity]]), "Qty Variance", "OK")</f>
        <v>OK</v>
      </c>
      <c r="S510" t="str">
        <f>IF(po_master[[#This Row],[Invoice Unit Price]]&gt;po_master[[#This Row],[PO Unit Price]]*1.01, "Price Variance", "OK")</f>
        <v>OK</v>
      </c>
      <c r="T510" t="str">
        <f>IF(po_master[[#This Row],[Actual Delivery Date]]&gt;po_master[[#This Row],[Promised Delivey Date]], "Late Delivery", "OK")</f>
        <v>Late Delivery</v>
      </c>
      <c r="U510" t="str">
        <f>IF(COUNTIF(po_master[PO Number],po_master[[#This Row],[PO Number]])&gt;1, "Duplicate Invoice", "OK")</f>
        <v>Duplicate Invoice</v>
      </c>
      <c r="V510" s="5">
        <f>IF(po_master[[#This Row],[Missing Approval]]="Missing Approval", 1, 0)</f>
        <v>0</v>
      </c>
      <c r="W510" s="5">
        <f>IF(po_master[[#This Row],[GR Receipt Status]]="No GR - Not Received", 1, 0)</f>
        <v>0</v>
      </c>
      <c r="X510" s="5">
        <f>IF(po_master[[#This Row],[No invoice]]="No Invoice", 1, 0)</f>
        <v>0</v>
      </c>
      <c r="Y510" s="5">
        <f>IF(po_master[[#This Row],[Date Check]]="Invalid Date", 1, 0)</f>
        <v>0</v>
      </c>
      <c r="Z510" s="5">
        <f>IF(po_master[[#This Row],[Qty Variance Flag]]="Qty Variance", 1, 0)</f>
        <v>0</v>
      </c>
      <c r="AA510" s="5">
        <f>IF(po_master[[#This Row],[Price Variance Flag]]="Price Variance", 1, 0)</f>
        <v>0</v>
      </c>
      <c r="AB510" s="5">
        <f>IF(po_master[[#This Row],[Late Delivery Flag]]="Late Delivery", 1, 0)</f>
        <v>1</v>
      </c>
      <c r="AC510" s="5">
        <f>IF(po_master[[#This Row],[Duplicate Invoice Flag]]="Duplicate Invoice", 1, 0)</f>
        <v>1</v>
      </c>
      <c r="AD510" s="5" t="str">
        <f>TEXT(po_master[[#This Row],[Order Date]],"YYYY-MM")</f>
        <v>2026-03</v>
      </c>
    </row>
    <row r="511" spans="1:30" x14ac:dyDescent="0.25">
      <c r="A511" t="s">
        <v>451</v>
      </c>
      <c r="B511" t="s">
        <v>1466</v>
      </c>
      <c r="C511" s="1">
        <v>46167</v>
      </c>
      <c r="D511">
        <v>112</v>
      </c>
      <c r="E511">
        <v>120.48</v>
      </c>
      <c r="F511" t="s">
        <v>1442</v>
      </c>
      <c r="G511" s="1">
        <v>46177</v>
      </c>
      <c r="H511">
        <v>112</v>
      </c>
      <c r="I511" s="1">
        <v>46175</v>
      </c>
      <c r="J511" t="s">
        <v>1207</v>
      </c>
      <c r="K511">
        <v>112</v>
      </c>
      <c r="L511">
        <v>120.48</v>
      </c>
      <c r="M511" s="1">
        <v>46180</v>
      </c>
      <c r="N511" t="str">
        <f>IF(po_master[[#This Row],[Approved By]]="", "Missing Approval", "OK")</f>
        <v>OK</v>
      </c>
      <c r="O511" t="str">
        <f>IF(ISBLANK(po_master[[#This Row],[GR Quantity]]), "No GR - Not received", "OK")</f>
        <v>OK</v>
      </c>
      <c r="P511" t="str">
        <f>IF(po_master[[#This Row],[Promised Delivey Date]]&lt;po_master[[#This Row],[Order Date]], "Invalid", "OK")</f>
        <v>OK</v>
      </c>
      <c r="Q511" t="str">
        <f>IF(ISBLANK(po_master[[#This Row],[Invoice Number]]), "No Invoice", "OK")</f>
        <v>OK</v>
      </c>
      <c r="R511" t="str">
        <f>IF(AND(NOT(ISBLANK(po_master[[#This Row],[GR Quantity]])), po_master[[#This Row],[GR Quantity]]&lt;&gt;po_master[[#This Row],[PO Quantity]]), "Qty Variance", "OK")</f>
        <v>OK</v>
      </c>
      <c r="S511" t="str">
        <f>IF(po_master[[#This Row],[Invoice Unit Price]]&gt;po_master[[#This Row],[PO Unit Price]]*1.01, "Price Variance", "OK")</f>
        <v>OK</v>
      </c>
      <c r="T511" t="str">
        <f>IF(po_master[[#This Row],[Actual Delivery Date]]&gt;po_master[[#This Row],[Promised Delivey Date]], "Late Delivery", "OK")</f>
        <v>OK</v>
      </c>
      <c r="U511" t="str">
        <f>IF(COUNTIF(po_master[PO Number],po_master[[#This Row],[PO Number]])&gt;1, "Duplicate Invoice", "OK")</f>
        <v>Duplicate Invoice</v>
      </c>
      <c r="V511" s="5">
        <f>IF(po_master[[#This Row],[Missing Approval]]="Missing Approval", 1, 0)</f>
        <v>0</v>
      </c>
      <c r="W511" s="5">
        <f>IF(po_master[[#This Row],[GR Receipt Status]]="No GR - Not Received", 1, 0)</f>
        <v>0</v>
      </c>
      <c r="X511" s="5">
        <f>IF(po_master[[#This Row],[No invoice]]="No Invoice", 1, 0)</f>
        <v>0</v>
      </c>
      <c r="Y511" s="5">
        <f>IF(po_master[[#This Row],[Date Check]]="Invalid Date", 1, 0)</f>
        <v>0</v>
      </c>
      <c r="Z511" s="5">
        <f>IF(po_master[[#This Row],[Qty Variance Flag]]="Qty Variance", 1, 0)</f>
        <v>0</v>
      </c>
      <c r="AA511" s="5">
        <f>IF(po_master[[#This Row],[Price Variance Flag]]="Price Variance", 1, 0)</f>
        <v>0</v>
      </c>
      <c r="AB511" s="5">
        <f>IF(po_master[[#This Row],[Late Delivery Flag]]="Late Delivery", 1, 0)</f>
        <v>0</v>
      </c>
      <c r="AC511" s="5">
        <f>IF(po_master[[#This Row],[Duplicate Invoice Flag]]="Duplicate Invoice", 1, 0)</f>
        <v>1</v>
      </c>
      <c r="AD511" s="5" t="str">
        <f>TEXT(po_master[[#This Row],[Order Date]],"YYYY-MM")</f>
        <v>2026-05</v>
      </c>
    </row>
    <row r="512" spans="1:30" x14ac:dyDescent="0.25">
      <c r="A512" t="s">
        <v>451</v>
      </c>
      <c r="B512" t="s">
        <v>1466</v>
      </c>
      <c r="C512" s="1">
        <v>46167</v>
      </c>
      <c r="D512">
        <v>112</v>
      </c>
      <c r="E512">
        <v>120.48</v>
      </c>
      <c r="F512" t="s">
        <v>1442</v>
      </c>
      <c r="G512" s="1">
        <v>46177</v>
      </c>
      <c r="H512">
        <v>112</v>
      </c>
      <c r="I512" s="1">
        <v>46175</v>
      </c>
      <c r="J512" t="s">
        <v>1208</v>
      </c>
      <c r="K512">
        <v>112</v>
      </c>
      <c r="L512">
        <v>120.48</v>
      </c>
      <c r="M512" s="1">
        <v>46181</v>
      </c>
      <c r="N512" t="str">
        <f>IF(po_master[[#This Row],[Approved By]]="", "Missing Approval", "OK")</f>
        <v>OK</v>
      </c>
      <c r="O512" t="str">
        <f>IF(ISBLANK(po_master[[#This Row],[GR Quantity]]), "No GR - Not received", "OK")</f>
        <v>OK</v>
      </c>
      <c r="P512" t="str">
        <f>IF(po_master[[#This Row],[Promised Delivey Date]]&lt;po_master[[#This Row],[Order Date]], "Invalid", "OK")</f>
        <v>OK</v>
      </c>
      <c r="Q512" t="str">
        <f>IF(ISBLANK(po_master[[#This Row],[Invoice Number]]), "No Invoice", "OK")</f>
        <v>OK</v>
      </c>
      <c r="R512" t="str">
        <f>IF(AND(NOT(ISBLANK(po_master[[#This Row],[GR Quantity]])), po_master[[#This Row],[GR Quantity]]&lt;&gt;po_master[[#This Row],[PO Quantity]]), "Qty Variance", "OK")</f>
        <v>OK</v>
      </c>
      <c r="S512" t="str">
        <f>IF(po_master[[#This Row],[Invoice Unit Price]]&gt;po_master[[#This Row],[PO Unit Price]]*1.01, "Price Variance", "OK")</f>
        <v>OK</v>
      </c>
      <c r="T512" t="str">
        <f>IF(po_master[[#This Row],[Actual Delivery Date]]&gt;po_master[[#This Row],[Promised Delivey Date]], "Late Delivery", "OK")</f>
        <v>OK</v>
      </c>
      <c r="U512" t="str">
        <f>IF(COUNTIF(po_master[PO Number],po_master[[#This Row],[PO Number]])&gt;1, "Duplicate Invoice", "OK")</f>
        <v>Duplicate Invoice</v>
      </c>
      <c r="V512" s="5">
        <f>IF(po_master[[#This Row],[Missing Approval]]="Missing Approval", 1, 0)</f>
        <v>0</v>
      </c>
      <c r="W512" s="5">
        <f>IF(po_master[[#This Row],[GR Receipt Status]]="No GR - Not Received", 1, 0)</f>
        <v>0</v>
      </c>
      <c r="X512" s="5">
        <f>IF(po_master[[#This Row],[No invoice]]="No Invoice", 1, 0)</f>
        <v>0</v>
      </c>
      <c r="Y512" s="5">
        <f>IF(po_master[[#This Row],[Date Check]]="Invalid Date", 1, 0)</f>
        <v>0</v>
      </c>
      <c r="Z512" s="5">
        <f>IF(po_master[[#This Row],[Qty Variance Flag]]="Qty Variance", 1, 0)</f>
        <v>0</v>
      </c>
      <c r="AA512" s="5">
        <f>IF(po_master[[#This Row],[Price Variance Flag]]="Price Variance", 1, 0)</f>
        <v>0</v>
      </c>
      <c r="AB512" s="5">
        <f>IF(po_master[[#This Row],[Late Delivery Flag]]="Late Delivery", 1, 0)</f>
        <v>0</v>
      </c>
      <c r="AC512" s="5">
        <f>IF(po_master[[#This Row],[Duplicate Invoice Flag]]="Duplicate Invoice", 1, 0)</f>
        <v>1</v>
      </c>
      <c r="AD512" s="5" t="str">
        <f>TEXT(po_master[[#This Row],[Order Date]],"YYYY-MM")</f>
        <v>2026-05</v>
      </c>
    </row>
    <row r="513" spans="1:30" x14ac:dyDescent="0.25">
      <c r="A513" t="s">
        <v>452</v>
      </c>
      <c r="B513" t="s">
        <v>1461</v>
      </c>
      <c r="C513" s="1">
        <v>46163</v>
      </c>
      <c r="D513">
        <v>23</v>
      </c>
      <c r="E513">
        <v>190.84</v>
      </c>
      <c r="F513" t="s">
        <v>1469</v>
      </c>
      <c r="G513" s="1">
        <v>46174</v>
      </c>
      <c r="H513">
        <v>23</v>
      </c>
      <c r="I513" s="1">
        <v>46175</v>
      </c>
      <c r="J513" t="s">
        <v>1209</v>
      </c>
      <c r="K513">
        <v>23</v>
      </c>
      <c r="L513">
        <v>190.84</v>
      </c>
      <c r="M513" s="1">
        <v>46179</v>
      </c>
      <c r="N513" t="str">
        <f>IF(po_master[[#This Row],[Approved By]]="", "Missing Approval", "OK")</f>
        <v>OK</v>
      </c>
      <c r="O513" t="str">
        <f>IF(ISBLANK(po_master[[#This Row],[GR Quantity]]), "No GR - Not received", "OK")</f>
        <v>OK</v>
      </c>
      <c r="P513" t="str">
        <f>IF(po_master[[#This Row],[Promised Delivey Date]]&lt;po_master[[#This Row],[Order Date]], "Invalid", "OK")</f>
        <v>OK</v>
      </c>
      <c r="Q513" t="str">
        <f>IF(ISBLANK(po_master[[#This Row],[Invoice Number]]), "No Invoice", "OK")</f>
        <v>OK</v>
      </c>
      <c r="R513" t="str">
        <f>IF(AND(NOT(ISBLANK(po_master[[#This Row],[GR Quantity]])), po_master[[#This Row],[GR Quantity]]&lt;&gt;po_master[[#This Row],[PO Quantity]]), "Qty Variance", "OK")</f>
        <v>OK</v>
      </c>
      <c r="S513" t="str">
        <f>IF(po_master[[#This Row],[Invoice Unit Price]]&gt;po_master[[#This Row],[PO Unit Price]]*1.01, "Price Variance", "OK")</f>
        <v>OK</v>
      </c>
      <c r="T513" t="str">
        <f>IF(po_master[[#This Row],[Actual Delivery Date]]&gt;po_master[[#This Row],[Promised Delivey Date]], "Late Delivery", "OK")</f>
        <v>Late Delivery</v>
      </c>
      <c r="U513" t="str">
        <f>IF(COUNTIF(po_master[PO Number],po_master[[#This Row],[PO Number]])&gt;1, "Duplicate Invoice", "OK")</f>
        <v>OK</v>
      </c>
      <c r="V513" s="5">
        <f>IF(po_master[[#This Row],[Missing Approval]]="Missing Approval", 1, 0)</f>
        <v>0</v>
      </c>
      <c r="W513" s="5">
        <f>IF(po_master[[#This Row],[GR Receipt Status]]="No GR - Not Received", 1, 0)</f>
        <v>0</v>
      </c>
      <c r="X513" s="5">
        <f>IF(po_master[[#This Row],[No invoice]]="No Invoice", 1, 0)</f>
        <v>0</v>
      </c>
      <c r="Y513" s="5">
        <f>IF(po_master[[#This Row],[Date Check]]="Invalid Date", 1, 0)</f>
        <v>0</v>
      </c>
      <c r="Z513" s="5">
        <f>IF(po_master[[#This Row],[Qty Variance Flag]]="Qty Variance", 1, 0)</f>
        <v>0</v>
      </c>
      <c r="AA513" s="5">
        <f>IF(po_master[[#This Row],[Price Variance Flag]]="Price Variance", 1, 0)</f>
        <v>0</v>
      </c>
      <c r="AB513" s="5">
        <f>IF(po_master[[#This Row],[Late Delivery Flag]]="Late Delivery", 1, 0)</f>
        <v>1</v>
      </c>
      <c r="AC513" s="5">
        <f>IF(po_master[[#This Row],[Duplicate Invoice Flag]]="Duplicate Invoice", 1, 0)</f>
        <v>0</v>
      </c>
      <c r="AD513" s="5" t="str">
        <f>TEXT(po_master[[#This Row],[Order Date]],"YYYY-MM")</f>
        <v>2026-05</v>
      </c>
    </row>
    <row r="514" spans="1:30" x14ac:dyDescent="0.25">
      <c r="A514" t="s">
        <v>453</v>
      </c>
      <c r="B514" t="s">
        <v>1478</v>
      </c>
      <c r="C514" s="1">
        <v>46097</v>
      </c>
      <c r="D514">
        <v>435</v>
      </c>
      <c r="E514">
        <v>140.1</v>
      </c>
      <c r="F514" t="s">
        <v>1507</v>
      </c>
      <c r="G514" s="1">
        <v>46117</v>
      </c>
      <c r="H514">
        <v>435</v>
      </c>
      <c r="I514" s="1">
        <v>46115</v>
      </c>
      <c r="J514" t="s">
        <v>1210</v>
      </c>
      <c r="K514">
        <v>435</v>
      </c>
      <c r="L514">
        <v>140.1</v>
      </c>
      <c r="M514" s="1">
        <v>46121</v>
      </c>
      <c r="N514" t="str">
        <f>IF(po_master[[#This Row],[Approved By]]="", "Missing Approval", "OK")</f>
        <v>OK</v>
      </c>
      <c r="O514" t="str">
        <f>IF(ISBLANK(po_master[[#This Row],[GR Quantity]]), "No GR - Not received", "OK")</f>
        <v>OK</v>
      </c>
      <c r="P514" t="str">
        <f>IF(po_master[[#This Row],[Promised Delivey Date]]&lt;po_master[[#This Row],[Order Date]], "Invalid", "OK")</f>
        <v>OK</v>
      </c>
      <c r="Q514" t="str">
        <f>IF(ISBLANK(po_master[[#This Row],[Invoice Number]]), "No Invoice", "OK")</f>
        <v>OK</v>
      </c>
      <c r="R514" t="str">
        <f>IF(AND(NOT(ISBLANK(po_master[[#This Row],[GR Quantity]])), po_master[[#This Row],[GR Quantity]]&lt;&gt;po_master[[#This Row],[PO Quantity]]), "Qty Variance", "OK")</f>
        <v>OK</v>
      </c>
      <c r="S514" t="str">
        <f>IF(po_master[[#This Row],[Invoice Unit Price]]&gt;po_master[[#This Row],[PO Unit Price]]*1.01, "Price Variance", "OK")</f>
        <v>OK</v>
      </c>
      <c r="T514" t="str">
        <f>IF(po_master[[#This Row],[Actual Delivery Date]]&gt;po_master[[#This Row],[Promised Delivey Date]], "Late Delivery", "OK")</f>
        <v>OK</v>
      </c>
      <c r="U514" t="str">
        <f>IF(COUNTIF(po_master[PO Number],po_master[[#This Row],[PO Number]])&gt;1, "Duplicate Invoice", "OK")</f>
        <v>OK</v>
      </c>
      <c r="V514" s="5">
        <f>IF(po_master[[#This Row],[Missing Approval]]="Missing Approval", 1, 0)</f>
        <v>0</v>
      </c>
      <c r="W514" s="5">
        <f>IF(po_master[[#This Row],[GR Receipt Status]]="No GR - Not Received", 1, 0)</f>
        <v>0</v>
      </c>
      <c r="X514" s="5">
        <f>IF(po_master[[#This Row],[No invoice]]="No Invoice", 1, 0)</f>
        <v>0</v>
      </c>
      <c r="Y514" s="5">
        <f>IF(po_master[[#This Row],[Date Check]]="Invalid Date", 1, 0)</f>
        <v>0</v>
      </c>
      <c r="Z514" s="5">
        <f>IF(po_master[[#This Row],[Qty Variance Flag]]="Qty Variance", 1, 0)</f>
        <v>0</v>
      </c>
      <c r="AA514" s="5">
        <f>IF(po_master[[#This Row],[Price Variance Flag]]="Price Variance", 1, 0)</f>
        <v>0</v>
      </c>
      <c r="AB514" s="5">
        <f>IF(po_master[[#This Row],[Late Delivery Flag]]="Late Delivery", 1, 0)</f>
        <v>0</v>
      </c>
      <c r="AC514" s="5">
        <f>IF(po_master[[#This Row],[Duplicate Invoice Flag]]="Duplicate Invoice", 1, 0)</f>
        <v>0</v>
      </c>
      <c r="AD514" s="5" t="str">
        <f>TEXT(po_master[[#This Row],[Order Date]],"YYYY-MM")</f>
        <v>2026-03</v>
      </c>
    </row>
    <row r="515" spans="1:30" x14ac:dyDescent="0.25">
      <c r="A515" t="s">
        <v>454</v>
      </c>
      <c r="B515" t="s">
        <v>1441</v>
      </c>
      <c r="C515" s="1">
        <v>46100</v>
      </c>
      <c r="D515">
        <v>133</v>
      </c>
      <c r="E515">
        <v>54.27</v>
      </c>
      <c r="F515" t="s">
        <v>1485</v>
      </c>
      <c r="G515" s="1">
        <v>46118</v>
      </c>
      <c r="H515">
        <v>133</v>
      </c>
      <c r="I515" s="1">
        <v>46117</v>
      </c>
      <c r="J515" t="s">
        <v>1211</v>
      </c>
      <c r="K515">
        <v>133</v>
      </c>
      <c r="L515">
        <v>54.27</v>
      </c>
      <c r="M515" s="1">
        <v>46126</v>
      </c>
      <c r="N515" t="str">
        <f>IF(po_master[[#This Row],[Approved By]]="", "Missing Approval", "OK")</f>
        <v>OK</v>
      </c>
      <c r="O515" t="str">
        <f>IF(ISBLANK(po_master[[#This Row],[GR Quantity]]), "No GR - Not received", "OK")</f>
        <v>OK</v>
      </c>
      <c r="P515" t="str">
        <f>IF(po_master[[#This Row],[Promised Delivey Date]]&lt;po_master[[#This Row],[Order Date]], "Invalid", "OK")</f>
        <v>OK</v>
      </c>
      <c r="Q515" t="str">
        <f>IF(ISBLANK(po_master[[#This Row],[Invoice Number]]), "No Invoice", "OK")</f>
        <v>OK</v>
      </c>
      <c r="R515" t="str">
        <f>IF(AND(NOT(ISBLANK(po_master[[#This Row],[GR Quantity]])), po_master[[#This Row],[GR Quantity]]&lt;&gt;po_master[[#This Row],[PO Quantity]]), "Qty Variance", "OK")</f>
        <v>OK</v>
      </c>
      <c r="S515" t="str">
        <f>IF(po_master[[#This Row],[Invoice Unit Price]]&gt;po_master[[#This Row],[PO Unit Price]]*1.01, "Price Variance", "OK")</f>
        <v>OK</v>
      </c>
      <c r="T515" t="str">
        <f>IF(po_master[[#This Row],[Actual Delivery Date]]&gt;po_master[[#This Row],[Promised Delivey Date]], "Late Delivery", "OK")</f>
        <v>OK</v>
      </c>
      <c r="U515" t="str">
        <f>IF(COUNTIF(po_master[PO Number],po_master[[#This Row],[PO Number]])&gt;1, "Duplicate Invoice", "OK")</f>
        <v>OK</v>
      </c>
      <c r="V515" s="5">
        <f>IF(po_master[[#This Row],[Missing Approval]]="Missing Approval", 1, 0)</f>
        <v>0</v>
      </c>
      <c r="W515" s="5">
        <f>IF(po_master[[#This Row],[GR Receipt Status]]="No GR - Not Received", 1, 0)</f>
        <v>0</v>
      </c>
      <c r="X515" s="5">
        <f>IF(po_master[[#This Row],[No invoice]]="No Invoice", 1, 0)</f>
        <v>0</v>
      </c>
      <c r="Y515" s="5">
        <f>IF(po_master[[#This Row],[Date Check]]="Invalid Date", 1, 0)</f>
        <v>0</v>
      </c>
      <c r="Z515" s="5">
        <f>IF(po_master[[#This Row],[Qty Variance Flag]]="Qty Variance", 1, 0)</f>
        <v>0</v>
      </c>
      <c r="AA515" s="5">
        <f>IF(po_master[[#This Row],[Price Variance Flag]]="Price Variance", 1, 0)</f>
        <v>0</v>
      </c>
      <c r="AB515" s="5">
        <f>IF(po_master[[#This Row],[Late Delivery Flag]]="Late Delivery", 1, 0)</f>
        <v>0</v>
      </c>
      <c r="AC515" s="5">
        <f>IF(po_master[[#This Row],[Duplicate Invoice Flag]]="Duplicate Invoice", 1, 0)</f>
        <v>0</v>
      </c>
      <c r="AD515" s="5" t="str">
        <f>TEXT(po_master[[#This Row],[Order Date]],"YYYY-MM")</f>
        <v>2026-03</v>
      </c>
    </row>
    <row r="516" spans="1:30" x14ac:dyDescent="0.25">
      <c r="A516" t="s">
        <v>455</v>
      </c>
      <c r="B516" t="s">
        <v>1502</v>
      </c>
      <c r="C516" s="1">
        <v>46041</v>
      </c>
      <c r="D516">
        <v>239</v>
      </c>
      <c r="E516">
        <v>198.19</v>
      </c>
      <c r="F516" t="s">
        <v>1487</v>
      </c>
      <c r="G516" s="1">
        <v>46058</v>
      </c>
      <c r="H516">
        <v>239</v>
      </c>
      <c r="I516" s="1">
        <v>46058</v>
      </c>
      <c r="J516" t="s">
        <v>1212</v>
      </c>
      <c r="K516">
        <v>239</v>
      </c>
      <c r="L516">
        <v>198.19</v>
      </c>
      <c r="M516" s="1">
        <v>46059</v>
      </c>
      <c r="N516" t="str">
        <f>IF(po_master[[#This Row],[Approved By]]="", "Missing Approval", "OK")</f>
        <v>OK</v>
      </c>
      <c r="O516" t="str">
        <f>IF(ISBLANK(po_master[[#This Row],[GR Quantity]]), "No GR - Not received", "OK")</f>
        <v>OK</v>
      </c>
      <c r="P516" t="str">
        <f>IF(po_master[[#This Row],[Promised Delivey Date]]&lt;po_master[[#This Row],[Order Date]], "Invalid", "OK")</f>
        <v>OK</v>
      </c>
      <c r="Q516" t="str">
        <f>IF(ISBLANK(po_master[[#This Row],[Invoice Number]]), "No Invoice", "OK")</f>
        <v>OK</v>
      </c>
      <c r="R516" t="str">
        <f>IF(AND(NOT(ISBLANK(po_master[[#This Row],[GR Quantity]])), po_master[[#This Row],[GR Quantity]]&lt;&gt;po_master[[#This Row],[PO Quantity]]), "Qty Variance", "OK")</f>
        <v>OK</v>
      </c>
      <c r="S516" t="str">
        <f>IF(po_master[[#This Row],[Invoice Unit Price]]&gt;po_master[[#This Row],[PO Unit Price]]*1.01, "Price Variance", "OK")</f>
        <v>OK</v>
      </c>
      <c r="T516" t="str">
        <f>IF(po_master[[#This Row],[Actual Delivery Date]]&gt;po_master[[#This Row],[Promised Delivey Date]], "Late Delivery", "OK")</f>
        <v>OK</v>
      </c>
      <c r="U516" t="str">
        <f>IF(COUNTIF(po_master[PO Number],po_master[[#This Row],[PO Number]])&gt;1, "Duplicate Invoice", "OK")</f>
        <v>OK</v>
      </c>
      <c r="V516" s="5">
        <f>IF(po_master[[#This Row],[Missing Approval]]="Missing Approval", 1, 0)</f>
        <v>0</v>
      </c>
      <c r="W516" s="5">
        <f>IF(po_master[[#This Row],[GR Receipt Status]]="No GR - Not Received", 1, 0)</f>
        <v>0</v>
      </c>
      <c r="X516" s="5">
        <f>IF(po_master[[#This Row],[No invoice]]="No Invoice", 1, 0)</f>
        <v>0</v>
      </c>
      <c r="Y516" s="5">
        <f>IF(po_master[[#This Row],[Date Check]]="Invalid Date", 1, 0)</f>
        <v>0</v>
      </c>
      <c r="Z516" s="5">
        <f>IF(po_master[[#This Row],[Qty Variance Flag]]="Qty Variance", 1, 0)</f>
        <v>0</v>
      </c>
      <c r="AA516" s="5">
        <f>IF(po_master[[#This Row],[Price Variance Flag]]="Price Variance", 1, 0)</f>
        <v>0</v>
      </c>
      <c r="AB516" s="5">
        <f>IF(po_master[[#This Row],[Late Delivery Flag]]="Late Delivery", 1, 0)</f>
        <v>0</v>
      </c>
      <c r="AC516" s="5">
        <f>IF(po_master[[#This Row],[Duplicate Invoice Flag]]="Duplicate Invoice", 1, 0)</f>
        <v>0</v>
      </c>
      <c r="AD516" s="5" t="str">
        <f>TEXT(po_master[[#This Row],[Order Date]],"YYYY-MM")</f>
        <v>2026-01</v>
      </c>
    </row>
    <row r="517" spans="1:30" x14ac:dyDescent="0.25">
      <c r="A517" t="s">
        <v>1187</v>
      </c>
      <c r="B517" t="s">
        <v>1486</v>
      </c>
      <c r="C517" s="1">
        <v>46172</v>
      </c>
      <c r="D517">
        <v>348</v>
      </c>
      <c r="E517">
        <v>79.11</v>
      </c>
      <c r="F517" t="s">
        <v>1456</v>
      </c>
      <c r="G517" s="1">
        <v>46186</v>
      </c>
      <c r="I517" s="1"/>
      <c r="J517" t="s">
        <v>1188</v>
      </c>
      <c r="K517">
        <v>348</v>
      </c>
      <c r="L517">
        <v>79.11</v>
      </c>
      <c r="M517" s="1">
        <v>46189</v>
      </c>
      <c r="N517" t="str">
        <f>IF(po_master[[#This Row],[Approved By]]="", "Missing Approval", "OK")</f>
        <v>OK</v>
      </c>
      <c r="O517" t="str">
        <f>IF(ISBLANK(po_master[[#This Row],[GR Quantity]]), "No GR - Not received", "OK")</f>
        <v>No GR - Not received</v>
      </c>
      <c r="P517" t="str">
        <f>IF(po_master[[#This Row],[Promised Delivey Date]]&lt;po_master[[#This Row],[Order Date]], "Invalid", "OK")</f>
        <v>OK</v>
      </c>
      <c r="Q517" t="str">
        <f>IF(ISBLANK(po_master[[#This Row],[Invoice Number]]), "No Invoice", "OK")</f>
        <v>OK</v>
      </c>
      <c r="R517" t="str">
        <f>IF(AND(NOT(ISBLANK(po_master[[#This Row],[GR Quantity]])), po_master[[#This Row],[GR Quantity]]&lt;&gt;po_master[[#This Row],[PO Quantity]]), "Qty Variance", "OK")</f>
        <v>OK</v>
      </c>
      <c r="S517" t="str">
        <f>IF(po_master[[#This Row],[Invoice Unit Price]]&gt;po_master[[#This Row],[PO Unit Price]]*1.01, "Price Variance", "OK")</f>
        <v>OK</v>
      </c>
      <c r="T517" t="str">
        <f>IF(po_master[[#This Row],[Actual Delivery Date]]&gt;po_master[[#This Row],[Promised Delivey Date]], "Late Delivery", "OK")</f>
        <v>OK</v>
      </c>
      <c r="U517" t="str">
        <f>IF(COUNTIF(po_master[PO Number],po_master[[#This Row],[PO Number]])&gt;1, "Duplicate Invoice", "OK")</f>
        <v>OK</v>
      </c>
      <c r="V517" s="5">
        <f>IF(po_master[[#This Row],[Missing Approval]]="Missing Approval", 1, 0)</f>
        <v>0</v>
      </c>
      <c r="W517" s="5">
        <f>IF(po_master[[#This Row],[GR Receipt Status]]="No GR - Not Received", 1, 0)</f>
        <v>1</v>
      </c>
      <c r="X517" s="5">
        <f>IF(po_master[[#This Row],[No invoice]]="No Invoice", 1, 0)</f>
        <v>0</v>
      </c>
      <c r="Y517" s="5">
        <f>IF(po_master[[#This Row],[Date Check]]="Invalid Date", 1, 0)</f>
        <v>0</v>
      </c>
      <c r="Z517" s="5">
        <f>IF(po_master[[#This Row],[Qty Variance Flag]]="Qty Variance", 1, 0)</f>
        <v>0</v>
      </c>
      <c r="AA517" s="5">
        <f>IF(po_master[[#This Row],[Price Variance Flag]]="Price Variance", 1, 0)</f>
        <v>0</v>
      </c>
      <c r="AB517" s="5">
        <f>IF(po_master[[#This Row],[Late Delivery Flag]]="Late Delivery", 1, 0)</f>
        <v>0</v>
      </c>
      <c r="AC517" s="5">
        <f>IF(po_master[[#This Row],[Duplicate Invoice Flag]]="Duplicate Invoice", 1, 0)</f>
        <v>0</v>
      </c>
      <c r="AD517" s="5" t="str">
        <f>TEXT(po_master[[#This Row],[Order Date]],"YYYY-MM")</f>
        <v>2026-05</v>
      </c>
    </row>
    <row r="518" spans="1:30" x14ac:dyDescent="0.25">
      <c r="A518" t="s">
        <v>456</v>
      </c>
      <c r="B518" t="s">
        <v>1471</v>
      </c>
      <c r="C518" s="1">
        <v>46152</v>
      </c>
      <c r="D518">
        <v>482</v>
      </c>
      <c r="E518">
        <v>184.48</v>
      </c>
      <c r="F518" t="s">
        <v>1499</v>
      </c>
      <c r="G518" s="1">
        <v>46170</v>
      </c>
      <c r="H518">
        <v>482</v>
      </c>
      <c r="I518" s="1">
        <v>46171</v>
      </c>
      <c r="J518" t="s">
        <v>1213</v>
      </c>
      <c r="K518">
        <v>482</v>
      </c>
      <c r="L518">
        <v>184.48</v>
      </c>
      <c r="M518" s="1">
        <v>46176</v>
      </c>
      <c r="N518" t="str">
        <f>IF(po_master[[#This Row],[Approved By]]="", "Missing Approval", "OK")</f>
        <v>OK</v>
      </c>
      <c r="O518" t="str">
        <f>IF(ISBLANK(po_master[[#This Row],[GR Quantity]]), "No GR - Not received", "OK")</f>
        <v>OK</v>
      </c>
      <c r="P518" t="str">
        <f>IF(po_master[[#This Row],[Promised Delivey Date]]&lt;po_master[[#This Row],[Order Date]], "Invalid", "OK")</f>
        <v>OK</v>
      </c>
      <c r="Q518" t="str">
        <f>IF(ISBLANK(po_master[[#This Row],[Invoice Number]]), "No Invoice", "OK")</f>
        <v>OK</v>
      </c>
      <c r="R518" t="str">
        <f>IF(AND(NOT(ISBLANK(po_master[[#This Row],[GR Quantity]])), po_master[[#This Row],[GR Quantity]]&lt;&gt;po_master[[#This Row],[PO Quantity]]), "Qty Variance", "OK")</f>
        <v>OK</v>
      </c>
      <c r="S518" t="str">
        <f>IF(po_master[[#This Row],[Invoice Unit Price]]&gt;po_master[[#This Row],[PO Unit Price]]*1.01, "Price Variance", "OK")</f>
        <v>OK</v>
      </c>
      <c r="T518" t="str">
        <f>IF(po_master[[#This Row],[Actual Delivery Date]]&gt;po_master[[#This Row],[Promised Delivey Date]], "Late Delivery", "OK")</f>
        <v>Late Delivery</v>
      </c>
      <c r="U518" t="str">
        <f>IF(COUNTIF(po_master[PO Number],po_master[[#This Row],[PO Number]])&gt;1, "Duplicate Invoice", "OK")</f>
        <v>Duplicate Invoice</v>
      </c>
      <c r="V518" s="5">
        <f>IF(po_master[[#This Row],[Missing Approval]]="Missing Approval", 1, 0)</f>
        <v>0</v>
      </c>
      <c r="W518" s="5">
        <f>IF(po_master[[#This Row],[GR Receipt Status]]="No GR - Not Received", 1, 0)</f>
        <v>0</v>
      </c>
      <c r="X518" s="5">
        <f>IF(po_master[[#This Row],[No invoice]]="No Invoice", 1, 0)</f>
        <v>0</v>
      </c>
      <c r="Y518" s="5">
        <f>IF(po_master[[#This Row],[Date Check]]="Invalid Date", 1, 0)</f>
        <v>0</v>
      </c>
      <c r="Z518" s="5">
        <f>IF(po_master[[#This Row],[Qty Variance Flag]]="Qty Variance", 1, 0)</f>
        <v>0</v>
      </c>
      <c r="AA518" s="5">
        <f>IF(po_master[[#This Row],[Price Variance Flag]]="Price Variance", 1, 0)</f>
        <v>0</v>
      </c>
      <c r="AB518" s="5">
        <f>IF(po_master[[#This Row],[Late Delivery Flag]]="Late Delivery", 1, 0)</f>
        <v>1</v>
      </c>
      <c r="AC518" s="5">
        <f>IF(po_master[[#This Row],[Duplicate Invoice Flag]]="Duplicate Invoice", 1, 0)</f>
        <v>1</v>
      </c>
      <c r="AD518" s="5" t="str">
        <f>TEXT(po_master[[#This Row],[Order Date]],"YYYY-MM")</f>
        <v>2026-05</v>
      </c>
    </row>
    <row r="519" spans="1:30" x14ac:dyDescent="0.25">
      <c r="A519" t="s">
        <v>456</v>
      </c>
      <c r="B519" t="s">
        <v>1471</v>
      </c>
      <c r="C519" s="1">
        <v>46152</v>
      </c>
      <c r="D519">
        <v>482</v>
      </c>
      <c r="E519">
        <v>184.48</v>
      </c>
      <c r="F519" t="s">
        <v>1499</v>
      </c>
      <c r="G519" s="1">
        <v>46170</v>
      </c>
      <c r="H519">
        <v>482</v>
      </c>
      <c r="I519" s="1">
        <v>46171</v>
      </c>
      <c r="J519" t="s">
        <v>1214</v>
      </c>
      <c r="K519">
        <v>482</v>
      </c>
      <c r="L519">
        <v>184.48</v>
      </c>
      <c r="M519" s="1">
        <v>46179</v>
      </c>
      <c r="N519" t="str">
        <f>IF(po_master[[#This Row],[Approved By]]="", "Missing Approval", "OK")</f>
        <v>OK</v>
      </c>
      <c r="O519" t="str">
        <f>IF(ISBLANK(po_master[[#This Row],[GR Quantity]]), "No GR - Not received", "OK")</f>
        <v>OK</v>
      </c>
      <c r="P519" t="str">
        <f>IF(po_master[[#This Row],[Promised Delivey Date]]&lt;po_master[[#This Row],[Order Date]], "Invalid", "OK")</f>
        <v>OK</v>
      </c>
      <c r="Q519" t="str">
        <f>IF(ISBLANK(po_master[[#This Row],[Invoice Number]]), "No Invoice", "OK")</f>
        <v>OK</v>
      </c>
      <c r="R519" t="str">
        <f>IF(AND(NOT(ISBLANK(po_master[[#This Row],[GR Quantity]])), po_master[[#This Row],[GR Quantity]]&lt;&gt;po_master[[#This Row],[PO Quantity]]), "Qty Variance", "OK")</f>
        <v>OK</v>
      </c>
      <c r="S519" t="str">
        <f>IF(po_master[[#This Row],[Invoice Unit Price]]&gt;po_master[[#This Row],[PO Unit Price]]*1.01, "Price Variance", "OK")</f>
        <v>OK</v>
      </c>
      <c r="T519" t="str">
        <f>IF(po_master[[#This Row],[Actual Delivery Date]]&gt;po_master[[#This Row],[Promised Delivey Date]], "Late Delivery", "OK")</f>
        <v>Late Delivery</v>
      </c>
      <c r="U519" t="str">
        <f>IF(COUNTIF(po_master[PO Number],po_master[[#This Row],[PO Number]])&gt;1, "Duplicate Invoice", "OK")</f>
        <v>Duplicate Invoice</v>
      </c>
      <c r="V519" s="5">
        <f>IF(po_master[[#This Row],[Missing Approval]]="Missing Approval", 1, 0)</f>
        <v>0</v>
      </c>
      <c r="W519" s="5">
        <f>IF(po_master[[#This Row],[GR Receipt Status]]="No GR - Not Received", 1, 0)</f>
        <v>0</v>
      </c>
      <c r="X519" s="5">
        <f>IF(po_master[[#This Row],[No invoice]]="No Invoice", 1, 0)</f>
        <v>0</v>
      </c>
      <c r="Y519" s="5">
        <f>IF(po_master[[#This Row],[Date Check]]="Invalid Date", 1, 0)</f>
        <v>0</v>
      </c>
      <c r="Z519" s="5">
        <f>IF(po_master[[#This Row],[Qty Variance Flag]]="Qty Variance", 1, 0)</f>
        <v>0</v>
      </c>
      <c r="AA519" s="5">
        <f>IF(po_master[[#This Row],[Price Variance Flag]]="Price Variance", 1, 0)</f>
        <v>0</v>
      </c>
      <c r="AB519" s="5">
        <f>IF(po_master[[#This Row],[Late Delivery Flag]]="Late Delivery", 1, 0)</f>
        <v>1</v>
      </c>
      <c r="AC519" s="5">
        <f>IF(po_master[[#This Row],[Duplicate Invoice Flag]]="Duplicate Invoice", 1, 0)</f>
        <v>1</v>
      </c>
      <c r="AD519" s="5" t="str">
        <f>TEXT(po_master[[#This Row],[Order Date]],"YYYY-MM")</f>
        <v>2026-05</v>
      </c>
    </row>
    <row r="520" spans="1:30" x14ac:dyDescent="0.25">
      <c r="A520" t="s">
        <v>457</v>
      </c>
      <c r="B520" t="s">
        <v>1471</v>
      </c>
      <c r="C520" s="1">
        <v>46032</v>
      </c>
      <c r="D520">
        <v>414</v>
      </c>
      <c r="E520">
        <v>193.84</v>
      </c>
      <c r="F520" t="s">
        <v>1499</v>
      </c>
      <c r="G520" s="1">
        <v>46039</v>
      </c>
      <c r="H520">
        <v>414</v>
      </c>
      <c r="I520" s="1">
        <v>46039</v>
      </c>
      <c r="J520" t="s">
        <v>1215</v>
      </c>
      <c r="K520">
        <v>414</v>
      </c>
      <c r="L520">
        <v>193.84</v>
      </c>
      <c r="M520" s="1">
        <v>46045</v>
      </c>
      <c r="N520" t="str">
        <f>IF(po_master[[#This Row],[Approved By]]="", "Missing Approval", "OK")</f>
        <v>OK</v>
      </c>
      <c r="O520" t="str">
        <f>IF(ISBLANK(po_master[[#This Row],[GR Quantity]]), "No GR - Not received", "OK")</f>
        <v>OK</v>
      </c>
      <c r="P520" t="str">
        <f>IF(po_master[[#This Row],[Promised Delivey Date]]&lt;po_master[[#This Row],[Order Date]], "Invalid", "OK")</f>
        <v>OK</v>
      </c>
      <c r="Q520" t="str">
        <f>IF(ISBLANK(po_master[[#This Row],[Invoice Number]]), "No Invoice", "OK")</f>
        <v>OK</v>
      </c>
      <c r="R520" t="str">
        <f>IF(AND(NOT(ISBLANK(po_master[[#This Row],[GR Quantity]])), po_master[[#This Row],[GR Quantity]]&lt;&gt;po_master[[#This Row],[PO Quantity]]), "Qty Variance", "OK")</f>
        <v>OK</v>
      </c>
      <c r="S520" t="str">
        <f>IF(po_master[[#This Row],[Invoice Unit Price]]&gt;po_master[[#This Row],[PO Unit Price]]*1.01, "Price Variance", "OK")</f>
        <v>OK</v>
      </c>
      <c r="T520" t="str">
        <f>IF(po_master[[#This Row],[Actual Delivery Date]]&gt;po_master[[#This Row],[Promised Delivey Date]], "Late Delivery", "OK")</f>
        <v>OK</v>
      </c>
      <c r="U520" t="str">
        <f>IF(COUNTIF(po_master[PO Number],po_master[[#This Row],[PO Number]])&gt;1, "Duplicate Invoice", "OK")</f>
        <v>OK</v>
      </c>
      <c r="V520" s="5">
        <f>IF(po_master[[#This Row],[Missing Approval]]="Missing Approval", 1, 0)</f>
        <v>0</v>
      </c>
      <c r="W520" s="5">
        <f>IF(po_master[[#This Row],[GR Receipt Status]]="No GR - Not Received", 1, 0)</f>
        <v>0</v>
      </c>
      <c r="X520" s="5">
        <f>IF(po_master[[#This Row],[No invoice]]="No Invoice", 1, 0)</f>
        <v>0</v>
      </c>
      <c r="Y520" s="5">
        <f>IF(po_master[[#This Row],[Date Check]]="Invalid Date", 1, 0)</f>
        <v>0</v>
      </c>
      <c r="Z520" s="5">
        <f>IF(po_master[[#This Row],[Qty Variance Flag]]="Qty Variance", 1, 0)</f>
        <v>0</v>
      </c>
      <c r="AA520" s="5">
        <f>IF(po_master[[#This Row],[Price Variance Flag]]="Price Variance", 1, 0)</f>
        <v>0</v>
      </c>
      <c r="AB520" s="5">
        <f>IF(po_master[[#This Row],[Late Delivery Flag]]="Late Delivery", 1, 0)</f>
        <v>0</v>
      </c>
      <c r="AC520" s="5">
        <f>IF(po_master[[#This Row],[Duplicate Invoice Flag]]="Duplicate Invoice", 1, 0)</f>
        <v>0</v>
      </c>
      <c r="AD520" s="5" t="str">
        <f>TEXT(po_master[[#This Row],[Order Date]],"YYYY-MM")</f>
        <v>2026-01</v>
      </c>
    </row>
    <row r="521" spans="1:30" x14ac:dyDescent="0.25">
      <c r="A521" t="s">
        <v>458</v>
      </c>
      <c r="B521" t="s">
        <v>1493</v>
      </c>
      <c r="C521" s="1">
        <v>46125</v>
      </c>
      <c r="D521">
        <v>395</v>
      </c>
      <c r="E521">
        <v>69.66</v>
      </c>
      <c r="F521" t="s">
        <v>1507</v>
      </c>
      <c r="G521" s="1">
        <v>46133</v>
      </c>
      <c r="H521">
        <v>395</v>
      </c>
      <c r="I521" s="1">
        <v>46135</v>
      </c>
      <c r="J521" t="s">
        <v>1218</v>
      </c>
      <c r="K521">
        <v>395</v>
      </c>
      <c r="L521">
        <v>69.66</v>
      </c>
      <c r="M521" s="1">
        <v>46135</v>
      </c>
      <c r="N521" t="str">
        <f>IF(po_master[[#This Row],[Approved By]]="", "Missing Approval", "OK")</f>
        <v>OK</v>
      </c>
      <c r="O521" t="str">
        <f>IF(ISBLANK(po_master[[#This Row],[GR Quantity]]), "No GR - Not received", "OK")</f>
        <v>OK</v>
      </c>
      <c r="P521" t="str">
        <f>IF(po_master[[#This Row],[Promised Delivey Date]]&lt;po_master[[#This Row],[Order Date]], "Invalid", "OK")</f>
        <v>OK</v>
      </c>
      <c r="Q521" t="str">
        <f>IF(ISBLANK(po_master[[#This Row],[Invoice Number]]), "No Invoice", "OK")</f>
        <v>OK</v>
      </c>
      <c r="R521" t="str">
        <f>IF(AND(NOT(ISBLANK(po_master[[#This Row],[GR Quantity]])), po_master[[#This Row],[GR Quantity]]&lt;&gt;po_master[[#This Row],[PO Quantity]]), "Qty Variance", "OK")</f>
        <v>OK</v>
      </c>
      <c r="S521" t="str">
        <f>IF(po_master[[#This Row],[Invoice Unit Price]]&gt;po_master[[#This Row],[PO Unit Price]]*1.01, "Price Variance", "OK")</f>
        <v>OK</v>
      </c>
      <c r="T521" t="str">
        <f>IF(po_master[[#This Row],[Actual Delivery Date]]&gt;po_master[[#This Row],[Promised Delivey Date]], "Late Delivery", "OK")</f>
        <v>Late Delivery</v>
      </c>
      <c r="U521" t="str">
        <f>IF(COUNTIF(po_master[PO Number],po_master[[#This Row],[PO Number]])&gt;1, "Duplicate Invoice", "OK")</f>
        <v>OK</v>
      </c>
      <c r="V521" s="5">
        <f>IF(po_master[[#This Row],[Missing Approval]]="Missing Approval", 1, 0)</f>
        <v>0</v>
      </c>
      <c r="W521" s="5">
        <f>IF(po_master[[#This Row],[GR Receipt Status]]="No GR - Not Received", 1, 0)</f>
        <v>0</v>
      </c>
      <c r="X521" s="5">
        <f>IF(po_master[[#This Row],[No invoice]]="No Invoice", 1, 0)</f>
        <v>0</v>
      </c>
      <c r="Y521" s="5">
        <f>IF(po_master[[#This Row],[Date Check]]="Invalid Date", 1, 0)</f>
        <v>0</v>
      </c>
      <c r="Z521" s="5">
        <f>IF(po_master[[#This Row],[Qty Variance Flag]]="Qty Variance", 1, 0)</f>
        <v>0</v>
      </c>
      <c r="AA521" s="5">
        <f>IF(po_master[[#This Row],[Price Variance Flag]]="Price Variance", 1, 0)</f>
        <v>0</v>
      </c>
      <c r="AB521" s="5">
        <f>IF(po_master[[#This Row],[Late Delivery Flag]]="Late Delivery", 1, 0)</f>
        <v>1</v>
      </c>
      <c r="AC521" s="5">
        <f>IF(po_master[[#This Row],[Duplicate Invoice Flag]]="Duplicate Invoice", 1, 0)</f>
        <v>0</v>
      </c>
      <c r="AD521" s="5" t="str">
        <f>TEXT(po_master[[#This Row],[Order Date]],"YYYY-MM")</f>
        <v>2026-04</v>
      </c>
    </row>
    <row r="522" spans="1:30" x14ac:dyDescent="0.25">
      <c r="A522" t="s">
        <v>1191</v>
      </c>
      <c r="B522" t="s">
        <v>1512</v>
      </c>
      <c r="C522" s="1">
        <v>46136</v>
      </c>
      <c r="D522">
        <v>194</v>
      </c>
      <c r="E522">
        <v>153.46</v>
      </c>
      <c r="F522" t="s">
        <v>1483</v>
      </c>
      <c r="G522" s="1">
        <v>46145</v>
      </c>
      <c r="I522" s="1"/>
      <c r="J522" t="s">
        <v>1192</v>
      </c>
      <c r="K522">
        <v>194</v>
      </c>
      <c r="L522">
        <v>153.46</v>
      </c>
      <c r="M522" s="1">
        <v>46147</v>
      </c>
      <c r="N522" t="str">
        <f>IF(po_master[[#This Row],[Approved By]]="", "Missing Approval", "OK")</f>
        <v>OK</v>
      </c>
      <c r="O522" t="str">
        <f>IF(ISBLANK(po_master[[#This Row],[GR Quantity]]), "No GR - Not received", "OK")</f>
        <v>No GR - Not received</v>
      </c>
      <c r="P522" t="str">
        <f>IF(po_master[[#This Row],[Promised Delivey Date]]&lt;po_master[[#This Row],[Order Date]], "Invalid", "OK")</f>
        <v>OK</v>
      </c>
      <c r="Q522" t="str">
        <f>IF(ISBLANK(po_master[[#This Row],[Invoice Number]]), "No Invoice", "OK")</f>
        <v>OK</v>
      </c>
      <c r="R522" t="str">
        <f>IF(AND(NOT(ISBLANK(po_master[[#This Row],[GR Quantity]])), po_master[[#This Row],[GR Quantity]]&lt;&gt;po_master[[#This Row],[PO Quantity]]), "Qty Variance", "OK")</f>
        <v>OK</v>
      </c>
      <c r="S522" t="str">
        <f>IF(po_master[[#This Row],[Invoice Unit Price]]&gt;po_master[[#This Row],[PO Unit Price]]*1.01, "Price Variance", "OK")</f>
        <v>OK</v>
      </c>
      <c r="T522" t="str">
        <f>IF(po_master[[#This Row],[Actual Delivery Date]]&gt;po_master[[#This Row],[Promised Delivey Date]], "Late Delivery", "OK")</f>
        <v>OK</v>
      </c>
      <c r="U522" t="str">
        <f>IF(COUNTIF(po_master[PO Number],po_master[[#This Row],[PO Number]])&gt;1, "Duplicate Invoice", "OK")</f>
        <v>OK</v>
      </c>
      <c r="V522" s="5">
        <f>IF(po_master[[#This Row],[Missing Approval]]="Missing Approval", 1, 0)</f>
        <v>0</v>
      </c>
      <c r="W522" s="5">
        <f>IF(po_master[[#This Row],[GR Receipt Status]]="No GR - Not Received", 1, 0)</f>
        <v>1</v>
      </c>
      <c r="X522" s="5">
        <f>IF(po_master[[#This Row],[No invoice]]="No Invoice", 1, 0)</f>
        <v>0</v>
      </c>
      <c r="Y522" s="5">
        <f>IF(po_master[[#This Row],[Date Check]]="Invalid Date", 1, 0)</f>
        <v>0</v>
      </c>
      <c r="Z522" s="5">
        <f>IF(po_master[[#This Row],[Qty Variance Flag]]="Qty Variance", 1, 0)</f>
        <v>0</v>
      </c>
      <c r="AA522" s="5">
        <f>IF(po_master[[#This Row],[Price Variance Flag]]="Price Variance", 1, 0)</f>
        <v>0</v>
      </c>
      <c r="AB522" s="5">
        <f>IF(po_master[[#This Row],[Late Delivery Flag]]="Late Delivery", 1, 0)</f>
        <v>0</v>
      </c>
      <c r="AC522" s="5">
        <f>IF(po_master[[#This Row],[Duplicate Invoice Flag]]="Duplicate Invoice", 1, 0)</f>
        <v>0</v>
      </c>
      <c r="AD522" s="5" t="str">
        <f>TEXT(po_master[[#This Row],[Order Date]],"YYYY-MM")</f>
        <v>2026-04</v>
      </c>
    </row>
    <row r="523" spans="1:30" x14ac:dyDescent="0.25">
      <c r="A523" t="s">
        <v>459</v>
      </c>
      <c r="B523" t="s">
        <v>1481</v>
      </c>
      <c r="C523" s="1">
        <v>46048</v>
      </c>
      <c r="D523">
        <v>142</v>
      </c>
      <c r="E523">
        <v>48.29</v>
      </c>
      <c r="F523" t="s">
        <v>1490</v>
      </c>
      <c r="G523" s="1">
        <v>46069</v>
      </c>
      <c r="H523">
        <v>142</v>
      </c>
      <c r="I523" s="1">
        <v>46069</v>
      </c>
      <c r="J523" t="s">
        <v>1219</v>
      </c>
      <c r="K523">
        <v>142</v>
      </c>
      <c r="L523">
        <v>48.29</v>
      </c>
      <c r="M523" s="1">
        <v>46077</v>
      </c>
      <c r="N523" t="str">
        <f>IF(po_master[[#This Row],[Approved By]]="", "Missing Approval", "OK")</f>
        <v>OK</v>
      </c>
      <c r="O523" t="str">
        <f>IF(ISBLANK(po_master[[#This Row],[GR Quantity]]), "No GR - Not received", "OK")</f>
        <v>OK</v>
      </c>
      <c r="P523" t="str">
        <f>IF(po_master[[#This Row],[Promised Delivey Date]]&lt;po_master[[#This Row],[Order Date]], "Invalid", "OK")</f>
        <v>OK</v>
      </c>
      <c r="Q523" t="str">
        <f>IF(ISBLANK(po_master[[#This Row],[Invoice Number]]), "No Invoice", "OK")</f>
        <v>OK</v>
      </c>
      <c r="R523" t="str">
        <f>IF(AND(NOT(ISBLANK(po_master[[#This Row],[GR Quantity]])), po_master[[#This Row],[GR Quantity]]&lt;&gt;po_master[[#This Row],[PO Quantity]]), "Qty Variance", "OK")</f>
        <v>OK</v>
      </c>
      <c r="S523" t="str">
        <f>IF(po_master[[#This Row],[Invoice Unit Price]]&gt;po_master[[#This Row],[PO Unit Price]]*1.01, "Price Variance", "OK")</f>
        <v>OK</v>
      </c>
      <c r="T523" t="str">
        <f>IF(po_master[[#This Row],[Actual Delivery Date]]&gt;po_master[[#This Row],[Promised Delivey Date]], "Late Delivery", "OK")</f>
        <v>OK</v>
      </c>
      <c r="U523" t="str">
        <f>IF(COUNTIF(po_master[PO Number],po_master[[#This Row],[PO Number]])&gt;1, "Duplicate Invoice", "OK")</f>
        <v>OK</v>
      </c>
      <c r="V523" s="5">
        <f>IF(po_master[[#This Row],[Missing Approval]]="Missing Approval", 1, 0)</f>
        <v>0</v>
      </c>
      <c r="W523" s="5">
        <f>IF(po_master[[#This Row],[GR Receipt Status]]="No GR - Not Received", 1, 0)</f>
        <v>0</v>
      </c>
      <c r="X523" s="5">
        <f>IF(po_master[[#This Row],[No invoice]]="No Invoice", 1, 0)</f>
        <v>0</v>
      </c>
      <c r="Y523" s="5">
        <f>IF(po_master[[#This Row],[Date Check]]="Invalid Date", 1, 0)</f>
        <v>0</v>
      </c>
      <c r="Z523" s="5">
        <f>IF(po_master[[#This Row],[Qty Variance Flag]]="Qty Variance", 1, 0)</f>
        <v>0</v>
      </c>
      <c r="AA523" s="5">
        <f>IF(po_master[[#This Row],[Price Variance Flag]]="Price Variance", 1, 0)</f>
        <v>0</v>
      </c>
      <c r="AB523" s="5">
        <f>IF(po_master[[#This Row],[Late Delivery Flag]]="Late Delivery", 1, 0)</f>
        <v>0</v>
      </c>
      <c r="AC523" s="5">
        <f>IF(po_master[[#This Row],[Duplicate Invoice Flag]]="Duplicate Invoice", 1, 0)</f>
        <v>0</v>
      </c>
      <c r="AD523" s="5" t="str">
        <f>TEXT(po_master[[#This Row],[Order Date]],"YYYY-MM")</f>
        <v>2026-01</v>
      </c>
    </row>
    <row r="524" spans="1:30" x14ac:dyDescent="0.25">
      <c r="A524" t="s">
        <v>460</v>
      </c>
      <c r="B524" t="s">
        <v>1454</v>
      </c>
      <c r="C524" s="1">
        <v>46171</v>
      </c>
      <c r="D524">
        <v>362</v>
      </c>
      <c r="E524">
        <v>117.17</v>
      </c>
      <c r="F524" t="s">
        <v>1469</v>
      </c>
      <c r="G524" s="1">
        <v>46187</v>
      </c>
      <c r="H524">
        <v>362</v>
      </c>
      <c r="I524" s="1">
        <v>46189</v>
      </c>
      <c r="J524" t="s">
        <v>1220</v>
      </c>
      <c r="K524">
        <v>362</v>
      </c>
      <c r="L524">
        <v>117.17</v>
      </c>
      <c r="M524" s="1">
        <v>46189</v>
      </c>
      <c r="N524" t="str">
        <f>IF(po_master[[#This Row],[Approved By]]="", "Missing Approval", "OK")</f>
        <v>OK</v>
      </c>
      <c r="O524" t="str">
        <f>IF(ISBLANK(po_master[[#This Row],[GR Quantity]]), "No GR - Not received", "OK")</f>
        <v>OK</v>
      </c>
      <c r="P524" t="str">
        <f>IF(po_master[[#This Row],[Promised Delivey Date]]&lt;po_master[[#This Row],[Order Date]], "Invalid", "OK")</f>
        <v>OK</v>
      </c>
      <c r="Q524" t="str">
        <f>IF(ISBLANK(po_master[[#This Row],[Invoice Number]]), "No Invoice", "OK")</f>
        <v>OK</v>
      </c>
      <c r="R524" t="str">
        <f>IF(AND(NOT(ISBLANK(po_master[[#This Row],[GR Quantity]])), po_master[[#This Row],[GR Quantity]]&lt;&gt;po_master[[#This Row],[PO Quantity]]), "Qty Variance", "OK")</f>
        <v>OK</v>
      </c>
      <c r="S524" t="str">
        <f>IF(po_master[[#This Row],[Invoice Unit Price]]&gt;po_master[[#This Row],[PO Unit Price]]*1.01, "Price Variance", "OK")</f>
        <v>OK</v>
      </c>
      <c r="T524" t="str">
        <f>IF(po_master[[#This Row],[Actual Delivery Date]]&gt;po_master[[#This Row],[Promised Delivey Date]], "Late Delivery", "OK")</f>
        <v>Late Delivery</v>
      </c>
      <c r="U524" t="str">
        <f>IF(COUNTIF(po_master[PO Number],po_master[[#This Row],[PO Number]])&gt;1, "Duplicate Invoice", "OK")</f>
        <v>OK</v>
      </c>
      <c r="V524" s="5">
        <f>IF(po_master[[#This Row],[Missing Approval]]="Missing Approval", 1, 0)</f>
        <v>0</v>
      </c>
      <c r="W524" s="5">
        <f>IF(po_master[[#This Row],[GR Receipt Status]]="No GR - Not Received", 1, 0)</f>
        <v>0</v>
      </c>
      <c r="X524" s="5">
        <f>IF(po_master[[#This Row],[No invoice]]="No Invoice", 1, 0)</f>
        <v>0</v>
      </c>
      <c r="Y524" s="5">
        <f>IF(po_master[[#This Row],[Date Check]]="Invalid Date", 1, 0)</f>
        <v>0</v>
      </c>
      <c r="Z524" s="5">
        <f>IF(po_master[[#This Row],[Qty Variance Flag]]="Qty Variance", 1, 0)</f>
        <v>0</v>
      </c>
      <c r="AA524" s="5">
        <f>IF(po_master[[#This Row],[Price Variance Flag]]="Price Variance", 1, 0)</f>
        <v>0</v>
      </c>
      <c r="AB524" s="5">
        <f>IF(po_master[[#This Row],[Late Delivery Flag]]="Late Delivery", 1, 0)</f>
        <v>1</v>
      </c>
      <c r="AC524" s="5">
        <f>IF(po_master[[#This Row],[Duplicate Invoice Flag]]="Duplicate Invoice", 1, 0)</f>
        <v>0</v>
      </c>
      <c r="AD524" s="5" t="str">
        <f>TEXT(po_master[[#This Row],[Order Date]],"YYYY-MM")</f>
        <v>2026-05</v>
      </c>
    </row>
    <row r="525" spans="1:30" x14ac:dyDescent="0.25">
      <c r="A525" t="s">
        <v>461</v>
      </c>
      <c r="B525" t="s">
        <v>1488</v>
      </c>
      <c r="C525" s="1">
        <v>46141</v>
      </c>
      <c r="D525">
        <v>405</v>
      </c>
      <c r="E525">
        <v>137.51</v>
      </c>
      <c r="F525" t="s">
        <v>1499</v>
      </c>
      <c r="G525" s="1">
        <v>46162</v>
      </c>
      <c r="H525">
        <v>405</v>
      </c>
      <c r="I525" s="1">
        <v>46162</v>
      </c>
      <c r="J525" t="s">
        <v>1221</v>
      </c>
      <c r="K525">
        <v>405</v>
      </c>
      <c r="L525">
        <v>137.51</v>
      </c>
      <c r="M525" s="1">
        <v>46166</v>
      </c>
      <c r="N525" t="str">
        <f>IF(po_master[[#This Row],[Approved By]]="", "Missing Approval", "OK")</f>
        <v>OK</v>
      </c>
      <c r="O525" t="str">
        <f>IF(ISBLANK(po_master[[#This Row],[GR Quantity]]), "No GR - Not received", "OK")</f>
        <v>OK</v>
      </c>
      <c r="P525" t="str">
        <f>IF(po_master[[#This Row],[Promised Delivey Date]]&lt;po_master[[#This Row],[Order Date]], "Invalid", "OK")</f>
        <v>OK</v>
      </c>
      <c r="Q525" t="str">
        <f>IF(ISBLANK(po_master[[#This Row],[Invoice Number]]), "No Invoice", "OK")</f>
        <v>OK</v>
      </c>
      <c r="R525" t="str">
        <f>IF(AND(NOT(ISBLANK(po_master[[#This Row],[GR Quantity]])), po_master[[#This Row],[GR Quantity]]&lt;&gt;po_master[[#This Row],[PO Quantity]]), "Qty Variance", "OK")</f>
        <v>OK</v>
      </c>
      <c r="S525" t="str">
        <f>IF(po_master[[#This Row],[Invoice Unit Price]]&gt;po_master[[#This Row],[PO Unit Price]]*1.01, "Price Variance", "OK")</f>
        <v>OK</v>
      </c>
      <c r="T525" t="str">
        <f>IF(po_master[[#This Row],[Actual Delivery Date]]&gt;po_master[[#This Row],[Promised Delivey Date]], "Late Delivery", "OK")</f>
        <v>OK</v>
      </c>
      <c r="U525" t="str">
        <f>IF(COUNTIF(po_master[PO Number],po_master[[#This Row],[PO Number]])&gt;1, "Duplicate Invoice", "OK")</f>
        <v>OK</v>
      </c>
      <c r="V525" s="5">
        <f>IF(po_master[[#This Row],[Missing Approval]]="Missing Approval", 1, 0)</f>
        <v>0</v>
      </c>
      <c r="W525" s="5">
        <f>IF(po_master[[#This Row],[GR Receipt Status]]="No GR - Not Received", 1, 0)</f>
        <v>0</v>
      </c>
      <c r="X525" s="5">
        <f>IF(po_master[[#This Row],[No invoice]]="No Invoice", 1, 0)</f>
        <v>0</v>
      </c>
      <c r="Y525" s="5">
        <f>IF(po_master[[#This Row],[Date Check]]="Invalid Date", 1, 0)</f>
        <v>0</v>
      </c>
      <c r="Z525" s="5">
        <f>IF(po_master[[#This Row],[Qty Variance Flag]]="Qty Variance", 1, 0)</f>
        <v>0</v>
      </c>
      <c r="AA525" s="5">
        <f>IF(po_master[[#This Row],[Price Variance Flag]]="Price Variance", 1, 0)</f>
        <v>0</v>
      </c>
      <c r="AB525" s="5">
        <f>IF(po_master[[#This Row],[Late Delivery Flag]]="Late Delivery", 1, 0)</f>
        <v>0</v>
      </c>
      <c r="AC525" s="5">
        <f>IF(po_master[[#This Row],[Duplicate Invoice Flag]]="Duplicate Invoice", 1, 0)</f>
        <v>0</v>
      </c>
      <c r="AD525" s="5" t="str">
        <f>TEXT(po_master[[#This Row],[Order Date]],"YYYY-MM")</f>
        <v>2026-04</v>
      </c>
    </row>
    <row r="526" spans="1:30" x14ac:dyDescent="0.25">
      <c r="A526" t="s">
        <v>462</v>
      </c>
      <c r="B526" t="s">
        <v>1464</v>
      </c>
      <c r="C526" s="1">
        <v>46111</v>
      </c>
      <c r="D526">
        <v>22</v>
      </c>
      <c r="E526">
        <v>99.14</v>
      </c>
      <c r="F526" t="s">
        <v>1474</v>
      </c>
      <c r="G526" s="1">
        <v>46129</v>
      </c>
      <c r="H526">
        <v>22</v>
      </c>
      <c r="I526" s="1">
        <v>46129</v>
      </c>
      <c r="J526" t="s">
        <v>1222</v>
      </c>
      <c r="K526">
        <v>22</v>
      </c>
      <c r="L526">
        <v>99.14</v>
      </c>
      <c r="M526" s="1">
        <v>46139</v>
      </c>
      <c r="N526" t="str">
        <f>IF(po_master[[#This Row],[Approved By]]="", "Missing Approval", "OK")</f>
        <v>OK</v>
      </c>
      <c r="O526" t="str">
        <f>IF(ISBLANK(po_master[[#This Row],[GR Quantity]]), "No GR - Not received", "OK")</f>
        <v>OK</v>
      </c>
      <c r="P526" t="str">
        <f>IF(po_master[[#This Row],[Promised Delivey Date]]&lt;po_master[[#This Row],[Order Date]], "Invalid", "OK")</f>
        <v>OK</v>
      </c>
      <c r="Q526" t="str">
        <f>IF(ISBLANK(po_master[[#This Row],[Invoice Number]]), "No Invoice", "OK")</f>
        <v>OK</v>
      </c>
      <c r="R526" t="str">
        <f>IF(AND(NOT(ISBLANK(po_master[[#This Row],[GR Quantity]])), po_master[[#This Row],[GR Quantity]]&lt;&gt;po_master[[#This Row],[PO Quantity]]), "Qty Variance", "OK")</f>
        <v>OK</v>
      </c>
      <c r="S526" t="str">
        <f>IF(po_master[[#This Row],[Invoice Unit Price]]&gt;po_master[[#This Row],[PO Unit Price]]*1.01, "Price Variance", "OK")</f>
        <v>OK</v>
      </c>
      <c r="T526" t="str">
        <f>IF(po_master[[#This Row],[Actual Delivery Date]]&gt;po_master[[#This Row],[Promised Delivey Date]], "Late Delivery", "OK")</f>
        <v>OK</v>
      </c>
      <c r="U526" t="str">
        <f>IF(COUNTIF(po_master[PO Number],po_master[[#This Row],[PO Number]])&gt;1, "Duplicate Invoice", "OK")</f>
        <v>OK</v>
      </c>
      <c r="V526" s="5">
        <f>IF(po_master[[#This Row],[Missing Approval]]="Missing Approval", 1, 0)</f>
        <v>0</v>
      </c>
      <c r="W526" s="5">
        <f>IF(po_master[[#This Row],[GR Receipt Status]]="No GR - Not Received", 1, 0)</f>
        <v>0</v>
      </c>
      <c r="X526" s="5">
        <f>IF(po_master[[#This Row],[No invoice]]="No Invoice", 1, 0)</f>
        <v>0</v>
      </c>
      <c r="Y526" s="5">
        <f>IF(po_master[[#This Row],[Date Check]]="Invalid Date", 1, 0)</f>
        <v>0</v>
      </c>
      <c r="Z526" s="5">
        <f>IF(po_master[[#This Row],[Qty Variance Flag]]="Qty Variance", 1, 0)</f>
        <v>0</v>
      </c>
      <c r="AA526" s="5">
        <f>IF(po_master[[#This Row],[Price Variance Flag]]="Price Variance", 1, 0)</f>
        <v>0</v>
      </c>
      <c r="AB526" s="5">
        <f>IF(po_master[[#This Row],[Late Delivery Flag]]="Late Delivery", 1, 0)</f>
        <v>0</v>
      </c>
      <c r="AC526" s="5">
        <f>IF(po_master[[#This Row],[Duplicate Invoice Flag]]="Duplicate Invoice", 1, 0)</f>
        <v>0</v>
      </c>
      <c r="AD526" s="5" t="str">
        <f>TEXT(po_master[[#This Row],[Order Date]],"YYYY-MM")</f>
        <v>2026-03</v>
      </c>
    </row>
    <row r="527" spans="1:30" x14ac:dyDescent="0.25">
      <c r="A527" t="s">
        <v>463</v>
      </c>
      <c r="B527" t="s">
        <v>1512</v>
      </c>
      <c r="C527" s="1">
        <v>46110</v>
      </c>
      <c r="D527">
        <v>243</v>
      </c>
      <c r="E527">
        <v>157.93</v>
      </c>
      <c r="F527" t="s">
        <v>1504</v>
      </c>
      <c r="G527" s="1">
        <v>46130</v>
      </c>
      <c r="H527">
        <v>243</v>
      </c>
      <c r="I527" s="1">
        <v>46129</v>
      </c>
      <c r="J527" t="s">
        <v>1225</v>
      </c>
      <c r="K527">
        <v>243</v>
      </c>
      <c r="L527">
        <v>157.93</v>
      </c>
      <c r="M527" s="1">
        <v>46135</v>
      </c>
      <c r="N527" t="str">
        <f>IF(po_master[[#This Row],[Approved By]]="", "Missing Approval", "OK")</f>
        <v>OK</v>
      </c>
      <c r="O527" t="str">
        <f>IF(ISBLANK(po_master[[#This Row],[GR Quantity]]), "No GR - Not received", "OK")</f>
        <v>OK</v>
      </c>
      <c r="P527" t="str">
        <f>IF(po_master[[#This Row],[Promised Delivey Date]]&lt;po_master[[#This Row],[Order Date]], "Invalid", "OK")</f>
        <v>OK</v>
      </c>
      <c r="Q527" t="str">
        <f>IF(ISBLANK(po_master[[#This Row],[Invoice Number]]), "No Invoice", "OK")</f>
        <v>OK</v>
      </c>
      <c r="R527" t="str">
        <f>IF(AND(NOT(ISBLANK(po_master[[#This Row],[GR Quantity]])), po_master[[#This Row],[GR Quantity]]&lt;&gt;po_master[[#This Row],[PO Quantity]]), "Qty Variance", "OK")</f>
        <v>OK</v>
      </c>
      <c r="S527" t="str">
        <f>IF(po_master[[#This Row],[Invoice Unit Price]]&gt;po_master[[#This Row],[PO Unit Price]]*1.01, "Price Variance", "OK")</f>
        <v>OK</v>
      </c>
      <c r="T527" t="str">
        <f>IF(po_master[[#This Row],[Actual Delivery Date]]&gt;po_master[[#This Row],[Promised Delivey Date]], "Late Delivery", "OK")</f>
        <v>OK</v>
      </c>
      <c r="U527" t="str">
        <f>IF(COUNTIF(po_master[PO Number],po_master[[#This Row],[PO Number]])&gt;1, "Duplicate Invoice", "OK")</f>
        <v>OK</v>
      </c>
      <c r="V527" s="5">
        <f>IF(po_master[[#This Row],[Missing Approval]]="Missing Approval", 1, 0)</f>
        <v>0</v>
      </c>
      <c r="W527" s="5">
        <f>IF(po_master[[#This Row],[GR Receipt Status]]="No GR - Not Received", 1, 0)</f>
        <v>0</v>
      </c>
      <c r="X527" s="5">
        <f>IF(po_master[[#This Row],[No invoice]]="No Invoice", 1, 0)</f>
        <v>0</v>
      </c>
      <c r="Y527" s="5">
        <f>IF(po_master[[#This Row],[Date Check]]="Invalid Date", 1, 0)</f>
        <v>0</v>
      </c>
      <c r="Z527" s="5">
        <f>IF(po_master[[#This Row],[Qty Variance Flag]]="Qty Variance", 1, 0)</f>
        <v>0</v>
      </c>
      <c r="AA527" s="5">
        <f>IF(po_master[[#This Row],[Price Variance Flag]]="Price Variance", 1, 0)</f>
        <v>0</v>
      </c>
      <c r="AB527" s="5">
        <f>IF(po_master[[#This Row],[Late Delivery Flag]]="Late Delivery", 1, 0)</f>
        <v>0</v>
      </c>
      <c r="AC527" s="5">
        <f>IF(po_master[[#This Row],[Duplicate Invoice Flag]]="Duplicate Invoice", 1, 0)</f>
        <v>0</v>
      </c>
      <c r="AD527" s="5" t="str">
        <f>TEXT(po_master[[#This Row],[Order Date]],"YYYY-MM")</f>
        <v>2026-03</v>
      </c>
    </row>
    <row r="528" spans="1:30" x14ac:dyDescent="0.25">
      <c r="A528" t="s">
        <v>464</v>
      </c>
      <c r="B528" t="s">
        <v>1503</v>
      </c>
      <c r="C528" s="1">
        <v>46144</v>
      </c>
      <c r="D528">
        <v>59</v>
      </c>
      <c r="E528">
        <v>90.44</v>
      </c>
      <c r="F528" t="s">
        <v>1499</v>
      </c>
      <c r="G528" s="1">
        <v>46163</v>
      </c>
      <c r="H528">
        <v>59</v>
      </c>
      <c r="I528" s="1">
        <v>46162</v>
      </c>
      <c r="J528" t="s">
        <v>1226</v>
      </c>
      <c r="K528">
        <v>59</v>
      </c>
      <c r="L528">
        <v>90.44</v>
      </c>
      <c r="M528" s="1">
        <v>46171</v>
      </c>
      <c r="N528" t="str">
        <f>IF(po_master[[#This Row],[Approved By]]="", "Missing Approval", "OK")</f>
        <v>OK</v>
      </c>
      <c r="O528" t="str">
        <f>IF(ISBLANK(po_master[[#This Row],[GR Quantity]]), "No GR - Not received", "OK")</f>
        <v>OK</v>
      </c>
      <c r="P528" t="str">
        <f>IF(po_master[[#This Row],[Promised Delivey Date]]&lt;po_master[[#This Row],[Order Date]], "Invalid", "OK")</f>
        <v>OK</v>
      </c>
      <c r="Q528" t="str">
        <f>IF(ISBLANK(po_master[[#This Row],[Invoice Number]]), "No Invoice", "OK")</f>
        <v>OK</v>
      </c>
      <c r="R528" t="str">
        <f>IF(AND(NOT(ISBLANK(po_master[[#This Row],[GR Quantity]])), po_master[[#This Row],[GR Quantity]]&lt;&gt;po_master[[#This Row],[PO Quantity]]), "Qty Variance", "OK")</f>
        <v>OK</v>
      </c>
      <c r="S528" t="str">
        <f>IF(po_master[[#This Row],[Invoice Unit Price]]&gt;po_master[[#This Row],[PO Unit Price]]*1.01, "Price Variance", "OK")</f>
        <v>OK</v>
      </c>
      <c r="T528" t="str">
        <f>IF(po_master[[#This Row],[Actual Delivery Date]]&gt;po_master[[#This Row],[Promised Delivey Date]], "Late Delivery", "OK")</f>
        <v>OK</v>
      </c>
      <c r="U528" t="str">
        <f>IF(COUNTIF(po_master[PO Number],po_master[[#This Row],[PO Number]])&gt;1, "Duplicate Invoice", "OK")</f>
        <v>OK</v>
      </c>
      <c r="V528" s="5">
        <f>IF(po_master[[#This Row],[Missing Approval]]="Missing Approval", 1, 0)</f>
        <v>0</v>
      </c>
      <c r="W528" s="5">
        <f>IF(po_master[[#This Row],[GR Receipt Status]]="No GR - Not Received", 1, 0)</f>
        <v>0</v>
      </c>
      <c r="X528" s="5">
        <f>IF(po_master[[#This Row],[No invoice]]="No Invoice", 1, 0)</f>
        <v>0</v>
      </c>
      <c r="Y528" s="5">
        <f>IF(po_master[[#This Row],[Date Check]]="Invalid Date", 1, 0)</f>
        <v>0</v>
      </c>
      <c r="Z528" s="5">
        <f>IF(po_master[[#This Row],[Qty Variance Flag]]="Qty Variance", 1, 0)</f>
        <v>0</v>
      </c>
      <c r="AA528" s="5">
        <f>IF(po_master[[#This Row],[Price Variance Flag]]="Price Variance", 1, 0)</f>
        <v>0</v>
      </c>
      <c r="AB528" s="5">
        <f>IF(po_master[[#This Row],[Late Delivery Flag]]="Late Delivery", 1, 0)</f>
        <v>0</v>
      </c>
      <c r="AC528" s="5">
        <f>IF(po_master[[#This Row],[Duplicate Invoice Flag]]="Duplicate Invoice", 1, 0)</f>
        <v>0</v>
      </c>
      <c r="AD528" s="5" t="str">
        <f>TEXT(po_master[[#This Row],[Order Date]],"YYYY-MM")</f>
        <v>2026-05</v>
      </c>
    </row>
    <row r="529" spans="1:30" x14ac:dyDescent="0.25">
      <c r="A529" t="s">
        <v>465</v>
      </c>
      <c r="B529" t="s">
        <v>1509</v>
      </c>
      <c r="C529" s="1">
        <v>46040</v>
      </c>
      <c r="D529">
        <v>163</v>
      </c>
      <c r="E529">
        <v>13.71</v>
      </c>
      <c r="F529" t="s">
        <v>1499</v>
      </c>
      <c r="G529" s="1">
        <v>46048</v>
      </c>
      <c r="H529">
        <v>163</v>
      </c>
      <c r="I529" s="1">
        <v>46047</v>
      </c>
      <c r="J529" t="s">
        <v>1227</v>
      </c>
      <c r="K529">
        <v>163</v>
      </c>
      <c r="L529">
        <v>13.71</v>
      </c>
      <c r="M529" s="1">
        <v>46050</v>
      </c>
      <c r="N529" t="str">
        <f>IF(po_master[[#This Row],[Approved By]]="", "Missing Approval", "OK")</f>
        <v>OK</v>
      </c>
      <c r="O529" t="str">
        <f>IF(ISBLANK(po_master[[#This Row],[GR Quantity]]), "No GR - Not received", "OK")</f>
        <v>OK</v>
      </c>
      <c r="P529" t="str">
        <f>IF(po_master[[#This Row],[Promised Delivey Date]]&lt;po_master[[#This Row],[Order Date]], "Invalid", "OK")</f>
        <v>OK</v>
      </c>
      <c r="Q529" t="str">
        <f>IF(ISBLANK(po_master[[#This Row],[Invoice Number]]), "No Invoice", "OK")</f>
        <v>OK</v>
      </c>
      <c r="R529" t="str">
        <f>IF(AND(NOT(ISBLANK(po_master[[#This Row],[GR Quantity]])), po_master[[#This Row],[GR Quantity]]&lt;&gt;po_master[[#This Row],[PO Quantity]]), "Qty Variance", "OK")</f>
        <v>OK</v>
      </c>
      <c r="S529" t="str">
        <f>IF(po_master[[#This Row],[Invoice Unit Price]]&gt;po_master[[#This Row],[PO Unit Price]]*1.01, "Price Variance", "OK")</f>
        <v>OK</v>
      </c>
      <c r="T529" t="str">
        <f>IF(po_master[[#This Row],[Actual Delivery Date]]&gt;po_master[[#This Row],[Promised Delivey Date]], "Late Delivery", "OK")</f>
        <v>OK</v>
      </c>
      <c r="U529" t="str">
        <f>IF(COUNTIF(po_master[PO Number],po_master[[#This Row],[PO Number]])&gt;1, "Duplicate Invoice", "OK")</f>
        <v>OK</v>
      </c>
      <c r="V529" s="5">
        <f>IF(po_master[[#This Row],[Missing Approval]]="Missing Approval", 1, 0)</f>
        <v>0</v>
      </c>
      <c r="W529" s="5">
        <f>IF(po_master[[#This Row],[GR Receipt Status]]="No GR - Not Received", 1, 0)</f>
        <v>0</v>
      </c>
      <c r="X529" s="5">
        <f>IF(po_master[[#This Row],[No invoice]]="No Invoice", 1, 0)</f>
        <v>0</v>
      </c>
      <c r="Y529" s="5">
        <f>IF(po_master[[#This Row],[Date Check]]="Invalid Date", 1, 0)</f>
        <v>0</v>
      </c>
      <c r="Z529" s="5">
        <f>IF(po_master[[#This Row],[Qty Variance Flag]]="Qty Variance", 1, 0)</f>
        <v>0</v>
      </c>
      <c r="AA529" s="5">
        <f>IF(po_master[[#This Row],[Price Variance Flag]]="Price Variance", 1, 0)</f>
        <v>0</v>
      </c>
      <c r="AB529" s="5">
        <f>IF(po_master[[#This Row],[Late Delivery Flag]]="Late Delivery", 1, 0)</f>
        <v>0</v>
      </c>
      <c r="AC529" s="5">
        <f>IF(po_master[[#This Row],[Duplicate Invoice Flag]]="Duplicate Invoice", 1, 0)</f>
        <v>0</v>
      </c>
      <c r="AD529" s="5" t="str">
        <f>TEXT(po_master[[#This Row],[Order Date]],"YYYY-MM")</f>
        <v>2026-01</v>
      </c>
    </row>
    <row r="530" spans="1:30" x14ac:dyDescent="0.25">
      <c r="A530" t="s">
        <v>466</v>
      </c>
      <c r="B530" t="s">
        <v>1473</v>
      </c>
      <c r="C530" s="1">
        <v>46110</v>
      </c>
      <c r="D530">
        <v>341</v>
      </c>
      <c r="E530">
        <v>26.33</v>
      </c>
      <c r="F530" t="s">
        <v>1501</v>
      </c>
      <c r="G530" s="1">
        <v>46122</v>
      </c>
      <c r="H530">
        <v>341</v>
      </c>
      <c r="I530" s="1">
        <v>46135</v>
      </c>
      <c r="J530" t="s">
        <v>1228</v>
      </c>
      <c r="K530">
        <v>341</v>
      </c>
      <c r="L530">
        <v>26.33</v>
      </c>
      <c r="M530" s="1">
        <v>46126</v>
      </c>
      <c r="N530" t="str">
        <f>IF(po_master[[#This Row],[Approved By]]="", "Missing Approval", "OK")</f>
        <v>OK</v>
      </c>
      <c r="O530" t="str">
        <f>IF(ISBLANK(po_master[[#This Row],[GR Quantity]]), "No GR - Not received", "OK")</f>
        <v>OK</v>
      </c>
      <c r="P530" t="str">
        <f>IF(po_master[[#This Row],[Promised Delivey Date]]&lt;po_master[[#This Row],[Order Date]], "Invalid", "OK")</f>
        <v>OK</v>
      </c>
      <c r="Q530" t="str">
        <f>IF(ISBLANK(po_master[[#This Row],[Invoice Number]]), "No Invoice", "OK")</f>
        <v>OK</v>
      </c>
      <c r="R530" t="str">
        <f>IF(AND(NOT(ISBLANK(po_master[[#This Row],[GR Quantity]])), po_master[[#This Row],[GR Quantity]]&lt;&gt;po_master[[#This Row],[PO Quantity]]), "Qty Variance", "OK")</f>
        <v>OK</v>
      </c>
      <c r="S530" t="str">
        <f>IF(po_master[[#This Row],[Invoice Unit Price]]&gt;po_master[[#This Row],[PO Unit Price]]*1.01, "Price Variance", "OK")</f>
        <v>OK</v>
      </c>
      <c r="T530" t="str">
        <f>IF(po_master[[#This Row],[Actual Delivery Date]]&gt;po_master[[#This Row],[Promised Delivey Date]], "Late Delivery", "OK")</f>
        <v>Late Delivery</v>
      </c>
      <c r="U530" t="str">
        <f>IF(COUNTIF(po_master[PO Number],po_master[[#This Row],[PO Number]])&gt;1, "Duplicate Invoice", "OK")</f>
        <v>OK</v>
      </c>
      <c r="V530" s="5">
        <f>IF(po_master[[#This Row],[Missing Approval]]="Missing Approval", 1, 0)</f>
        <v>0</v>
      </c>
      <c r="W530" s="5">
        <f>IF(po_master[[#This Row],[GR Receipt Status]]="No GR - Not Received", 1, 0)</f>
        <v>0</v>
      </c>
      <c r="X530" s="5">
        <f>IF(po_master[[#This Row],[No invoice]]="No Invoice", 1, 0)</f>
        <v>0</v>
      </c>
      <c r="Y530" s="5">
        <f>IF(po_master[[#This Row],[Date Check]]="Invalid Date", 1, 0)</f>
        <v>0</v>
      </c>
      <c r="Z530" s="5">
        <f>IF(po_master[[#This Row],[Qty Variance Flag]]="Qty Variance", 1, 0)</f>
        <v>0</v>
      </c>
      <c r="AA530" s="5">
        <f>IF(po_master[[#This Row],[Price Variance Flag]]="Price Variance", 1, 0)</f>
        <v>0</v>
      </c>
      <c r="AB530" s="5">
        <f>IF(po_master[[#This Row],[Late Delivery Flag]]="Late Delivery", 1, 0)</f>
        <v>1</v>
      </c>
      <c r="AC530" s="5">
        <f>IF(po_master[[#This Row],[Duplicate Invoice Flag]]="Duplicate Invoice", 1, 0)</f>
        <v>0</v>
      </c>
      <c r="AD530" s="5" t="str">
        <f>TEXT(po_master[[#This Row],[Order Date]],"YYYY-MM")</f>
        <v>2026-03</v>
      </c>
    </row>
    <row r="531" spans="1:30" x14ac:dyDescent="0.25">
      <c r="A531" t="s">
        <v>467</v>
      </c>
      <c r="B531" t="s">
        <v>1491</v>
      </c>
      <c r="C531" s="1">
        <v>46067</v>
      </c>
      <c r="D531">
        <v>292</v>
      </c>
      <c r="E531">
        <v>36.229999999999997</v>
      </c>
      <c r="F531" t="s">
        <v>1442</v>
      </c>
      <c r="G531" s="1">
        <v>46085</v>
      </c>
      <c r="H531">
        <v>292</v>
      </c>
      <c r="I531" s="1">
        <v>46083</v>
      </c>
      <c r="J531" t="s">
        <v>1229</v>
      </c>
      <c r="K531">
        <v>292</v>
      </c>
      <c r="L531">
        <v>36.229999999999997</v>
      </c>
      <c r="M531" s="1">
        <v>46087</v>
      </c>
      <c r="N531" t="str">
        <f>IF(po_master[[#This Row],[Approved By]]="", "Missing Approval", "OK")</f>
        <v>OK</v>
      </c>
      <c r="O531" t="str">
        <f>IF(ISBLANK(po_master[[#This Row],[GR Quantity]]), "No GR - Not received", "OK")</f>
        <v>OK</v>
      </c>
      <c r="P531" t="str">
        <f>IF(po_master[[#This Row],[Promised Delivey Date]]&lt;po_master[[#This Row],[Order Date]], "Invalid", "OK")</f>
        <v>OK</v>
      </c>
      <c r="Q531" t="str">
        <f>IF(ISBLANK(po_master[[#This Row],[Invoice Number]]), "No Invoice", "OK")</f>
        <v>OK</v>
      </c>
      <c r="R531" t="str">
        <f>IF(AND(NOT(ISBLANK(po_master[[#This Row],[GR Quantity]])), po_master[[#This Row],[GR Quantity]]&lt;&gt;po_master[[#This Row],[PO Quantity]]), "Qty Variance", "OK")</f>
        <v>OK</v>
      </c>
      <c r="S531" t="str">
        <f>IF(po_master[[#This Row],[Invoice Unit Price]]&gt;po_master[[#This Row],[PO Unit Price]]*1.01, "Price Variance", "OK")</f>
        <v>OK</v>
      </c>
      <c r="T531" t="str">
        <f>IF(po_master[[#This Row],[Actual Delivery Date]]&gt;po_master[[#This Row],[Promised Delivey Date]], "Late Delivery", "OK")</f>
        <v>OK</v>
      </c>
      <c r="U531" t="str">
        <f>IF(COUNTIF(po_master[PO Number],po_master[[#This Row],[PO Number]])&gt;1, "Duplicate Invoice", "OK")</f>
        <v>OK</v>
      </c>
      <c r="V531" s="5">
        <f>IF(po_master[[#This Row],[Missing Approval]]="Missing Approval", 1, 0)</f>
        <v>0</v>
      </c>
      <c r="W531" s="5">
        <f>IF(po_master[[#This Row],[GR Receipt Status]]="No GR - Not Received", 1, 0)</f>
        <v>0</v>
      </c>
      <c r="X531" s="5">
        <f>IF(po_master[[#This Row],[No invoice]]="No Invoice", 1, 0)</f>
        <v>0</v>
      </c>
      <c r="Y531" s="5">
        <f>IF(po_master[[#This Row],[Date Check]]="Invalid Date", 1, 0)</f>
        <v>0</v>
      </c>
      <c r="Z531" s="5">
        <f>IF(po_master[[#This Row],[Qty Variance Flag]]="Qty Variance", 1, 0)</f>
        <v>0</v>
      </c>
      <c r="AA531" s="5">
        <f>IF(po_master[[#This Row],[Price Variance Flag]]="Price Variance", 1, 0)</f>
        <v>0</v>
      </c>
      <c r="AB531" s="5">
        <f>IF(po_master[[#This Row],[Late Delivery Flag]]="Late Delivery", 1, 0)</f>
        <v>0</v>
      </c>
      <c r="AC531" s="5">
        <f>IF(po_master[[#This Row],[Duplicate Invoice Flag]]="Duplicate Invoice", 1, 0)</f>
        <v>0</v>
      </c>
      <c r="AD531" s="5" t="str">
        <f>TEXT(po_master[[#This Row],[Order Date]],"YYYY-MM")</f>
        <v>2026-02</v>
      </c>
    </row>
    <row r="532" spans="1:30" x14ac:dyDescent="0.25">
      <c r="A532" t="s">
        <v>468</v>
      </c>
      <c r="B532" t="s">
        <v>1489</v>
      </c>
      <c r="C532" s="1">
        <v>46082</v>
      </c>
      <c r="D532">
        <v>418</v>
      </c>
      <c r="E532">
        <v>83.98</v>
      </c>
      <c r="F532" t="s">
        <v>1501</v>
      </c>
      <c r="G532" s="1">
        <v>46092</v>
      </c>
      <c r="H532">
        <v>418</v>
      </c>
      <c r="I532" s="1">
        <v>46093</v>
      </c>
      <c r="J532" t="s">
        <v>1230</v>
      </c>
      <c r="K532">
        <v>418</v>
      </c>
      <c r="L532">
        <v>83.98</v>
      </c>
      <c r="M532" s="1">
        <v>46093</v>
      </c>
      <c r="N532" t="str">
        <f>IF(po_master[[#This Row],[Approved By]]="", "Missing Approval", "OK")</f>
        <v>OK</v>
      </c>
      <c r="O532" t="str">
        <f>IF(ISBLANK(po_master[[#This Row],[GR Quantity]]), "No GR - Not received", "OK")</f>
        <v>OK</v>
      </c>
      <c r="P532" t="str">
        <f>IF(po_master[[#This Row],[Promised Delivey Date]]&lt;po_master[[#This Row],[Order Date]], "Invalid", "OK")</f>
        <v>OK</v>
      </c>
      <c r="Q532" t="str">
        <f>IF(ISBLANK(po_master[[#This Row],[Invoice Number]]), "No Invoice", "OK")</f>
        <v>OK</v>
      </c>
      <c r="R532" t="str">
        <f>IF(AND(NOT(ISBLANK(po_master[[#This Row],[GR Quantity]])), po_master[[#This Row],[GR Quantity]]&lt;&gt;po_master[[#This Row],[PO Quantity]]), "Qty Variance", "OK")</f>
        <v>OK</v>
      </c>
      <c r="S532" t="str">
        <f>IF(po_master[[#This Row],[Invoice Unit Price]]&gt;po_master[[#This Row],[PO Unit Price]]*1.01, "Price Variance", "OK")</f>
        <v>OK</v>
      </c>
      <c r="T532" t="str">
        <f>IF(po_master[[#This Row],[Actual Delivery Date]]&gt;po_master[[#This Row],[Promised Delivey Date]], "Late Delivery", "OK")</f>
        <v>Late Delivery</v>
      </c>
      <c r="U532" t="str">
        <f>IF(COUNTIF(po_master[PO Number],po_master[[#This Row],[PO Number]])&gt;1, "Duplicate Invoice", "OK")</f>
        <v>OK</v>
      </c>
      <c r="V532" s="5">
        <f>IF(po_master[[#This Row],[Missing Approval]]="Missing Approval", 1, 0)</f>
        <v>0</v>
      </c>
      <c r="W532" s="5">
        <f>IF(po_master[[#This Row],[GR Receipt Status]]="No GR - Not Received", 1, 0)</f>
        <v>0</v>
      </c>
      <c r="X532" s="5">
        <f>IF(po_master[[#This Row],[No invoice]]="No Invoice", 1, 0)</f>
        <v>0</v>
      </c>
      <c r="Y532" s="5">
        <f>IF(po_master[[#This Row],[Date Check]]="Invalid Date", 1, 0)</f>
        <v>0</v>
      </c>
      <c r="Z532" s="5">
        <f>IF(po_master[[#This Row],[Qty Variance Flag]]="Qty Variance", 1, 0)</f>
        <v>0</v>
      </c>
      <c r="AA532" s="5">
        <f>IF(po_master[[#This Row],[Price Variance Flag]]="Price Variance", 1, 0)</f>
        <v>0</v>
      </c>
      <c r="AB532" s="5">
        <f>IF(po_master[[#This Row],[Late Delivery Flag]]="Late Delivery", 1, 0)</f>
        <v>1</v>
      </c>
      <c r="AC532" s="5">
        <f>IF(po_master[[#This Row],[Duplicate Invoice Flag]]="Duplicate Invoice", 1, 0)</f>
        <v>0</v>
      </c>
      <c r="AD532" s="5" t="str">
        <f>TEXT(po_master[[#This Row],[Order Date]],"YYYY-MM")</f>
        <v>2026-03</v>
      </c>
    </row>
    <row r="533" spans="1:30" x14ac:dyDescent="0.25">
      <c r="A533" t="s">
        <v>469</v>
      </c>
      <c r="B533" t="s">
        <v>1439</v>
      </c>
      <c r="C533" s="1">
        <v>46133</v>
      </c>
      <c r="D533">
        <v>212</v>
      </c>
      <c r="E533">
        <v>10.69</v>
      </c>
      <c r="F533" t="s">
        <v>1494</v>
      </c>
      <c r="G533" s="1">
        <v>46144</v>
      </c>
      <c r="H533">
        <v>212</v>
      </c>
      <c r="I533" s="1">
        <v>46142</v>
      </c>
      <c r="J533" t="s">
        <v>1231</v>
      </c>
      <c r="K533">
        <v>212</v>
      </c>
      <c r="L533">
        <v>10.69</v>
      </c>
      <c r="M533" s="1">
        <v>46151</v>
      </c>
      <c r="N533" t="str">
        <f>IF(po_master[[#This Row],[Approved By]]="", "Missing Approval", "OK")</f>
        <v>OK</v>
      </c>
      <c r="O533" t="str">
        <f>IF(ISBLANK(po_master[[#This Row],[GR Quantity]]), "No GR - Not received", "OK")</f>
        <v>OK</v>
      </c>
      <c r="P533" t="str">
        <f>IF(po_master[[#This Row],[Promised Delivey Date]]&lt;po_master[[#This Row],[Order Date]], "Invalid", "OK")</f>
        <v>OK</v>
      </c>
      <c r="Q533" t="str">
        <f>IF(ISBLANK(po_master[[#This Row],[Invoice Number]]), "No Invoice", "OK")</f>
        <v>OK</v>
      </c>
      <c r="R533" t="str">
        <f>IF(AND(NOT(ISBLANK(po_master[[#This Row],[GR Quantity]])), po_master[[#This Row],[GR Quantity]]&lt;&gt;po_master[[#This Row],[PO Quantity]]), "Qty Variance", "OK")</f>
        <v>OK</v>
      </c>
      <c r="S533" t="str">
        <f>IF(po_master[[#This Row],[Invoice Unit Price]]&gt;po_master[[#This Row],[PO Unit Price]]*1.01, "Price Variance", "OK")</f>
        <v>OK</v>
      </c>
      <c r="T533" t="str">
        <f>IF(po_master[[#This Row],[Actual Delivery Date]]&gt;po_master[[#This Row],[Promised Delivey Date]], "Late Delivery", "OK")</f>
        <v>OK</v>
      </c>
      <c r="U533" t="str">
        <f>IF(COUNTIF(po_master[PO Number],po_master[[#This Row],[PO Number]])&gt;1, "Duplicate Invoice", "OK")</f>
        <v>OK</v>
      </c>
      <c r="V533" s="5">
        <f>IF(po_master[[#This Row],[Missing Approval]]="Missing Approval", 1, 0)</f>
        <v>0</v>
      </c>
      <c r="W533" s="5">
        <f>IF(po_master[[#This Row],[GR Receipt Status]]="No GR - Not Received", 1, 0)</f>
        <v>0</v>
      </c>
      <c r="X533" s="5">
        <f>IF(po_master[[#This Row],[No invoice]]="No Invoice", 1, 0)</f>
        <v>0</v>
      </c>
      <c r="Y533" s="5">
        <f>IF(po_master[[#This Row],[Date Check]]="Invalid Date", 1, 0)</f>
        <v>0</v>
      </c>
      <c r="Z533" s="5">
        <f>IF(po_master[[#This Row],[Qty Variance Flag]]="Qty Variance", 1, 0)</f>
        <v>0</v>
      </c>
      <c r="AA533" s="5">
        <f>IF(po_master[[#This Row],[Price Variance Flag]]="Price Variance", 1, 0)</f>
        <v>0</v>
      </c>
      <c r="AB533" s="5">
        <f>IF(po_master[[#This Row],[Late Delivery Flag]]="Late Delivery", 1, 0)</f>
        <v>0</v>
      </c>
      <c r="AC533" s="5">
        <f>IF(po_master[[#This Row],[Duplicate Invoice Flag]]="Duplicate Invoice", 1, 0)</f>
        <v>0</v>
      </c>
      <c r="AD533" s="5" t="str">
        <f>TEXT(po_master[[#This Row],[Order Date]],"YYYY-MM")</f>
        <v>2026-04</v>
      </c>
    </row>
    <row r="534" spans="1:30" x14ac:dyDescent="0.25">
      <c r="A534" t="s">
        <v>470</v>
      </c>
      <c r="B534" t="s">
        <v>1478</v>
      </c>
      <c r="C534" s="1">
        <v>46132</v>
      </c>
      <c r="D534">
        <v>209</v>
      </c>
      <c r="E534">
        <v>5.87</v>
      </c>
      <c r="F534" t="s">
        <v>1444</v>
      </c>
      <c r="G534" s="1">
        <v>46143</v>
      </c>
      <c r="H534">
        <v>209</v>
      </c>
      <c r="I534" s="1">
        <v>46144</v>
      </c>
      <c r="J534" t="s">
        <v>1232</v>
      </c>
      <c r="K534">
        <v>209</v>
      </c>
      <c r="L534">
        <v>5.87</v>
      </c>
      <c r="M534" s="1">
        <v>46148</v>
      </c>
      <c r="N534" t="str">
        <f>IF(po_master[[#This Row],[Approved By]]="", "Missing Approval", "OK")</f>
        <v>OK</v>
      </c>
      <c r="O534" t="str">
        <f>IF(ISBLANK(po_master[[#This Row],[GR Quantity]]), "No GR - Not received", "OK")</f>
        <v>OK</v>
      </c>
      <c r="P534" t="str">
        <f>IF(po_master[[#This Row],[Promised Delivey Date]]&lt;po_master[[#This Row],[Order Date]], "Invalid", "OK")</f>
        <v>OK</v>
      </c>
      <c r="Q534" t="str">
        <f>IF(ISBLANK(po_master[[#This Row],[Invoice Number]]), "No Invoice", "OK")</f>
        <v>OK</v>
      </c>
      <c r="R534" t="str">
        <f>IF(AND(NOT(ISBLANK(po_master[[#This Row],[GR Quantity]])), po_master[[#This Row],[GR Quantity]]&lt;&gt;po_master[[#This Row],[PO Quantity]]), "Qty Variance", "OK")</f>
        <v>OK</v>
      </c>
      <c r="S534" t="str">
        <f>IF(po_master[[#This Row],[Invoice Unit Price]]&gt;po_master[[#This Row],[PO Unit Price]]*1.01, "Price Variance", "OK")</f>
        <v>OK</v>
      </c>
      <c r="T534" t="str">
        <f>IF(po_master[[#This Row],[Actual Delivery Date]]&gt;po_master[[#This Row],[Promised Delivey Date]], "Late Delivery", "OK")</f>
        <v>Late Delivery</v>
      </c>
      <c r="U534" t="str">
        <f>IF(COUNTIF(po_master[PO Number],po_master[[#This Row],[PO Number]])&gt;1, "Duplicate Invoice", "OK")</f>
        <v>OK</v>
      </c>
      <c r="V534" s="5">
        <f>IF(po_master[[#This Row],[Missing Approval]]="Missing Approval", 1, 0)</f>
        <v>0</v>
      </c>
      <c r="W534" s="5">
        <f>IF(po_master[[#This Row],[GR Receipt Status]]="No GR - Not Received", 1, 0)</f>
        <v>0</v>
      </c>
      <c r="X534" s="5">
        <f>IF(po_master[[#This Row],[No invoice]]="No Invoice", 1, 0)</f>
        <v>0</v>
      </c>
      <c r="Y534" s="5">
        <f>IF(po_master[[#This Row],[Date Check]]="Invalid Date", 1, 0)</f>
        <v>0</v>
      </c>
      <c r="Z534" s="5">
        <f>IF(po_master[[#This Row],[Qty Variance Flag]]="Qty Variance", 1, 0)</f>
        <v>0</v>
      </c>
      <c r="AA534" s="5">
        <f>IF(po_master[[#This Row],[Price Variance Flag]]="Price Variance", 1, 0)</f>
        <v>0</v>
      </c>
      <c r="AB534" s="5">
        <f>IF(po_master[[#This Row],[Late Delivery Flag]]="Late Delivery", 1, 0)</f>
        <v>1</v>
      </c>
      <c r="AC534" s="5">
        <f>IF(po_master[[#This Row],[Duplicate Invoice Flag]]="Duplicate Invoice", 1, 0)</f>
        <v>0</v>
      </c>
      <c r="AD534" s="5" t="str">
        <f>TEXT(po_master[[#This Row],[Order Date]],"YYYY-MM")</f>
        <v>2026-04</v>
      </c>
    </row>
    <row r="535" spans="1:30" x14ac:dyDescent="0.25">
      <c r="A535" t="s">
        <v>471</v>
      </c>
      <c r="B535" t="s">
        <v>1511</v>
      </c>
      <c r="C535" s="1">
        <v>46039</v>
      </c>
      <c r="D535">
        <v>305</v>
      </c>
      <c r="E535">
        <v>24.84</v>
      </c>
      <c r="F535" t="s">
        <v>1459</v>
      </c>
      <c r="G535" s="1">
        <v>46049</v>
      </c>
      <c r="H535">
        <v>305</v>
      </c>
      <c r="I535" s="1">
        <v>46051</v>
      </c>
      <c r="J535" t="s">
        <v>1233</v>
      </c>
      <c r="K535">
        <v>305</v>
      </c>
      <c r="L535">
        <v>24.84</v>
      </c>
      <c r="M535" s="1">
        <v>46051</v>
      </c>
      <c r="N535" t="str">
        <f>IF(po_master[[#This Row],[Approved By]]="", "Missing Approval", "OK")</f>
        <v>Missing Approval</v>
      </c>
      <c r="O535" t="str">
        <f>IF(ISBLANK(po_master[[#This Row],[GR Quantity]]), "No GR - Not received", "OK")</f>
        <v>OK</v>
      </c>
      <c r="P535" t="str">
        <f>IF(po_master[[#This Row],[Promised Delivey Date]]&lt;po_master[[#This Row],[Order Date]], "Invalid", "OK")</f>
        <v>OK</v>
      </c>
      <c r="Q535" t="str">
        <f>IF(ISBLANK(po_master[[#This Row],[Invoice Number]]), "No Invoice", "OK")</f>
        <v>OK</v>
      </c>
      <c r="R535" t="str">
        <f>IF(AND(NOT(ISBLANK(po_master[[#This Row],[GR Quantity]])), po_master[[#This Row],[GR Quantity]]&lt;&gt;po_master[[#This Row],[PO Quantity]]), "Qty Variance", "OK")</f>
        <v>OK</v>
      </c>
      <c r="S535" t="str">
        <f>IF(po_master[[#This Row],[Invoice Unit Price]]&gt;po_master[[#This Row],[PO Unit Price]]*1.01, "Price Variance", "OK")</f>
        <v>OK</v>
      </c>
      <c r="T535" t="str">
        <f>IF(po_master[[#This Row],[Actual Delivery Date]]&gt;po_master[[#This Row],[Promised Delivey Date]], "Late Delivery", "OK")</f>
        <v>Late Delivery</v>
      </c>
      <c r="U535" t="str">
        <f>IF(COUNTIF(po_master[PO Number],po_master[[#This Row],[PO Number]])&gt;1, "Duplicate Invoice", "OK")</f>
        <v>OK</v>
      </c>
      <c r="V535" s="5">
        <f>IF(po_master[[#This Row],[Missing Approval]]="Missing Approval", 1, 0)</f>
        <v>1</v>
      </c>
      <c r="W535" s="5">
        <f>IF(po_master[[#This Row],[GR Receipt Status]]="No GR - Not Received", 1, 0)</f>
        <v>0</v>
      </c>
      <c r="X535" s="5">
        <f>IF(po_master[[#This Row],[No invoice]]="No Invoice", 1, 0)</f>
        <v>0</v>
      </c>
      <c r="Y535" s="5">
        <f>IF(po_master[[#This Row],[Date Check]]="Invalid Date", 1, 0)</f>
        <v>0</v>
      </c>
      <c r="Z535" s="5">
        <f>IF(po_master[[#This Row],[Qty Variance Flag]]="Qty Variance", 1, 0)</f>
        <v>0</v>
      </c>
      <c r="AA535" s="5">
        <f>IF(po_master[[#This Row],[Price Variance Flag]]="Price Variance", 1, 0)</f>
        <v>0</v>
      </c>
      <c r="AB535" s="5">
        <f>IF(po_master[[#This Row],[Late Delivery Flag]]="Late Delivery", 1, 0)</f>
        <v>1</v>
      </c>
      <c r="AC535" s="5">
        <f>IF(po_master[[#This Row],[Duplicate Invoice Flag]]="Duplicate Invoice", 1, 0)</f>
        <v>0</v>
      </c>
      <c r="AD535" s="5" t="str">
        <f>TEXT(po_master[[#This Row],[Order Date]],"YYYY-MM")</f>
        <v>2026-01</v>
      </c>
    </row>
    <row r="536" spans="1:30" x14ac:dyDescent="0.25">
      <c r="A536" t="s">
        <v>472</v>
      </c>
      <c r="B536" t="s">
        <v>1496</v>
      </c>
      <c r="C536" s="1">
        <v>46106</v>
      </c>
      <c r="D536">
        <v>110</v>
      </c>
      <c r="E536">
        <v>94.22</v>
      </c>
      <c r="F536" t="s">
        <v>1458</v>
      </c>
      <c r="G536" s="1">
        <v>46126</v>
      </c>
      <c r="H536">
        <v>110</v>
      </c>
      <c r="I536" s="1">
        <v>46127</v>
      </c>
      <c r="J536" t="s">
        <v>1234</v>
      </c>
      <c r="K536">
        <v>110</v>
      </c>
      <c r="L536">
        <v>94.22</v>
      </c>
      <c r="M536" s="1">
        <v>46134</v>
      </c>
      <c r="N536" t="str">
        <f>IF(po_master[[#This Row],[Approved By]]="", "Missing Approval", "OK")</f>
        <v>OK</v>
      </c>
      <c r="O536" t="str">
        <f>IF(ISBLANK(po_master[[#This Row],[GR Quantity]]), "No GR - Not received", "OK")</f>
        <v>OK</v>
      </c>
      <c r="P536" t="str">
        <f>IF(po_master[[#This Row],[Promised Delivey Date]]&lt;po_master[[#This Row],[Order Date]], "Invalid", "OK")</f>
        <v>OK</v>
      </c>
      <c r="Q536" t="str">
        <f>IF(ISBLANK(po_master[[#This Row],[Invoice Number]]), "No Invoice", "OK")</f>
        <v>OK</v>
      </c>
      <c r="R536" t="str">
        <f>IF(AND(NOT(ISBLANK(po_master[[#This Row],[GR Quantity]])), po_master[[#This Row],[GR Quantity]]&lt;&gt;po_master[[#This Row],[PO Quantity]]), "Qty Variance", "OK")</f>
        <v>OK</v>
      </c>
      <c r="S536" t="str">
        <f>IF(po_master[[#This Row],[Invoice Unit Price]]&gt;po_master[[#This Row],[PO Unit Price]]*1.01, "Price Variance", "OK")</f>
        <v>OK</v>
      </c>
      <c r="T536" t="str">
        <f>IF(po_master[[#This Row],[Actual Delivery Date]]&gt;po_master[[#This Row],[Promised Delivey Date]], "Late Delivery", "OK")</f>
        <v>Late Delivery</v>
      </c>
      <c r="U536" t="str">
        <f>IF(COUNTIF(po_master[PO Number],po_master[[#This Row],[PO Number]])&gt;1, "Duplicate Invoice", "OK")</f>
        <v>OK</v>
      </c>
      <c r="V536" s="5">
        <f>IF(po_master[[#This Row],[Missing Approval]]="Missing Approval", 1, 0)</f>
        <v>0</v>
      </c>
      <c r="W536" s="5">
        <f>IF(po_master[[#This Row],[GR Receipt Status]]="No GR - Not Received", 1, 0)</f>
        <v>0</v>
      </c>
      <c r="X536" s="5">
        <f>IF(po_master[[#This Row],[No invoice]]="No Invoice", 1, 0)</f>
        <v>0</v>
      </c>
      <c r="Y536" s="5">
        <f>IF(po_master[[#This Row],[Date Check]]="Invalid Date", 1, 0)</f>
        <v>0</v>
      </c>
      <c r="Z536" s="5">
        <f>IF(po_master[[#This Row],[Qty Variance Flag]]="Qty Variance", 1, 0)</f>
        <v>0</v>
      </c>
      <c r="AA536" s="5">
        <f>IF(po_master[[#This Row],[Price Variance Flag]]="Price Variance", 1, 0)</f>
        <v>0</v>
      </c>
      <c r="AB536" s="5">
        <f>IF(po_master[[#This Row],[Late Delivery Flag]]="Late Delivery", 1, 0)</f>
        <v>1</v>
      </c>
      <c r="AC536" s="5">
        <f>IF(po_master[[#This Row],[Duplicate Invoice Flag]]="Duplicate Invoice", 1, 0)</f>
        <v>0</v>
      </c>
      <c r="AD536" s="5" t="str">
        <f>TEXT(po_master[[#This Row],[Order Date]],"YYYY-MM")</f>
        <v>2026-03</v>
      </c>
    </row>
    <row r="537" spans="1:30" x14ac:dyDescent="0.25">
      <c r="A537" t="s">
        <v>473</v>
      </c>
      <c r="B537" t="s">
        <v>1491</v>
      </c>
      <c r="C537" s="1">
        <v>46103</v>
      </c>
      <c r="D537">
        <v>315</v>
      </c>
      <c r="E537">
        <v>80.78</v>
      </c>
      <c r="F537" t="s">
        <v>1459</v>
      </c>
      <c r="G537" s="1">
        <v>46111</v>
      </c>
      <c r="H537">
        <v>315</v>
      </c>
      <c r="I537" s="1">
        <v>46113</v>
      </c>
      <c r="J537" t="s">
        <v>1235</v>
      </c>
      <c r="K537">
        <v>315</v>
      </c>
      <c r="L537">
        <v>80.78</v>
      </c>
      <c r="M537" s="1">
        <v>46115</v>
      </c>
      <c r="N537" t="str">
        <f>IF(po_master[[#This Row],[Approved By]]="", "Missing Approval", "OK")</f>
        <v>Missing Approval</v>
      </c>
      <c r="O537" t="str">
        <f>IF(ISBLANK(po_master[[#This Row],[GR Quantity]]), "No GR - Not received", "OK")</f>
        <v>OK</v>
      </c>
      <c r="P537" t="str">
        <f>IF(po_master[[#This Row],[Promised Delivey Date]]&lt;po_master[[#This Row],[Order Date]], "Invalid", "OK")</f>
        <v>OK</v>
      </c>
      <c r="Q537" t="str">
        <f>IF(ISBLANK(po_master[[#This Row],[Invoice Number]]), "No Invoice", "OK")</f>
        <v>OK</v>
      </c>
      <c r="R537" t="str">
        <f>IF(AND(NOT(ISBLANK(po_master[[#This Row],[GR Quantity]])), po_master[[#This Row],[GR Quantity]]&lt;&gt;po_master[[#This Row],[PO Quantity]]), "Qty Variance", "OK")</f>
        <v>OK</v>
      </c>
      <c r="S537" t="str">
        <f>IF(po_master[[#This Row],[Invoice Unit Price]]&gt;po_master[[#This Row],[PO Unit Price]]*1.01, "Price Variance", "OK")</f>
        <v>OK</v>
      </c>
      <c r="T537" t="str">
        <f>IF(po_master[[#This Row],[Actual Delivery Date]]&gt;po_master[[#This Row],[Promised Delivey Date]], "Late Delivery", "OK")</f>
        <v>Late Delivery</v>
      </c>
      <c r="U537" t="str">
        <f>IF(COUNTIF(po_master[PO Number],po_master[[#This Row],[PO Number]])&gt;1, "Duplicate Invoice", "OK")</f>
        <v>OK</v>
      </c>
      <c r="V537" s="5">
        <f>IF(po_master[[#This Row],[Missing Approval]]="Missing Approval", 1, 0)</f>
        <v>1</v>
      </c>
      <c r="W537" s="5">
        <f>IF(po_master[[#This Row],[GR Receipt Status]]="No GR - Not Received", 1, 0)</f>
        <v>0</v>
      </c>
      <c r="X537" s="5">
        <f>IF(po_master[[#This Row],[No invoice]]="No Invoice", 1, 0)</f>
        <v>0</v>
      </c>
      <c r="Y537" s="5">
        <f>IF(po_master[[#This Row],[Date Check]]="Invalid Date", 1, 0)</f>
        <v>0</v>
      </c>
      <c r="Z537" s="5">
        <f>IF(po_master[[#This Row],[Qty Variance Flag]]="Qty Variance", 1, 0)</f>
        <v>0</v>
      </c>
      <c r="AA537" s="5">
        <f>IF(po_master[[#This Row],[Price Variance Flag]]="Price Variance", 1, 0)</f>
        <v>0</v>
      </c>
      <c r="AB537" s="5">
        <f>IF(po_master[[#This Row],[Late Delivery Flag]]="Late Delivery", 1, 0)</f>
        <v>1</v>
      </c>
      <c r="AC537" s="5">
        <f>IF(po_master[[#This Row],[Duplicate Invoice Flag]]="Duplicate Invoice", 1, 0)</f>
        <v>0</v>
      </c>
      <c r="AD537" s="5" t="str">
        <f>TEXT(po_master[[#This Row],[Order Date]],"YYYY-MM")</f>
        <v>2026-03</v>
      </c>
    </row>
    <row r="538" spans="1:30" x14ac:dyDescent="0.25">
      <c r="A538" t="s">
        <v>474</v>
      </c>
      <c r="B538" t="s">
        <v>1503</v>
      </c>
      <c r="C538" s="1">
        <v>46113</v>
      </c>
      <c r="D538">
        <v>442</v>
      </c>
      <c r="E538">
        <v>94.28</v>
      </c>
      <c r="F538" t="s">
        <v>1501</v>
      </c>
      <c r="G538" s="1">
        <v>46127</v>
      </c>
      <c r="H538">
        <v>442</v>
      </c>
      <c r="I538" s="1">
        <v>46128</v>
      </c>
      <c r="J538" t="s">
        <v>1236</v>
      </c>
      <c r="K538">
        <v>442</v>
      </c>
      <c r="L538">
        <v>94.28</v>
      </c>
      <c r="M538" s="1">
        <v>46137</v>
      </c>
      <c r="N538" t="str">
        <f>IF(po_master[[#This Row],[Approved By]]="", "Missing Approval", "OK")</f>
        <v>OK</v>
      </c>
      <c r="O538" t="str">
        <f>IF(ISBLANK(po_master[[#This Row],[GR Quantity]]), "No GR - Not received", "OK")</f>
        <v>OK</v>
      </c>
      <c r="P538" t="str">
        <f>IF(po_master[[#This Row],[Promised Delivey Date]]&lt;po_master[[#This Row],[Order Date]], "Invalid", "OK")</f>
        <v>OK</v>
      </c>
      <c r="Q538" t="str">
        <f>IF(ISBLANK(po_master[[#This Row],[Invoice Number]]), "No Invoice", "OK")</f>
        <v>OK</v>
      </c>
      <c r="R538" t="str">
        <f>IF(AND(NOT(ISBLANK(po_master[[#This Row],[GR Quantity]])), po_master[[#This Row],[GR Quantity]]&lt;&gt;po_master[[#This Row],[PO Quantity]]), "Qty Variance", "OK")</f>
        <v>OK</v>
      </c>
      <c r="S538" t="str">
        <f>IF(po_master[[#This Row],[Invoice Unit Price]]&gt;po_master[[#This Row],[PO Unit Price]]*1.01, "Price Variance", "OK")</f>
        <v>OK</v>
      </c>
      <c r="T538" t="str">
        <f>IF(po_master[[#This Row],[Actual Delivery Date]]&gt;po_master[[#This Row],[Promised Delivey Date]], "Late Delivery", "OK")</f>
        <v>Late Delivery</v>
      </c>
      <c r="U538" t="str">
        <f>IF(COUNTIF(po_master[PO Number],po_master[[#This Row],[PO Number]])&gt;1, "Duplicate Invoice", "OK")</f>
        <v>OK</v>
      </c>
      <c r="V538" s="5">
        <f>IF(po_master[[#This Row],[Missing Approval]]="Missing Approval", 1, 0)</f>
        <v>0</v>
      </c>
      <c r="W538" s="5">
        <f>IF(po_master[[#This Row],[GR Receipt Status]]="No GR - Not Received", 1, 0)</f>
        <v>0</v>
      </c>
      <c r="X538" s="5">
        <f>IF(po_master[[#This Row],[No invoice]]="No Invoice", 1, 0)</f>
        <v>0</v>
      </c>
      <c r="Y538" s="5">
        <f>IF(po_master[[#This Row],[Date Check]]="Invalid Date", 1, 0)</f>
        <v>0</v>
      </c>
      <c r="Z538" s="5">
        <f>IF(po_master[[#This Row],[Qty Variance Flag]]="Qty Variance", 1, 0)</f>
        <v>0</v>
      </c>
      <c r="AA538" s="5">
        <f>IF(po_master[[#This Row],[Price Variance Flag]]="Price Variance", 1, 0)</f>
        <v>0</v>
      </c>
      <c r="AB538" s="5">
        <f>IF(po_master[[#This Row],[Late Delivery Flag]]="Late Delivery", 1, 0)</f>
        <v>1</v>
      </c>
      <c r="AC538" s="5">
        <f>IF(po_master[[#This Row],[Duplicate Invoice Flag]]="Duplicate Invoice", 1, 0)</f>
        <v>0</v>
      </c>
      <c r="AD538" s="5" t="str">
        <f>TEXT(po_master[[#This Row],[Order Date]],"YYYY-MM")</f>
        <v>2026-04</v>
      </c>
    </row>
    <row r="539" spans="1:30" x14ac:dyDescent="0.25">
      <c r="A539" t="s">
        <v>475</v>
      </c>
      <c r="B539" t="s">
        <v>1497</v>
      </c>
      <c r="C539" s="1">
        <v>46044</v>
      </c>
      <c r="D539">
        <v>354</v>
      </c>
      <c r="E539">
        <v>31.12</v>
      </c>
      <c r="F539" t="s">
        <v>1483</v>
      </c>
      <c r="G539" s="1">
        <v>46056</v>
      </c>
      <c r="H539">
        <v>354</v>
      </c>
      <c r="I539" s="1">
        <v>46064</v>
      </c>
      <c r="J539" t="s">
        <v>1237</v>
      </c>
      <c r="K539">
        <v>354</v>
      </c>
      <c r="L539">
        <v>31.12</v>
      </c>
      <c r="M539" s="1">
        <v>46063</v>
      </c>
      <c r="N539" t="str">
        <f>IF(po_master[[#This Row],[Approved By]]="", "Missing Approval", "OK")</f>
        <v>OK</v>
      </c>
      <c r="O539" t="str">
        <f>IF(ISBLANK(po_master[[#This Row],[GR Quantity]]), "No GR - Not received", "OK")</f>
        <v>OK</v>
      </c>
      <c r="P539" t="str">
        <f>IF(po_master[[#This Row],[Promised Delivey Date]]&lt;po_master[[#This Row],[Order Date]], "Invalid", "OK")</f>
        <v>OK</v>
      </c>
      <c r="Q539" t="str">
        <f>IF(ISBLANK(po_master[[#This Row],[Invoice Number]]), "No Invoice", "OK")</f>
        <v>OK</v>
      </c>
      <c r="R539" t="str">
        <f>IF(AND(NOT(ISBLANK(po_master[[#This Row],[GR Quantity]])), po_master[[#This Row],[GR Quantity]]&lt;&gt;po_master[[#This Row],[PO Quantity]]), "Qty Variance", "OK")</f>
        <v>OK</v>
      </c>
      <c r="S539" t="str">
        <f>IF(po_master[[#This Row],[Invoice Unit Price]]&gt;po_master[[#This Row],[PO Unit Price]]*1.01, "Price Variance", "OK")</f>
        <v>OK</v>
      </c>
      <c r="T539" t="str">
        <f>IF(po_master[[#This Row],[Actual Delivery Date]]&gt;po_master[[#This Row],[Promised Delivey Date]], "Late Delivery", "OK")</f>
        <v>Late Delivery</v>
      </c>
      <c r="U539" t="str">
        <f>IF(COUNTIF(po_master[PO Number],po_master[[#This Row],[PO Number]])&gt;1, "Duplicate Invoice", "OK")</f>
        <v>OK</v>
      </c>
      <c r="V539" s="5">
        <f>IF(po_master[[#This Row],[Missing Approval]]="Missing Approval", 1, 0)</f>
        <v>0</v>
      </c>
      <c r="W539" s="5">
        <f>IF(po_master[[#This Row],[GR Receipt Status]]="No GR - Not Received", 1, 0)</f>
        <v>0</v>
      </c>
      <c r="X539" s="5">
        <f>IF(po_master[[#This Row],[No invoice]]="No Invoice", 1, 0)</f>
        <v>0</v>
      </c>
      <c r="Y539" s="5">
        <f>IF(po_master[[#This Row],[Date Check]]="Invalid Date", 1, 0)</f>
        <v>0</v>
      </c>
      <c r="Z539" s="5">
        <f>IF(po_master[[#This Row],[Qty Variance Flag]]="Qty Variance", 1, 0)</f>
        <v>0</v>
      </c>
      <c r="AA539" s="5">
        <f>IF(po_master[[#This Row],[Price Variance Flag]]="Price Variance", 1, 0)</f>
        <v>0</v>
      </c>
      <c r="AB539" s="5">
        <f>IF(po_master[[#This Row],[Late Delivery Flag]]="Late Delivery", 1, 0)</f>
        <v>1</v>
      </c>
      <c r="AC539" s="5">
        <f>IF(po_master[[#This Row],[Duplicate Invoice Flag]]="Duplicate Invoice", 1, 0)</f>
        <v>0</v>
      </c>
      <c r="AD539" s="5" t="str">
        <f>TEXT(po_master[[#This Row],[Order Date]],"YYYY-MM")</f>
        <v>2026-01</v>
      </c>
    </row>
    <row r="540" spans="1:30" x14ac:dyDescent="0.25">
      <c r="A540" t="s">
        <v>476</v>
      </c>
      <c r="B540" t="s">
        <v>1512</v>
      </c>
      <c r="C540" s="1">
        <v>46052</v>
      </c>
      <c r="D540">
        <v>103</v>
      </c>
      <c r="E540">
        <v>77.790000000000006</v>
      </c>
      <c r="F540" t="s">
        <v>1485</v>
      </c>
      <c r="G540" s="1">
        <v>46073</v>
      </c>
      <c r="H540">
        <v>103</v>
      </c>
      <c r="I540" s="1">
        <v>46072</v>
      </c>
      <c r="J540" t="s">
        <v>1238</v>
      </c>
      <c r="K540">
        <v>103</v>
      </c>
      <c r="L540">
        <v>77.790000000000006</v>
      </c>
      <c r="M540" s="1">
        <v>46080</v>
      </c>
      <c r="N540" t="str">
        <f>IF(po_master[[#This Row],[Approved By]]="", "Missing Approval", "OK")</f>
        <v>OK</v>
      </c>
      <c r="O540" t="str">
        <f>IF(ISBLANK(po_master[[#This Row],[GR Quantity]]), "No GR - Not received", "OK")</f>
        <v>OK</v>
      </c>
      <c r="P540" t="str">
        <f>IF(po_master[[#This Row],[Promised Delivey Date]]&lt;po_master[[#This Row],[Order Date]], "Invalid", "OK")</f>
        <v>OK</v>
      </c>
      <c r="Q540" t="str">
        <f>IF(ISBLANK(po_master[[#This Row],[Invoice Number]]), "No Invoice", "OK")</f>
        <v>OK</v>
      </c>
      <c r="R540" t="str">
        <f>IF(AND(NOT(ISBLANK(po_master[[#This Row],[GR Quantity]])), po_master[[#This Row],[GR Quantity]]&lt;&gt;po_master[[#This Row],[PO Quantity]]), "Qty Variance", "OK")</f>
        <v>OK</v>
      </c>
      <c r="S540" t="str">
        <f>IF(po_master[[#This Row],[Invoice Unit Price]]&gt;po_master[[#This Row],[PO Unit Price]]*1.01, "Price Variance", "OK")</f>
        <v>OK</v>
      </c>
      <c r="T540" t="str">
        <f>IF(po_master[[#This Row],[Actual Delivery Date]]&gt;po_master[[#This Row],[Promised Delivey Date]], "Late Delivery", "OK")</f>
        <v>OK</v>
      </c>
      <c r="U540" t="str">
        <f>IF(COUNTIF(po_master[PO Number],po_master[[#This Row],[PO Number]])&gt;1, "Duplicate Invoice", "OK")</f>
        <v>OK</v>
      </c>
      <c r="V540" s="5">
        <f>IF(po_master[[#This Row],[Missing Approval]]="Missing Approval", 1, 0)</f>
        <v>0</v>
      </c>
      <c r="W540" s="5">
        <f>IF(po_master[[#This Row],[GR Receipt Status]]="No GR - Not Received", 1, 0)</f>
        <v>0</v>
      </c>
      <c r="X540" s="5">
        <f>IF(po_master[[#This Row],[No invoice]]="No Invoice", 1, 0)</f>
        <v>0</v>
      </c>
      <c r="Y540" s="5">
        <f>IF(po_master[[#This Row],[Date Check]]="Invalid Date", 1, 0)</f>
        <v>0</v>
      </c>
      <c r="Z540" s="5">
        <f>IF(po_master[[#This Row],[Qty Variance Flag]]="Qty Variance", 1, 0)</f>
        <v>0</v>
      </c>
      <c r="AA540" s="5">
        <f>IF(po_master[[#This Row],[Price Variance Flag]]="Price Variance", 1, 0)</f>
        <v>0</v>
      </c>
      <c r="AB540" s="5">
        <f>IF(po_master[[#This Row],[Late Delivery Flag]]="Late Delivery", 1, 0)</f>
        <v>0</v>
      </c>
      <c r="AC540" s="5">
        <f>IF(po_master[[#This Row],[Duplicate Invoice Flag]]="Duplicate Invoice", 1, 0)</f>
        <v>0</v>
      </c>
      <c r="AD540" s="5" t="str">
        <f>TEXT(po_master[[#This Row],[Order Date]],"YYYY-MM")</f>
        <v>2026-01</v>
      </c>
    </row>
    <row r="541" spans="1:30" x14ac:dyDescent="0.25">
      <c r="A541" t="s">
        <v>477</v>
      </c>
      <c r="B541" t="s">
        <v>1502</v>
      </c>
      <c r="C541" s="1">
        <v>46130</v>
      </c>
      <c r="D541">
        <v>315</v>
      </c>
      <c r="E541">
        <v>31.88</v>
      </c>
      <c r="F541" t="s">
        <v>1453</v>
      </c>
      <c r="G541" s="1">
        <v>46148</v>
      </c>
      <c r="H541">
        <v>296</v>
      </c>
      <c r="I541" s="1">
        <v>46150</v>
      </c>
      <c r="J541" t="s">
        <v>1239</v>
      </c>
      <c r="K541">
        <v>315</v>
      </c>
      <c r="L541">
        <v>31.88</v>
      </c>
      <c r="M541" s="1">
        <v>46150</v>
      </c>
      <c r="N541" t="str">
        <f>IF(po_master[[#This Row],[Approved By]]="", "Missing Approval", "OK")</f>
        <v>OK</v>
      </c>
      <c r="O541" t="str">
        <f>IF(ISBLANK(po_master[[#This Row],[GR Quantity]]), "No GR - Not received", "OK")</f>
        <v>OK</v>
      </c>
      <c r="P541" t="str">
        <f>IF(po_master[[#This Row],[Promised Delivey Date]]&lt;po_master[[#This Row],[Order Date]], "Invalid", "OK")</f>
        <v>OK</v>
      </c>
      <c r="Q541" t="str">
        <f>IF(ISBLANK(po_master[[#This Row],[Invoice Number]]), "No Invoice", "OK")</f>
        <v>OK</v>
      </c>
      <c r="R541" t="str">
        <f>IF(AND(NOT(ISBLANK(po_master[[#This Row],[GR Quantity]])), po_master[[#This Row],[GR Quantity]]&lt;&gt;po_master[[#This Row],[PO Quantity]]), "Qty Variance", "OK")</f>
        <v>Qty Variance</v>
      </c>
      <c r="S541" t="str">
        <f>IF(po_master[[#This Row],[Invoice Unit Price]]&gt;po_master[[#This Row],[PO Unit Price]]*1.01, "Price Variance", "OK")</f>
        <v>OK</v>
      </c>
      <c r="T541" t="str">
        <f>IF(po_master[[#This Row],[Actual Delivery Date]]&gt;po_master[[#This Row],[Promised Delivey Date]], "Late Delivery", "OK")</f>
        <v>Late Delivery</v>
      </c>
      <c r="U541" t="str">
        <f>IF(COUNTIF(po_master[PO Number],po_master[[#This Row],[PO Number]])&gt;1, "Duplicate Invoice", "OK")</f>
        <v>OK</v>
      </c>
      <c r="V541" s="5">
        <f>IF(po_master[[#This Row],[Missing Approval]]="Missing Approval", 1, 0)</f>
        <v>0</v>
      </c>
      <c r="W541" s="5">
        <f>IF(po_master[[#This Row],[GR Receipt Status]]="No GR - Not Received", 1, 0)</f>
        <v>0</v>
      </c>
      <c r="X541" s="5">
        <f>IF(po_master[[#This Row],[No invoice]]="No Invoice", 1, 0)</f>
        <v>0</v>
      </c>
      <c r="Y541" s="5">
        <f>IF(po_master[[#This Row],[Date Check]]="Invalid Date", 1, 0)</f>
        <v>0</v>
      </c>
      <c r="Z541" s="5">
        <f>IF(po_master[[#This Row],[Qty Variance Flag]]="Qty Variance", 1, 0)</f>
        <v>1</v>
      </c>
      <c r="AA541" s="5">
        <f>IF(po_master[[#This Row],[Price Variance Flag]]="Price Variance", 1, 0)</f>
        <v>0</v>
      </c>
      <c r="AB541" s="5">
        <f>IF(po_master[[#This Row],[Late Delivery Flag]]="Late Delivery", 1, 0)</f>
        <v>1</v>
      </c>
      <c r="AC541" s="5">
        <f>IF(po_master[[#This Row],[Duplicate Invoice Flag]]="Duplicate Invoice", 1, 0)</f>
        <v>0</v>
      </c>
      <c r="AD541" s="5" t="str">
        <f>TEXT(po_master[[#This Row],[Order Date]],"YYYY-MM")</f>
        <v>2026-04</v>
      </c>
    </row>
    <row r="542" spans="1:30" x14ac:dyDescent="0.25">
      <c r="A542" t="s">
        <v>478</v>
      </c>
      <c r="B542" t="s">
        <v>1486</v>
      </c>
      <c r="C542" s="1">
        <v>46147</v>
      </c>
      <c r="D542">
        <v>335</v>
      </c>
      <c r="E542">
        <v>109.79</v>
      </c>
      <c r="F542" t="s">
        <v>1446</v>
      </c>
      <c r="G542" s="1">
        <v>46157</v>
      </c>
      <c r="H542">
        <v>335</v>
      </c>
      <c r="I542" s="1">
        <v>46176</v>
      </c>
      <c r="J542" t="s">
        <v>1240</v>
      </c>
      <c r="K542">
        <v>335</v>
      </c>
      <c r="L542">
        <v>109.79</v>
      </c>
      <c r="M542" s="1">
        <v>46163</v>
      </c>
      <c r="N542" t="str">
        <f>IF(po_master[[#This Row],[Approved By]]="", "Missing Approval", "OK")</f>
        <v>OK</v>
      </c>
      <c r="O542" t="str">
        <f>IF(ISBLANK(po_master[[#This Row],[GR Quantity]]), "No GR - Not received", "OK")</f>
        <v>OK</v>
      </c>
      <c r="P542" t="str">
        <f>IF(po_master[[#This Row],[Promised Delivey Date]]&lt;po_master[[#This Row],[Order Date]], "Invalid", "OK")</f>
        <v>OK</v>
      </c>
      <c r="Q542" t="str">
        <f>IF(ISBLANK(po_master[[#This Row],[Invoice Number]]), "No Invoice", "OK")</f>
        <v>OK</v>
      </c>
      <c r="R542" t="str">
        <f>IF(AND(NOT(ISBLANK(po_master[[#This Row],[GR Quantity]])), po_master[[#This Row],[GR Quantity]]&lt;&gt;po_master[[#This Row],[PO Quantity]]), "Qty Variance", "OK")</f>
        <v>OK</v>
      </c>
      <c r="S542" t="str">
        <f>IF(po_master[[#This Row],[Invoice Unit Price]]&gt;po_master[[#This Row],[PO Unit Price]]*1.01, "Price Variance", "OK")</f>
        <v>OK</v>
      </c>
      <c r="T542" t="str">
        <f>IF(po_master[[#This Row],[Actual Delivery Date]]&gt;po_master[[#This Row],[Promised Delivey Date]], "Late Delivery", "OK")</f>
        <v>Late Delivery</v>
      </c>
      <c r="U542" t="str">
        <f>IF(COUNTIF(po_master[PO Number],po_master[[#This Row],[PO Number]])&gt;1, "Duplicate Invoice", "OK")</f>
        <v>OK</v>
      </c>
      <c r="V542" s="5">
        <f>IF(po_master[[#This Row],[Missing Approval]]="Missing Approval", 1, 0)</f>
        <v>0</v>
      </c>
      <c r="W542" s="5">
        <f>IF(po_master[[#This Row],[GR Receipt Status]]="No GR - Not Received", 1, 0)</f>
        <v>0</v>
      </c>
      <c r="X542" s="5">
        <f>IF(po_master[[#This Row],[No invoice]]="No Invoice", 1, 0)</f>
        <v>0</v>
      </c>
      <c r="Y542" s="5">
        <f>IF(po_master[[#This Row],[Date Check]]="Invalid Date", 1, 0)</f>
        <v>0</v>
      </c>
      <c r="Z542" s="5">
        <f>IF(po_master[[#This Row],[Qty Variance Flag]]="Qty Variance", 1, 0)</f>
        <v>0</v>
      </c>
      <c r="AA542" s="5">
        <f>IF(po_master[[#This Row],[Price Variance Flag]]="Price Variance", 1, 0)</f>
        <v>0</v>
      </c>
      <c r="AB542" s="5">
        <f>IF(po_master[[#This Row],[Late Delivery Flag]]="Late Delivery", 1, 0)</f>
        <v>1</v>
      </c>
      <c r="AC542" s="5">
        <f>IF(po_master[[#This Row],[Duplicate Invoice Flag]]="Duplicate Invoice", 1, 0)</f>
        <v>0</v>
      </c>
      <c r="AD542" s="5" t="str">
        <f>TEXT(po_master[[#This Row],[Order Date]],"YYYY-MM")</f>
        <v>2026-05</v>
      </c>
    </row>
    <row r="543" spans="1:30" x14ac:dyDescent="0.25">
      <c r="A543" t="s">
        <v>479</v>
      </c>
      <c r="B543" t="s">
        <v>1454</v>
      </c>
      <c r="C543" s="1">
        <v>46065</v>
      </c>
      <c r="D543">
        <v>260</v>
      </c>
      <c r="E543">
        <v>61.32</v>
      </c>
      <c r="F543" t="s">
        <v>1501</v>
      </c>
      <c r="G543" s="1">
        <v>46080</v>
      </c>
      <c r="H543">
        <v>260</v>
      </c>
      <c r="I543" s="1">
        <v>46082</v>
      </c>
      <c r="J543" t="s">
        <v>1241</v>
      </c>
      <c r="K543">
        <v>260</v>
      </c>
      <c r="L543">
        <v>61.32</v>
      </c>
      <c r="M543" s="1">
        <v>46082</v>
      </c>
      <c r="N543" t="str">
        <f>IF(po_master[[#This Row],[Approved By]]="", "Missing Approval", "OK")</f>
        <v>OK</v>
      </c>
      <c r="O543" t="str">
        <f>IF(ISBLANK(po_master[[#This Row],[GR Quantity]]), "No GR - Not received", "OK")</f>
        <v>OK</v>
      </c>
      <c r="P543" t="str">
        <f>IF(po_master[[#This Row],[Promised Delivey Date]]&lt;po_master[[#This Row],[Order Date]], "Invalid", "OK")</f>
        <v>OK</v>
      </c>
      <c r="Q543" t="str">
        <f>IF(ISBLANK(po_master[[#This Row],[Invoice Number]]), "No Invoice", "OK")</f>
        <v>OK</v>
      </c>
      <c r="R543" t="str">
        <f>IF(AND(NOT(ISBLANK(po_master[[#This Row],[GR Quantity]])), po_master[[#This Row],[GR Quantity]]&lt;&gt;po_master[[#This Row],[PO Quantity]]), "Qty Variance", "OK")</f>
        <v>OK</v>
      </c>
      <c r="S543" t="str">
        <f>IF(po_master[[#This Row],[Invoice Unit Price]]&gt;po_master[[#This Row],[PO Unit Price]]*1.01, "Price Variance", "OK")</f>
        <v>OK</v>
      </c>
      <c r="T543" t="str">
        <f>IF(po_master[[#This Row],[Actual Delivery Date]]&gt;po_master[[#This Row],[Promised Delivey Date]], "Late Delivery", "OK")</f>
        <v>Late Delivery</v>
      </c>
      <c r="U543" t="str">
        <f>IF(COUNTIF(po_master[PO Number],po_master[[#This Row],[PO Number]])&gt;1, "Duplicate Invoice", "OK")</f>
        <v>OK</v>
      </c>
      <c r="V543" s="5">
        <f>IF(po_master[[#This Row],[Missing Approval]]="Missing Approval", 1, 0)</f>
        <v>0</v>
      </c>
      <c r="W543" s="5">
        <f>IF(po_master[[#This Row],[GR Receipt Status]]="No GR - Not Received", 1, 0)</f>
        <v>0</v>
      </c>
      <c r="X543" s="5">
        <f>IF(po_master[[#This Row],[No invoice]]="No Invoice", 1, 0)</f>
        <v>0</v>
      </c>
      <c r="Y543" s="5">
        <f>IF(po_master[[#This Row],[Date Check]]="Invalid Date", 1, 0)</f>
        <v>0</v>
      </c>
      <c r="Z543" s="5">
        <f>IF(po_master[[#This Row],[Qty Variance Flag]]="Qty Variance", 1, 0)</f>
        <v>0</v>
      </c>
      <c r="AA543" s="5">
        <f>IF(po_master[[#This Row],[Price Variance Flag]]="Price Variance", 1, 0)</f>
        <v>0</v>
      </c>
      <c r="AB543" s="5">
        <f>IF(po_master[[#This Row],[Late Delivery Flag]]="Late Delivery", 1, 0)</f>
        <v>1</v>
      </c>
      <c r="AC543" s="5">
        <f>IF(po_master[[#This Row],[Duplicate Invoice Flag]]="Duplicate Invoice", 1, 0)</f>
        <v>0</v>
      </c>
      <c r="AD543" s="5" t="str">
        <f>TEXT(po_master[[#This Row],[Order Date]],"YYYY-MM")</f>
        <v>2026-02</v>
      </c>
    </row>
    <row r="544" spans="1:30" x14ac:dyDescent="0.25">
      <c r="A544" t="s">
        <v>1216</v>
      </c>
      <c r="B544" t="s">
        <v>1450</v>
      </c>
      <c r="C544" s="1">
        <v>46086</v>
      </c>
      <c r="D544">
        <v>346</v>
      </c>
      <c r="E544">
        <v>134.62</v>
      </c>
      <c r="F544" t="s">
        <v>1501</v>
      </c>
      <c r="G544" s="1">
        <v>46092</v>
      </c>
      <c r="I544" s="1"/>
      <c r="J544" t="s">
        <v>1217</v>
      </c>
      <c r="K544">
        <v>346</v>
      </c>
      <c r="L544">
        <v>134.62</v>
      </c>
      <c r="M544" s="1">
        <v>46100</v>
      </c>
      <c r="N544" t="str">
        <f>IF(po_master[[#This Row],[Approved By]]="", "Missing Approval", "OK")</f>
        <v>OK</v>
      </c>
      <c r="O544" t="str">
        <f>IF(ISBLANK(po_master[[#This Row],[GR Quantity]]), "No GR - Not received", "OK")</f>
        <v>No GR - Not received</v>
      </c>
      <c r="P544" t="str">
        <f>IF(po_master[[#This Row],[Promised Delivey Date]]&lt;po_master[[#This Row],[Order Date]], "Invalid", "OK")</f>
        <v>OK</v>
      </c>
      <c r="Q544" t="str">
        <f>IF(ISBLANK(po_master[[#This Row],[Invoice Number]]), "No Invoice", "OK")</f>
        <v>OK</v>
      </c>
      <c r="R544" t="str">
        <f>IF(AND(NOT(ISBLANK(po_master[[#This Row],[GR Quantity]])), po_master[[#This Row],[GR Quantity]]&lt;&gt;po_master[[#This Row],[PO Quantity]]), "Qty Variance", "OK")</f>
        <v>OK</v>
      </c>
      <c r="S544" t="str">
        <f>IF(po_master[[#This Row],[Invoice Unit Price]]&gt;po_master[[#This Row],[PO Unit Price]]*1.01, "Price Variance", "OK")</f>
        <v>OK</v>
      </c>
      <c r="T544" t="str">
        <f>IF(po_master[[#This Row],[Actual Delivery Date]]&gt;po_master[[#This Row],[Promised Delivey Date]], "Late Delivery", "OK")</f>
        <v>OK</v>
      </c>
      <c r="U544" t="str">
        <f>IF(COUNTIF(po_master[PO Number],po_master[[#This Row],[PO Number]])&gt;1, "Duplicate Invoice", "OK")</f>
        <v>OK</v>
      </c>
      <c r="V544" s="5">
        <f>IF(po_master[[#This Row],[Missing Approval]]="Missing Approval", 1, 0)</f>
        <v>0</v>
      </c>
      <c r="W544" s="5">
        <f>IF(po_master[[#This Row],[GR Receipt Status]]="No GR - Not Received", 1, 0)</f>
        <v>1</v>
      </c>
      <c r="X544" s="5">
        <f>IF(po_master[[#This Row],[No invoice]]="No Invoice", 1, 0)</f>
        <v>0</v>
      </c>
      <c r="Y544" s="5">
        <f>IF(po_master[[#This Row],[Date Check]]="Invalid Date", 1, 0)</f>
        <v>0</v>
      </c>
      <c r="Z544" s="5">
        <f>IF(po_master[[#This Row],[Qty Variance Flag]]="Qty Variance", 1, 0)</f>
        <v>0</v>
      </c>
      <c r="AA544" s="5">
        <f>IF(po_master[[#This Row],[Price Variance Flag]]="Price Variance", 1, 0)</f>
        <v>0</v>
      </c>
      <c r="AB544" s="5">
        <f>IF(po_master[[#This Row],[Late Delivery Flag]]="Late Delivery", 1, 0)</f>
        <v>0</v>
      </c>
      <c r="AC544" s="5">
        <f>IF(po_master[[#This Row],[Duplicate Invoice Flag]]="Duplicate Invoice", 1, 0)</f>
        <v>0</v>
      </c>
      <c r="AD544" s="5" t="str">
        <f>TEXT(po_master[[#This Row],[Order Date]],"YYYY-MM")</f>
        <v>2026-03</v>
      </c>
    </row>
    <row r="545" spans="1:30" x14ac:dyDescent="0.25">
      <c r="A545" t="s">
        <v>480</v>
      </c>
      <c r="B545" t="s">
        <v>1478</v>
      </c>
      <c r="C545" s="1">
        <v>46036</v>
      </c>
      <c r="D545">
        <v>453</v>
      </c>
      <c r="E545">
        <v>75.010000000000005</v>
      </c>
      <c r="F545" t="s">
        <v>1448</v>
      </c>
      <c r="G545" s="1">
        <v>46056</v>
      </c>
      <c r="H545">
        <v>453</v>
      </c>
      <c r="I545" s="1">
        <v>46058</v>
      </c>
      <c r="J545" t="s">
        <v>1242</v>
      </c>
      <c r="K545">
        <v>453</v>
      </c>
      <c r="L545">
        <v>75.010000000000005</v>
      </c>
      <c r="M545" s="1">
        <v>46062</v>
      </c>
      <c r="N545" t="str">
        <f>IF(po_master[[#This Row],[Approved By]]="", "Missing Approval", "OK")</f>
        <v>OK</v>
      </c>
      <c r="O545" t="str">
        <f>IF(ISBLANK(po_master[[#This Row],[GR Quantity]]), "No GR - Not received", "OK")</f>
        <v>OK</v>
      </c>
      <c r="P545" t="str">
        <f>IF(po_master[[#This Row],[Promised Delivey Date]]&lt;po_master[[#This Row],[Order Date]], "Invalid", "OK")</f>
        <v>OK</v>
      </c>
      <c r="Q545" t="str">
        <f>IF(ISBLANK(po_master[[#This Row],[Invoice Number]]), "No Invoice", "OK")</f>
        <v>OK</v>
      </c>
      <c r="R545" t="str">
        <f>IF(AND(NOT(ISBLANK(po_master[[#This Row],[GR Quantity]])), po_master[[#This Row],[GR Quantity]]&lt;&gt;po_master[[#This Row],[PO Quantity]]), "Qty Variance", "OK")</f>
        <v>OK</v>
      </c>
      <c r="S545" t="str">
        <f>IF(po_master[[#This Row],[Invoice Unit Price]]&gt;po_master[[#This Row],[PO Unit Price]]*1.01, "Price Variance", "OK")</f>
        <v>OK</v>
      </c>
      <c r="T545" t="str">
        <f>IF(po_master[[#This Row],[Actual Delivery Date]]&gt;po_master[[#This Row],[Promised Delivey Date]], "Late Delivery", "OK")</f>
        <v>Late Delivery</v>
      </c>
      <c r="U545" t="str">
        <f>IF(COUNTIF(po_master[PO Number],po_master[[#This Row],[PO Number]])&gt;1, "Duplicate Invoice", "OK")</f>
        <v>OK</v>
      </c>
      <c r="V545" s="5">
        <f>IF(po_master[[#This Row],[Missing Approval]]="Missing Approval", 1, 0)</f>
        <v>0</v>
      </c>
      <c r="W545" s="5">
        <f>IF(po_master[[#This Row],[GR Receipt Status]]="No GR - Not Received", 1, 0)</f>
        <v>0</v>
      </c>
      <c r="X545" s="5">
        <f>IF(po_master[[#This Row],[No invoice]]="No Invoice", 1, 0)</f>
        <v>0</v>
      </c>
      <c r="Y545" s="5">
        <f>IF(po_master[[#This Row],[Date Check]]="Invalid Date", 1, 0)</f>
        <v>0</v>
      </c>
      <c r="Z545" s="5">
        <f>IF(po_master[[#This Row],[Qty Variance Flag]]="Qty Variance", 1, 0)</f>
        <v>0</v>
      </c>
      <c r="AA545" s="5">
        <f>IF(po_master[[#This Row],[Price Variance Flag]]="Price Variance", 1, 0)</f>
        <v>0</v>
      </c>
      <c r="AB545" s="5">
        <f>IF(po_master[[#This Row],[Late Delivery Flag]]="Late Delivery", 1, 0)</f>
        <v>1</v>
      </c>
      <c r="AC545" s="5">
        <f>IF(po_master[[#This Row],[Duplicate Invoice Flag]]="Duplicate Invoice", 1, 0)</f>
        <v>0</v>
      </c>
      <c r="AD545" s="5" t="str">
        <f>TEXT(po_master[[#This Row],[Order Date]],"YYYY-MM")</f>
        <v>2026-01</v>
      </c>
    </row>
    <row r="546" spans="1:30" x14ac:dyDescent="0.25">
      <c r="A546" t="s">
        <v>481</v>
      </c>
      <c r="B546" t="s">
        <v>1441</v>
      </c>
      <c r="C546" s="1">
        <v>46072</v>
      </c>
      <c r="D546">
        <v>427</v>
      </c>
      <c r="E546">
        <v>79.87</v>
      </c>
      <c r="F546" t="s">
        <v>1442</v>
      </c>
      <c r="G546" s="1">
        <v>46093</v>
      </c>
      <c r="H546">
        <v>427</v>
      </c>
      <c r="I546" s="1">
        <v>46092</v>
      </c>
      <c r="J546" t="s">
        <v>1243</v>
      </c>
      <c r="K546">
        <v>427</v>
      </c>
      <c r="L546">
        <v>79.87</v>
      </c>
      <c r="M546" s="1">
        <v>46094</v>
      </c>
      <c r="N546" t="str">
        <f>IF(po_master[[#This Row],[Approved By]]="", "Missing Approval", "OK")</f>
        <v>OK</v>
      </c>
      <c r="O546" t="str">
        <f>IF(ISBLANK(po_master[[#This Row],[GR Quantity]]), "No GR - Not received", "OK")</f>
        <v>OK</v>
      </c>
      <c r="P546" t="str">
        <f>IF(po_master[[#This Row],[Promised Delivey Date]]&lt;po_master[[#This Row],[Order Date]], "Invalid", "OK")</f>
        <v>OK</v>
      </c>
      <c r="Q546" t="str">
        <f>IF(ISBLANK(po_master[[#This Row],[Invoice Number]]), "No Invoice", "OK")</f>
        <v>OK</v>
      </c>
      <c r="R546" t="str">
        <f>IF(AND(NOT(ISBLANK(po_master[[#This Row],[GR Quantity]])), po_master[[#This Row],[GR Quantity]]&lt;&gt;po_master[[#This Row],[PO Quantity]]), "Qty Variance", "OK")</f>
        <v>OK</v>
      </c>
      <c r="S546" t="str">
        <f>IF(po_master[[#This Row],[Invoice Unit Price]]&gt;po_master[[#This Row],[PO Unit Price]]*1.01, "Price Variance", "OK")</f>
        <v>OK</v>
      </c>
      <c r="T546" t="str">
        <f>IF(po_master[[#This Row],[Actual Delivery Date]]&gt;po_master[[#This Row],[Promised Delivey Date]], "Late Delivery", "OK")</f>
        <v>OK</v>
      </c>
      <c r="U546" t="str">
        <f>IF(COUNTIF(po_master[PO Number],po_master[[#This Row],[PO Number]])&gt;1, "Duplicate Invoice", "OK")</f>
        <v>OK</v>
      </c>
      <c r="V546" s="5">
        <f>IF(po_master[[#This Row],[Missing Approval]]="Missing Approval", 1, 0)</f>
        <v>0</v>
      </c>
      <c r="W546" s="5">
        <f>IF(po_master[[#This Row],[GR Receipt Status]]="No GR - Not Received", 1, 0)</f>
        <v>0</v>
      </c>
      <c r="X546" s="5">
        <f>IF(po_master[[#This Row],[No invoice]]="No Invoice", 1, 0)</f>
        <v>0</v>
      </c>
      <c r="Y546" s="5">
        <f>IF(po_master[[#This Row],[Date Check]]="Invalid Date", 1, 0)</f>
        <v>0</v>
      </c>
      <c r="Z546" s="5">
        <f>IF(po_master[[#This Row],[Qty Variance Flag]]="Qty Variance", 1, 0)</f>
        <v>0</v>
      </c>
      <c r="AA546" s="5">
        <f>IF(po_master[[#This Row],[Price Variance Flag]]="Price Variance", 1, 0)</f>
        <v>0</v>
      </c>
      <c r="AB546" s="5">
        <f>IF(po_master[[#This Row],[Late Delivery Flag]]="Late Delivery", 1, 0)</f>
        <v>0</v>
      </c>
      <c r="AC546" s="5">
        <f>IF(po_master[[#This Row],[Duplicate Invoice Flag]]="Duplicate Invoice", 1, 0)</f>
        <v>0</v>
      </c>
      <c r="AD546" s="5" t="str">
        <f>TEXT(po_master[[#This Row],[Order Date]],"YYYY-MM")</f>
        <v>2026-02</v>
      </c>
    </row>
    <row r="547" spans="1:30" x14ac:dyDescent="0.25">
      <c r="A547" t="s">
        <v>482</v>
      </c>
      <c r="B547" t="s">
        <v>1508</v>
      </c>
      <c r="C547" s="1">
        <v>46149</v>
      </c>
      <c r="D547">
        <v>219</v>
      </c>
      <c r="E547">
        <v>138.52000000000001</v>
      </c>
      <c r="F547" t="s">
        <v>1507</v>
      </c>
      <c r="G547" s="1">
        <v>46168</v>
      </c>
      <c r="H547">
        <v>219</v>
      </c>
      <c r="I547" s="1">
        <v>46166</v>
      </c>
      <c r="J547" t="s">
        <v>1244</v>
      </c>
      <c r="K547">
        <v>219</v>
      </c>
      <c r="L547">
        <v>138.52000000000001</v>
      </c>
      <c r="M547" s="1">
        <v>46172</v>
      </c>
      <c r="N547" t="str">
        <f>IF(po_master[[#This Row],[Approved By]]="", "Missing Approval", "OK")</f>
        <v>OK</v>
      </c>
      <c r="O547" t="str">
        <f>IF(ISBLANK(po_master[[#This Row],[GR Quantity]]), "No GR - Not received", "OK")</f>
        <v>OK</v>
      </c>
      <c r="P547" t="str">
        <f>IF(po_master[[#This Row],[Promised Delivey Date]]&lt;po_master[[#This Row],[Order Date]], "Invalid", "OK")</f>
        <v>OK</v>
      </c>
      <c r="Q547" t="str">
        <f>IF(ISBLANK(po_master[[#This Row],[Invoice Number]]), "No Invoice", "OK")</f>
        <v>OK</v>
      </c>
      <c r="R547" t="str">
        <f>IF(AND(NOT(ISBLANK(po_master[[#This Row],[GR Quantity]])), po_master[[#This Row],[GR Quantity]]&lt;&gt;po_master[[#This Row],[PO Quantity]]), "Qty Variance", "OK")</f>
        <v>OK</v>
      </c>
      <c r="S547" t="str">
        <f>IF(po_master[[#This Row],[Invoice Unit Price]]&gt;po_master[[#This Row],[PO Unit Price]]*1.01, "Price Variance", "OK")</f>
        <v>OK</v>
      </c>
      <c r="T547" t="str">
        <f>IF(po_master[[#This Row],[Actual Delivery Date]]&gt;po_master[[#This Row],[Promised Delivey Date]], "Late Delivery", "OK")</f>
        <v>OK</v>
      </c>
      <c r="U547" t="str">
        <f>IF(COUNTIF(po_master[PO Number],po_master[[#This Row],[PO Number]])&gt;1, "Duplicate Invoice", "OK")</f>
        <v>OK</v>
      </c>
      <c r="V547" s="5">
        <f>IF(po_master[[#This Row],[Missing Approval]]="Missing Approval", 1, 0)</f>
        <v>0</v>
      </c>
      <c r="W547" s="5">
        <f>IF(po_master[[#This Row],[GR Receipt Status]]="No GR - Not Received", 1, 0)</f>
        <v>0</v>
      </c>
      <c r="X547" s="5">
        <f>IF(po_master[[#This Row],[No invoice]]="No Invoice", 1, 0)</f>
        <v>0</v>
      </c>
      <c r="Y547" s="5">
        <f>IF(po_master[[#This Row],[Date Check]]="Invalid Date", 1, 0)</f>
        <v>0</v>
      </c>
      <c r="Z547" s="5">
        <f>IF(po_master[[#This Row],[Qty Variance Flag]]="Qty Variance", 1, 0)</f>
        <v>0</v>
      </c>
      <c r="AA547" s="5">
        <f>IF(po_master[[#This Row],[Price Variance Flag]]="Price Variance", 1, 0)</f>
        <v>0</v>
      </c>
      <c r="AB547" s="5">
        <f>IF(po_master[[#This Row],[Late Delivery Flag]]="Late Delivery", 1, 0)</f>
        <v>0</v>
      </c>
      <c r="AC547" s="5">
        <f>IF(po_master[[#This Row],[Duplicate Invoice Flag]]="Duplicate Invoice", 1, 0)</f>
        <v>0</v>
      </c>
      <c r="AD547" s="5" t="str">
        <f>TEXT(po_master[[#This Row],[Order Date]],"YYYY-MM")</f>
        <v>2026-05</v>
      </c>
    </row>
    <row r="548" spans="1:30" x14ac:dyDescent="0.25">
      <c r="A548" t="s">
        <v>483</v>
      </c>
      <c r="B548" t="s">
        <v>1498</v>
      </c>
      <c r="C548" s="1">
        <v>46065</v>
      </c>
      <c r="D548">
        <v>52</v>
      </c>
      <c r="E548">
        <v>115.25</v>
      </c>
      <c r="F548" t="s">
        <v>1456</v>
      </c>
      <c r="G548" s="1">
        <v>46077</v>
      </c>
      <c r="H548">
        <v>52</v>
      </c>
      <c r="I548" s="1">
        <v>46096</v>
      </c>
      <c r="J548" t="s">
        <v>1245</v>
      </c>
      <c r="K548">
        <v>52</v>
      </c>
      <c r="L548">
        <v>115.25</v>
      </c>
      <c r="M548" s="1">
        <v>46083</v>
      </c>
      <c r="N548" t="str">
        <f>IF(po_master[[#This Row],[Approved By]]="", "Missing Approval", "OK")</f>
        <v>OK</v>
      </c>
      <c r="O548" t="str">
        <f>IF(ISBLANK(po_master[[#This Row],[GR Quantity]]), "No GR - Not received", "OK")</f>
        <v>OK</v>
      </c>
      <c r="P548" t="str">
        <f>IF(po_master[[#This Row],[Promised Delivey Date]]&lt;po_master[[#This Row],[Order Date]], "Invalid", "OK")</f>
        <v>OK</v>
      </c>
      <c r="Q548" t="str">
        <f>IF(ISBLANK(po_master[[#This Row],[Invoice Number]]), "No Invoice", "OK")</f>
        <v>OK</v>
      </c>
      <c r="R548" t="str">
        <f>IF(AND(NOT(ISBLANK(po_master[[#This Row],[GR Quantity]])), po_master[[#This Row],[GR Quantity]]&lt;&gt;po_master[[#This Row],[PO Quantity]]), "Qty Variance", "OK")</f>
        <v>OK</v>
      </c>
      <c r="S548" t="str">
        <f>IF(po_master[[#This Row],[Invoice Unit Price]]&gt;po_master[[#This Row],[PO Unit Price]]*1.01, "Price Variance", "OK")</f>
        <v>OK</v>
      </c>
      <c r="T548" t="str">
        <f>IF(po_master[[#This Row],[Actual Delivery Date]]&gt;po_master[[#This Row],[Promised Delivey Date]], "Late Delivery", "OK")</f>
        <v>Late Delivery</v>
      </c>
      <c r="U548" t="str">
        <f>IF(COUNTIF(po_master[PO Number],po_master[[#This Row],[PO Number]])&gt;1, "Duplicate Invoice", "OK")</f>
        <v>OK</v>
      </c>
      <c r="V548" s="5">
        <f>IF(po_master[[#This Row],[Missing Approval]]="Missing Approval", 1, 0)</f>
        <v>0</v>
      </c>
      <c r="W548" s="5">
        <f>IF(po_master[[#This Row],[GR Receipt Status]]="No GR - Not Received", 1, 0)</f>
        <v>0</v>
      </c>
      <c r="X548" s="5">
        <f>IF(po_master[[#This Row],[No invoice]]="No Invoice", 1, 0)</f>
        <v>0</v>
      </c>
      <c r="Y548" s="5">
        <f>IF(po_master[[#This Row],[Date Check]]="Invalid Date", 1, 0)</f>
        <v>0</v>
      </c>
      <c r="Z548" s="5">
        <f>IF(po_master[[#This Row],[Qty Variance Flag]]="Qty Variance", 1, 0)</f>
        <v>0</v>
      </c>
      <c r="AA548" s="5">
        <f>IF(po_master[[#This Row],[Price Variance Flag]]="Price Variance", 1, 0)</f>
        <v>0</v>
      </c>
      <c r="AB548" s="5">
        <f>IF(po_master[[#This Row],[Late Delivery Flag]]="Late Delivery", 1, 0)</f>
        <v>1</v>
      </c>
      <c r="AC548" s="5">
        <f>IF(po_master[[#This Row],[Duplicate Invoice Flag]]="Duplicate Invoice", 1, 0)</f>
        <v>0</v>
      </c>
      <c r="AD548" s="5" t="str">
        <f>TEXT(po_master[[#This Row],[Order Date]],"YYYY-MM")</f>
        <v>2026-02</v>
      </c>
    </row>
    <row r="549" spans="1:30" x14ac:dyDescent="0.25">
      <c r="A549" t="s">
        <v>484</v>
      </c>
      <c r="B549" t="s">
        <v>1506</v>
      </c>
      <c r="C549" s="1">
        <v>46031</v>
      </c>
      <c r="D549">
        <v>150</v>
      </c>
      <c r="E549">
        <v>48.84</v>
      </c>
      <c r="F549" t="s">
        <v>1474</v>
      </c>
      <c r="G549" s="1">
        <v>46041</v>
      </c>
      <c r="H549">
        <v>150</v>
      </c>
      <c r="I549" s="1">
        <v>46042</v>
      </c>
      <c r="J549" t="s">
        <v>1246</v>
      </c>
      <c r="K549">
        <v>150</v>
      </c>
      <c r="L549">
        <v>48.84</v>
      </c>
      <c r="M549" s="1">
        <v>46044</v>
      </c>
      <c r="N549" t="str">
        <f>IF(po_master[[#This Row],[Approved By]]="", "Missing Approval", "OK")</f>
        <v>OK</v>
      </c>
      <c r="O549" t="str">
        <f>IF(ISBLANK(po_master[[#This Row],[GR Quantity]]), "No GR - Not received", "OK")</f>
        <v>OK</v>
      </c>
      <c r="P549" t="str">
        <f>IF(po_master[[#This Row],[Promised Delivey Date]]&lt;po_master[[#This Row],[Order Date]], "Invalid", "OK")</f>
        <v>OK</v>
      </c>
      <c r="Q549" t="str">
        <f>IF(ISBLANK(po_master[[#This Row],[Invoice Number]]), "No Invoice", "OK")</f>
        <v>OK</v>
      </c>
      <c r="R549" t="str">
        <f>IF(AND(NOT(ISBLANK(po_master[[#This Row],[GR Quantity]])), po_master[[#This Row],[GR Quantity]]&lt;&gt;po_master[[#This Row],[PO Quantity]]), "Qty Variance", "OK")</f>
        <v>OK</v>
      </c>
      <c r="S549" t="str">
        <f>IF(po_master[[#This Row],[Invoice Unit Price]]&gt;po_master[[#This Row],[PO Unit Price]]*1.01, "Price Variance", "OK")</f>
        <v>OK</v>
      </c>
      <c r="T549" t="str">
        <f>IF(po_master[[#This Row],[Actual Delivery Date]]&gt;po_master[[#This Row],[Promised Delivey Date]], "Late Delivery", "OK")</f>
        <v>Late Delivery</v>
      </c>
      <c r="U549" t="str">
        <f>IF(COUNTIF(po_master[PO Number],po_master[[#This Row],[PO Number]])&gt;1, "Duplicate Invoice", "OK")</f>
        <v>OK</v>
      </c>
      <c r="V549" s="5">
        <f>IF(po_master[[#This Row],[Missing Approval]]="Missing Approval", 1, 0)</f>
        <v>0</v>
      </c>
      <c r="W549" s="5">
        <f>IF(po_master[[#This Row],[GR Receipt Status]]="No GR - Not Received", 1, 0)</f>
        <v>0</v>
      </c>
      <c r="X549" s="5">
        <f>IF(po_master[[#This Row],[No invoice]]="No Invoice", 1, 0)</f>
        <v>0</v>
      </c>
      <c r="Y549" s="5">
        <f>IF(po_master[[#This Row],[Date Check]]="Invalid Date", 1, 0)</f>
        <v>0</v>
      </c>
      <c r="Z549" s="5">
        <f>IF(po_master[[#This Row],[Qty Variance Flag]]="Qty Variance", 1, 0)</f>
        <v>0</v>
      </c>
      <c r="AA549" s="5">
        <f>IF(po_master[[#This Row],[Price Variance Flag]]="Price Variance", 1, 0)</f>
        <v>0</v>
      </c>
      <c r="AB549" s="5">
        <f>IF(po_master[[#This Row],[Late Delivery Flag]]="Late Delivery", 1, 0)</f>
        <v>1</v>
      </c>
      <c r="AC549" s="5">
        <f>IF(po_master[[#This Row],[Duplicate Invoice Flag]]="Duplicate Invoice", 1, 0)</f>
        <v>0</v>
      </c>
      <c r="AD549" s="5" t="str">
        <f>TEXT(po_master[[#This Row],[Order Date]],"YYYY-MM")</f>
        <v>2026-01</v>
      </c>
    </row>
    <row r="550" spans="1:30" x14ac:dyDescent="0.25">
      <c r="A550" t="s">
        <v>1223</v>
      </c>
      <c r="B550" t="s">
        <v>1457</v>
      </c>
      <c r="C550" s="1">
        <v>46052</v>
      </c>
      <c r="D550">
        <v>435</v>
      </c>
      <c r="E550">
        <v>188.43</v>
      </c>
      <c r="F550" t="s">
        <v>1485</v>
      </c>
      <c r="G550" s="1">
        <v>46068</v>
      </c>
      <c r="I550" s="1"/>
      <c r="J550" t="s">
        <v>1224</v>
      </c>
      <c r="K550">
        <v>435</v>
      </c>
      <c r="L550">
        <v>188.43</v>
      </c>
      <c r="M550" s="1">
        <v>46069</v>
      </c>
      <c r="N550" t="str">
        <f>IF(po_master[[#This Row],[Approved By]]="", "Missing Approval", "OK")</f>
        <v>OK</v>
      </c>
      <c r="O550" t="str">
        <f>IF(ISBLANK(po_master[[#This Row],[GR Quantity]]), "No GR - Not received", "OK")</f>
        <v>No GR - Not received</v>
      </c>
      <c r="P550" t="str">
        <f>IF(po_master[[#This Row],[Promised Delivey Date]]&lt;po_master[[#This Row],[Order Date]], "Invalid", "OK")</f>
        <v>OK</v>
      </c>
      <c r="Q550" t="str">
        <f>IF(ISBLANK(po_master[[#This Row],[Invoice Number]]), "No Invoice", "OK")</f>
        <v>OK</v>
      </c>
      <c r="R550" t="str">
        <f>IF(AND(NOT(ISBLANK(po_master[[#This Row],[GR Quantity]])), po_master[[#This Row],[GR Quantity]]&lt;&gt;po_master[[#This Row],[PO Quantity]]), "Qty Variance", "OK")</f>
        <v>OK</v>
      </c>
      <c r="S550" t="str">
        <f>IF(po_master[[#This Row],[Invoice Unit Price]]&gt;po_master[[#This Row],[PO Unit Price]]*1.01, "Price Variance", "OK")</f>
        <v>OK</v>
      </c>
      <c r="T550" t="str">
        <f>IF(po_master[[#This Row],[Actual Delivery Date]]&gt;po_master[[#This Row],[Promised Delivey Date]], "Late Delivery", "OK")</f>
        <v>OK</v>
      </c>
      <c r="U550" t="str">
        <f>IF(COUNTIF(po_master[PO Number],po_master[[#This Row],[PO Number]])&gt;1, "Duplicate Invoice", "OK")</f>
        <v>OK</v>
      </c>
      <c r="V550" s="5">
        <f>IF(po_master[[#This Row],[Missing Approval]]="Missing Approval", 1, 0)</f>
        <v>0</v>
      </c>
      <c r="W550" s="5">
        <f>IF(po_master[[#This Row],[GR Receipt Status]]="No GR - Not Received", 1, 0)</f>
        <v>1</v>
      </c>
      <c r="X550" s="5">
        <f>IF(po_master[[#This Row],[No invoice]]="No Invoice", 1, 0)</f>
        <v>0</v>
      </c>
      <c r="Y550" s="5">
        <f>IF(po_master[[#This Row],[Date Check]]="Invalid Date", 1, 0)</f>
        <v>0</v>
      </c>
      <c r="Z550" s="5">
        <f>IF(po_master[[#This Row],[Qty Variance Flag]]="Qty Variance", 1, 0)</f>
        <v>0</v>
      </c>
      <c r="AA550" s="5">
        <f>IF(po_master[[#This Row],[Price Variance Flag]]="Price Variance", 1, 0)</f>
        <v>0</v>
      </c>
      <c r="AB550" s="5">
        <f>IF(po_master[[#This Row],[Late Delivery Flag]]="Late Delivery", 1, 0)</f>
        <v>0</v>
      </c>
      <c r="AC550" s="5">
        <f>IF(po_master[[#This Row],[Duplicate Invoice Flag]]="Duplicate Invoice", 1, 0)</f>
        <v>0</v>
      </c>
      <c r="AD550" s="5" t="str">
        <f>TEXT(po_master[[#This Row],[Order Date]],"YYYY-MM")</f>
        <v>2026-01</v>
      </c>
    </row>
    <row r="551" spans="1:30" x14ac:dyDescent="0.25">
      <c r="A551" t="s">
        <v>485</v>
      </c>
      <c r="B551" t="s">
        <v>1489</v>
      </c>
      <c r="C551" s="1">
        <v>46167</v>
      </c>
      <c r="D551">
        <v>390</v>
      </c>
      <c r="E551">
        <v>155.65</v>
      </c>
      <c r="F551" t="s">
        <v>1487</v>
      </c>
      <c r="G551" s="1">
        <v>46188</v>
      </c>
      <c r="H551">
        <v>390</v>
      </c>
      <c r="I551" s="1">
        <v>46189</v>
      </c>
      <c r="J551" t="s">
        <v>1247</v>
      </c>
      <c r="K551">
        <v>390</v>
      </c>
      <c r="L551">
        <v>155.65</v>
      </c>
      <c r="M551" s="1">
        <v>46192</v>
      </c>
      <c r="N551" t="str">
        <f>IF(po_master[[#This Row],[Approved By]]="", "Missing Approval", "OK")</f>
        <v>OK</v>
      </c>
      <c r="O551" t="str">
        <f>IF(ISBLANK(po_master[[#This Row],[GR Quantity]]), "No GR - Not received", "OK")</f>
        <v>OK</v>
      </c>
      <c r="P551" t="str">
        <f>IF(po_master[[#This Row],[Promised Delivey Date]]&lt;po_master[[#This Row],[Order Date]], "Invalid", "OK")</f>
        <v>OK</v>
      </c>
      <c r="Q551" t="str">
        <f>IF(ISBLANK(po_master[[#This Row],[Invoice Number]]), "No Invoice", "OK")</f>
        <v>OK</v>
      </c>
      <c r="R551" t="str">
        <f>IF(AND(NOT(ISBLANK(po_master[[#This Row],[GR Quantity]])), po_master[[#This Row],[GR Quantity]]&lt;&gt;po_master[[#This Row],[PO Quantity]]), "Qty Variance", "OK")</f>
        <v>OK</v>
      </c>
      <c r="S551" t="str">
        <f>IF(po_master[[#This Row],[Invoice Unit Price]]&gt;po_master[[#This Row],[PO Unit Price]]*1.01, "Price Variance", "OK")</f>
        <v>OK</v>
      </c>
      <c r="T551" t="str">
        <f>IF(po_master[[#This Row],[Actual Delivery Date]]&gt;po_master[[#This Row],[Promised Delivey Date]], "Late Delivery", "OK")</f>
        <v>Late Delivery</v>
      </c>
      <c r="U551" t="str">
        <f>IF(COUNTIF(po_master[PO Number],po_master[[#This Row],[PO Number]])&gt;1, "Duplicate Invoice", "OK")</f>
        <v>OK</v>
      </c>
      <c r="V551" s="5">
        <f>IF(po_master[[#This Row],[Missing Approval]]="Missing Approval", 1, 0)</f>
        <v>0</v>
      </c>
      <c r="W551" s="5">
        <f>IF(po_master[[#This Row],[GR Receipt Status]]="No GR - Not Received", 1, 0)</f>
        <v>0</v>
      </c>
      <c r="X551" s="5">
        <f>IF(po_master[[#This Row],[No invoice]]="No Invoice", 1, 0)</f>
        <v>0</v>
      </c>
      <c r="Y551" s="5">
        <f>IF(po_master[[#This Row],[Date Check]]="Invalid Date", 1, 0)</f>
        <v>0</v>
      </c>
      <c r="Z551" s="5">
        <f>IF(po_master[[#This Row],[Qty Variance Flag]]="Qty Variance", 1, 0)</f>
        <v>0</v>
      </c>
      <c r="AA551" s="5">
        <f>IF(po_master[[#This Row],[Price Variance Flag]]="Price Variance", 1, 0)</f>
        <v>0</v>
      </c>
      <c r="AB551" s="5">
        <f>IF(po_master[[#This Row],[Late Delivery Flag]]="Late Delivery", 1, 0)</f>
        <v>1</v>
      </c>
      <c r="AC551" s="5">
        <f>IF(po_master[[#This Row],[Duplicate Invoice Flag]]="Duplicate Invoice", 1, 0)</f>
        <v>0</v>
      </c>
      <c r="AD551" s="5" t="str">
        <f>TEXT(po_master[[#This Row],[Order Date]],"YYYY-MM")</f>
        <v>2026-05</v>
      </c>
    </row>
    <row r="552" spans="1:30" x14ac:dyDescent="0.25">
      <c r="A552" t="s">
        <v>486</v>
      </c>
      <c r="B552" t="s">
        <v>1466</v>
      </c>
      <c r="C552" s="1">
        <v>46169</v>
      </c>
      <c r="D552">
        <v>68</v>
      </c>
      <c r="E552">
        <v>57.24</v>
      </c>
      <c r="F552" t="s">
        <v>1459</v>
      </c>
      <c r="G552" s="1">
        <v>46185</v>
      </c>
      <c r="H552">
        <v>68</v>
      </c>
      <c r="I552" s="1">
        <v>46196</v>
      </c>
      <c r="J552" t="s">
        <v>1248</v>
      </c>
      <c r="K552">
        <v>68</v>
      </c>
      <c r="L552">
        <v>67.42</v>
      </c>
      <c r="M552" s="1">
        <v>46191</v>
      </c>
      <c r="N552" t="str">
        <f>IF(po_master[[#This Row],[Approved By]]="", "Missing Approval", "OK")</f>
        <v>Missing Approval</v>
      </c>
      <c r="O552" t="str">
        <f>IF(ISBLANK(po_master[[#This Row],[GR Quantity]]), "No GR - Not received", "OK")</f>
        <v>OK</v>
      </c>
      <c r="P552" t="str">
        <f>IF(po_master[[#This Row],[Promised Delivey Date]]&lt;po_master[[#This Row],[Order Date]], "Invalid", "OK")</f>
        <v>OK</v>
      </c>
      <c r="Q552" t="str">
        <f>IF(ISBLANK(po_master[[#This Row],[Invoice Number]]), "No Invoice", "OK")</f>
        <v>OK</v>
      </c>
      <c r="R552" t="str">
        <f>IF(AND(NOT(ISBLANK(po_master[[#This Row],[GR Quantity]])), po_master[[#This Row],[GR Quantity]]&lt;&gt;po_master[[#This Row],[PO Quantity]]), "Qty Variance", "OK")</f>
        <v>OK</v>
      </c>
      <c r="S552" t="str">
        <f>IF(po_master[[#This Row],[Invoice Unit Price]]&gt;po_master[[#This Row],[PO Unit Price]]*1.01, "Price Variance", "OK")</f>
        <v>Price Variance</v>
      </c>
      <c r="T552" t="str">
        <f>IF(po_master[[#This Row],[Actual Delivery Date]]&gt;po_master[[#This Row],[Promised Delivey Date]], "Late Delivery", "OK")</f>
        <v>Late Delivery</v>
      </c>
      <c r="U552" t="str">
        <f>IF(COUNTIF(po_master[PO Number],po_master[[#This Row],[PO Number]])&gt;1, "Duplicate Invoice", "OK")</f>
        <v>OK</v>
      </c>
      <c r="V552" s="5">
        <f>IF(po_master[[#This Row],[Missing Approval]]="Missing Approval", 1, 0)</f>
        <v>1</v>
      </c>
      <c r="W552" s="5">
        <f>IF(po_master[[#This Row],[GR Receipt Status]]="No GR - Not Received", 1, 0)</f>
        <v>0</v>
      </c>
      <c r="X552" s="5">
        <f>IF(po_master[[#This Row],[No invoice]]="No Invoice", 1, 0)</f>
        <v>0</v>
      </c>
      <c r="Y552" s="5">
        <f>IF(po_master[[#This Row],[Date Check]]="Invalid Date", 1, 0)</f>
        <v>0</v>
      </c>
      <c r="Z552" s="5">
        <f>IF(po_master[[#This Row],[Qty Variance Flag]]="Qty Variance", 1, 0)</f>
        <v>0</v>
      </c>
      <c r="AA552" s="5">
        <f>IF(po_master[[#This Row],[Price Variance Flag]]="Price Variance", 1, 0)</f>
        <v>1</v>
      </c>
      <c r="AB552" s="5">
        <f>IF(po_master[[#This Row],[Late Delivery Flag]]="Late Delivery", 1, 0)</f>
        <v>1</v>
      </c>
      <c r="AC552" s="5">
        <f>IF(po_master[[#This Row],[Duplicate Invoice Flag]]="Duplicate Invoice", 1, 0)</f>
        <v>0</v>
      </c>
      <c r="AD552" s="5" t="str">
        <f>TEXT(po_master[[#This Row],[Order Date]],"YYYY-MM")</f>
        <v>2026-05</v>
      </c>
    </row>
    <row r="553" spans="1:30" x14ac:dyDescent="0.25">
      <c r="A553" t="s">
        <v>487</v>
      </c>
      <c r="B553" t="s">
        <v>1471</v>
      </c>
      <c r="C553" s="1">
        <v>46033</v>
      </c>
      <c r="D553">
        <v>399</v>
      </c>
      <c r="E553">
        <v>145.19999999999999</v>
      </c>
      <c r="F553" t="s">
        <v>1442</v>
      </c>
      <c r="G553" s="1">
        <v>46044</v>
      </c>
      <c r="H553">
        <v>399</v>
      </c>
      <c r="I553" s="1">
        <v>46046</v>
      </c>
      <c r="J553" t="s">
        <v>1249</v>
      </c>
      <c r="K553">
        <v>399</v>
      </c>
      <c r="L553">
        <v>145.19999999999999</v>
      </c>
      <c r="M553" s="1">
        <v>46048</v>
      </c>
      <c r="N553" t="str">
        <f>IF(po_master[[#This Row],[Approved By]]="", "Missing Approval", "OK")</f>
        <v>OK</v>
      </c>
      <c r="O553" t="str">
        <f>IF(ISBLANK(po_master[[#This Row],[GR Quantity]]), "No GR - Not received", "OK")</f>
        <v>OK</v>
      </c>
      <c r="P553" t="str">
        <f>IF(po_master[[#This Row],[Promised Delivey Date]]&lt;po_master[[#This Row],[Order Date]], "Invalid", "OK")</f>
        <v>OK</v>
      </c>
      <c r="Q553" t="str">
        <f>IF(ISBLANK(po_master[[#This Row],[Invoice Number]]), "No Invoice", "OK")</f>
        <v>OK</v>
      </c>
      <c r="R553" t="str">
        <f>IF(AND(NOT(ISBLANK(po_master[[#This Row],[GR Quantity]])), po_master[[#This Row],[GR Quantity]]&lt;&gt;po_master[[#This Row],[PO Quantity]]), "Qty Variance", "OK")</f>
        <v>OK</v>
      </c>
      <c r="S553" t="str">
        <f>IF(po_master[[#This Row],[Invoice Unit Price]]&gt;po_master[[#This Row],[PO Unit Price]]*1.01, "Price Variance", "OK")</f>
        <v>OK</v>
      </c>
      <c r="T553" t="str">
        <f>IF(po_master[[#This Row],[Actual Delivery Date]]&gt;po_master[[#This Row],[Promised Delivey Date]], "Late Delivery", "OK")</f>
        <v>Late Delivery</v>
      </c>
      <c r="U553" t="str">
        <f>IF(COUNTIF(po_master[PO Number],po_master[[#This Row],[PO Number]])&gt;1, "Duplicate Invoice", "OK")</f>
        <v>OK</v>
      </c>
      <c r="V553" s="5">
        <f>IF(po_master[[#This Row],[Missing Approval]]="Missing Approval", 1, 0)</f>
        <v>0</v>
      </c>
      <c r="W553" s="5">
        <f>IF(po_master[[#This Row],[GR Receipt Status]]="No GR - Not Received", 1, 0)</f>
        <v>0</v>
      </c>
      <c r="X553" s="5">
        <f>IF(po_master[[#This Row],[No invoice]]="No Invoice", 1, 0)</f>
        <v>0</v>
      </c>
      <c r="Y553" s="5">
        <f>IF(po_master[[#This Row],[Date Check]]="Invalid Date", 1, 0)</f>
        <v>0</v>
      </c>
      <c r="Z553" s="5">
        <f>IF(po_master[[#This Row],[Qty Variance Flag]]="Qty Variance", 1, 0)</f>
        <v>0</v>
      </c>
      <c r="AA553" s="5">
        <f>IF(po_master[[#This Row],[Price Variance Flag]]="Price Variance", 1, 0)</f>
        <v>0</v>
      </c>
      <c r="AB553" s="5">
        <f>IF(po_master[[#This Row],[Late Delivery Flag]]="Late Delivery", 1, 0)</f>
        <v>1</v>
      </c>
      <c r="AC553" s="5">
        <f>IF(po_master[[#This Row],[Duplicate Invoice Flag]]="Duplicate Invoice", 1, 0)</f>
        <v>0</v>
      </c>
      <c r="AD553" s="5" t="str">
        <f>TEXT(po_master[[#This Row],[Order Date]],"YYYY-MM")</f>
        <v>2026-01</v>
      </c>
    </row>
    <row r="554" spans="1:30" x14ac:dyDescent="0.25">
      <c r="A554" t="s">
        <v>488</v>
      </c>
      <c r="B554" t="s">
        <v>1512</v>
      </c>
      <c r="C554" s="1">
        <v>46031</v>
      </c>
      <c r="D554">
        <v>240</v>
      </c>
      <c r="E554">
        <v>56.25</v>
      </c>
      <c r="F554" t="s">
        <v>1476</v>
      </c>
      <c r="G554" s="1">
        <v>46050</v>
      </c>
      <c r="H554">
        <v>240</v>
      </c>
      <c r="I554" s="1">
        <v>46063</v>
      </c>
      <c r="J554" t="s">
        <v>1252</v>
      </c>
      <c r="K554">
        <v>240</v>
      </c>
      <c r="L554">
        <v>56.25</v>
      </c>
      <c r="M554" s="1">
        <v>46051</v>
      </c>
      <c r="N554" t="str">
        <f>IF(po_master[[#This Row],[Approved By]]="", "Missing Approval", "OK")</f>
        <v>OK</v>
      </c>
      <c r="O554" t="str">
        <f>IF(ISBLANK(po_master[[#This Row],[GR Quantity]]), "No GR - Not received", "OK")</f>
        <v>OK</v>
      </c>
      <c r="P554" t="str">
        <f>IF(po_master[[#This Row],[Promised Delivey Date]]&lt;po_master[[#This Row],[Order Date]], "Invalid", "OK")</f>
        <v>OK</v>
      </c>
      <c r="Q554" t="str">
        <f>IF(ISBLANK(po_master[[#This Row],[Invoice Number]]), "No Invoice", "OK")</f>
        <v>OK</v>
      </c>
      <c r="R554" t="str">
        <f>IF(AND(NOT(ISBLANK(po_master[[#This Row],[GR Quantity]])), po_master[[#This Row],[GR Quantity]]&lt;&gt;po_master[[#This Row],[PO Quantity]]), "Qty Variance", "OK")</f>
        <v>OK</v>
      </c>
      <c r="S554" t="str">
        <f>IF(po_master[[#This Row],[Invoice Unit Price]]&gt;po_master[[#This Row],[PO Unit Price]]*1.01, "Price Variance", "OK")</f>
        <v>OK</v>
      </c>
      <c r="T554" t="str">
        <f>IF(po_master[[#This Row],[Actual Delivery Date]]&gt;po_master[[#This Row],[Promised Delivey Date]], "Late Delivery", "OK")</f>
        <v>Late Delivery</v>
      </c>
      <c r="U554" t="str">
        <f>IF(COUNTIF(po_master[PO Number],po_master[[#This Row],[PO Number]])&gt;1, "Duplicate Invoice", "OK")</f>
        <v>OK</v>
      </c>
      <c r="V554" s="5">
        <f>IF(po_master[[#This Row],[Missing Approval]]="Missing Approval", 1, 0)</f>
        <v>0</v>
      </c>
      <c r="W554" s="5">
        <f>IF(po_master[[#This Row],[GR Receipt Status]]="No GR - Not Received", 1, 0)</f>
        <v>0</v>
      </c>
      <c r="X554" s="5">
        <f>IF(po_master[[#This Row],[No invoice]]="No Invoice", 1, 0)</f>
        <v>0</v>
      </c>
      <c r="Y554" s="5">
        <f>IF(po_master[[#This Row],[Date Check]]="Invalid Date", 1, 0)</f>
        <v>0</v>
      </c>
      <c r="Z554" s="5">
        <f>IF(po_master[[#This Row],[Qty Variance Flag]]="Qty Variance", 1, 0)</f>
        <v>0</v>
      </c>
      <c r="AA554" s="5">
        <f>IF(po_master[[#This Row],[Price Variance Flag]]="Price Variance", 1, 0)</f>
        <v>0</v>
      </c>
      <c r="AB554" s="5">
        <f>IF(po_master[[#This Row],[Late Delivery Flag]]="Late Delivery", 1, 0)</f>
        <v>1</v>
      </c>
      <c r="AC554" s="5">
        <f>IF(po_master[[#This Row],[Duplicate Invoice Flag]]="Duplicate Invoice", 1, 0)</f>
        <v>0</v>
      </c>
      <c r="AD554" s="5" t="str">
        <f>TEXT(po_master[[#This Row],[Order Date]],"YYYY-MM")</f>
        <v>2026-01</v>
      </c>
    </row>
    <row r="555" spans="1:30" x14ac:dyDescent="0.25">
      <c r="A555" t="s">
        <v>489</v>
      </c>
      <c r="B555" t="s">
        <v>1466</v>
      </c>
      <c r="C555" s="1">
        <v>46083</v>
      </c>
      <c r="D555">
        <v>117</v>
      </c>
      <c r="E555">
        <v>163.09</v>
      </c>
      <c r="F555" t="s">
        <v>1459</v>
      </c>
      <c r="G555" s="1">
        <v>46099</v>
      </c>
      <c r="H555">
        <v>117</v>
      </c>
      <c r="I555" s="1">
        <v>46101</v>
      </c>
      <c r="J555" t="s">
        <v>1253</v>
      </c>
      <c r="K555">
        <v>117</v>
      </c>
      <c r="L555">
        <v>163.09</v>
      </c>
      <c r="M555" s="1">
        <v>46101</v>
      </c>
      <c r="N555" t="str">
        <f>IF(po_master[[#This Row],[Approved By]]="", "Missing Approval", "OK")</f>
        <v>Missing Approval</v>
      </c>
      <c r="O555" t="str">
        <f>IF(ISBLANK(po_master[[#This Row],[GR Quantity]]), "No GR - Not received", "OK")</f>
        <v>OK</v>
      </c>
      <c r="P555" t="str">
        <f>IF(po_master[[#This Row],[Promised Delivey Date]]&lt;po_master[[#This Row],[Order Date]], "Invalid", "OK")</f>
        <v>OK</v>
      </c>
      <c r="Q555" t="str">
        <f>IF(ISBLANK(po_master[[#This Row],[Invoice Number]]), "No Invoice", "OK")</f>
        <v>OK</v>
      </c>
      <c r="R555" t="str">
        <f>IF(AND(NOT(ISBLANK(po_master[[#This Row],[GR Quantity]])), po_master[[#This Row],[GR Quantity]]&lt;&gt;po_master[[#This Row],[PO Quantity]]), "Qty Variance", "OK")</f>
        <v>OK</v>
      </c>
      <c r="S555" t="str">
        <f>IF(po_master[[#This Row],[Invoice Unit Price]]&gt;po_master[[#This Row],[PO Unit Price]]*1.01, "Price Variance", "OK")</f>
        <v>OK</v>
      </c>
      <c r="T555" t="str">
        <f>IF(po_master[[#This Row],[Actual Delivery Date]]&gt;po_master[[#This Row],[Promised Delivey Date]], "Late Delivery", "OK")</f>
        <v>Late Delivery</v>
      </c>
      <c r="U555" t="str">
        <f>IF(COUNTIF(po_master[PO Number],po_master[[#This Row],[PO Number]])&gt;1, "Duplicate Invoice", "OK")</f>
        <v>OK</v>
      </c>
      <c r="V555" s="5">
        <f>IF(po_master[[#This Row],[Missing Approval]]="Missing Approval", 1, 0)</f>
        <v>1</v>
      </c>
      <c r="W555" s="5">
        <f>IF(po_master[[#This Row],[GR Receipt Status]]="No GR - Not Received", 1, 0)</f>
        <v>0</v>
      </c>
      <c r="X555" s="5">
        <f>IF(po_master[[#This Row],[No invoice]]="No Invoice", 1, 0)</f>
        <v>0</v>
      </c>
      <c r="Y555" s="5">
        <f>IF(po_master[[#This Row],[Date Check]]="Invalid Date", 1, 0)</f>
        <v>0</v>
      </c>
      <c r="Z555" s="5">
        <f>IF(po_master[[#This Row],[Qty Variance Flag]]="Qty Variance", 1, 0)</f>
        <v>0</v>
      </c>
      <c r="AA555" s="5">
        <f>IF(po_master[[#This Row],[Price Variance Flag]]="Price Variance", 1, 0)</f>
        <v>0</v>
      </c>
      <c r="AB555" s="5">
        <f>IF(po_master[[#This Row],[Late Delivery Flag]]="Late Delivery", 1, 0)</f>
        <v>1</v>
      </c>
      <c r="AC555" s="5">
        <f>IF(po_master[[#This Row],[Duplicate Invoice Flag]]="Duplicate Invoice", 1, 0)</f>
        <v>0</v>
      </c>
      <c r="AD555" s="5" t="str">
        <f>TEXT(po_master[[#This Row],[Order Date]],"YYYY-MM")</f>
        <v>2026-03</v>
      </c>
    </row>
    <row r="556" spans="1:30" x14ac:dyDescent="0.25">
      <c r="A556" t="s">
        <v>490</v>
      </c>
      <c r="B556" t="s">
        <v>1455</v>
      </c>
      <c r="C556" s="1">
        <v>46132</v>
      </c>
      <c r="D556">
        <v>94</v>
      </c>
      <c r="E556">
        <v>125.15</v>
      </c>
      <c r="F556" t="s">
        <v>1444</v>
      </c>
      <c r="G556" s="1">
        <v>46143</v>
      </c>
      <c r="H556">
        <v>94</v>
      </c>
      <c r="I556" s="1">
        <v>46144</v>
      </c>
      <c r="J556" t="s">
        <v>1254</v>
      </c>
      <c r="K556">
        <v>94</v>
      </c>
      <c r="L556">
        <v>125.15</v>
      </c>
      <c r="M556" s="1">
        <v>46153</v>
      </c>
      <c r="N556" t="str">
        <f>IF(po_master[[#This Row],[Approved By]]="", "Missing Approval", "OK")</f>
        <v>OK</v>
      </c>
      <c r="O556" t="str">
        <f>IF(ISBLANK(po_master[[#This Row],[GR Quantity]]), "No GR - Not received", "OK")</f>
        <v>OK</v>
      </c>
      <c r="P556" t="str">
        <f>IF(po_master[[#This Row],[Promised Delivey Date]]&lt;po_master[[#This Row],[Order Date]], "Invalid", "OK")</f>
        <v>OK</v>
      </c>
      <c r="Q556" t="str">
        <f>IF(ISBLANK(po_master[[#This Row],[Invoice Number]]), "No Invoice", "OK")</f>
        <v>OK</v>
      </c>
      <c r="R556" t="str">
        <f>IF(AND(NOT(ISBLANK(po_master[[#This Row],[GR Quantity]])), po_master[[#This Row],[GR Quantity]]&lt;&gt;po_master[[#This Row],[PO Quantity]]), "Qty Variance", "OK")</f>
        <v>OK</v>
      </c>
      <c r="S556" t="str">
        <f>IF(po_master[[#This Row],[Invoice Unit Price]]&gt;po_master[[#This Row],[PO Unit Price]]*1.01, "Price Variance", "OK")</f>
        <v>OK</v>
      </c>
      <c r="T556" t="str">
        <f>IF(po_master[[#This Row],[Actual Delivery Date]]&gt;po_master[[#This Row],[Promised Delivey Date]], "Late Delivery", "OK")</f>
        <v>Late Delivery</v>
      </c>
      <c r="U556" t="str">
        <f>IF(COUNTIF(po_master[PO Number],po_master[[#This Row],[PO Number]])&gt;1, "Duplicate Invoice", "OK")</f>
        <v>OK</v>
      </c>
      <c r="V556" s="5">
        <f>IF(po_master[[#This Row],[Missing Approval]]="Missing Approval", 1, 0)</f>
        <v>0</v>
      </c>
      <c r="W556" s="5">
        <f>IF(po_master[[#This Row],[GR Receipt Status]]="No GR - Not Received", 1, 0)</f>
        <v>0</v>
      </c>
      <c r="X556" s="5">
        <f>IF(po_master[[#This Row],[No invoice]]="No Invoice", 1, 0)</f>
        <v>0</v>
      </c>
      <c r="Y556" s="5">
        <f>IF(po_master[[#This Row],[Date Check]]="Invalid Date", 1, 0)</f>
        <v>0</v>
      </c>
      <c r="Z556" s="5">
        <f>IF(po_master[[#This Row],[Qty Variance Flag]]="Qty Variance", 1, 0)</f>
        <v>0</v>
      </c>
      <c r="AA556" s="5">
        <f>IF(po_master[[#This Row],[Price Variance Flag]]="Price Variance", 1, 0)</f>
        <v>0</v>
      </c>
      <c r="AB556" s="5">
        <f>IF(po_master[[#This Row],[Late Delivery Flag]]="Late Delivery", 1, 0)</f>
        <v>1</v>
      </c>
      <c r="AC556" s="5">
        <f>IF(po_master[[#This Row],[Duplicate Invoice Flag]]="Duplicate Invoice", 1, 0)</f>
        <v>0</v>
      </c>
      <c r="AD556" s="5" t="str">
        <f>TEXT(po_master[[#This Row],[Order Date]],"YYYY-MM")</f>
        <v>2026-04</v>
      </c>
    </row>
    <row r="557" spans="1:30" x14ac:dyDescent="0.25">
      <c r="A557" t="s">
        <v>491</v>
      </c>
      <c r="B557" t="s">
        <v>1475</v>
      </c>
      <c r="C557" s="1">
        <v>46168</v>
      </c>
      <c r="D557">
        <v>189</v>
      </c>
      <c r="E557">
        <v>108.79</v>
      </c>
      <c r="F557" t="s">
        <v>1494</v>
      </c>
      <c r="G557" s="1">
        <v>46178</v>
      </c>
      <c r="H557">
        <v>189</v>
      </c>
      <c r="I557" s="1">
        <v>46178</v>
      </c>
      <c r="J557" t="s">
        <v>1255</v>
      </c>
      <c r="K557">
        <v>189</v>
      </c>
      <c r="L557">
        <v>108.79</v>
      </c>
      <c r="M557" s="1">
        <v>46186</v>
      </c>
      <c r="N557" t="str">
        <f>IF(po_master[[#This Row],[Approved By]]="", "Missing Approval", "OK")</f>
        <v>OK</v>
      </c>
      <c r="O557" t="str">
        <f>IF(ISBLANK(po_master[[#This Row],[GR Quantity]]), "No GR - Not received", "OK")</f>
        <v>OK</v>
      </c>
      <c r="P557" t="str">
        <f>IF(po_master[[#This Row],[Promised Delivey Date]]&lt;po_master[[#This Row],[Order Date]], "Invalid", "OK")</f>
        <v>OK</v>
      </c>
      <c r="Q557" t="str">
        <f>IF(ISBLANK(po_master[[#This Row],[Invoice Number]]), "No Invoice", "OK")</f>
        <v>OK</v>
      </c>
      <c r="R557" t="str">
        <f>IF(AND(NOT(ISBLANK(po_master[[#This Row],[GR Quantity]])), po_master[[#This Row],[GR Quantity]]&lt;&gt;po_master[[#This Row],[PO Quantity]]), "Qty Variance", "OK")</f>
        <v>OK</v>
      </c>
      <c r="S557" t="str">
        <f>IF(po_master[[#This Row],[Invoice Unit Price]]&gt;po_master[[#This Row],[PO Unit Price]]*1.01, "Price Variance", "OK")</f>
        <v>OK</v>
      </c>
      <c r="T557" t="str">
        <f>IF(po_master[[#This Row],[Actual Delivery Date]]&gt;po_master[[#This Row],[Promised Delivey Date]], "Late Delivery", "OK")</f>
        <v>OK</v>
      </c>
      <c r="U557" t="str">
        <f>IF(COUNTIF(po_master[PO Number],po_master[[#This Row],[PO Number]])&gt;1, "Duplicate Invoice", "OK")</f>
        <v>OK</v>
      </c>
      <c r="V557" s="5">
        <f>IF(po_master[[#This Row],[Missing Approval]]="Missing Approval", 1, 0)</f>
        <v>0</v>
      </c>
      <c r="W557" s="5">
        <f>IF(po_master[[#This Row],[GR Receipt Status]]="No GR - Not Received", 1, 0)</f>
        <v>0</v>
      </c>
      <c r="X557" s="5">
        <f>IF(po_master[[#This Row],[No invoice]]="No Invoice", 1, 0)</f>
        <v>0</v>
      </c>
      <c r="Y557" s="5">
        <f>IF(po_master[[#This Row],[Date Check]]="Invalid Date", 1, 0)</f>
        <v>0</v>
      </c>
      <c r="Z557" s="5">
        <f>IF(po_master[[#This Row],[Qty Variance Flag]]="Qty Variance", 1, 0)</f>
        <v>0</v>
      </c>
      <c r="AA557" s="5">
        <f>IF(po_master[[#This Row],[Price Variance Flag]]="Price Variance", 1, 0)</f>
        <v>0</v>
      </c>
      <c r="AB557" s="5">
        <f>IF(po_master[[#This Row],[Late Delivery Flag]]="Late Delivery", 1, 0)</f>
        <v>0</v>
      </c>
      <c r="AC557" s="5">
        <f>IF(po_master[[#This Row],[Duplicate Invoice Flag]]="Duplicate Invoice", 1, 0)</f>
        <v>0</v>
      </c>
      <c r="AD557" s="5" t="str">
        <f>TEXT(po_master[[#This Row],[Order Date]],"YYYY-MM")</f>
        <v>2026-05</v>
      </c>
    </row>
    <row r="558" spans="1:30" x14ac:dyDescent="0.25">
      <c r="A558" t="s">
        <v>492</v>
      </c>
      <c r="B558" t="s">
        <v>1509</v>
      </c>
      <c r="C558" s="1">
        <v>46097</v>
      </c>
      <c r="D558">
        <v>158</v>
      </c>
      <c r="E558">
        <v>116.68</v>
      </c>
      <c r="F558" t="s">
        <v>1504</v>
      </c>
      <c r="G558" s="1">
        <v>46105</v>
      </c>
      <c r="H558">
        <v>158</v>
      </c>
      <c r="I558" s="1">
        <v>46106</v>
      </c>
      <c r="J558" t="s">
        <v>1256</v>
      </c>
      <c r="K558">
        <v>158</v>
      </c>
      <c r="L558">
        <v>116.68</v>
      </c>
      <c r="M558" s="1">
        <v>46106</v>
      </c>
      <c r="N558" t="str">
        <f>IF(po_master[[#This Row],[Approved By]]="", "Missing Approval", "OK")</f>
        <v>OK</v>
      </c>
      <c r="O558" t="str">
        <f>IF(ISBLANK(po_master[[#This Row],[GR Quantity]]), "No GR - Not received", "OK")</f>
        <v>OK</v>
      </c>
      <c r="P558" t="str">
        <f>IF(po_master[[#This Row],[Promised Delivey Date]]&lt;po_master[[#This Row],[Order Date]], "Invalid", "OK")</f>
        <v>OK</v>
      </c>
      <c r="Q558" t="str">
        <f>IF(ISBLANK(po_master[[#This Row],[Invoice Number]]), "No Invoice", "OK")</f>
        <v>OK</v>
      </c>
      <c r="R558" t="str">
        <f>IF(AND(NOT(ISBLANK(po_master[[#This Row],[GR Quantity]])), po_master[[#This Row],[GR Quantity]]&lt;&gt;po_master[[#This Row],[PO Quantity]]), "Qty Variance", "OK")</f>
        <v>OK</v>
      </c>
      <c r="S558" t="str">
        <f>IF(po_master[[#This Row],[Invoice Unit Price]]&gt;po_master[[#This Row],[PO Unit Price]]*1.01, "Price Variance", "OK")</f>
        <v>OK</v>
      </c>
      <c r="T558" t="str">
        <f>IF(po_master[[#This Row],[Actual Delivery Date]]&gt;po_master[[#This Row],[Promised Delivey Date]], "Late Delivery", "OK")</f>
        <v>Late Delivery</v>
      </c>
      <c r="U558" t="str">
        <f>IF(COUNTIF(po_master[PO Number],po_master[[#This Row],[PO Number]])&gt;1, "Duplicate Invoice", "OK")</f>
        <v>OK</v>
      </c>
      <c r="V558" s="5">
        <f>IF(po_master[[#This Row],[Missing Approval]]="Missing Approval", 1, 0)</f>
        <v>0</v>
      </c>
      <c r="W558" s="5">
        <f>IF(po_master[[#This Row],[GR Receipt Status]]="No GR - Not Received", 1, 0)</f>
        <v>0</v>
      </c>
      <c r="X558" s="5">
        <f>IF(po_master[[#This Row],[No invoice]]="No Invoice", 1, 0)</f>
        <v>0</v>
      </c>
      <c r="Y558" s="5">
        <f>IF(po_master[[#This Row],[Date Check]]="Invalid Date", 1, 0)</f>
        <v>0</v>
      </c>
      <c r="Z558" s="5">
        <f>IF(po_master[[#This Row],[Qty Variance Flag]]="Qty Variance", 1, 0)</f>
        <v>0</v>
      </c>
      <c r="AA558" s="5">
        <f>IF(po_master[[#This Row],[Price Variance Flag]]="Price Variance", 1, 0)</f>
        <v>0</v>
      </c>
      <c r="AB558" s="5">
        <f>IF(po_master[[#This Row],[Late Delivery Flag]]="Late Delivery", 1, 0)</f>
        <v>1</v>
      </c>
      <c r="AC558" s="5">
        <f>IF(po_master[[#This Row],[Duplicate Invoice Flag]]="Duplicate Invoice", 1, 0)</f>
        <v>0</v>
      </c>
      <c r="AD558" s="5" t="str">
        <f>TEXT(po_master[[#This Row],[Order Date]],"YYYY-MM")</f>
        <v>2026-03</v>
      </c>
    </row>
    <row r="559" spans="1:30" x14ac:dyDescent="0.25">
      <c r="A559" t="s">
        <v>493</v>
      </c>
      <c r="B559" t="s">
        <v>1441</v>
      </c>
      <c r="C559" s="1">
        <v>46128</v>
      </c>
      <c r="D559">
        <v>480</v>
      </c>
      <c r="E559">
        <v>16.559999999999999</v>
      </c>
      <c r="F559" t="s">
        <v>1458</v>
      </c>
      <c r="G559" s="1">
        <v>46137</v>
      </c>
      <c r="H559">
        <v>480</v>
      </c>
      <c r="I559" s="1">
        <v>46137</v>
      </c>
      <c r="J559" t="s">
        <v>1257</v>
      </c>
      <c r="K559">
        <v>480</v>
      </c>
      <c r="L559">
        <v>16.559999999999999</v>
      </c>
      <c r="M559" s="1">
        <v>46141</v>
      </c>
      <c r="N559" t="str">
        <f>IF(po_master[[#This Row],[Approved By]]="", "Missing Approval", "OK")</f>
        <v>OK</v>
      </c>
      <c r="O559" t="str">
        <f>IF(ISBLANK(po_master[[#This Row],[GR Quantity]]), "No GR - Not received", "OK")</f>
        <v>OK</v>
      </c>
      <c r="P559" t="str">
        <f>IF(po_master[[#This Row],[Promised Delivey Date]]&lt;po_master[[#This Row],[Order Date]], "Invalid", "OK")</f>
        <v>OK</v>
      </c>
      <c r="Q559" t="str">
        <f>IF(ISBLANK(po_master[[#This Row],[Invoice Number]]), "No Invoice", "OK")</f>
        <v>OK</v>
      </c>
      <c r="R559" t="str">
        <f>IF(AND(NOT(ISBLANK(po_master[[#This Row],[GR Quantity]])), po_master[[#This Row],[GR Quantity]]&lt;&gt;po_master[[#This Row],[PO Quantity]]), "Qty Variance", "OK")</f>
        <v>OK</v>
      </c>
      <c r="S559" t="str">
        <f>IF(po_master[[#This Row],[Invoice Unit Price]]&gt;po_master[[#This Row],[PO Unit Price]]*1.01, "Price Variance", "OK")</f>
        <v>OK</v>
      </c>
      <c r="T559" t="str">
        <f>IF(po_master[[#This Row],[Actual Delivery Date]]&gt;po_master[[#This Row],[Promised Delivey Date]], "Late Delivery", "OK")</f>
        <v>OK</v>
      </c>
      <c r="U559" t="str">
        <f>IF(COUNTIF(po_master[PO Number],po_master[[#This Row],[PO Number]])&gt;1, "Duplicate Invoice", "OK")</f>
        <v>OK</v>
      </c>
      <c r="V559" s="5">
        <f>IF(po_master[[#This Row],[Missing Approval]]="Missing Approval", 1, 0)</f>
        <v>0</v>
      </c>
      <c r="W559" s="5">
        <f>IF(po_master[[#This Row],[GR Receipt Status]]="No GR - Not Received", 1, 0)</f>
        <v>0</v>
      </c>
      <c r="X559" s="5">
        <f>IF(po_master[[#This Row],[No invoice]]="No Invoice", 1, 0)</f>
        <v>0</v>
      </c>
      <c r="Y559" s="5">
        <f>IF(po_master[[#This Row],[Date Check]]="Invalid Date", 1, 0)</f>
        <v>0</v>
      </c>
      <c r="Z559" s="5">
        <f>IF(po_master[[#This Row],[Qty Variance Flag]]="Qty Variance", 1, 0)</f>
        <v>0</v>
      </c>
      <c r="AA559" s="5">
        <f>IF(po_master[[#This Row],[Price Variance Flag]]="Price Variance", 1, 0)</f>
        <v>0</v>
      </c>
      <c r="AB559" s="5">
        <f>IF(po_master[[#This Row],[Late Delivery Flag]]="Late Delivery", 1, 0)</f>
        <v>0</v>
      </c>
      <c r="AC559" s="5">
        <f>IF(po_master[[#This Row],[Duplicate Invoice Flag]]="Duplicate Invoice", 1, 0)</f>
        <v>0</v>
      </c>
      <c r="AD559" s="5" t="str">
        <f>TEXT(po_master[[#This Row],[Order Date]],"YYYY-MM")</f>
        <v>2026-04</v>
      </c>
    </row>
    <row r="560" spans="1:30" x14ac:dyDescent="0.25">
      <c r="A560" t="s">
        <v>494</v>
      </c>
      <c r="B560" t="s">
        <v>1449</v>
      </c>
      <c r="C560" s="1">
        <v>46056</v>
      </c>
      <c r="D560">
        <v>137</v>
      </c>
      <c r="E560">
        <v>33.520000000000003</v>
      </c>
      <c r="F560" t="s">
        <v>1472</v>
      </c>
      <c r="G560" s="1">
        <v>46068</v>
      </c>
      <c r="H560">
        <v>137</v>
      </c>
      <c r="I560" s="1">
        <v>46068</v>
      </c>
      <c r="J560" t="s">
        <v>1258</v>
      </c>
      <c r="K560">
        <v>137</v>
      </c>
      <c r="L560">
        <v>33.520000000000003</v>
      </c>
      <c r="M560" s="1">
        <v>46072</v>
      </c>
      <c r="N560" t="str">
        <f>IF(po_master[[#This Row],[Approved By]]="", "Missing Approval", "OK")</f>
        <v>OK</v>
      </c>
      <c r="O560" t="str">
        <f>IF(ISBLANK(po_master[[#This Row],[GR Quantity]]), "No GR - Not received", "OK")</f>
        <v>OK</v>
      </c>
      <c r="P560" t="str">
        <f>IF(po_master[[#This Row],[Promised Delivey Date]]&lt;po_master[[#This Row],[Order Date]], "Invalid", "OK")</f>
        <v>OK</v>
      </c>
      <c r="Q560" t="str">
        <f>IF(ISBLANK(po_master[[#This Row],[Invoice Number]]), "No Invoice", "OK")</f>
        <v>OK</v>
      </c>
      <c r="R560" t="str">
        <f>IF(AND(NOT(ISBLANK(po_master[[#This Row],[GR Quantity]])), po_master[[#This Row],[GR Quantity]]&lt;&gt;po_master[[#This Row],[PO Quantity]]), "Qty Variance", "OK")</f>
        <v>OK</v>
      </c>
      <c r="S560" t="str">
        <f>IF(po_master[[#This Row],[Invoice Unit Price]]&gt;po_master[[#This Row],[PO Unit Price]]*1.01, "Price Variance", "OK")</f>
        <v>OK</v>
      </c>
      <c r="T560" t="str">
        <f>IF(po_master[[#This Row],[Actual Delivery Date]]&gt;po_master[[#This Row],[Promised Delivey Date]], "Late Delivery", "OK")</f>
        <v>OK</v>
      </c>
      <c r="U560" t="str">
        <f>IF(COUNTIF(po_master[PO Number],po_master[[#This Row],[PO Number]])&gt;1, "Duplicate Invoice", "OK")</f>
        <v>OK</v>
      </c>
      <c r="V560" s="5">
        <f>IF(po_master[[#This Row],[Missing Approval]]="Missing Approval", 1, 0)</f>
        <v>0</v>
      </c>
      <c r="W560" s="5">
        <f>IF(po_master[[#This Row],[GR Receipt Status]]="No GR - Not Received", 1, 0)</f>
        <v>0</v>
      </c>
      <c r="X560" s="5">
        <f>IF(po_master[[#This Row],[No invoice]]="No Invoice", 1, 0)</f>
        <v>0</v>
      </c>
      <c r="Y560" s="5">
        <f>IF(po_master[[#This Row],[Date Check]]="Invalid Date", 1, 0)</f>
        <v>0</v>
      </c>
      <c r="Z560" s="5">
        <f>IF(po_master[[#This Row],[Qty Variance Flag]]="Qty Variance", 1, 0)</f>
        <v>0</v>
      </c>
      <c r="AA560" s="5">
        <f>IF(po_master[[#This Row],[Price Variance Flag]]="Price Variance", 1, 0)</f>
        <v>0</v>
      </c>
      <c r="AB560" s="5">
        <f>IF(po_master[[#This Row],[Late Delivery Flag]]="Late Delivery", 1, 0)</f>
        <v>0</v>
      </c>
      <c r="AC560" s="5">
        <f>IF(po_master[[#This Row],[Duplicate Invoice Flag]]="Duplicate Invoice", 1, 0)</f>
        <v>0</v>
      </c>
      <c r="AD560" s="5" t="str">
        <f>TEXT(po_master[[#This Row],[Order Date]],"YYYY-MM")</f>
        <v>2026-02</v>
      </c>
    </row>
    <row r="561" spans="1:30" x14ac:dyDescent="0.25">
      <c r="A561" t="s">
        <v>495</v>
      </c>
      <c r="B561" t="s">
        <v>1461</v>
      </c>
      <c r="C561" s="1">
        <v>46123</v>
      </c>
      <c r="D561">
        <v>260</v>
      </c>
      <c r="E561">
        <v>32.72</v>
      </c>
      <c r="F561" t="s">
        <v>1446</v>
      </c>
      <c r="G561" s="1">
        <v>46136</v>
      </c>
      <c r="H561">
        <v>260</v>
      </c>
      <c r="I561" s="1">
        <v>46149</v>
      </c>
      <c r="J561" t="s">
        <v>1259</v>
      </c>
      <c r="K561">
        <v>260</v>
      </c>
      <c r="L561">
        <v>38.6</v>
      </c>
      <c r="M561" s="1">
        <v>46139</v>
      </c>
      <c r="N561" t="str">
        <f>IF(po_master[[#This Row],[Approved By]]="", "Missing Approval", "OK")</f>
        <v>OK</v>
      </c>
      <c r="O561" t="str">
        <f>IF(ISBLANK(po_master[[#This Row],[GR Quantity]]), "No GR - Not received", "OK")</f>
        <v>OK</v>
      </c>
      <c r="P561" t="str">
        <f>IF(po_master[[#This Row],[Promised Delivey Date]]&lt;po_master[[#This Row],[Order Date]], "Invalid", "OK")</f>
        <v>OK</v>
      </c>
      <c r="Q561" t="str">
        <f>IF(ISBLANK(po_master[[#This Row],[Invoice Number]]), "No Invoice", "OK")</f>
        <v>OK</v>
      </c>
      <c r="R561" t="str">
        <f>IF(AND(NOT(ISBLANK(po_master[[#This Row],[GR Quantity]])), po_master[[#This Row],[GR Quantity]]&lt;&gt;po_master[[#This Row],[PO Quantity]]), "Qty Variance", "OK")</f>
        <v>OK</v>
      </c>
      <c r="S561" t="str">
        <f>IF(po_master[[#This Row],[Invoice Unit Price]]&gt;po_master[[#This Row],[PO Unit Price]]*1.01, "Price Variance", "OK")</f>
        <v>Price Variance</v>
      </c>
      <c r="T561" t="str">
        <f>IF(po_master[[#This Row],[Actual Delivery Date]]&gt;po_master[[#This Row],[Promised Delivey Date]], "Late Delivery", "OK")</f>
        <v>Late Delivery</v>
      </c>
      <c r="U561" t="str">
        <f>IF(COUNTIF(po_master[PO Number],po_master[[#This Row],[PO Number]])&gt;1, "Duplicate Invoice", "OK")</f>
        <v>OK</v>
      </c>
      <c r="V561" s="5">
        <f>IF(po_master[[#This Row],[Missing Approval]]="Missing Approval", 1, 0)</f>
        <v>0</v>
      </c>
      <c r="W561" s="5">
        <f>IF(po_master[[#This Row],[GR Receipt Status]]="No GR - Not Received", 1, 0)</f>
        <v>0</v>
      </c>
      <c r="X561" s="5">
        <f>IF(po_master[[#This Row],[No invoice]]="No Invoice", 1, 0)</f>
        <v>0</v>
      </c>
      <c r="Y561" s="5">
        <f>IF(po_master[[#This Row],[Date Check]]="Invalid Date", 1, 0)</f>
        <v>0</v>
      </c>
      <c r="Z561" s="5">
        <f>IF(po_master[[#This Row],[Qty Variance Flag]]="Qty Variance", 1, 0)</f>
        <v>0</v>
      </c>
      <c r="AA561" s="5">
        <f>IF(po_master[[#This Row],[Price Variance Flag]]="Price Variance", 1, 0)</f>
        <v>1</v>
      </c>
      <c r="AB561" s="5">
        <f>IF(po_master[[#This Row],[Late Delivery Flag]]="Late Delivery", 1, 0)</f>
        <v>1</v>
      </c>
      <c r="AC561" s="5">
        <f>IF(po_master[[#This Row],[Duplicate Invoice Flag]]="Duplicate Invoice", 1, 0)</f>
        <v>0</v>
      </c>
      <c r="AD561" s="5" t="str">
        <f>TEXT(po_master[[#This Row],[Order Date]],"YYYY-MM")</f>
        <v>2026-04</v>
      </c>
    </row>
    <row r="562" spans="1:30" x14ac:dyDescent="0.25">
      <c r="A562" t="s">
        <v>496</v>
      </c>
      <c r="B562" t="s">
        <v>1439</v>
      </c>
      <c r="C562" s="1">
        <v>46129</v>
      </c>
      <c r="D562">
        <v>202</v>
      </c>
      <c r="E562">
        <v>93.14</v>
      </c>
      <c r="F562" t="s">
        <v>1446</v>
      </c>
      <c r="G562" s="1">
        <v>46136</v>
      </c>
      <c r="H562">
        <v>202</v>
      </c>
      <c r="I562" s="1">
        <v>46138</v>
      </c>
      <c r="J562" t="s">
        <v>1260</v>
      </c>
      <c r="K562">
        <v>202</v>
      </c>
      <c r="L562">
        <v>93.14</v>
      </c>
      <c r="M562" s="1">
        <v>46141</v>
      </c>
      <c r="N562" t="str">
        <f>IF(po_master[[#This Row],[Approved By]]="", "Missing Approval", "OK")</f>
        <v>OK</v>
      </c>
      <c r="O562" t="str">
        <f>IF(ISBLANK(po_master[[#This Row],[GR Quantity]]), "No GR - Not received", "OK")</f>
        <v>OK</v>
      </c>
      <c r="P562" t="str">
        <f>IF(po_master[[#This Row],[Promised Delivey Date]]&lt;po_master[[#This Row],[Order Date]], "Invalid", "OK")</f>
        <v>OK</v>
      </c>
      <c r="Q562" t="str">
        <f>IF(ISBLANK(po_master[[#This Row],[Invoice Number]]), "No Invoice", "OK")</f>
        <v>OK</v>
      </c>
      <c r="R562" t="str">
        <f>IF(AND(NOT(ISBLANK(po_master[[#This Row],[GR Quantity]])), po_master[[#This Row],[GR Quantity]]&lt;&gt;po_master[[#This Row],[PO Quantity]]), "Qty Variance", "OK")</f>
        <v>OK</v>
      </c>
      <c r="S562" t="str">
        <f>IF(po_master[[#This Row],[Invoice Unit Price]]&gt;po_master[[#This Row],[PO Unit Price]]*1.01, "Price Variance", "OK")</f>
        <v>OK</v>
      </c>
      <c r="T562" t="str">
        <f>IF(po_master[[#This Row],[Actual Delivery Date]]&gt;po_master[[#This Row],[Promised Delivey Date]], "Late Delivery", "OK")</f>
        <v>Late Delivery</v>
      </c>
      <c r="U562" t="str">
        <f>IF(COUNTIF(po_master[PO Number],po_master[[#This Row],[PO Number]])&gt;1, "Duplicate Invoice", "OK")</f>
        <v>OK</v>
      </c>
      <c r="V562" s="5">
        <f>IF(po_master[[#This Row],[Missing Approval]]="Missing Approval", 1, 0)</f>
        <v>0</v>
      </c>
      <c r="W562" s="5">
        <f>IF(po_master[[#This Row],[GR Receipt Status]]="No GR - Not Received", 1, 0)</f>
        <v>0</v>
      </c>
      <c r="X562" s="5">
        <f>IF(po_master[[#This Row],[No invoice]]="No Invoice", 1, 0)</f>
        <v>0</v>
      </c>
      <c r="Y562" s="5">
        <f>IF(po_master[[#This Row],[Date Check]]="Invalid Date", 1, 0)</f>
        <v>0</v>
      </c>
      <c r="Z562" s="5">
        <f>IF(po_master[[#This Row],[Qty Variance Flag]]="Qty Variance", 1, 0)</f>
        <v>0</v>
      </c>
      <c r="AA562" s="5">
        <f>IF(po_master[[#This Row],[Price Variance Flag]]="Price Variance", 1, 0)</f>
        <v>0</v>
      </c>
      <c r="AB562" s="5">
        <f>IF(po_master[[#This Row],[Late Delivery Flag]]="Late Delivery", 1, 0)</f>
        <v>1</v>
      </c>
      <c r="AC562" s="5">
        <f>IF(po_master[[#This Row],[Duplicate Invoice Flag]]="Duplicate Invoice", 1, 0)</f>
        <v>0</v>
      </c>
      <c r="AD562" s="5" t="str">
        <f>TEXT(po_master[[#This Row],[Order Date]],"YYYY-MM")</f>
        <v>2026-04</v>
      </c>
    </row>
    <row r="563" spans="1:30" x14ac:dyDescent="0.25">
      <c r="A563" t="s">
        <v>497</v>
      </c>
      <c r="B563" t="s">
        <v>1488</v>
      </c>
      <c r="C563" s="1">
        <v>46154</v>
      </c>
      <c r="D563">
        <v>393</v>
      </c>
      <c r="E563">
        <v>59.25</v>
      </c>
      <c r="F563" t="s">
        <v>1451</v>
      </c>
      <c r="G563" s="1">
        <v>46173</v>
      </c>
      <c r="H563">
        <v>393</v>
      </c>
      <c r="I563" s="1">
        <v>46173</v>
      </c>
      <c r="J563" t="s">
        <v>1261</v>
      </c>
      <c r="K563">
        <v>393</v>
      </c>
      <c r="L563">
        <v>59.25</v>
      </c>
      <c r="M563" s="1">
        <v>46176</v>
      </c>
      <c r="N563" t="str">
        <f>IF(po_master[[#This Row],[Approved By]]="", "Missing Approval", "OK")</f>
        <v>OK</v>
      </c>
      <c r="O563" t="str">
        <f>IF(ISBLANK(po_master[[#This Row],[GR Quantity]]), "No GR - Not received", "OK")</f>
        <v>OK</v>
      </c>
      <c r="P563" t="str">
        <f>IF(po_master[[#This Row],[Promised Delivey Date]]&lt;po_master[[#This Row],[Order Date]], "Invalid", "OK")</f>
        <v>OK</v>
      </c>
      <c r="Q563" t="str">
        <f>IF(ISBLANK(po_master[[#This Row],[Invoice Number]]), "No Invoice", "OK")</f>
        <v>OK</v>
      </c>
      <c r="R563" t="str">
        <f>IF(AND(NOT(ISBLANK(po_master[[#This Row],[GR Quantity]])), po_master[[#This Row],[GR Quantity]]&lt;&gt;po_master[[#This Row],[PO Quantity]]), "Qty Variance", "OK")</f>
        <v>OK</v>
      </c>
      <c r="S563" t="str">
        <f>IF(po_master[[#This Row],[Invoice Unit Price]]&gt;po_master[[#This Row],[PO Unit Price]]*1.01, "Price Variance", "OK")</f>
        <v>OK</v>
      </c>
      <c r="T563" t="str">
        <f>IF(po_master[[#This Row],[Actual Delivery Date]]&gt;po_master[[#This Row],[Promised Delivey Date]], "Late Delivery", "OK")</f>
        <v>OK</v>
      </c>
      <c r="U563" t="str">
        <f>IF(COUNTIF(po_master[PO Number],po_master[[#This Row],[PO Number]])&gt;1, "Duplicate Invoice", "OK")</f>
        <v>OK</v>
      </c>
      <c r="V563" s="5">
        <f>IF(po_master[[#This Row],[Missing Approval]]="Missing Approval", 1, 0)</f>
        <v>0</v>
      </c>
      <c r="W563" s="5">
        <f>IF(po_master[[#This Row],[GR Receipt Status]]="No GR - Not Received", 1, 0)</f>
        <v>0</v>
      </c>
      <c r="X563" s="5">
        <f>IF(po_master[[#This Row],[No invoice]]="No Invoice", 1, 0)</f>
        <v>0</v>
      </c>
      <c r="Y563" s="5">
        <f>IF(po_master[[#This Row],[Date Check]]="Invalid Date", 1, 0)</f>
        <v>0</v>
      </c>
      <c r="Z563" s="5">
        <f>IF(po_master[[#This Row],[Qty Variance Flag]]="Qty Variance", 1, 0)</f>
        <v>0</v>
      </c>
      <c r="AA563" s="5">
        <f>IF(po_master[[#This Row],[Price Variance Flag]]="Price Variance", 1, 0)</f>
        <v>0</v>
      </c>
      <c r="AB563" s="5">
        <f>IF(po_master[[#This Row],[Late Delivery Flag]]="Late Delivery", 1, 0)</f>
        <v>0</v>
      </c>
      <c r="AC563" s="5">
        <f>IF(po_master[[#This Row],[Duplicate Invoice Flag]]="Duplicate Invoice", 1, 0)</f>
        <v>0</v>
      </c>
      <c r="AD563" s="5" t="str">
        <f>TEXT(po_master[[#This Row],[Order Date]],"YYYY-MM")</f>
        <v>2026-05</v>
      </c>
    </row>
    <row r="564" spans="1:30" x14ac:dyDescent="0.25">
      <c r="A564" t="s">
        <v>498</v>
      </c>
      <c r="B564" t="s">
        <v>1498</v>
      </c>
      <c r="C564" s="1">
        <v>46106</v>
      </c>
      <c r="D564">
        <v>307</v>
      </c>
      <c r="E564">
        <v>5.48</v>
      </c>
      <c r="F564" t="s">
        <v>1456</v>
      </c>
      <c r="G564" s="1">
        <v>46113</v>
      </c>
      <c r="H564">
        <v>307</v>
      </c>
      <c r="I564" s="1">
        <v>46111</v>
      </c>
      <c r="J564" t="s">
        <v>1262</v>
      </c>
      <c r="K564">
        <v>307</v>
      </c>
      <c r="L564">
        <v>5.48</v>
      </c>
      <c r="M564" s="1">
        <v>46119</v>
      </c>
      <c r="N564" t="str">
        <f>IF(po_master[[#This Row],[Approved By]]="", "Missing Approval", "OK")</f>
        <v>OK</v>
      </c>
      <c r="O564" t="str">
        <f>IF(ISBLANK(po_master[[#This Row],[GR Quantity]]), "No GR - Not received", "OK")</f>
        <v>OK</v>
      </c>
      <c r="P564" t="str">
        <f>IF(po_master[[#This Row],[Promised Delivey Date]]&lt;po_master[[#This Row],[Order Date]], "Invalid", "OK")</f>
        <v>OK</v>
      </c>
      <c r="Q564" t="str">
        <f>IF(ISBLANK(po_master[[#This Row],[Invoice Number]]), "No Invoice", "OK")</f>
        <v>OK</v>
      </c>
      <c r="R564" t="str">
        <f>IF(AND(NOT(ISBLANK(po_master[[#This Row],[GR Quantity]])), po_master[[#This Row],[GR Quantity]]&lt;&gt;po_master[[#This Row],[PO Quantity]]), "Qty Variance", "OK")</f>
        <v>OK</v>
      </c>
      <c r="S564" t="str">
        <f>IF(po_master[[#This Row],[Invoice Unit Price]]&gt;po_master[[#This Row],[PO Unit Price]]*1.01, "Price Variance", "OK")</f>
        <v>OK</v>
      </c>
      <c r="T564" t="str">
        <f>IF(po_master[[#This Row],[Actual Delivery Date]]&gt;po_master[[#This Row],[Promised Delivey Date]], "Late Delivery", "OK")</f>
        <v>OK</v>
      </c>
      <c r="U564" t="str">
        <f>IF(COUNTIF(po_master[PO Number],po_master[[#This Row],[PO Number]])&gt;1, "Duplicate Invoice", "OK")</f>
        <v>OK</v>
      </c>
      <c r="V564" s="5">
        <f>IF(po_master[[#This Row],[Missing Approval]]="Missing Approval", 1, 0)</f>
        <v>0</v>
      </c>
      <c r="W564" s="5">
        <f>IF(po_master[[#This Row],[GR Receipt Status]]="No GR - Not Received", 1, 0)</f>
        <v>0</v>
      </c>
      <c r="X564" s="5">
        <f>IF(po_master[[#This Row],[No invoice]]="No Invoice", 1, 0)</f>
        <v>0</v>
      </c>
      <c r="Y564" s="5">
        <f>IF(po_master[[#This Row],[Date Check]]="Invalid Date", 1, 0)</f>
        <v>0</v>
      </c>
      <c r="Z564" s="5">
        <f>IF(po_master[[#This Row],[Qty Variance Flag]]="Qty Variance", 1, 0)</f>
        <v>0</v>
      </c>
      <c r="AA564" s="5">
        <f>IF(po_master[[#This Row],[Price Variance Flag]]="Price Variance", 1, 0)</f>
        <v>0</v>
      </c>
      <c r="AB564" s="5">
        <f>IF(po_master[[#This Row],[Late Delivery Flag]]="Late Delivery", 1, 0)</f>
        <v>0</v>
      </c>
      <c r="AC564" s="5">
        <f>IF(po_master[[#This Row],[Duplicate Invoice Flag]]="Duplicate Invoice", 1, 0)</f>
        <v>0</v>
      </c>
      <c r="AD564" s="5" t="str">
        <f>TEXT(po_master[[#This Row],[Order Date]],"YYYY-MM")</f>
        <v>2026-03</v>
      </c>
    </row>
    <row r="565" spans="1:30" x14ac:dyDescent="0.25">
      <c r="A565" t="s">
        <v>499</v>
      </c>
      <c r="B565" t="s">
        <v>1477</v>
      </c>
      <c r="C565" s="1">
        <v>46140</v>
      </c>
      <c r="D565">
        <v>335</v>
      </c>
      <c r="E565">
        <v>134.51</v>
      </c>
      <c r="F565" t="s">
        <v>1451</v>
      </c>
      <c r="G565" s="1">
        <v>46147</v>
      </c>
      <c r="H565">
        <v>341</v>
      </c>
      <c r="I565" s="1">
        <v>46162</v>
      </c>
      <c r="J565" t="s">
        <v>1263</v>
      </c>
      <c r="K565">
        <v>335</v>
      </c>
      <c r="L565">
        <v>134.51</v>
      </c>
      <c r="M565" s="1">
        <v>46153</v>
      </c>
      <c r="N565" t="str">
        <f>IF(po_master[[#This Row],[Approved By]]="", "Missing Approval", "OK")</f>
        <v>OK</v>
      </c>
      <c r="O565" t="str">
        <f>IF(ISBLANK(po_master[[#This Row],[GR Quantity]]), "No GR - Not received", "OK")</f>
        <v>OK</v>
      </c>
      <c r="P565" t="str">
        <f>IF(po_master[[#This Row],[Promised Delivey Date]]&lt;po_master[[#This Row],[Order Date]], "Invalid", "OK")</f>
        <v>OK</v>
      </c>
      <c r="Q565" t="str">
        <f>IF(ISBLANK(po_master[[#This Row],[Invoice Number]]), "No Invoice", "OK")</f>
        <v>OK</v>
      </c>
      <c r="R565" t="str">
        <f>IF(AND(NOT(ISBLANK(po_master[[#This Row],[GR Quantity]])), po_master[[#This Row],[GR Quantity]]&lt;&gt;po_master[[#This Row],[PO Quantity]]), "Qty Variance", "OK")</f>
        <v>Qty Variance</v>
      </c>
      <c r="S565" t="str">
        <f>IF(po_master[[#This Row],[Invoice Unit Price]]&gt;po_master[[#This Row],[PO Unit Price]]*1.01, "Price Variance", "OK")</f>
        <v>OK</v>
      </c>
      <c r="T565" t="str">
        <f>IF(po_master[[#This Row],[Actual Delivery Date]]&gt;po_master[[#This Row],[Promised Delivey Date]], "Late Delivery", "OK")</f>
        <v>Late Delivery</v>
      </c>
      <c r="U565" t="str">
        <f>IF(COUNTIF(po_master[PO Number],po_master[[#This Row],[PO Number]])&gt;1, "Duplicate Invoice", "OK")</f>
        <v>OK</v>
      </c>
      <c r="V565" s="5">
        <f>IF(po_master[[#This Row],[Missing Approval]]="Missing Approval", 1, 0)</f>
        <v>0</v>
      </c>
      <c r="W565" s="5">
        <f>IF(po_master[[#This Row],[GR Receipt Status]]="No GR - Not Received", 1, 0)</f>
        <v>0</v>
      </c>
      <c r="X565" s="5">
        <f>IF(po_master[[#This Row],[No invoice]]="No Invoice", 1, 0)</f>
        <v>0</v>
      </c>
      <c r="Y565" s="5">
        <f>IF(po_master[[#This Row],[Date Check]]="Invalid Date", 1, 0)</f>
        <v>0</v>
      </c>
      <c r="Z565" s="5">
        <f>IF(po_master[[#This Row],[Qty Variance Flag]]="Qty Variance", 1, 0)</f>
        <v>1</v>
      </c>
      <c r="AA565" s="5">
        <f>IF(po_master[[#This Row],[Price Variance Flag]]="Price Variance", 1, 0)</f>
        <v>0</v>
      </c>
      <c r="AB565" s="5">
        <f>IF(po_master[[#This Row],[Late Delivery Flag]]="Late Delivery", 1, 0)</f>
        <v>1</v>
      </c>
      <c r="AC565" s="5">
        <f>IF(po_master[[#This Row],[Duplicate Invoice Flag]]="Duplicate Invoice", 1, 0)</f>
        <v>0</v>
      </c>
      <c r="AD565" s="5" t="str">
        <f>TEXT(po_master[[#This Row],[Order Date]],"YYYY-MM")</f>
        <v>2026-04</v>
      </c>
    </row>
    <row r="566" spans="1:30" x14ac:dyDescent="0.25">
      <c r="A566" t="s">
        <v>500</v>
      </c>
      <c r="B566" t="s">
        <v>1471</v>
      </c>
      <c r="C566" s="1">
        <v>46124</v>
      </c>
      <c r="D566">
        <v>121</v>
      </c>
      <c r="E566">
        <v>193.79</v>
      </c>
      <c r="F566" t="s">
        <v>1459</v>
      </c>
      <c r="G566" s="1">
        <v>46144</v>
      </c>
      <c r="H566">
        <v>121</v>
      </c>
      <c r="I566" s="1">
        <v>46144</v>
      </c>
      <c r="J566" t="s">
        <v>1264</v>
      </c>
      <c r="K566">
        <v>121</v>
      </c>
      <c r="L566">
        <v>193.79</v>
      </c>
      <c r="M566" s="1">
        <v>46153</v>
      </c>
      <c r="N566" t="str">
        <f>IF(po_master[[#This Row],[Approved By]]="", "Missing Approval", "OK")</f>
        <v>Missing Approval</v>
      </c>
      <c r="O566" t="str">
        <f>IF(ISBLANK(po_master[[#This Row],[GR Quantity]]), "No GR - Not received", "OK")</f>
        <v>OK</v>
      </c>
      <c r="P566" t="str">
        <f>IF(po_master[[#This Row],[Promised Delivey Date]]&lt;po_master[[#This Row],[Order Date]], "Invalid", "OK")</f>
        <v>OK</v>
      </c>
      <c r="Q566" t="str">
        <f>IF(ISBLANK(po_master[[#This Row],[Invoice Number]]), "No Invoice", "OK")</f>
        <v>OK</v>
      </c>
      <c r="R566" t="str">
        <f>IF(AND(NOT(ISBLANK(po_master[[#This Row],[GR Quantity]])), po_master[[#This Row],[GR Quantity]]&lt;&gt;po_master[[#This Row],[PO Quantity]]), "Qty Variance", "OK")</f>
        <v>OK</v>
      </c>
      <c r="S566" t="str">
        <f>IF(po_master[[#This Row],[Invoice Unit Price]]&gt;po_master[[#This Row],[PO Unit Price]]*1.01, "Price Variance", "OK")</f>
        <v>OK</v>
      </c>
      <c r="T566" t="str">
        <f>IF(po_master[[#This Row],[Actual Delivery Date]]&gt;po_master[[#This Row],[Promised Delivey Date]], "Late Delivery", "OK")</f>
        <v>OK</v>
      </c>
      <c r="U566" t="str">
        <f>IF(COUNTIF(po_master[PO Number],po_master[[#This Row],[PO Number]])&gt;1, "Duplicate Invoice", "OK")</f>
        <v>OK</v>
      </c>
      <c r="V566" s="5">
        <f>IF(po_master[[#This Row],[Missing Approval]]="Missing Approval", 1, 0)</f>
        <v>1</v>
      </c>
      <c r="W566" s="5">
        <f>IF(po_master[[#This Row],[GR Receipt Status]]="No GR - Not Received", 1, 0)</f>
        <v>0</v>
      </c>
      <c r="X566" s="5">
        <f>IF(po_master[[#This Row],[No invoice]]="No Invoice", 1, 0)</f>
        <v>0</v>
      </c>
      <c r="Y566" s="5">
        <f>IF(po_master[[#This Row],[Date Check]]="Invalid Date", 1, 0)</f>
        <v>0</v>
      </c>
      <c r="Z566" s="5">
        <f>IF(po_master[[#This Row],[Qty Variance Flag]]="Qty Variance", 1, 0)</f>
        <v>0</v>
      </c>
      <c r="AA566" s="5">
        <f>IF(po_master[[#This Row],[Price Variance Flag]]="Price Variance", 1, 0)</f>
        <v>0</v>
      </c>
      <c r="AB566" s="5">
        <f>IF(po_master[[#This Row],[Late Delivery Flag]]="Late Delivery", 1, 0)</f>
        <v>0</v>
      </c>
      <c r="AC566" s="5">
        <f>IF(po_master[[#This Row],[Duplicate Invoice Flag]]="Duplicate Invoice", 1, 0)</f>
        <v>0</v>
      </c>
      <c r="AD566" s="5" t="str">
        <f>TEXT(po_master[[#This Row],[Order Date]],"YYYY-MM")</f>
        <v>2026-04</v>
      </c>
    </row>
    <row r="567" spans="1:30" x14ac:dyDescent="0.25">
      <c r="A567" t="s">
        <v>501</v>
      </c>
      <c r="B567" t="s">
        <v>1511</v>
      </c>
      <c r="C567" s="1">
        <v>46105</v>
      </c>
      <c r="D567">
        <v>434</v>
      </c>
      <c r="E567">
        <v>60.3</v>
      </c>
      <c r="F567" t="s">
        <v>1442</v>
      </c>
      <c r="G567" s="1">
        <v>46114</v>
      </c>
      <c r="H567">
        <v>434</v>
      </c>
      <c r="I567" s="1">
        <v>46128</v>
      </c>
      <c r="J567" t="s">
        <v>1265</v>
      </c>
      <c r="K567">
        <v>434</v>
      </c>
      <c r="L567">
        <v>60.3</v>
      </c>
      <c r="M567" s="1">
        <v>46118</v>
      </c>
      <c r="N567" t="str">
        <f>IF(po_master[[#This Row],[Approved By]]="", "Missing Approval", "OK")</f>
        <v>OK</v>
      </c>
      <c r="O567" t="str">
        <f>IF(ISBLANK(po_master[[#This Row],[GR Quantity]]), "No GR - Not received", "OK")</f>
        <v>OK</v>
      </c>
      <c r="P567" t="str">
        <f>IF(po_master[[#This Row],[Promised Delivey Date]]&lt;po_master[[#This Row],[Order Date]], "Invalid", "OK")</f>
        <v>OK</v>
      </c>
      <c r="Q567" t="str">
        <f>IF(ISBLANK(po_master[[#This Row],[Invoice Number]]), "No Invoice", "OK")</f>
        <v>OK</v>
      </c>
      <c r="R567" t="str">
        <f>IF(AND(NOT(ISBLANK(po_master[[#This Row],[GR Quantity]])), po_master[[#This Row],[GR Quantity]]&lt;&gt;po_master[[#This Row],[PO Quantity]]), "Qty Variance", "OK")</f>
        <v>OK</v>
      </c>
      <c r="S567" t="str">
        <f>IF(po_master[[#This Row],[Invoice Unit Price]]&gt;po_master[[#This Row],[PO Unit Price]]*1.01, "Price Variance", "OK")</f>
        <v>OK</v>
      </c>
      <c r="T567" t="str">
        <f>IF(po_master[[#This Row],[Actual Delivery Date]]&gt;po_master[[#This Row],[Promised Delivey Date]], "Late Delivery", "OK")</f>
        <v>Late Delivery</v>
      </c>
      <c r="U567" t="str">
        <f>IF(COUNTIF(po_master[PO Number],po_master[[#This Row],[PO Number]])&gt;1, "Duplicate Invoice", "OK")</f>
        <v>OK</v>
      </c>
      <c r="V567" s="5">
        <f>IF(po_master[[#This Row],[Missing Approval]]="Missing Approval", 1, 0)</f>
        <v>0</v>
      </c>
      <c r="W567" s="5">
        <f>IF(po_master[[#This Row],[GR Receipt Status]]="No GR - Not Received", 1, 0)</f>
        <v>0</v>
      </c>
      <c r="X567" s="5">
        <f>IF(po_master[[#This Row],[No invoice]]="No Invoice", 1, 0)</f>
        <v>0</v>
      </c>
      <c r="Y567" s="5">
        <f>IF(po_master[[#This Row],[Date Check]]="Invalid Date", 1, 0)</f>
        <v>0</v>
      </c>
      <c r="Z567" s="5">
        <f>IF(po_master[[#This Row],[Qty Variance Flag]]="Qty Variance", 1, 0)</f>
        <v>0</v>
      </c>
      <c r="AA567" s="5">
        <f>IF(po_master[[#This Row],[Price Variance Flag]]="Price Variance", 1, 0)</f>
        <v>0</v>
      </c>
      <c r="AB567" s="5">
        <f>IF(po_master[[#This Row],[Late Delivery Flag]]="Late Delivery", 1, 0)</f>
        <v>1</v>
      </c>
      <c r="AC567" s="5">
        <f>IF(po_master[[#This Row],[Duplicate Invoice Flag]]="Duplicate Invoice", 1, 0)</f>
        <v>0</v>
      </c>
      <c r="AD567" s="5" t="str">
        <f>TEXT(po_master[[#This Row],[Order Date]],"YYYY-MM")</f>
        <v>2026-03</v>
      </c>
    </row>
    <row r="568" spans="1:30" x14ac:dyDescent="0.25">
      <c r="A568" t="s">
        <v>502</v>
      </c>
      <c r="B568" t="s">
        <v>1493</v>
      </c>
      <c r="C568" s="1">
        <v>46147</v>
      </c>
      <c r="D568">
        <v>413</v>
      </c>
      <c r="E568">
        <v>72.03</v>
      </c>
      <c r="F568" t="s">
        <v>1467</v>
      </c>
      <c r="G568" s="1">
        <v>46153</v>
      </c>
      <c r="H568">
        <v>413</v>
      </c>
      <c r="I568" s="1">
        <v>46155</v>
      </c>
      <c r="J568" t="s">
        <v>1266</v>
      </c>
      <c r="K568">
        <v>413</v>
      </c>
      <c r="L568">
        <v>72.03</v>
      </c>
      <c r="M568" s="1">
        <v>46155</v>
      </c>
      <c r="N568" t="str">
        <f>IF(po_master[[#This Row],[Approved By]]="", "Missing Approval", "OK")</f>
        <v>OK</v>
      </c>
      <c r="O568" t="str">
        <f>IF(ISBLANK(po_master[[#This Row],[GR Quantity]]), "No GR - Not received", "OK")</f>
        <v>OK</v>
      </c>
      <c r="P568" t="str">
        <f>IF(po_master[[#This Row],[Promised Delivey Date]]&lt;po_master[[#This Row],[Order Date]], "Invalid", "OK")</f>
        <v>OK</v>
      </c>
      <c r="Q568" t="str">
        <f>IF(ISBLANK(po_master[[#This Row],[Invoice Number]]), "No Invoice", "OK")</f>
        <v>OK</v>
      </c>
      <c r="R568" t="str">
        <f>IF(AND(NOT(ISBLANK(po_master[[#This Row],[GR Quantity]])), po_master[[#This Row],[GR Quantity]]&lt;&gt;po_master[[#This Row],[PO Quantity]]), "Qty Variance", "OK")</f>
        <v>OK</v>
      </c>
      <c r="S568" t="str">
        <f>IF(po_master[[#This Row],[Invoice Unit Price]]&gt;po_master[[#This Row],[PO Unit Price]]*1.01, "Price Variance", "OK")</f>
        <v>OK</v>
      </c>
      <c r="T568" t="str">
        <f>IF(po_master[[#This Row],[Actual Delivery Date]]&gt;po_master[[#This Row],[Promised Delivey Date]], "Late Delivery", "OK")</f>
        <v>Late Delivery</v>
      </c>
      <c r="U568" t="str">
        <f>IF(COUNTIF(po_master[PO Number],po_master[[#This Row],[PO Number]])&gt;1, "Duplicate Invoice", "OK")</f>
        <v>OK</v>
      </c>
      <c r="V568" s="5">
        <f>IF(po_master[[#This Row],[Missing Approval]]="Missing Approval", 1, 0)</f>
        <v>0</v>
      </c>
      <c r="W568" s="5">
        <f>IF(po_master[[#This Row],[GR Receipt Status]]="No GR - Not Received", 1, 0)</f>
        <v>0</v>
      </c>
      <c r="X568" s="5">
        <f>IF(po_master[[#This Row],[No invoice]]="No Invoice", 1, 0)</f>
        <v>0</v>
      </c>
      <c r="Y568" s="5">
        <f>IF(po_master[[#This Row],[Date Check]]="Invalid Date", 1, 0)</f>
        <v>0</v>
      </c>
      <c r="Z568" s="5">
        <f>IF(po_master[[#This Row],[Qty Variance Flag]]="Qty Variance", 1, 0)</f>
        <v>0</v>
      </c>
      <c r="AA568" s="5">
        <f>IF(po_master[[#This Row],[Price Variance Flag]]="Price Variance", 1, 0)</f>
        <v>0</v>
      </c>
      <c r="AB568" s="5">
        <f>IF(po_master[[#This Row],[Late Delivery Flag]]="Late Delivery", 1, 0)</f>
        <v>1</v>
      </c>
      <c r="AC568" s="5">
        <f>IF(po_master[[#This Row],[Duplicate Invoice Flag]]="Duplicate Invoice", 1, 0)</f>
        <v>0</v>
      </c>
      <c r="AD568" s="5" t="str">
        <f>TEXT(po_master[[#This Row],[Order Date]],"YYYY-MM")</f>
        <v>2026-05</v>
      </c>
    </row>
    <row r="569" spans="1:30" x14ac:dyDescent="0.25">
      <c r="A569" t="s">
        <v>503</v>
      </c>
      <c r="B569" t="s">
        <v>1452</v>
      </c>
      <c r="C569" s="1">
        <v>46048</v>
      </c>
      <c r="D569">
        <v>330</v>
      </c>
      <c r="E569">
        <v>157.86000000000001</v>
      </c>
      <c r="F569" t="s">
        <v>1469</v>
      </c>
      <c r="G569" s="1">
        <v>46053</v>
      </c>
      <c r="H569">
        <v>330</v>
      </c>
      <c r="I569" s="1">
        <v>46055</v>
      </c>
      <c r="J569" t="s">
        <v>1267</v>
      </c>
      <c r="K569">
        <v>330</v>
      </c>
      <c r="L569">
        <v>157.86000000000001</v>
      </c>
      <c r="M569" s="1">
        <v>46063</v>
      </c>
      <c r="N569" t="str">
        <f>IF(po_master[[#This Row],[Approved By]]="", "Missing Approval", "OK")</f>
        <v>OK</v>
      </c>
      <c r="O569" t="str">
        <f>IF(ISBLANK(po_master[[#This Row],[GR Quantity]]), "No GR - Not received", "OK")</f>
        <v>OK</v>
      </c>
      <c r="P569" t="str">
        <f>IF(po_master[[#This Row],[Promised Delivey Date]]&lt;po_master[[#This Row],[Order Date]], "Invalid", "OK")</f>
        <v>OK</v>
      </c>
      <c r="Q569" t="str">
        <f>IF(ISBLANK(po_master[[#This Row],[Invoice Number]]), "No Invoice", "OK")</f>
        <v>OK</v>
      </c>
      <c r="R569" t="str">
        <f>IF(AND(NOT(ISBLANK(po_master[[#This Row],[GR Quantity]])), po_master[[#This Row],[GR Quantity]]&lt;&gt;po_master[[#This Row],[PO Quantity]]), "Qty Variance", "OK")</f>
        <v>OK</v>
      </c>
      <c r="S569" t="str">
        <f>IF(po_master[[#This Row],[Invoice Unit Price]]&gt;po_master[[#This Row],[PO Unit Price]]*1.01, "Price Variance", "OK")</f>
        <v>OK</v>
      </c>
      <c r="T569" t="str">
        <f>IF(po_master[[#This Row],[Actual Delivery Date]]&gt;po_master[[#This Row],[Promised Delivey Date]], "Late Delivery", "OK")</f>
        <v>Late Delivery</v>
      </c>
      <c r="U569" t="str">
        <f>IF(COUNTIF(po_master[PO Number],po_master[[#This Row],[PO Number]])&gt;1, "Duplicate Invoice", "OK")</f>
        <v>OK</v>
      </c>
      <c r="V569" s="5">
        <f>IF(po_master[[#This Row],[Missing Approval]]="Missing Approval", 1, 0)</f>
        <v>0</v>
      </c>
      <c r="W569" s="5">
        <f>IF(po_master[[#This Row],[GR Receipt Status]]="No GR - Not Received", 1, 0)</f>
        <v>0</v>
      </c>
      <c r="X569" s="5">
        <f>IF(po_master[[#This Row],[No invoice]]="No Invoice", 1, 0)</f>
        <v>0</v>
      </c>
      <c r="Y569" s="5">
        <f>IF(po_master[[#This Row],[Date Check]]="Invalid Date", 1, 0)</f>
        <v>0</v>
      </c>
      <c r="Z569" s="5">
        <f>IF(po_master[[#This Row],[Qty Variance Flag]]="Qty Variance", 1, 0)</f>
        <v>0</v>
      </c>
      <c r="AA569" s="5">
        <f>IF(po_master[[#This Row],[Price Variance Flag]]="Price Variance", 1, 0)</f>
        <v>0</v>
      </c>
      <c r="AB569" s="5">
        <f>IF(po_master[[#This Row],[Late Delivery Flag]]="Late Delivery", 1, 0)</f>
        <v>1</v>
      </c>
      <c r="AC569" s="5">
        <f>IF(po_master[[#This Row],[Duplicate Invoice Flag]]="Duplicate Invoice", 1, 0)</f>
        <v>0</v>
      </c>
      <c r="AD569" s="5" t="str">
        <f>TEXT(po_master[[#This Row],[Order Date]],"YYYY-MM")</f>
        <v>2026-01</v>
      </c>
    </row>
    <row r="570" spans="1:30" x14ac:dyDescent="0.25">
      <c r="A570" t="s">
        <v>504</v>
      </c>
      <c r="B570" t="s">
        <v>1466</v>
      </c>
      <c r="C570" s="1">
        <v>46063</v>
      </c>
      <c r="D570">
        <v>235</v>
      </c>
      <c r="E570">
        <v>94.02</v>
      </c>
      <c r="F570" t="s">
        <v>1507</v>
      </c>
      <c r="G570" s="1">
        <v>46074</v>
      </c>
      <c r="H570">
        <v>235</v>
      </c>
      <c r="I570" s="1">
        <v>46074</v>
      </c>
      <c r="J570" t="s">
        <v>1268</v>
      </c>
      <c r="K570">
        <v>235</v>
      </c>
      <c r="L570">
        <v>111.9</v>
      </c>
      <c r="M570" s="1">
        <v>46079</v>
      </c>
      <c r="N570" t="str">
        <f>IF(po_master[[#This Row],[Approved By]]="", "Missing Approval", "OK")</f>
        <v>OK</v>
      </c>
      <c r="O570" t="str">
        <f>IF(ISBLANK(po_master[[#This Row],[GR Quantity]]), "No GR - Not received", "OK")</f>
        <v>OK</v>
      </c>
      <c r="P570" t="str">
        <f>IF(po_master[[#This Row],[Promised Delivey Date]]&lt;po_master[[#This Row],[Order Date]], "Invalid", "OK")</f>
        <v>OK</v>
      </c>
      <c r="Q570" t="str">
        <f>IF(ISBLANK(po_master[[#This Row],[Invoice Number]]), "No Invoice", "OK")</f>
        <v>OK</v>
      </c>
      <c r="R570" t="str">
        <f>IF(AND(NOT(ISBLANK(po_master[[#This Row],[GR Quantity]])), po_master[[#This Row],[GR Quantity]]&lt;&gt;po_master[[#This Row],[PO Quantity]]), "Qty Variance", "OK")</f>
        <v>OK</v>
      </c>
      <c r="S570" t="str">
        <f>IF(po_master[[#This Row],[Invoice Unit Price]]&gt;po_master[[#This Row],[PO Unit Price]]*1.01, "Price Variance", "OK")</f>
        <v>Price Variance</v>
      </c>
      <c r="T570" t="str">
        <f>IF(po_master[[#This Row],[Actual Delivery Date]]&gt;po_master[[#This Row],[Promised Delivey Date]], "Late Delivery", "OK")</f>
        <v>OK</v>
      </c>
      <c r="U570" t="str">
        <f>IF(COUNTIF(po_master[PO Number],po_master[[#This Row],[PO Number]])&gt;1, "Duplicate Invoice", "OK")</f>
        <v>OK</v>
      </c>
      <c r="V570" s="5">
        <f>IF(po_master[[#This Row],[Missing Approval]]="Missing Approval", 1, 0)</f>
        <v>0</v>
      </c>
      <c r="W570" s="5">
        <f>IF(po_master[[#This Row],[GR Receipt Status]]="No GR - Not Received", 1, 0)</f>
        <v>0</v>
      </c>
      <c r="X570" s="5">
        <f>IF(po_master[[#This Row],[No invoice]]="No Invoice", 1, 0)</f>
        <v>0</v>
      </c>
      <c r="Y570" s="5">
        <f>IF(po_master[[#This Row],[Date Check]]="Invalid Date", 1, 0)</f>
        <v>0</v>
      </c>
      <c r="Z570" s="5">
        <f>IF(po_master[[#This Row],[Qty Variance Flag]]="Qty Variance", 1, 0)</f>
        <v>0</v>
      </c>
      <c r="AA570" s="5">
        <f>IF(po_master[[#This Row],[Price Variance Flag]]="Price Variance", 1, 0)</f>
        <v>1</v>
      </c>
      <c r="AB570" s="5">
        <f>IF(po_master[[#This Row],[Late Delivery Flag]]="Late Delivery", 1, 0)</f>
        <v>0</v>
      </c>
      <c r="AC570" s="5">
        <f>IF(po_master[[#This Row],[Duplicate Invoice Flag]]="Duplicate Invoice", 1, 0)</f>
        <v>0</v>
      </c>
      <c r="AD570" s="5" t="str">
        <f>TEXT(po_master[[#This Row],[Order Date]],"YYYY-MM")</f>
        <v>2026-02</v>
      </c>
    </row>
    <row r="571" spans="1:30" x14ac:dyDescent="0.25">
      <c r="A571" t="s">
        <v>505</v>
      </c>
      <c r="B571" t="s">
        <v>1449</v>
      </c>
      <c r="C571" s="1">
        <v>46056</v>
      </c>
      <c r="D571">
        <v>461</v>
      </c>
      <c r="E571">
        <v>131.75</v>
      </c>
      <c r="F571" t="s">
        <v>1501</v>
      </c>
      <c r="G571" s="1">
        <v>46069</v>
      </c>
      <c r="H571">
        <v>461</v>
      </c>
      <c r="I571" s="1">
        <v>46071</v>
      </c>
      <c r="J571" t="s">
        <v>1269</v>
      </c>
      <c r="K571">
        <v>461</v>
      </c>
      <c r="L571">
        <v>131.75</v>
      </c>
      <c r="M571" s="1">
        <v>46072</v>
      </c>
      <c r="N571" t="str">
        <f>IF(po_master[[#This Row],[Approved By]]="", "Missing Approval", "OK")</f>
        <v>OK</v>
      </c>
      <c r="O571" t="str">
        <f>IF(ISBLANK(po_master[[#This Row],[GR Quantity]]), "No GR - Not received", "OK")</f>
        <v>OK</v>
      </c>
      <c r="P571" t="str">
        <f>IF(po_master[[#This Row],[Promised Delivey Date]]&lt;po_master[[#This Row],[Order Date]], "Invalid", "OK")</f>
        <v>OK</v>
      </c>
      <c r="Q571" t="str">
        <f>IF(ISBLANK(po_master[[#This Row],[Invoice Number]]), "No Invoice", "OK")</f>
        <v>OK</v>
      </c>
      <c r="R571" t="str">
        <f>IF(AND(NOT(ISBLANK(po_master[[#This Row],[GR Quantity]])), po_master[[#This Row],[GR Quantity]]&lt;&gt;po_master[[#This Row],[PO Quantity]]), "Qty Variance", "OK")</f>
        <v>OK</v>
      </c>
      <c r="S571" t="str">
        <f>IF(po_master[[#This Row],[Invoice Unit Price]]&gt;po_master[[#This Row],[PO Unit Price]]*1.01, "Price Variance", "OK")</f>
        <v>OK</v>
      </c>
      <c r="T571" t="str">
        <f>IF(po_master[[#This Row],[Actual Delivery Date]]&gt;po_master[[#This Row],[Promised Delivey Date]], "Late Delivery", "OK")</f>
        <v>Late Delivery</v>
      </c>
      <c r="U571" t="str">
        <f>IF(COUNTIF(po_master[PO Number],po_master[[#This Row],[PO Number]])&gt;1, "Duplicate Invoice", "OK")</f>
        <v>OK</v>
      </c>
      <c r="V571" s="5">
        <f>IF(po_master[[#This Row],[Missing Approval]]="Missing Approval", 1, 0)</f>
        <v>0</v>
      </c>
      <c r="W571" s="5">
        <f>IF(po_master[[#This Row],[GR Receipt Status]]="No GR - Not Received", 1, 0)</f>
        <v>0</v>
      </c>
      <c r="X571" s="5">
        <f>IF(po_master[[#This Row],[No invoice]]="No Invoice", 1, 0)</f>
        <v>0</v>
      </c>
      <c r="Y571" s="5">
        <f>IF(po_master[[#This Row],[Date Check]]="Invalid Date", 1, 0)</f>
        <v>0</v>
      </c>
      <c r="Z571" s="5">
        <f>IF(po_master[[#This Row],[Qty Variance Flag]]="Qty Variance", 1, 0)</f>
        <v>0</v>
      </c>
      <c r="AA571" s="5">
        <f>IF(po_master[[#This Row],[Price Variance Flag]]="Price Variance", 1, 0)</f>
        <v>0</v>
      </c>
      <c r="AB571" s="5">
        <f>IF(po_master[[#This Row],[Late Delivery Flag]]="Late Delivery", 1, 0)</f>
        <v>1</v>
      </c>
      <c r="AC571" s="5">
        <f>IF(po_master[[#This Row],[Duplicate Invoice Flag]]="Duplicate Invoice", 1, 0)</f>
        <v>0</v>
      </c>
      <c r="AD571" s="5" t="str">
        <f>TEXT(po_master[[#This Row],[Order Date]],"YYYY-MM")</f>
        <v>2026-02</v>
      </c>
    </row>
    <row r="572" spans="1:30" x14ac:dyDescent="0.25">
      <c r="A572" t="s">
        <v>506</v>
      </c>
      <c r="B572" t="s">
        <v>1457</v>
      </c>
      <c r="C572" s="1">
        <v>46115</v>
      </c>
      <c r="D572">
        <v>138</v>
      </c>
      <c r="E572">
        <v>21.07</v>
      </c>
      <c r="F572" t="s">
        <v>1467</v>
      </c>
      <c r="G572" s="1">
        <v>46125</v>
      </c>
      <c r="H572">
        <v>150</v>
      </c>
      <c r="I572" s="1">
        <v>46126</v>
      </c>
      <c r="J572" t="s">
        <v>1270</v>
      </c>
      <c r="K572">
        <v>138</v>
      </c>
      <c r="L572">
        <v>21.07</v>
      </c>
      <c r="M572" s="1">
        <v>46128</v>
      </c>
      <c r="N572" t="str">
        <f>IF(po_master[[#This Row],[Approved By]]="", "Missing Approval", "OK")</f>
        <v>OK</v>
      </c>
      <c r="O572" t="str">
        <f>IF(ISBLANK(po_master[[#This Row],[GR Quantity]]), "No GR - Not received", "OK")</f>
        <v>OK</v>
      </c>
      <c r="P572" t="str">
        <f>IF(po_master[[#This Row],[Promised Delivey Date]]&lt;po_master[[#This Row],[Order Date]], "Invalid", "OK")</f>
        <v>OK</v>
      </c>
      <c r="Q572" t="str">
        <f>IF(ISBLANK(po_master[[#This Row],[Invoice Number]]), "No Invoice", "OK")</f>
        <v>OK</v>
      </c>
      <c r="R572" t="str">
        <f>IF(AND(NOT(ISBLANK(po_master[[#This Row],[GR Quantity]])), po_master[[#This Row],[GR Quantity]]&lt;&gt;po_master[[#This Row],[PO Quantity]]), "Qty Variance", "OK")</f>
        <v>Qty Variance</v>
      </c>
      <c r="S572" t="str">
        <f>IF(po_master[[#This Row],[Invoice Unit Price]]&gt;po_master[[#This Row],[PO Unit Price]]*1.01, "Price Variance", "OK")</f>
        <v>OK</v>
      </c>
      <c r="T572" t="str">
        <f>IF(po_master[[#This Row],[Actual Delivery Date]]&gt;po_master[[#This Row],[Promised Delivey Date]], "Late Delivery", "OK")</f>
        <v>Late Delivery</v>
      </c>
      <c r="U572" t="str">
        <f>IF(COUNTIF(po_master[PO Number],po_master[[#This Row],[PO Number]])&gt;1, "Duplicate Invoice", "OK")</f>
        <v>OK</v>
      </c>
      <c r="V572" s="5">
        <f>IF(po_master[[#This Row],[Missing Approval]]="Missing Approval", 1, 0)</f>
        <v>0</v>
      </c>
      <c r="W572" s="5">
        <f>IF(po_master[[#This Row],[GR Receipt Status]]="No GR - Not Received", 1, 0)</f>
        <v>0</v>
      </c>
      <c r="X572" s="5">
        <f>IF(po_master[[#This Row],[No invoice]]="No Invoice", 1, 0)</f>
        <v>0</v>
      </c>
      <c r="Y572" s="5">
        <f>IF(po_master[[#This Row],[Date Check]]="Invalid Date", 1, 0)</f>
        <v>0</v>
      </c>
      <c r="Z572" s="5">
        <f>IF(po_master[[#This Row],[Qty Variance Flag]]="Qty Variance", 1, 0)</f>
        <v>1</v>
      </c>
      <c r="AA572" s="5">
        <f>IF(po_master[[#This Row],[Price Variance Flag]]="Price Variance", 1, 0)</f>
        <v>0</v>
      </c>
      <c r="AB572" s="5">
        <f>IF(po_master[[#This Row],[Late Delivery Flag]]="Late Delivery", 1, 0)</f>
        <v>1</v>
      </c>
      <c r="AC572" s="5">
        <f>IF(po_master[[#This Row],[Duplicate Invoice Flag]]="Duplicate Invoice", 1, 0)</f>
        <v>0</v>
      </c>
      <c r="AD572" s="5" t="str">
        <f>TEXT(po_master[[#This Row],[Order Date]],"YYYY-MM")</f>
        <v>2026-04</v>
      </c>
    </row>
    <row r="573" spans="1:30" x14ac:dyDescent="0.25">
      <c r="A573" t="s">
        <v>507</v>
      </c>
      <c r="B573" t="s">
        <v>1475</v>
      </c>
      <c r="C573" s="1">
        <v>46124</v>
      </c>
      <c r="D573">
        <v>330</v>
      </c>
      <c r="E573">
        <v>64.569999999999993</v>
      </c>
      <c r="F573" t="s">
        <v>1499</v>
      </c>
      <c r="G573" s="1">
        <v>46136</v>
      </c>
      <c r="H573">
        <v>330</v>
      </c>
      <c r="I573" s="1">
        <v>46135</v>
      </c>
      <c r="J573" t="s">
        <v>1271</v>
      </c>
      <c r="K573">
        <v>330</v>
      </c>
      <c r="L573">
        <v>64.569999999999993</v>
      </c>
      <c r="M573" s="1">
        <v>46140</v>
      </c>
      <c r="N573" t="str">
        <f>IF(po_master[[#This Row],[Approved By]]="", "Missing Approval", "OK")</f>
        <v>OK</v>
      </c>
      <c r="O573" t="str">
        <f>IF(ISBLANK(po_master[[#This Row],[GR Quantity]]), "No GR - Not received", "OK")</f>
        <v>OK</v>
      </c>
      <c r="P573" t="str">
        <f>IF(po_master[[#This Row],[Promised Delivey Date]]&lt;po_master[[#This Row],[Order Date]], "Invalid", "OK")</f>
        <v>OK</v>
      </c>
      <c r="Q573" t="str">
        <f>IF(ISBLANK(po_master[[#This Row],[Invoice Number]]), "No Invoice", "OK")</f>
        <v>OK</v>
      </c>
      <c r="R573" t="str">
        <f>IF(AND(NOT(ISBLANK(po_master[[#This Row],[GR Quantity]])), po_master[[#This Row],[GR Quantity]]&lt;&gt;po_master[[#This Row],[PO Quantity]]), "Qty Variance", "OK")</f>
        <v>OK</v>
      </c>
      <c r="S573" t="str">
        <f>IF(po_master[[#This Row],[Invoice Unit Price]]&gt;po_master[[#This Row],[PO Unit Price]]*1.01, "Price Variance", "OK")</f>
        <v>OK</v>
      </c>
      <c r="T573" t="str">
        <f>IF(po_master[[#This Row],[Actual Delivery Date]]&gt;po_master[[#This Row],[Promised Delivey Date]], "Late Delivery", "OK")</f>
        <v>OK</v>
      </c>
      <c r="U573" t="str">
        <f>IF(COUNTIF(po_master[PO Number],po_master[[#This Row],[PO Number]])&gt;1, "Duplicate Invoice", "OK")</f>
        <v>OK</v>
      </c>
      <c r="V573" s="5">
        <f>IF(po_master[[#This Row],[Missing Approval]]="Missing Approval", 1, 0)</f>
        <v>0</v>
      </c>
      <c r="W573" s="5">
        <f>IF(po_master[[#This Row],[GR Receipt Status]]="No GR - Not Received", 1, 0)</f>
        <v>0</v>
      </c>
      <c r="X573" s="5">
        <f>IF(po_master[[#This Row],[No invoice]]="No Invoice", 1, 0)</f>
        <v>0</v>
      </c>
      <c r="Y573" s="5">
        <f>IF(po_master[[#This Row],[Date Check]]="Invalid Date", 1, 0)</f>
        <v>0</v>
      </c>
      <c r="Z573" s="5">
        <f>IF(po_master[[#This Row],[Qty Variance Flag]]="Qty Variance", 1, 0)</f>
        <v>0</v>
      </c>
      <c r="AA573" s="5">
        <f>IF(po_master[[#This Row],[Price Variance Flag]]="Price Variance", 1, 0)</f>
        <v>0</v>
      </c>
      <c r="AB573" s="5">
        <f>IF(po_master[[#This Row],[Late Delivery Flag]]="Late Delivery", 1, 0)</f>
        <v>0</v>
      </c>
      <c r="AC573" s="5">
        <f>IF(po_master[[#This Row],[Duplicate Invoice Flag]]="Duplicate Invoice", 1, 0)</f>
        <v>0</v>
      </c>
      <c r="AD573" s="5" t="str">
        <f>TEXT(po_master[[#This Row],[Order Date]],"YYYY-MM")</f>
        <v>2026-04</v>
      </c>
    </row>
    <row r="574" spans="1:30" x14ac:dyDescent="0.25">
      <c r="A574" t="s">
        <v>508</v>
      </c>
      <c r="B574" t="s">
        <v>1500</v>
      </c>
      <c r="C574" s="1">
        <v>46046</v>
      </c>
      <c r="D574">
        <v>370</v>
      </c>
      <c r="E574">
        <v>23.56</v>
      </c>
      <c r="F574" t="s">
        <v>1444</v>
      </c>
      <c r="G574" s="1">
        <v>46066</v>
      </c>
      <c r="H574">
        <v>370</v>
      </c>
      <c r="I574" s="1">
        <v>46068</v>
      </c>
      <c r="J574" t="s">
        <v>1272</v>
      </c>
      <c r="K574">
        <v>370</v>
      </c>
      <c r="L574">
        <v>27.3</v>
      </c>
      <c r="M574" s="1">
        <v>46076</v>
      </c>
      <c r="N574" t="str">
        <f>IF(po_master[[#This Row],[Approved By]]="", "Missing Approval", "OK")</f>
        <v>OK</v>
      </c>
      <c r="O574" t="str">
        <f>IF(ISBLANK(po_master[[#This Row],[GR Quantity]]), "No GR - Not received", "OK")</f>
        <v>OK</v>
      </c>
      <c r="P574" t="str">
        <f>IF(po_master[[#This Row],[Promised Delivey Date]]&lt;po_master[[#This Row],[Order Date]], "Invalid", "OK")</f>
        <v>OK</v>
      </c>
      <c r="Q574" t="str">
        <f>IF(ISBLANK(po_master[[#This Row],[Invoice Number]]), "No Invoice", "OK")</f>
        <v>OK</v>
      </c>
      <c r="R574" t="str">
        <f>IF(AND(NOT(ISBLANK(po_master[[#This Row],[GR Quantity]])), po_master[[#This Row],[GR Quantity]]&lt;&gt;po_master[[#This Row],[PO Quantity]]), "Qty Variance", "OK")</f>
        <v>OK</v>
      </c>
      <c r="S574" t="str">
        <f>IF(po_master[[#This Row],[Invoice Unit Price]]&gt;po_master[[#This Row],[PO Unit Price]]*1.01, "Price Variance", "OK")</f>
        <v>Price Variance</v>
      </c>
      <c r="T574" t="str">
        <f>IF(po_master[[#This Row],[Actual Delivery Date]]&gt;po_master[[#This Row],[Promised Delivey Date]], "Late Delivery", "OK")</f>
        <v>Late Delivery</v>
      </c>
      <c r="U574" t="str">
        <f>IF(COUNTIF(po_master[PO Number],po_master[[#This Row],[PO Number]])&gt;1, "Duplicate Invoice", "OK")</f>
        <v>OK</v>
      </c>
      <c r="V574" s="5">
        <f>IF(po_master[[#This Row],[Missing Approval]]="Missing Approval", 1, 0)</f>
        <v>0</v>
      </c>
      <c r="W574" s="5">
        <f>IF(po_master[[#This Row],[GR Receipt Status]]="No GR - Not Received", 1, 0)</f>
        <v>0</v>
      </c>
      <c r="X574" s="5">
        <f>IF(po_master[[#This Row],[No invoice]]="No Invoice", 1, 0)</f>
        <v>0</v>
      </c>
      <c r="Y574" s="5">
        <f>IF(po_master[[#This Row],[Date Check]]="Invalid Date", 1, 0)</f>
        <v>0</v>
      </c>
      <c r="Z574" s="5">
        <f>IF(po_master[[#This Row],[Qty Variance Flag]]="Qty Variance", 1, 0)</f>
        <v>0</v>
      </c>
      <c r="AA574" s="5">
        <f>IF(po_master[[#This Row],[Price Variance Flag]]="Price Variance", 1, 0)</f>
        <v>1</v>
      </c>
      <c r="AB574" s="5">
        <f>IF(po_master[[#This Row],[Late Delivery Flag]]="Late Delivery", 1, 0)</f>
        <v>1</v>
      </c>
      <c r="AC574" s="5">
        <f>IF(po_master[[#This Row],[Duplicate Invoice Flag]]="Duplicate Invoice", 1, 0)</f>
        <v>0</v>
      </c>
      <c r="AD574" s="5" t="str">
        <f>TEXT(po_master[[#This Row],[Order Date]],"YYYY-MM")</f>
        <v>2026-01</v>
      </c>
    </row>
    <row r="575" spans="1:30" x14ac:dyDescent="0.25">
      <c r="A575" t="s">
        <v>1250</v>
      </c>
      <c r="B575" t="s">
        <v>1500</v>
      </c>
      <c r="C575" s="1">
        <v>46049</v>
      </c>
      <c r="D575">
        <v>386</v>
      </c>
      <c r="E575">
        <v>166.86</v>
      </c>
      <c r="F575" t="s">
        <v>1456</v>
      </c>
      <c r="G575" s="1">
        <v>46061</v>
      </c>
      <c r="I575" s="1"/>
      <c r="J575" t="s">
        <v>1251</v>
      </c>
      <c r="K575">
        <v>386</v>
      </c>
      <c r="L575">
        <v>166.86</v>
      </c>
      <c r="M575" s="1">
        <v>46071</v>
      </c>
      <c r="N575" t="str">
        <f>IF(po_master[[#This Row],[Approved By]]="", "Missing Approval", "OK")</f>
        <v>OK</v>
      </c>
      <c r="O575" t="str">
        <f>IF(ISBLANK(po_master[[#This Row],[GR Quantity]]), "No GR - Not received", "OK")</f>
        <v>No GR - Not received</v>
      </c>
      <c r="P575" t="str">
        <f>IF(po_master[[#This Row],[Promised Delivey Date]]&lt;po_master[[#This Row],[Order Date]], "Invalid", "OK")</f>
        <v>OK</v>
      </c>
      <c r="Q575" t="str">
        <f>IF(ISBLANK(po_master[[#This Row],[Invoice Number]]), "No Invoice", "OK")</f>
        <v>OK</v>
      </c>
      <c r="R575" t="str">
        <f>IF(AND(NOT(ISBLANK(po_master[[#This Row],[GR Quantity]])), po_master[[#This Row],[GR Quantity]]&lt;&gt;po_master[[#This Row],[PO Quantity]]), "Qty Variance", "OK")</f>
        <v>OK</v>
      </c>
      <c r="S575" t="str">
        <f>IF(po_master[[#This Row],[Invoice Unit Price]]&gt;po_master[[#This Row],[PO Unit Price]]*1.01, "Price Variance", "OK")</f>
        <v>OK</v>
      </c>
      <c r="T575" t="str">
        <f>IF(po_master[[#This Row],[Actual Delivery Date]]&gt;po_master[[#This Row],[Promised Delivey Date]], "Late Delivery", "OK")</f>
        <v>OK</v>
      </c>
      <c r="U575" t="str">
        <f>IF(COUNTIF(po_master[PO Number],po_master[[#This Row],[PO Number]])&gt;1, "Duplicate Invoice", "OK")</f>
        <v>OK</v>
      </c>
      <c r="V575" s="5">
        <f>IF(po_master[[#This Row],[Missing Approval]]="Missing Approval", 1, 0)</f>
        <v>0</v>
      </c>
      <c r="W575" s="5">
        <f>IF(po_master[[#This Row],[GR Receipt Status]]="No GR - Not Received", 1, 0)</f>
        <v>1</v>
      </c>
      <c r="X575" s="5">
        <f>IF(po_master[[#This Row],[No invoice]]="No Invoice", 1, 0)</f>
        <v>0</v>
      </c>
      <c r="Y575" s="5">
        <f>IF(po_master[[#This Row],[Date Check]]="Invalid Date", 1, 0)</f>
        <v>0</v>
      </c>
      <c r="Z575" s="5">
        <f>IF(po_master[[#This Row],[Qty Variance Flag]]="Qty Variance", 1, 0)</f>
        <v>0</v>
      </c>
      <c r="AA575" s="5">
        <f>IF(po_master[[#This Row],[Price Variance Flag]]="Price Variance", 1, 0)</f>
        <v>0</v>
      </c>
      <c r="AB575" s="5">
        <f>IF(po_master[[#This Row],[Late Delivery Flag]]="Late Delivery", 1, 0)</f>
        <v>0</v>
      </c>
      <c r="AC575" s="5">
        <f>IF(po_master[[#This Row],[Duplicate Invoice Flag]]="Duplicate Invoice", 1, 0)</f>
        <v>0</v>
      </c>
      <c r="AD575" s="5" t="str">
        <f>TEXT(po_master[[#This Row],[Order Date]],"YYYY-MM")</f>
        <v>2026-01</v>
      </c>
    </row>
    <row r="576" spans="1:30" x14ac:dyDescent="0.25">
      <c r="A576" t="s">
        <v>509</v>
      </c>
      <c r="B576" t="s">
        <v>1492</v>
      </c>
      <c r="C576" s="1">
        <v>46056</v>
      </c>
      <c r="D576">
        <v>313</v>
      </c>
      <c r="E576">
        <v>49.11</v>
      </c>
      <c r="F576" t="s">
        <v>1467</v>
      </c>
      <c r="G576" s="1">
        <v>46075</v>
      </c>
      <c r="H576">
        <v>313</v>
      </c>
      <c r="I576" s="1">
        <v>46077</v>
      </c>
      <c r="J576" t="s">
        <v>1273</v>
      </c>
      <c r="K576">
        <v>313</v>
      </c>
      <c r="L576">
        <v>49.11</v>
      </c>
      <c r="M576" s="1">
        <v>46078</v>
      </c>
      <c r="N576" t="str">
        <f>IF(po_master[[#This Row],[Approved By]]="", "Missing Approval", "OK")</f>
        <v>OK</v>
      </c>
      <c r="O576" t="str">
        <f>IF(ISBLANK(po_master[[#This Row],[GR Quantity]]), "No GR - Not received", "OK")</f>
        <v>OK</v>
      </c>
      <c r="P576" t="str">
        <f>IF(po_master[[#This Row],[Promised Delivey Date]]&lt;po_master[[#This Row],[Order Date]], "Invalid", "OK")</f>
        <v>OK</v>
      </c>
      <c r="Q576" t="str">
        <f>IF(ISBLANK(po_master[[#This Row],[Invoice Number]]), "No Invoice", "OK")</f>
        <v>OK</v>
      </c>
      <c r="R576" t="str">
        <f>IF(AND(NOT(ISBLANK(po_master[[#This Row],[GR Quantity]])), po_master[[#This Row],[GR Quantity]]&lt;&gt;po_master[[#This Row],[PO Quantity]]), "Qty Variance", "OK")</f>
        <v>OK</v>
      </c>
      <c r="S576" t="str">
        <f>IF(po_master[[#This Row],[Invoice Unit Price]]&gt;po_master[[#This Row],[PO Unit Price]]*1.01, "Price Variance", "OK")</f>
        <v>OK</v>
      </c>
      <c r="T576" t="str">
        <f>IF(po_master[[#This Row],[Actual Delivery Date]]&gt;po_master[[#This Row],[Promised Delivey Date]], "Late Delivery", "OK")</f>
        <v>Late Delivery</v>
      </c>
      <c r="U576" t="str">
        <f>IF(COUNTIF(po_master[PO Number],po_master[[#This Row],[PO Number]])&gt;1, "Duplicate Invoice", "OK")</f>
        <v>OK</v>
      </c>
      <c r="V576" s="5">
        <f>IF(po_master[[#This Row],[Missing Approval]]="Missing Approval", 1, 0)</f>
        <v>0</v>
      </c>
      <c r="W576" s="5">
        <f>IF(po_master[[#This Row],[GR Receipt Status]]="No GR - Not Received", 1, 0)</f>
        <v>0</v>
      </c>
      <c r="X576" s="5">
        <f>IF(po_master[[#This Row],[No invoice]]="No Invoice", 1, 0)</f>
        <v>0</v>
      </c>
      <c r="Y576" s="5">
        <f>IF(po_master[[#This Row],[Date Check]]="Invalid Date", 1, 0)</f>
        <v>0</v>
      </c>
      <c r="Z576" s="5">
        <f>IF(po_master[[#This Row],[Qty Variance Flag]]="Qty Variance", 1, 0)</f>
        <v>0</v>
      </c>
      <c r="AA576" s="5">
        <f>IF(po_master[[#This Row],[Price Variance Flag]]="Price Variance", 1, 0)</f>
        <v>0</v>
      </c>
      <c r="AB576" s="5">
        <f>IF(po_master[[#This Row],[Late Delivery Flag]]="Late Delivery", 1, 0)</f>
        <v>1</v>
      </c>
      <c r="AC576" s="5">
        <f>IF(po_master[[#This Row],[Duplicate Invoice Flag]]="Duplicate Invoice", 1, 0)</f>
        <v>0</v>
      </c>
      <c r="AD576" s="5" t="str">
        <f>TEXT(po_master[[#This Row],[Order Date]],"YYYY-MM")</f>
        <v>2026-02</v>
      </c>
    </row>
    <row r="577" spans="1:30" x14ac:dyDescent="0.25">
      <c r="A577" t="s">
        <v>510</v>
      </c>
      <c r="B577" t="s">
        <v>1481</v>
      </c>
      <c r="C577" s="1">
        <v>46025</v>
      </c>
      <c r="D577">
        <v>366</v>
      </c>
      <c r="E577">
        <v>72</v>
      </c>
      <c r="F577" t="s">
        <v>1483</v>
      </c>
      <c r="G577" s="1">
        <v>46043</v>
      </c>
      <c r="H577">
        <v>366</v>
      </c>
      <c r="I577" s="1">
        <v>46044</v>
      </c>
      <c r="J577" t="s">
        <v>1274</v>
      </c>
      <c r="K577">
        <v>366</v>
      </c>
      <c r="L577">
        <v>72</v>
      </c>
      <c r="M577" s="1">
        <v>46046</v>
      </c>
      <c r="N577" t="str">
        <f>IF(po_master[[#This Row],[Approved By]]="", "Missing Approval", "OK")</f>
        <v>OK</v>
      </c>
      <c r="O577" t="str">
        <f>IF(ISBLANK(po_master[[#This Row],[GR Quantity]]), "No GR - Not received", "OK")</f>
        <v>OK</v>
      </c>
      <c r="P577" t="str">
        <f>IF(po_master[[#This Row],[Promised Delivey Date]]&lt;po_master[[#This Row],[Order Date]], "Invalid", "OK")</f>
        <v>OK</v>
      </c>
      <c r="Q577" t="str">
        <f>IF(ISBLANK(po_master[[#This Row],[Invoice Number]]), "No Invoice", "OK")</f>
        <v>OK</v>
      </c>
      <c r="R577" t="str">
        <f>IF(AND(NOT(ISBLANK(po_master[[#This Row],[GR Quantity]])), po_master[[#This Row],[GR Quantity]]&lt;&gt;po_master[[#This Row],[PO Quantity]]), "Qty Variance", "OK")</f>
        <v>OK</v>
      </c>
      <c r="S577" t="str">
        <f>IF(po_master[[#This Row],[Invoice Unit Price]]&gt;po_master[[#This Row],[PO Unit Price]]*1.01, "Price Variance", "OK")</f>
        <v>OK</v>
      </c>
      <c r="T577" t="str">
        <f>IF(po_master[[#This Row],[Actual Delivery Date]]&gt;po_master[[#This Row],[Promised Delivey Date]], "Late Delivery", "OK")</f>
        <v>Late Delivery</v>
      </c>
      <c r="U577" t="str">
        <f>IF(COUNTIF(po_master[PO Number],po_master[[#This Row],[PO Number]])&gt;1, "Duplicate Invoice", "OK")</f>
        <v>OK</v>
      </c>
      <c r="V577" s="5">
        <f>IF(po_master[[#This Row],[Missing Approval]]="Missing Approval", 1, 0)</f>
        <v>0</v>
      </c>
      <c r="W577" s="5">
        <f>IF(po_master[[#This Row],[GR Receipt Status]]="No GR - Not Received", 1, 0)</f>
        <v>0</v>
      </c>
      <c r="X577" s="5">
        <f>IF(po_master[[#This Row],[No invoice]]="No Invoice", 1, 0)</f>
        <v>0</v>
      </c>
      <c r="Y577" s="5">
        <f>IF(po_master[[#This Row],[Date Check]]="Invalid Date", 1, 0)</f>
        <v>0</v>
      </c>
      <c r="Z577" s="5">
        <f>IF(po_master[[#This Row],[Qty Variance Flag]]="Qty Variance", 1, 0)</f>
        <v>0</v>
      </c>
      <c r="AA577" s="5">
        <f>IF(po_master[[#This Row],[Price Variance Flag]]="Price Variance", 1, 0)</f>
        <v>0</v>
      </c>
      <c r="AB577" s="5">
        <f>IF(po_master[[#This Row],[Late Delivery Flag]]="Late Delivery", 1, 0)</f>
        <v>1</v>
      </c>
      <c r="AC577" s="5">
        <f>IF(po_master[[#This Row],[Duplicate Invoice Flag]]="Duplicate Invoice", 1, 0)</f>
        <v>0</v>
      </c>
      <c r="AD577" s="5" t="str">
        <f>TEXT(po_master[[#This Row],[Order Date]],"YYYY-MM")</f>
        <v>2026-01</v>
      </c>
    </row>
    <row r="578" spans="1:30" x14ac:dyDescent="0.25">
      <c r="A578" t="s">
        <v>511</v>
      </c>
      <c r="B578" t="s">
        <v>1477</v>
      </c>
      <c r="C578" s="1">
        <v>46049</v>
      </c>
      <c r="D578">
        <v>62</v>
      </c>
      <c r="E578">
        <v>66.099999999999994</v>
      </c>
      <c r="F578" t="s">
        <v>1474</v>
      </c>
      <c r="G578" s="1">
        <v>46058</v>
      </c>
      <c r="H578">
        <v>62</v>
      </c>
      <c r="I578" s="1">
        <v>46059</v>
      </c>
      <c r="J578" t="s">
        <v>1277</v>
      </c>
      <c r="K578">
        <v>62</v>
      </c>
      <c r="L578">
        <v>66.099999999999994</v>
      </c>
      <c r="M578" s="1">
        <v>46067</v>
      </c>
      <c r="N578" t="str">
        <f>IF(po_master[[#This Row],[Approved By]]="", "Missing Approval", "OK")</f>
        <v>OK</v>
      </c>
      <c r="O578" t="str">
        <f>IF(ISBLANK(po_master[[#This Row],[GR Quantity]]), "No GR - Not received", "OK")</f>
        <v>OK</v>
      </c>
      <c r="P578" t="str">
        <f>IF(po_master[[#This Row],[Promised Delivey Date]]&lt;po_master[[#This Row],[Order Date]], "Invalid", "OK")</f>
        <v>OK</v>
      </c>
      <c r="Q578" t="str">
        <f>IF(ISBLANK(po_master[[#This Row],[Invoice Number]]), "No Invoice", "OK")</f>
        <v>OK</v>
      </c>
      <c r="R578" t="str">
        <f>IF(AND(NOT(ISBLANK(po_master[[#This Row],[GR Quantity]])), po_master[[#This Row],[GR Quantity]]&lt;&gt;po_master[[#This Row],[PO Quantity]]), "Qty Variance", "OK")</f>
        <v>OK</v>
      </c>
      <c r="S578" t="str">
        <f>IF(po_master[[#This Row],[Invoice Unit Price]]&gt;po_master[[#This Row],[PO Unit Price]]*1.01, "Price Variance", "OK")</f>
        <v>OK</v>
      </c>
      <c r="T578" t="str">
        <f>IF(po_master[[#This Row],[Actual Delivery Date]]&gt;po_master[[#This Row],[Promised Delivey Date]], "Late Delivery", "OK")</f>
        <v>Late Delivery</v>
      </c>
      <c r="U578" t="str">
        <f>IF(COUNTIF(po_master[PO Number],po_master[[#This Row],[PO Number]])&gt;1, "Duplicate Invoice", "OK")</f>
        <v>OK</v>
      </c>
      <c r="V578" s="5">
        <f>IF(po_master[[#This Row],[Missing Approval]]="Missing Approval", 1, 0)</f>
        <v>0</v>
      </c>
      <c r="W578" s="5">
        <f>IF(po_master[[#This Row],[GR Receipt Status]]="No GR - Not Received", 1, 0)</f>
        <v>0</v>
      </c>
      <c r="X578" s="5">
        <f>IF(po_master[[#This Row],[No invoice]]="No Invoice", 1, 0)</f>
        <v>0</v>
      </c>
      <c r="Y578" s="5">
        <f>IF(po_master[[#This Row],[Date Check]]="Invalid Date", 1, 0)</f>
        <v>0</v>
      </c>
      <c r="Z578" s="5">
        <f>IF(po_master[[#This Row],[Qty Variance Flag]]="Qty Variance", 1, 0)</f>
        <v>0</v>
      </c>
      <c r="AA578" s="5">
        <f>IF(po_master[[#This Row],[Price Variance Flag]]="Price Variance", 1, 0)</f>
        <v>0</v>
      </c>
      <c r="AB578" s="5">
        <f>IF(po_master[[#This Row],[Late Delivery Flag]]="Late Delivery", 1, 0)</f>
        <v>1</v>
      </c>
      <c r="AC578" s="5">
        <f>IF(po_master[[#This Row],[Duplicate Invoice Flag]]="Duplicate Invoice", 1, 0)</f>
        <v>0</v>
      </c>
      <c r="AD578" s="5" t="str">
        <f>TEXT(po_master[[#This Row],[Order Date]],"YYYY-MM")</f>
        <v>2026-01</v>
      </c>
    </row>
    <row r="579" spans="1:30" x14ac:dyDescent="0.25">
      <c r="A579" t="s">
        <v>512</v>
      </c>
      <c r="B579" t="s">
        <v>1502</v>
      </c>
      <c r="C579" s="1">
        <v>46057</v>
      </c>
      <c r="D579">
        <v>338</v>
      </c>
      <c r="E579">
        <v>198.62</v>
      </c>
      <c r="F579" t="s">
        <v>1485</v>
      </c>
      <c r="G579" s="1">
        <v>46064</v>
      </c>
      <c r="H579">
        <v>338</v>
      </c>
      <c r="I579" s="1">
        <v>46065</v>
      </c>
      <c r="J579" t="s">
        <v>1278</v>
      </c>
      <c r="K579">
        <v>338</v>
      </c>
      <c r="L579">
        <v>198.62</v>
      </c>
      <c r="M579" s="1">
        <v>46067</v>
      </c>
      <c r="N579" t="str">
        <f>IF(po_master[[#This Row],[Approved By]]="", "Missing Approval", "OK")</f>
        <v>OK</v>
      </c>
      <c r="O579" t="str">
        <f>IF(ISBLANK(po_master[[#This Row],[GR Quantity]]), "No GR - Not received", "OK")</f>
        <v>OK</v>
      </c>
      <c r="P579" t="str">
        <f>IF(po_master[[#This Row],[Promised Delivey Date]]&lt;po_master[[#This Row],[Order Date]], "Invalid", "OK")</f>
        <v>OK</v>
      </c>
      <c r="Q579" t="str">
        <f>IF(ISBLANK(po_master[[#This Row],[Invoice Number]]), "No Invoice", "OK")</f>
        <v>OK</v>
      </c>
      <c r="R579" t="str">
        <f>IF(AND(NOT(ISBLANK(po_master[[#This Row],[GR Quantity]])), po_master[[#This Row],[GR Quantity]]&lt;&gt;po_master[[#This Row],[PO Quantity]]), "Qty Variance", "OK")</f>
        <v>OK</v>
      </c>
      <c r="S579" t="str">
        <f>IF(po_master[[#This Row],[Invoice Unit Price]]&gt;po_master[[#This Row],[PO Unit Price]]*1.01, "Price Variance", "OK")</f>
        <v>OK</v>
      </c>
      <c r="T579" t="str">
        <f>IF(po_master[[#This Row],[Actual Delivery Date]]&gt;po_master[[#This Row],[Promised Delivey Date]], "Late Delivery", "OK")</f>
        <v>Late Delivery</v>
      </c>
      <c r="U579" t="str">
        <f>IF(COUNTIF(po_master[PO Number],po_master[[#This Row],[PO Number]])&gt;1, "Duplicate Invoice", "OK")</f>
        <v>OK</v>
      </c>
      <c r="V579" s="5">
        <f>IF(po_master[[#This Row],[Missing Approval]]="Missing Approval", 1, 0)</f>
        <v>0</v>
      </c>
      <c r="W579" s="5">
        <f>IF(po_master[[#This Row],[GR Receipt Status]]="No GR - Not Received", 1, 0)</f>
        <v>0</v>
      </c>
      <c r="X579" s="5">
        <f>IF(po_master[[#This Row],[No invoice]]="No Invoice", 1, 0)</f>
        <v>0</v>
      </c>
      <c r="Y579" s="5">
        <f>IF(po_master[[#This Row],[Date Check]]="Invalid Date", 1, 0)</f>
        <v>0</v>
      </c>
      <c r="Z579" s="5">
        <f>IF(po_master[[#This Row],[Qty Variance Flag]]="Qty Variance", 1, 0)</f>
        <v>0</v>
      </c>
      <c r="AA579" s="5">
        <f>IF(po_master[[#This Row],[Price Variance Flag]]="Price Variance", 1, 0)</f>
        <v>0</v>
      </c>
      <c r="AB579" s="5">
        <f>IF(po_master[[#This Row],[Late Delivery Flag]]="Late Delivery", 1, 0)</f>
        <v>1</v>
      </c>
      <c r="AC579" s="5">
        <f>IF(po_master[[#This Row],[Duplicate Invoice Flag]]="Duplicate Invoice", 1, 0)</f>
        <v>0</v>
      </c>
      <c r="AD579" s="5" t="str">
        <f>TEXT(po_master[[#This Row],[Order Date]],"YYYY-MM")</f>
        <v>2026-02</v>
      </c>
    </row>
    <row r="580" spans="1:30" x14ac:dyDescent="0.25">
      <c r="A580" t="s">
        <v>513</v>
      </c>
      <c r="B580" t="s">
        <v>1491</v>
      </c>
      <c r="C580" s="1">
        <v>46167</v>
      </c>
      <c r="D580">
        <v>14</v>
      </c>
      <c r="E580">
        <v>124.01</v>
      </c>
      <c r="F580" t="s">
        <v>1459</v>
      </c>
      <c r="G580" s="1">
        <v>46186</v>
      </c>
      <c r="H580">
        <v>14</v>
      </c>
      <c r="I580" s="1">
        <v>46186</v>
      </c>
      <c r="J580" t="s">
        <v>1279</v>
      </c>
      <c r="K580">
        <v>14</v>
      </c>
      <c r="L580">
        <v>124.01</v>
      </c>
      <c r="M580" s="1">
        <v>46187</v>
      </c>
      <c r="N580" t="str">
        <f>IF(po_master[[#This Row],[Approved By]]="", "Missing Approval", "OK")</f>
        <v>Missing Approval</v>
      </c>
      <c r="O580" t="str">
        <f>IF(ISBLANK(po_master[[#This Row],[GR Quantity]]), "No GR - Not received", "OK")</f>
        <v>OK</v>
      </c>
      <c r="P580" t="str">
        <f>IF(po_master[[#This Row],[Promised Delivey Date]]&lt;po_master[[#This Row],[Order Date]], "Invalid", "OK")</f>
        <v>OK</v>
      </c>
      <c r="Q580" t="str">
        <f>IF(ISBLANK(po_master[[#This Row],[Invoice Number]]), "No Invoice", "OK")</f>
        <v>OK</v>
      </c>
      <c r="R580" t="str">
        <f>IF(AND(NOT(ISBLANK(po_master[[#This Row],[GR Quantity]])), po_master[[#This Row],[GR Quantity]]&lt;&gt;po_master[[#This Row],[PO Quantity]]), "Qty Variance", "OK")</f>
        <v>OK</v>
      </c>
      <c r="S580" t="str">
        <f>IF(po_master[[#This Row],[Invoice Unit Price]]&gt;po_master[[#This Row],[PO Unit Price]]*1.01, "Price Variance", "OK")</f>
        <v>OK</v>
      </c>
      <c r="T580" t="str">
        <f>IF(po_master[[#This Row],[Actual Delivery Date]]&gt;po_master[[#This Row],[Promised Delivey Date]], "Late Delivery", "OK")</f>
        <v>OK</v>
      </c>
      <c r="U580" t="str">
        <f>IF(COUNTIF(po_master[PO Number],po_master[[#This Row],[PO Number]])&gt;1, "Duplicate Invoice", "OK")</f>
        <v>OK</v>
      </c>
      <c r="V580" s="5">
        <f>IF(po_master[[#This Row],[Missing Approval]]="Missing Approval", 1, 0)</f>
        <v>1</v>
      </c>
      <c r="W580" s="5">
        <f>IF(po_master[[#This Row],[GR Receipt Status]]="No GR - Not Received", 1, 0)</f>
        <v>0</v>
      </c>
      <c r="X580" s="5">
        <f>IF(po_master[[#This Row],[No invoice]]="No Invoice", 1, 0)</f>
        <v>0</v>
      </c>
      <c r="Y580" s="5">
        <f>IF(po_master[[#This Row],[Date Check]]="Invalid Date", 1, 0)</f>
        <v>0</v>
      </c>
      <c r="Z580" s="5">
        <f>IF(po_master[[#This Row],[Qty Variance Flag]]="Qty Variance", 1, 0)</f>
        <v>0</v>
      </c>
      <c r="AA580" s="5">
        <f>IF(po_master[[#This Row],[Price Variance Flag]]="Price Variance", 1, 0)</f>
        <v>0</v>
      </c>
      <c r="AB580" s="5">
        <f>IF(po_master[[#This Row],[Late Delivery Flag]]="Late Delivery", 1, 0)</f>
        <v>0</v>
      </c>
      <c r="AC580" s="5">
        <f>IF(po_master[[#This Row],[Duplicate Invoice Flag]]="Duplicate Invoice", 1, 0)</f>
        <v>0</v>
      </c>
      <c r="AD580" s="5" t="str">
        <f>TEXT(po_master[[#This Row],[Order Date]],"YYYY-MM")</f>
        <v>2026-05</v>
      </c>
    </row>
    <row r="581" spans="1:30" x14ac:dyDescent="0.25">
      <c r="A581" t="s">
        <v>514</v>
      </c>
      <c r="B581" t="s">
        <v>1503</v>
      </c>
      <c r="C581" s="1">
        <v>46077</v>
      </c>
      <c r="D581">
        <v>331</v>
      </c>
      <c r="E581">
        <v>150.91</v>
      </c>
      <c r="F581" t="s">
        <v>1507</v>
      </c>
      <c r="G581" s="1">
        <v>46096</v>
      </c>
      <c r="H581">
        <v>331</v>
      </c>
      <c r="I581" s="1">
        <v>46094</v>
      </c>
      <c r="J581" t="s">
        <v>1280</v>
      </c>
      <c r="K581">
        <v>331</v>
      </c>
      <c r="L581">
        <v>150.91</v>
      </c>
      <c r="M581" s="1">
        <v>46101</v>
      </c>
      <c r="N581" t="str">
        <f>IF(po_master[[#This Row],[Approved By]]="", "Missing Approval", "OK")</f>
        <v>OK</v>
      </c>
      <c r="O581" t="str">
        <f>IF(ISBLANK(po_master[[#This Row],[GR Quantity]]), "No GR - Not received", "OK")</f>
        <v>OK</v>
      </c>
      <c r="P581" t="str">
        <f>IF(po_master[[#This Row],[Promised Delivey Date]]&lt;po_master[[#This Row],[Order Date]], "Invalid", "OK")</f>
        <v>OK</v>
      </c>
      <c r="Q581" t="str">
        <f>IF(ISBLANK(po_master[[#This Row],[Invoice Number]]), "No Invoice", "OK")</f>
        <v>OK</v>
      </c>
      <c r="R581" t="str">
        <f>IF(AND(NOT(ISBLANK(po_master[[#This Row],[GR Quantity]])), po_master[[#This Row],[GR Quantity]]&lt;&gt;po_master[[#This Row],[PO Quantity]]), "Qty Variance", "OK")</f>
        <v>OK</v>
      </c>
      <c r="S581" t="str">
        <f>IF(po_master[[#This Row],[Invoice Unit Price]]&gt;po_master[[#This Row],[PO Unit Price]]*1.01, "Price Variance", "OK")</f>
        <v>OK</v>
      </c>
      <c r="T581" t="str">
        <f>IF(po_master[[#This Row],[Actual Delivery Date]]&gt;po_master[[#This Row],[Promised Delivey Date]], "Late Delivery", "OK")</f>
        <v>OK</v>
      </c>
      <c r="U581" t="str">
        <f>IF(COUNTIF(po_master[PO Number],po_master[[#This Row],[PO Number]])&gt;1, "Duplicate Invoice", "OK")</f>
        <v>OK</v>
      </c>
      <c r="V581" s="5">
        <f>IF(po_master[[#This Row],[Missing Approval]]="Missing Approval", 1, 0)</f>
        <v>0</v>
      </c>
      <c r="W581" s="5">
        <f>IF(po_master[[#This Row],[GR Receipt Status]]="No GR - Not Received", 1, 0)</f>
        <v>0</v>
      </c>
      <c r="X581" s="5">
        <f>IF(po_master[[#This Row],[No invoice]]="No Invoice", 1, 0)</f>
        <v>0</v>
      </c>
      <c r="Y581" s="5">
        <f>IF(po_master[[#This Row],[Date Check]]="Invalid Date", 1, 0)</f>
        <v>0</v>
      </c>
      <c r="Z581" s="5">
        <f>IF(po_master[[#This Row],[Qty Variance Flag]]="Qty Variance", 1, 0)</f>
        <v>0</v>
      </c>
      <c r="AA581" s="5">
        <f>IF(po_master[[#This Row],[Price Variance Flag]]="Price Variance", 1, 0)</f>
        <v>0</v>
      </c>
      <c r="AB581" s="5">
        <f>IF(po_master[[#This Row],[Late Delivery Flag]]="Late Delivery", 1, 0)</f>
        <v>0</v>
      </c>
      <c r="AC581" s="5">
        <f>IF(po_master[[#This Row],[Duplicate Invoice Flag]]="Duplicate Invoice", 1, 0)</f>
        <v>0</v>
      </c>
      <c r="AD581" s="5" t="str">
        <f>TEXT(po_master[[#This Row],[Order Date]],"YYYY-MM")</f>
        <v>2026-02</v>
      </c>
    </row>
    <row r="582" spans="1:30" x14ac:dyDescent="0.25">
      <c r="A582" t="s">
        <v>515</v>
      </c>
      <c r="B582" t="s">
        <v>1463</v>
      </c>
      <c r="C582" s="1">
        <v>46045</v>
      </c>
      <c r="D582">
        <v>469</v>
      </c>
      <c r="E582">
        <v>24.59</v>
      </c>
      <c r="F582" t="s">
        <v>1456</v>
      </c>
      <c r="G582" s="1">
        <v>46053</v>
      </c>
      <c r="H582">
        <v>469</v>
      </c>
      <c r="I582" s="1">
        <v>46052</v>
      </c>
      <c r="J582" t="s">
        <v>1281</v>
      </c>
      <c r="K582">
        <v>469</v>
      </c>
      <c r="L582">
        <v>24.59</v>
      </c>
      <c r="M582" s="1">
        <v>46060</v>
      </c>
      <c r="N582" t="str">
        <f>IF(po_master[[#This Row],[Approved By]]="", "Missing Approval", "OK")</f>
        <v>OK</v>
      </c>
      <c r="O582" t="str">
        <f>IF(ISBLANK(po_master[[#This Row],[GR Quantity]]), "No GR - Not received", "OK")</f>
        <v>OK</v>
      </c>
      <c r="P582" t="str">
        <f>IF(po_master[[#This Row],[Promised Delivey Date]]&lt;po_master[[#This Row],[Order Date]], "Invalid", "OK")</f>
        <v>OK</v>
      </c>
      <c r="Q582" t="str">
        <f>IF(ISBLANK(po_master[[#This Row],[Invoice Number]]), "No Invoice", "OK")</f>
        <v>OK</v>
      </c>
      <c r="R582" t="str">
        <f>IF(AND(NOT(ISBLANK(po_master[[#This Row],[GR Quantity]])), po_master[[#This Row],[GR Quantity]]&lt;&gt;po_master[[#This Row],[PO Quantity]]), "Qty Variance", "OK")</f>
        <v>OK</v>
      </c>
      <c r="S582" t="str">
        <f>IF(po_master[[#This Row],[Invoice Unit Price]]&gt;po_master[[#This Row],[PO Unit Price]]*1.01, "Price Variance", "OK")</f>
        <v>OK</v>
      </c>
      <c r="T582" t="str">
        <f>IF(po_master[[#This Row],[Actual Delivery Date]]&gt;po_master[[#This Row],[Promised Delivey Date]], "Late Delivery", "OK")</f>
        <v>OK</v>
      </c>
      <c r="U582" t="str">
        <f>IF(COUNTIF(po_master[PO Number],po_master[[#This Row],[PO Number]])&gt;1, "Duplicate Invoice", "OK")</f>
        <v>OK</v>
      </c>
      <c r="V582" s="5">
        <f>IF(po_master[[#This Row],[Missing Approval]]="Missing Approval", 1, 0)</f>
        <v>0</v>
      </c>
      <c r="W582" s="5">
        <f>IF(po_master[[#This Row],[GR Receipt Status]]="No GR - Not Received", 1, 0)</f>
        <v>0</v>
      </c>
      <c r="X582" s="5">
        <f>IF(po_master[[#This Row],[No invoice]]="No Invoice", 1, 0)</f>
        <v>0</v>
      </c>
      <c r="Y582" s="5">
        <f>IF(po_master[[#This Row],[Date Check]]="Invalid Date", 1, 0)</f>
        <v>0</v>
      </c>
      <c r="Z582" s="5">
        <f>IF(po_master[[#This Row],[Qty Variance Flag]]="Qty Variance", 1, 0)</f>
        <v>0</v>
      </c>
      <c r="AA582" s="5">
        <f>IF(po_master[[#This Row],[Price Variance Flag]]="Price Variance", 1, 0)</f>
        <v>0</v>
      </c>
      <c r="AB582" s="5">
        <f>IF(po_master[[#This Row],[Late Delivery Flag]]="Late Delivery", 1, 0)</f>
        <v>0</v>
      </c>
      <c r="AC582" s="5">
        <f>IF(po_master[[#This Row],[Duplicate Invoice Flag]]="Duplicate Invoice", 1, 0)</f>
        <v>0</v>
      </c>
      <c r="AD582" s="5" t="str">
        <f>TEXT(po_master[[#This Row],[Order Date]],"YYYY-MM")</f>
        <v>2026-01</v>
      </c>
    </row>
    <row r="583" spans="1:30" x14ac:dyDescent="0.25">
      <c r="A583" t="s">
        <v>516</v>
      </c>
      <c r="B583" t="s">
        <v>1443</v>
      </c>
      <c r="C583" s="1">
        <v>46121</v>
      </c>
      <c r="D583">
        <v>189</v>
      </c>
      <c r="E583">
        <v>192.83</v>
      </c>
      <c r="F583" t="s">
        <v>1459</v>
      </c>
      <c r="G583" s="1">
        <v>46130</v>
      </c>
      <c r="H583">
        <v>189</v>
      </c>
      <c r="I583" s="1">
        <v>46131</v>
      </c>
      <c r="J583" t="s">
        <v>1282</v>
      </c>
      <c r="K583">
        <v>189</v>
      </c>
      <c r="L583">
        <v>192.83</v>
      </c>
      <c r="M583" s="1">
        <v>46132</v>
      </c>
      <c r="N583" t="str">
        <f>IF(po_master[[#This Row],[Approved By]]="", "Missing Approval", "OK")</f>
        <v>Missing Approval</v>
      </c>
      <c r="O583" t="str">
        <f>IF(ISBLANK(po_master[[#This Row],[GR Quantity]]), "No GR - Not received", "OK")</f>
        <v>OK</v>
      </c>
      <c r="P583" t="str">
        <f>IF(po_master[[#This Row],[Promised Delivey Date]]&lt;po_master[[#This Row],[Order Date]], "Invalid", "OK")</f>
        <v>OK</v>
      </c>
      <c r="Q583" t="str">
        <f>IF(ISBLANK(po_master[[#This Row],[Invoice Number]]), "No Invoice", "OK")</f>
        <v>OK</v>
      </c>
      <c r="R583" t="str">
        <f>IF(AND(NOT(ISBLANK(po_master[[#This Row],[GR Quantity]])), po_master[[#This Row],[GR Quantity]]&lt;&gt;po_master[[#This Row],[PO Quantity]]), "Qty Variance", "OK")</f>
        <v>OK</v>
      </c>
      <c r="S583" t="str">
        <f>IF(po_master[[#This Row],[Invoice Unit Price]]&gt;po_master[[#This Row],[PO Unit Price]]*1.01, "Price Variance", "OK")</f>
        <v>OK</v>
      </c>
      <c r="T583" t="str">
        <f>IF(po_master[[#This Row],[Actual Delivery Date]]&gt;po_master[[#This Row],[Promised Delivey Date]], "Late Delivery", "OK")</f>
        <v>Late Delivery</v>
      </c>
      <c r="U583" t="str">
        <f>IF(COUNTIF(po_master[PO Number],po_master[[#This Row],[PO Number]])&gt;1, "Duplicate Invoice", "OK")</f>
        <v>OK</v>
      </c>
      <c r="V583" s="5">
        <f>IF(po_master[[#This Row],[Missing Approval]]="Missing Approval", 1, 0)</f>
        <v>1</v>
      </c>
      <c r="W583" s="5">
        <f>IF(po_master[[#This Row],[GR Receipt Status]]="No GR - Not Received", 1, 0)</f>
        <v>0</v>
      </c>
      <c r="X583" s="5">
        <f>IF(po_master[[#This Row],[No invoice]]="No Invoice", 1, 0)</f>
        <v>0</v>
      </c>
      <c r="Y583" s="5">
        <f>IF(po_master[[#This Row],[Date Check]]="Invalid Date", 1, 0)</f>
        <v>0</v>
      </c>
      <c r="Z583" s="5">
        <f>IF(po_master[[#This Row],[Qty Variance Flag]]="Qty Variance", 1, 0)</f>
        <v>0</v>
      </c>
      <c r="AA583" s="5">
        <f>IF(po_master[[#This Row],[Price Variance Flag]]="Price Variance", 1, 0)</f>
        <v>0</v>
      </c>
      <c r="AB583" s="5">
        <f>IF(po_master[[#This Row],[Late Delivery Flag]]="Late Delivery", 1, 0)</f>
        <v>1</v>
      </c>
      <c r="AC583" s="5">
        <f>IF(po_master[[#This Row],[Duplicate Invoice Flag]]="Duplicate Invoice", 1, 0)</f>
        <v>0</v>
      </c>
      <c r="AD583" s="5" t="str">
        <f>TEXT(po_master[[#This Row],[Order Date]],"YYYY-MM")</f>
        <v>2026-04</v>
      </c>
    </row>
    <row r="584" spans="1:30" x14ac:dyDescent="0.25">
      <c r="A584" t="s">
        <v>517</v>
      </c>
      <c r="B584" t="s">
        <v>1482</v>
      </c>
      <c r="C584" s="1">
        <v>46093</v>
      </c>
      <c r="D584">
        <v>340</v>
      </c>
      <c r="E584">
        <v>21.43</v>
      </c>
      <c r="F584" t="s">
        <v>1442</v>
      </c>
      <c r="G584" s="1">
        <v>46107</v>
      </c>
      <c r="H584">
        <v>354</v>
      </c>
      <c r="I584" s="1">
        <v>46105</v>
      </c>
      <c r="J584" t="s">
        <v>1283</v>
      </c>
      <c r="K584">
        <v>340</v>
      </c>
      <c r="L584">
        <v>21.43</v>
      </c>
      <c r="M584" s="1">
        <v>46114</v>
      </c>
      <c r="N584" t="str">
        <f>IF(po_master[[#This Row],[Approved By]]="", "Missing Approval", "OK")</f>
        <v>OK</v>
      </c>
      <c r="O584" t="str">
        <f>IF(ISBLANK(po_master[[#This Row],[GR Quantity]]), "No GR - Not received", "OK")</f>
        <v>OK</v>
      </c>
      <c r="P584" t="str">
        <f>IF(po_master[[#This Row],[Promised Delivey Date]]&lt;po_master[[#This Row],[Order Date]], "Invalid", "OK")</f>
        <v>OK</v>
      </c>
      <c r="Q584" t="str">
        <f>IF(ISBLANK(po_master[[#This Row],[Invoice Number]]), "No Invoice", "OK")</f>
        <v>OK</v>
      </c>
      <c r="R584" t="str">
        <f>IF(AND(NOT(ISBLANK(po_master[[#This Row],[GR Quantity]])), po_master[[#This Row],[GR Quantity]]&lt;&gt;po_master[[#This Row],[PO Quantity]]), "Qty Variance", "OK")</f>
        <v>Qty Variance</v>
      </c>
      <c r="S584" t="str">
        <f>IF(po_master[[#This Row],[Invoice Unit Price]]&gt;po_master[[#This Row],[PO Unit Price]]*1.01, "Price Variance", "OK")</f>
        <v>OK</v>
      </c>
      <c r="T584" t="str">
        <f>IF(po_master[[#This Row],[Actual Delivery Date]]&gt;po_master[[#This Row],[Promised Delivey Date]], "Late Delivery", "OK")</f>
        <v>OK</v>
      </c>
      <c r="U584" t="str">
        <f>IF(COUNTIF(po_master[PO Number],po_master[[#This Row],[PO Number]])&gt;1, "Duplicate Invoice", "OK")</f>
        <v>OK</v>
      </c>
      <c r="V584" s="5">
        <f>IF(po_master[[#This Row],[Missing Approval]]="Missing Approval", 1, 0)</f>
        <v>0</v>
      </c>
      <c r="W584" s="5">
        <f>IF(po_master[[#This Row],[GR Receipt Status]]="No GR - Not Received", 1, 0)</f>
        <v>0</v>
      </c>
      <c r="X584" s="5">
        <f>IF(po_master[[#This Row],[No invoice]]="No Invoice", 1, 0)</f>
        <v>0</v>
      </c>
      <c r="Y584" s="5">
        <f>IF(po_master[[#This Row],[Date Check]]="Invalid Date", 1, 0)</f>
        <v>0</v>
      </c>
      <c r="Z584" s="5">
        <f>IF(po_master[[#This Row],[Qty Variance Flag]]="Qty Variance", 1, 0)</f>
        <v>1</v>
      </c>
      <c r="AA584" s="5">
        <f>IF(po_master[[#This Row],[Price Variance Flag]]="Price Variance", 1, 0)</f>
        <v>0</v>
      </c>
      <c r="AB584" s="5">
        <f>IF(po_master[[#This Row],[Late Delivery Flag]]="Late Delivery", 1, 0)</f>
        <v>0</v>
      </c>
      <c r="AC584" s="5">
        <f>IF(po_master[[#This Row],[Duplicate Invoice Flag]]="Duplicate Invoice", 1, 0)</f>
        <v>0</v>
      </c>
      <c r="AD584" s="5" t="str">
        <f>TEXT(po_master[[#This Row],[Order Date]],"YYYY-MM")</f>
        <v>2026-03</v>
      </c>
    </row>
    <row r="585" spans="1:30" x14ac:dyDescent="0.25">
      <c r="A585" t="s">
        <v>518</v>
      </c>
      <c r="B585" t="s">
        <v>1491</v>
      </c>
      <c r="C585" s="1">
        <v>46153</v>
      </c>
      <c r="D585">
        <v>106</v>
      </c>
      <c r="E585">
        <v>150.83000000000001</v>
      </c>
      <c r="F585" t="s">
        <v>1474</v>
      </c>
      <c r="G585" s="1">
        <v>46159</v>
      </c>
      <c r="H585">
        <v>106</v>
      </c>
      <c r="I585" s="1">
        <v>46172</v>
      </c>
      <c r="J585" t="s">
        <v>1287</v>
      </c>
      <c r="K585">
        <v>106</v>
      </c>
      <c r="L585">
        <v>169.44</v>
      </c>
      <c r="M585" s="1">
        <v>46168</v>
      </c>
      <c r="N585" t="str">
        <f>IF(po_master[[#This Row],[Approved By]]="", "Missing Approval", "OK")</f>
        <v>OK</v>
      </c>
      <c r="O585" t="str">
        <f>IF(ISBLANK(po_master[[#This Row],[GR Quantity]]), "No GR - Not received", "OK")</f>
        <v>OK</v>
      </c>
      <c r="P585" t="str">
        <f>IF(po_master[[#This Row],[Promised Delivey Date]]&lt;po_master[[#This Row],[Order Date]], "Invalid", "OK")</f>
        <v>OK</v>
      </c>
      <c r="Q585" t="str">
        <f>IF(ISBLANK(po_master[[#This Row],[Invoice Number]]), "No Invoice", "OK")</f>
        <v>OK</v>
      </c>
      <c r="R585" t="str">
        <f>IF(AND(NOT(ISBLANK(po_master[[#This Row],[GR Quantity]])), po_master[[#This Row],[GR Quantity]]&lt;&gt;po_master[[#This Row],[PO Quantity]]), "Qty Variance", "OK")</f>
        <v>OK</v>
      </c>
      <c r="S585" t="str">
        <f>IF(po_master[[#This Row],[Invoice Unit Price]]&gt;po_master[[#This Row],[PO Unit Price]]*1.01, "Price Variance", "OK")</f>
        <v>Price Variance</v>
      </c>
      <c r="T585" t="str">
        <f>IF(po_master[[#This Row],[Actual Delivery Date]]&gt;po_master[[#This Row],[Promised Delivey Date]], "Late Delivery", "OK")</f>
        <v>Late Delivery</v>
      </c>
      <c r="U585" t="str">
        <f>IF(COUNTIF(po_master[PO Number],po_master[[#This Row],[PO Number]])&gt;1, "Duplicate Invoice", "OK")</f>
        <v>OK</v>
      </c>
      <c r="V585" s="5">
        <f>IF(po_master[[#This Row],[Missing Approval]]="Missing Approval", 1, 0)</f>
        <v>0</v>
      </c>
      <c r="W585" s="5">
        <f>IF(po_master[[#This Row],[GR Receipt Status]]="No GR - Not Received", 1, 0)</f>
        <v>0</v>
      </c>
      <c r="X585" s="5">
        <f>IF(po_master[[#This Row],[No invoice]]="No Invoice", 1, 0)</f>
        <v>0</v>
      </c>
      <c r="Y585" s="5">
        <f>IF(po_master[[#This Row],[Date Check]]="Invalid Date", 1, 0)</f>
        <v>0</v>
      </c>
      <c r="Z585" s="5">
        <f>IF(po_master[[#This Row],[Qty Variance Flag]]="Qty Variance", 1, 0)</f>
        <v>0</v>
      </c>
      <c r="AA585" s="5">
        <f>IF(po_master[[#This Row],[Price Variance Flag]]="Price Variance", 1, 0)</f>
        <v>1</v>
      </c>
      <c r="AB585" s="5">
        <f>IF(po_master[[#This Row],[Late Delivery Flag]]="Late Delivery", 1, 0)</f>
        <v>1</v>
      </c>
      <c r="AC585" s="5">
        <f>IF(po_master[[#This Row],[Duplicate Invoice Flag]]="Duplicate Invoice", 1, 0)</f>
        <v>0</v>
      </c>
      <c r="AD585" s="5" t="str">
        <f>TEXT(po_master[[#This Row],[Order Date]],"YYYY-MM")</f>
        <v>2026-05</v>
      </c>
    </row>
    <row r="586" spans="1:30" x14ac:dyDescent="0.25">
      <c r="A586" t="s">
        <v>519</v>
      </c>
      <c r="B586" t="s">
        <v>1491</v>
      </c>
      <c r="C586" s="1">
        <v>46026</v>
      </c>
      <c r="D586">
        <v>194</v>
      </c>
      <c r="E586">
        <v>187.12</v>
      </c>
      <c r="F586" t="s">
        <v>1485</v>
      </c>
      <c r="G586" s="1">
        <v>46043</v>
      </c>
      <c r="H586">
        <v>190</v>
      </c>
      <c r="I586" s="1">
        <v>46045</v>
      </c>
      <c r="J586" t="s">
        <v>1290</v>
      </c>
      <c r="K586">
        <v>194</v>
      </c>
      <c r="L586">
        <v>187.12</v>
      </c>
      <c r="M586" s="1">
        <v>46045</v>
      </c>
      <c r="N586" t="str">
        <f>IF(po_master[[#This Row],[Approved By]]="", "Missing Approval", "OK")</f>
        <v>OK</v>
      </c>
      <c r="O586" t="str">
        <f>IF(ISBLANK(po_master[[#This Row],[GR Quantity]]), "No GR - Not received", "OK")</f>
        <v>OK</v>
      </c>
      <c r="P586" t="str">
        <f>IF(po_master[[#This Row],[Promised Delivey Date]]&lt;po_master[[#This Row],[Order Date]], "Invalid", "OK")</f>
        <v>OK</v>
      </c>
      <c r="Q586" t="str">
        <f>IF(ISBLANK(po_master[[#This Row],[Invoice Number]]), "No Invoice", "OK")</f>
        <v>OK</v>
      </c>
      <c r="R586" t="str">
        <f>IF(AND(NOT(ISBLANK(po_master[[#This Row],[GR Quantity]])), po_master[[#This Row],[GR Quantity]]&lt;&gt;po_master[[#This Row],[PO Quantity]]), "Qty Variance", "OK")</f>
        <v>Qty Variance</v>
      </c>
      <c r="S586" t="str">
        <f>IF(po_master[[#This Row],[Invoice Unit Price]]&gt;po_master[[#This Row],[PO Unit Price]]*1.01, "Price Variance", "OK")</f>
        <v>OK</v>
      </c>
      <c r="T586" t="str">
        <f>IF(po_master[[#This Row],[Actual Delivery Date]]&gt;po_master[[#This Row],[Promised Delivey Date]], "Late Delivery", "OK")</f>
        <v>Late Delivery</v>
      </c>
      <c r="U586" t="str">
        <f>IF(COUNTIF(po_master[PO Number],po_master[[#This Row],[PO Number]])&gt;1, "Duplicate Invoice", "OK")</f>
        <v>OK</v>
      </c>
      <c r="V586" s="5">
        <f>IF(po_master[[#This Row],[Missing Approval]]="Missing Approval", 1, 0)</f>
        <v>0</v>
      </c>
      <c r="W586" s="5">
        <f>IF(po_master[[#This Row],[GR Receipt Status]]="No GR - Not Received", 1, 0)</f>
        <v>0</v>
      </c>
      <c r="X586" s="5">
        <f>IF(po_master[[#This Row],[No invoice]]="No Invoice", 1, 0)</f>
        <v>0</v>
      </c>
      <c r="Y586" s="5">
        <f>IF(po_master[[#This Row],[Date Check]]="Invalid Date", 1, 0)</f>
        <v>0</v>
      </c>
      <c r="Z586" s="5">
        <f>IF(po_master[[#This Row],[Qty Variance Flag]]="Qty Variance", 1, 0)</f>
        <v>1</v>
      </c>
      <c r="AA586" s="5">
        <f>IF(po_master[[#This Row],[Price Variance Flag]]="Price Variance", 1, 0)</f>
        <v>0</v>
      </c>
      <c r="AB586" s="5">
        <f>IF(po_master[[#This Row],[Late Delivery Flag]]="Late Delivery", 1, 0)</f>
        <v>1</v>
      </c>
      <c r="AC586" s="5">
        <f>IF(po_master[[#This Row],[Duplicate Invoice Flag]]="Duplicate Invoice", 1, 0)</f>
        <v>0</v>
      </c>
      <c r="AD586" s="5" t="str">
        <f>TEXT(po_master[[#This Row],[Order Date]],"YYYY-MM")</f>
        <v>2026-01</v>
      </c>
    </row>
    <row r="587" spans="1:30" x14ac:dyDescent="0.25">
      <c r="A587" t="s">
        <v>520</v>
      </c>
      <c r="B587" t="s">
        <v>1493</v>
      </c>
      <c r="C587" s="1">
        <v>46130</v>
      </c>
      <c r="D587">
        <v>197</v>
      </c>
      <c r="E587">
        <v>111.54</v>
      </c>
      <c r="F587" t="s">
        <v>1501</v>
      </c>
      <c r="G587" s="1">
        <v>46150</v>
      </c>
      <c r="H587">
        <v>197</v>
      </c>
      <c r="I587" s="1">
        <v>46159</v>
      </c>
      <c r="J587" t="s">
        <v>1291</v>
      </c>
      <c r="K587">
        <v>197</v>
      </c>
      <c r="L587">
        <v>111.54</v>
      </c>
      <c r="M587" s="1">
        <v>46158</v>
      </c>
      <c r="N587" t="str">
        <f>IF(po_master[[#This Row],[Approved By]]="", "Missing Approval", "OK")</f>
        <v>OK</v>
      </c>
      <c r="O587" t="str">
        <f>IF(ISBLANK(po_master[[#This Row],[GR Quantity]]), "No GR - Not received", "OK")</f>
        <v>OK</v>
      </c>
      <c r="P587" t="str">
        <f>IF(po_master[[#This Row],[Promised Delivey Date]]&lt;po_master[[#This Row],[Order Date]], "Invalid", "OK")</f>
        <v>OK</v>
      </c>
      <c r="Q587" t="str">
        <f>IF(ISBLANK(po_master[[#This Row],[Invoice Number]]), "No Invoice", "OK")</f>
        <v>OK</v>
      </c>
      <c r="R587" t="str">
        <f>IF(AND(NOT(ISBLANK(po_master[[#This Row],[GR Quantity]])), po_master[[#This Row],[GR Quantity]]&lt;&gt;po_master[[#This Row],[PO Quantity]]), "Qty Variance", "OK")</f>
        <v>OK</v>
      </c>
      <c r="S587" t="str">
        <f>IF(po_master[[#This Row],[Invoice Unit Price]]&gt;po_master[[#This Row],[PO Unit Price]]*1.01, "Price Variance", "OK")</f>
        <v>OK</v>
      </c>
      <c r="T587" t="str">
        <f>IF(po_master[[#This Row],[Actual Delivery Date]]&gt;po_master[[#This Row],[Promised Delivey Date]], "Late Delivery", "OK")</f>
        <v>Late Delivery</v>
      </c>
      <c r="U587" t="str">
        <f>IF(COUNTIF(po_master[PO Number],po_master[[#This Row],[PO Number]])&gt;1, "Duplicate Invoice", "OK")</f>
        <v>OK</v>
      </c>
      <c r="V587" s="5">
        <f>IF(po_master[[#This Row],[Missing Approval]]="Missing Approval", 1, 0)</f>
        <v>0</v>
      </c>
      <c r="W587" s="5">
        <f>IF(po_master[[#This Row],[GR Receipt Status]]="No GR - Not Received", 1, 0)</f>
        <v>0</v>
      </c>
      <c r="X587" s="5">
        <f>IF(po_master[[#This Row],[No invoice]]="No Invoice", 1, 0)</f>
        <v>0</v>
      </c>
      <c r="Y587" s="5">
        <f>IF(po_master[[#This Row],[Date Check]]="Invalid Date", 1, 0)</f>
        <v>0</v>
      </c>
      <c r="Z587" s="5">
        <f>IF(po_master[[#This Row],[Qty Variance Flag]]="Qty Variance", 1, 0)</f>
        <v>0</v>
      </c>
      <c r="AA587" s="5">
        <f>IF(po_master[[#This Row],[Price Variance Flag]]="Price Variance", 1, 0)</f>
        <v>0</v>
      </c>
      <c r="AB587" s="5">
        <f>IF(po_master[[#This Row],[Late Delivery Flag]]="Late Delivery", 1, 0)</f>
        <v>1</v>
      </c>
      <c r="AC587" s="5">
        <f>IF(po_master[[#This Row],[Duplicate Invoice Flag]]="Duplicate Invoice", 1, 0)</f>
        <v>0</v>
      </c>
      <c r="AD587" s="5" t="str">
        <f>TEXT(po_master[[#This Row],[Order Date]],"YYYY-MM")</f>
        <v>2026-04</v>
      </c>
    </row>
    <row r="588" spans="1:30" x14ac:dyDescent="0.25">
      <c r="A588" t="s">
        <v>521</v>
      </c>
      <c r="B588" t="s">
        <v>1492</v>
      </c>
      <c r="C588" s="1">
        <v>46027</v>
      </c>
      <c r="D588">
        <v>310</v>
      </c>
      <c r="E588">
        <v>18.170000000000002</v>
      </c>
      <c r="F588" t="s">
        <v>1458</v>
      </c>
      <c r="G588" s="1">
        <v>46038</v>
      </c>
      <c r="H588">
        <v>310</v>
      </c>
      <c r="I588" s="1">
        <v>46040</v>
      </c>
      <c r="J588" t="s">
        <v>1292</v>
      </c>
      <c r="K588">
        <v>310</v>
      </c>
      <c r="L588">
        <v>18.170000000000002</v>
      </c>
      <c r="M588" s="1">
        <v>46043</v>
      </c>
      <c r="N588" t="str">
        <f>IF(po_master[[#This Row],[Approved By]]="", "Missing Approval", "OK")</f>
        <v>OK</v>
      </c>
      <c r="O588" t="str">
        <f>IF(ISBLANK(po_master[[#This Row],[GR Quantity]]), "No GR - Not received", "OK")</f>
        <v>OK</v>
      </c>
      <c r="P588" t="str">
        <f>IF(po_master[[#This Row],[Promised Delivey Date]]&lt;po_master[[#This Row],[Order Date]], "Invalid", "OK")</f>
        <v>OK</v>
      </c>
      <c r="Q588" t="str">
        <f>IF(ISBLANK(po_master[[#This Row],[Invoice Number]]), "No Invoice", "OK")</f>
        <v>OK</v>
      </c>
      <c r="R588" t="str">
        <f>IF(AND(NOT(ISBLANK(po_master[[#This Row],[GR Quantity]])), po_master[[#This Row],[GR Quantity]]&lt;&gt;po_master[[#This Row],[PO Quantity]]), "Qty Variance", "OK")</f>
        <v>OK</v>
      </c>
      <c r="S588" t="str">
        <f>IF(po_master[[#This Row],[Invoice Unit Price]]&gt;po_master[[#This Row],[PO Unit Price]]*1.01, "Price Variance", "OK")</f>
        <v>OK</v>
      </c>
      <c r="T588" t="str">
        <f>IF(po_master[[#This Row],[Actual Delivery Date]]&gt;po_master[[#This Row],[Promised Delivey Date]], "Late Delivery", "OK")</f>
        <v>Late Delivery</v>
      </c>
      <c r="U588" t="str">
        <f>IF(COUNTIF(po_master[PO Number],po_master[[#This Row],[PO Number]])&gt;1, "Duplicate Invoice", "OK")</f>
        <v>OK</v>
      </c>
      <c r="V588" s="5">
        <f>IF(po_master[[#This Row],[Missing Approval]]="Missing Approval", 1, 0)</f>
        <v>0</v>
      </c>
      <c r="W588" s="5">
        <f>IF(po_master[[#This Row],[GR Receipt Status]]="No GR - Not Received", 1, 0)</f>
        <v>0</v>
      </c>
      <c r="X588" s="5">
        <f>IF(po_master[[#This Row],[No invoice]]="No Invoice", 1, 0)</f>
        <v>0</v>
      </c>
      <c r="Y588" s="5">
        <f>IF(po_master[[#This Row],[Date Check]]="Invalid Date", 1, 0)</f>
        <v>0</v>
      </c>
      <c r="Z588" s="5">
        <f>IF(po_master[[#This Row],[Qty Variance Flag]]="Qty Variance", 1, 0)</f>
        <v>0</v>
      </c>
      <c r="AA588" s="5">
        <f>IF(po_master[[#This Row],[Price Variance Flag]]="Price Variance", 1, 0)</f>
        <v>0</v>
      </c>
      <c r="AB588" s="5">
        <f>IF(po_master[[#This Row],[Late Delivery Flag]]="Late Delivery", 1, 0)</f>
        <v>1</v>
      </c>
      <c r="AC588" s="5">
        <f>IF(po_master[[#This Row],[Duplicate Invoice Flag]]="Duplicate Invoice", 1, 0)</f>
        <v>0</v>
      </c>
      <c r="AD588" s="5" t="str">
        <f>TEXT(po_master[[#This Row],[Order Date]],"YYYY-MM")</f>
        <v>2026-01</v>
      </c>
    </row>
    <row r="589" spans="1:30" x14ac:dyDescent="0.25">
      <c r="A589" t="s">
        <v>522</v>
      </c>
      <c r="B589" t="s">
        <v>1452</v>
      </c>
      <c r="C589" s="1">
        <v>46038</v>
      </c>
      <c r="D589">
        <v>495</v>
      </c>
      <c r="E589">
        <v>158.91</v>
      </c>
      <c r="F589" t="s">
        <v>1504</v>
      </c>
      <c r="G589" s="1">
        <v>46052</v>
      </c>
      <c r="H589">
        <v>495</v>
      </c>
      <c r="I589" s="1">
        <v>46054</v>
      </c>
      <c r="J589" t="s">
        <v>1293</v>
      </c>
      <c r="K589">
        <v>495</v>
      </c>
      <c r="L589">
        <v>168.37</v>
      </c>
      <c r="M589" s="1">
        <v>46061</v>
      </c>
      <c r="N589" t="str">
        <f>IF(po_master[[#This Row],[Approved By]]="", "Missing Approval", "OK")</f>
        <v>OK</v>
      </c>
      <c r="O589" t="str">
        <f>IF(ISBLANK(po_master[[#This Row],[GR Quantity]]), "No GR - Not received", "OK")</f>
        <v>OK</v>
      </c>
      <c r="P589" t="str">
        <f>IF(po_master[[#This Row],[Promised Delivey Date]]&lt;po_master[[#This Row],[Order Date]], "Invalid", "OK")</f>
        <v>OK</v>
      </c>
      <c r="Q589" t="str">
        <f>IF(ISBLANK(po_master[[#This Row],[Invoice Number]]), "No Invoice", "OK")</f>
        <v>OK</v>
      </c>
      <c r="R589" t="str">
        <f>IF(AND(NOT(ISBLANK(po_master[[#This Row],[GR Quantity]])), po_master[[#This Row],[GR Quantity]]&lt;&gt;po_master[[#This Row],[PO Quantity]]), "Qty Variance", "OK")</f>
        <v>OK</v>
      </c>
      <c r="S589" t="str">
        <f>IF(po_master[[#This Row],[Invoice Unit Price]]&gt;po_master[[#This Row],[PO Unit Price]]*1.01, "Price Variance", "OK")</f>
        <v>Price Variance</v>
      </c>
      <c r="T589" t="str">
        <f>IF(po_master[[#This Row],[Actual Delivery Date]]&gt;po_master[[#This Row],[Promised Delivey Date]], "Late Delivery", "OK")</f>
        <v>Late Delivery</v>
      </c>
      <c r="U589" t="str">
        <f>IF(COUNTIF(po_master[PO Number],po_master[[#This Row],[PO Number]])&gt;1, "Duplicate Invoice", "OK")</f>
        <v>OK</v>
      </c>
      <c r="V589" s="5">
        <f>IF(po_master[[#This Row],[Missing Approval]]="Missing Approval", 1, 0)</f>
        <v>0</v>
      </c>
      <c r="W589" s="5">
        <f>IF(po_master[[#This Row],[GR Receipt Status]]="No GR - Not Received", 1, 0)</f>
        <v>0</v>
      </c>
      <c r="X589" s="5">
        <f>IF(po_master[[#This Row],[No invoice]]="No Invoice", 1, 0)</f>
        <v>0</v>
      </c>
      <c r="Y589" s="5">
        <f>IF(po_master[[#This Row],[Date Check]]="Invalid Date", 1, 0)</f>
        <v>0</v>
      </c>
      <c r="Z589" s="5">
        <f>IF(po_master[[#This Row],[Qty Variance Flag]]="Qty Variance", 1, 0)</f>
        <v>0</v>
      </c>
      <c r="AA589" s="5">
        <f>IF(po_master[[#This Row],[Price Variance Flag]]="Price Variance", 1, 0)</f>
        <v>1</v>
      </c>
      <c r="AB589" s="5">
        <f>IF(po_master[[#This Row],[Late Delivery Flag]]="Late Delivery", 1, 0)</f>
        <v>1</v>
      </c>
      <c r="AC589" s="5">
        <f>IF(po_master[[#This Row],[Duplicate Invoice Flag]]="Duplicate Invoice", 1, 0)</f>
        <v>0</v>
      </c>
      <c r="AD589" s="5" t="str">
        <f>TEXT(po_master[[#This Row],[Order Date]],"YYYY-MM")</f>
        <v>2026-01</v>
      </c>
    </row>
    <row r="590" spans="1:30" x14ac:dyDescent="0.25">
      <c r="A590" t="s">
        <v>523</v>
      </c>
      <c r="B590" t="s">
        <v>1439</v>
      </c>
      <c r="C590" s="1">
        <v>46151</v>
      </c>
      <c r="D590">
        <v>402</v>
      </c>
      <c r="E590">
        <v>86.01</v>
      </c>
      <c r="F590" t="s">
        <v>1499</v>
      </c>
      <c r="G590" s="1">
        <v>46168</v>
      </c>
      <c r="H590">
        <v>402</v>
      </c>
      <c r="I590" s="1">
        <v>46170</v>
      </c>
      <c r="J590" t="s">
        <v>1294</v>
      </c>
      <c r="K590">
        <v>402</v>
      </c>
      <c r="L590">
        <v>86.01</v>
      </c>
      <c r="M590" s="1">
        <v>46169</v>
      </c>
      <c r="N590" t="str">
        <f>IF(po_master[[#This Row],[Approved By]]="", "Missing Approval", "OK")</f>
        <v>OK</v>
      </c>
      <c r="O590" t="str">
        <f>IF(ISBLANK(po_master[[#This Row],[GR Quantity]]), "No GR - Not received", "OK")</f>
        <v>OK</v>
      </c>
      <c r="P590" t="str">
        <f>IF(po_master[[#This Row],[Promised Delivey Date]]&lt;po_master[[#This Row],[Order Date]], "Invalid", "OK")</f>
        <v>OK</v>
      </c>
      <c r="Q590" t="str">
        <f>IF(ISBLANK(po_master[[#This Row],[Invoice Number]]), "No Invoice", "OK")</f>
        <v>OK</v>
      </c>
      <c r="R590" t="str">
        <f>IF(AND(NOT(ISBLANK(po_master[[#This Row],[GR Quantity]])), po_master[[#This Row],[GR Quantity]]&lt;&gt;po_master[[#This Row],[PO Quantity]]), "Qty Variance", "OK")</f>
        <v>OK</v>
      </c>
      <c r="S590" t="str">
        <f>IF(po_master[[#This Row],[Invoice Unit Price]]&gt;po_master[[#This Row],[PO Unit Price]]*1.01, "Price Variance", "OK")</f>
        <v>OK</v>
      </c>
      <c r="T590" t="str">
        <f>IF(po_master[[#This Row],[Actual Delivery Date]]&gt;po_master[[#This Row],[Promised Delivey Date]], "Late Delivery", "OK")</f>
        <v>Late Delivery</v>
      </c>
      <c r="U590" t="str">
        <f>IF(COUNTIF(po_master[PO Number],po_master[[#This Row],[PO Number]])&gt;1, "Duplicate Invoice", "OK")</f>
        <v>OK</v>
      </c>
      <c r="V590" s="5">
        <f>IF(po_master[[#This Row],[Missing Approval]]="Missing Approval", 1, 0)</f>
        <v>0</v>
      </c>
      <c r="W590" s="5">
        <f>IF(po_master[[#This Row],[GR Receipt Status]]="No GR - Not Received", 1, 0)</f>
        <v>0</v>
      </c>
      <c r="X590" s="5">
        <f>IF(po_master[[#This Row],[No invoice]]="No Invoice", 1, 0)</f>
        <v>0</v>
      </c>
      <c r="Y590" s="5">
        <f>IF(po_master[[#This Row],[Date Check]]="Invalid Date", 1, 0)</f>
        <v>0</v>
      </c>
      <c r="Z590" s="5">
        <f>IF(po_master[[#This Row],[Qty Variance Flag]]="Qty Variance", 1, 0)</f>
        <v>0</v>
      </c>
      <c r="AA590" s="5">
        <f>IF(po_master[[#This Row],[Price Variance Flag]]="Price Variance", 1, 0)</f>
        <v>0</v>
      </c>
      <c r="AB590" s="5">
        <f>IF(po_master[[#This Row],[Late Delivery Flag]]="Late Delivery", 1, 0)</f>
        <v>1</v>
      </c>
      <c r="AC590" s="5">
        <f>IF(po_master[[#This Row],[Duplicate Invoice Flag]]="Duplicate Invoice", 1, 0)</f>
        <v>0</v>
      </c>
      <c r="AD590" s="5" t="str">
        <f>TEXT(po_master[[#This Row],[Order Date]],"YYYY-MM")</f>
        <v>2026-05</v>
      </c>
    </row>
    <row r="591" spans="1:30" x14ac:dyDescent="0.25">
      <c r="A591" t="s">
        <v>524</v>
      </c>
      <c r="B591" t="s">
        <v>1457</v>
      </c>
      <c r="C591" s="1">
        <v>46160</v>
      </c>
      <c r="D591">
        <v>285</v>
      </c>
      <c r="E591">
        <v>125.13</v>
      </c>
      <c r="F591" t="s">
        <v>1458</v>
      </c>
      <c r="G591" s="1">
        <v>46167</v>
      </c>
      <c r="H591">
        <v>285</v>
      </c>
      <c r="I591" s="1">
        <v>46167</v>
      </c>
      <c r="J591" t="s">
        <v>1295</v>
      </c>
      <c r="K591">
        <v>285</v>
      </c>
      <c r="L591">
        <v>125.13</v>
      </c>
      <c r="M591" s="1">
        <v>46176</v>
      </c>
      <c r="N591" t="str">
        <f>IF(po_master[[#This Row],[Approved By]]="", "Missing Approval", "OK")</f>
        <v>OK</v>
      </c>
      <c r="O591" t="str">
        <f>IF(ISBLANK(po_master[[#This Row],[GR Quantity]]), "No GR - Not received", "OK")</f>
        <v>OK</v>
      </c>
      <c r="P591" t="str">
        <f>IF(po_master[[#This Row],[Promised Delivey Date]]&lt;po_master[[#This Row],[Order Date]], "Invalid", "OK")</f>
        <v>OK</v>
      </c>
      <c r="Q591" t="str">
        <f>IF(ISBLANK(po_master[[#This Row],[Invoice Number]]), "No Invoice", "OK")</f>
        <v>OK</v>
      </c>
      <c r="R591" t="str">
        <f>IF(AND(NOT(ISBLANK(po_master[[#This Row],[GR Quantity]])), po_master[[#This Row],[GR Quantity]]&lt;&gt;po_master[[#This Row],[PO Quantity]]), "Qty Variance", "OK")</f>
        <v>OK</v>
      </c>
      <c r="S591" t="str">
        <f>IF(po_master[[#This Row],[Invoice Unit Price]]&gt;po_master[[#This Row],[PO Unit Price]]*1.01, "Price Variance", "OK")</f>
        <v>OK</v>
      </c>
      <c r="T591" t="str">
        <f>IF(po_master[[#This Row],[Actual Delivery Date]]&gt;po_master[[#This Row],[Promised Delivey Date]], "Late Delivery", "OK")</f>
        <v>OK</v>
      </c>
      <c r="U591" t="str">
        <f>IF(COUNTIF(po_master[PO Number],po_master[[#This Row],[PO Number]])&gt;1, "Duplicate Invoice", "OK")</f>
        <v>OK</v>
      </c>
      <c r="V591" s="5">
        <f>IF(po_master[[#This Row],[Missing Approval]]="Missing Approval", 1, 0)</f>
        <v>0</v>
      </c>
      <c r="W591" s="5">
        <f>IF(po_master[[#This Row],[GR Receipt Status]]="No GR - Not Received", 1, 0)</f>
        <v>0</v>
      </c>
      <c r="X591" s="5">
        <f>IF(po_master[[#This Row],[No invoice]]="No Invoice", 1, 0)</f>
        <v>0</v>
      </c>
      <c r="Y591" s="5">
        <f>IF(po_master[[#This Row],[Date Check]]="Invalid Date", 1, 0)</f>
        <v>0</v>
      </c>
      <c r="Z591" s="5">
        <f>IF(po_master[[#This Row],[Qty Variance Flag]]="Qty Variance", 1, 0)</f>
        <v>0</v>
      </c>
      <c r="AA591" s="5">
        <f>IF(po_master[[#This Row],[Price Variance Flag]]="Price Variance", 1, 0)</f>
        <v>0</v>
      </c>
      <c r="AB591" s="5">
        <f>IF(po_master[[#This Row],[Late Delivery Flag]]="Late Delivery", 1, 0)</f>
        <v>0</v>
      </c>
      <c r="AC591" s="5">
        <f>IF(po_master[[#This Row],[Duplicate Invoice Flag]]="Duplicate Invoice", 1, 0)</f>
        <v>0</v>
      </c>
      <c r="AD591" s="5" t="str">
        <f>TEXT(po_master[[#This Row],[Order Date]],"YYYY-MM")</f>
        <v>2026-05</v>
      </c>
    </row>
    <row r="592" spans="1:30" x14ac:dyDescent="0.25">
      <c r="A592" t="s">
        <v>525</v>
      </c>
      <c r="B592" t="s">
        <v>1512</v>
      </c>
      <c r="C592" s="1">
        <v>46043</v>
      </c>
      <c r="D592">
        <v>271</v>
      </c>
      <c r="E592">
        <v>184.58</v>
      </c>
      <c r="F592" t="s">
        <v>1485</v>
      </c>
      <c r="G592" s="1">
        <v>46058</v>
      </c>
      <c r="H592">
        <v>264</v>
      </c>
      <c r="I592" s="1">
        <v>46060</v>
      </c>
      <c r="J592" t="s">
        <v>1296</v>
      </c>
      <c r="K592">
        <v>271</v>
      </c>
      <c r="L592">
        <v>184.58</v>
      </c>
      <c r="M592" s="1">
        <v>46068</v>
      </c>
      <c r="N592" t="str">
        <f>IF(po_master[[#This Row],[Approved By]]="", "Missing Approval", "OK")</f>
        <v>OK</v>
      </c>
      <c r="O592" t="str">
        <f>IF(ISBLANK(po_master[[#This Row],[GR Quantity]]), "No GR - Not received", "OK")</f>
        <v>OK</v>
      </c>
      <c r="P592" t="str">
        <f>IF(po_master[[#This Row],[Promised Delivey Date]]&lt;po_master[[#This Row],[Order Date]], "Invalid", "OK")</f>
        <v>OK</v>
      </c>
      <c r="Q592" t="str">
        <f>IF(ISBLANK(po_master[[#This Row],[Invoice Number]]), "No Invoice", "OK")</f>
        <v>OK</v>
      </c>
      <c r="R592" t="str">
        <f>IF(AND(NOT(ISBLANK(po_master[[#This Row],[GR Quantity]])), po_master[[#This Row],[GR Quantity]]&lt;&gt;po_master[[#This Row],[PO Quantity]]), "Qty Variance", "OK")</f>
        <v>Qty Variance</v>
      </c>
      <c r="S592" t="str">
        <f>IF(po_master[[#This Row],[Invoice Unit Price]]&gt;po_master[[#This Row],[PO Unit Price]]*1.01, "Price Variance", "OK")</f>
        <v>OK</v>
      </c>
      <c r="T592" t="str">
        <f>IF(po_master[[#This Row],[Actual Delivery Date]]&gt;po_master[[#This Row],[Promised Delivey Date]], "Late Delivery", "OK")</f>
        <v>Late Delivery</v>
      </c>
      <c r="U592" t="str">
        <f>IF(COUNTIF(po_master[PO Number],po_master[[#This Row],[PO Number]])&gt;1, "Duplicate Invoice", "OK")</f>
        <v>OK</v>
      </c>
      <c r="V592" s="5">
        <f>IF(po_master[[#This Row],[Missing Approval]]="Missing Approval", 1, 0)</f>
        <v>0</v>
      </c>
      <c r="W592" s="5">
        <f>IF(po_master[[#This Row],[GR Receipt Status]]="No GR - Not Received", 1, 0)</f>
        <v>0</v>
      </c>
      <c r="X592" s="5">
        <f>IF(po_master[[#This Row],[No invoice]]="No Invoice", 1, 0)</f>
        <v>0</v>
      </c>
      <c r="Y592" s="5">
        <f>IF(po_master[[#This Row],[Date Check]]="Invalid Date", 1, 0)</f>
        <v>0</v>
      </c>
      <c r="Z592" s="5">
        <f>IF(po_master[[#This Row],[Qty Variance Flag]]="Qty Variance", 1, 0)</f>
        <v>1</v>
      </c>
      <c r="AA592" s="5">
        <f>IF(po_master[[#This Row],[Price Variance Flag]]="Price Variance", 1, 0)</f>
        <v>0</v>
      </c>
      <c r="AB592" s="5">
        <f>IF(po_master[[#This Row],[Late Delivery Flag]]="Late Delivery", 1, 0)</f>
        <v>1</v>
      </c>
      <c r="AC592" s="5">
        <f>IF(po_master[[#This Row],[Duplicate Invoice Flag]]="Duplicate Invoice", 1, 0)</f>
        <v>0</v>
      </c>
      <c r="AD592" s="5" t="str">
        <f>TEXT(po_master[[#This Row],[Order Date]],"YYYY-MM")</f>
        <v>2026-01</v>
      </c>
    </row>
    <row r="593" spans="1:30" x14ac:dyDescent="0.25">
      <c r="A593" t="s">
        <v>526</v>
      </c>
      <c r="B593" t="s">
        <v>1488</v>
      </c>
      <c r="C593" s="1">
        <v>46173</v>
      </c>
      <c r="D593">
        <v>334</v>
      </c>
      <c r="E593">
        <v>153.83000000000001</v>
      </c>
      <c r="F593" t="s">
        <v>1446</v>
      </c>
      <c r="G593" s="1">
        <v>46180</v>
      </c>
      <c r="H593">
        <v>334</v>
      </c>
      <c r="I593" s="1">
        <v>46179</v>
      </c>
      <c r="J593" t="s">
        <v>1297</v>
      </c>
      <c r="K593">
        <v>334</v>
      </c>
      <c r="L593">
        <v>153.83000000000001</v>
      </c>
      <c r="M593" s="1">
        <v>46182</v>
      </c>
      <c r="N593" t="str">
        <f>IF(po_master[[#This Row],[Approved By]]="", "Missing Approval", "OK")</f>
        <v>OK</v>
      </c>
      <c r="O593" t="str">
        <f>IF(ISBLANK(po_master[[#This Row],[GR Quantity]]), "No GR - Not received", "OK")</f>
        <v>OK</v>
      </c>
      <c r="P593" t="str">
        <f>IF(po_master[[#This Row],[Promised Delivey Date]]&lt;po_master[[#This Row],[Order Date]], "Invalid", "OK")</f>
        <v>OK</v>
      </c>
      <c r="Q593" t="str">
        <f>IF(ISBLANK(po_master[[#This Row],[Invoice Number]]), "No Invoice", "OK")</f>
        <v>OK</v>
      </c>
      <c r="R593" t="str">
        <f>IF(AND(NOT(ISBLANK(po_master[[#This Row],[GR Quantity]])), po_master[[#This Row],[GR Quantity]]&lt;&gt;po_master[[#This Row],[PO Quantity]]), "Qty Variance", "OK")</f>
        <v>OK</v>
      </c>
      <c r="S593" t="str">
        <f>IF(po_master[[#This Row],[Invoice Unit Price]]&gt;po_master[[#This Row],[PO Unit Price]]*1.01, "Price Variance", "OK")</f>
        <v>OK</v>
      </c>
      <c r="T593" t="str">
        <f>IF(po_master[[#This Row],[Actual Delivery Date]]&gt;po_master[[#This Row],[Promised Delivey Date]], "Late Delivery", "OK")</f>
        <v>OK</v>
      </c>
      <c r="U593" t="str">
        <f>IF(COUNTIF(po_master[PO Number],po_master[[#This Row],[PO Number]])&gt;1, "Duplicate Invoice", "OK")</f>
        <v>OK</v>
      </c>
      <c r="V593" s="5">
        <f>IF(po_master[[#This Row],[Missing Approval]]="Missing Approval", 1, 0)</f>
        <v>0</v>
      </c>
      <c r="W593" s="5">
        <f>IF(po_master[[#This Row],[GR Receipt Status]]="No GR - Not Received", 1, 0)</f>
        <v>0</v>
      </c>
      <c r="X593" s="5">
        <f>IF(po_master[[#This Row],[No invoice]]="No Invoice", 1, 0)</f>
        <v>0</v>
      </c>
      <c r="Y593" s="5">
        <f>IF(po_master[[#This Row],[Date Check]]="Invalid Date", 1, 0)</f>
        <v>0</v>
      </c>
      <c r="Z593" s="5">
        <f>IF(po_master[[#This Row],[Qty Variance Flag]]="Qty Variance", 1, 0)</f>
        <v>0</v>
      </c>
      <c r="AA593" s="5">
        <f>IF(po_master[[#This Row],[Price Variance Flag]]="Price Variance", 1, 0)</f>
        <v>0</v>
      </c>
      <c r="AB593" s="5">
        <f>IF(po_master[[#This Row],[Late Delivery Flag]]="Late Delivery", 1, 0)</f>
        <v>0</v>
      </c>
      <c r="AC593" s="5">
        <f>IF(po_master[[#This Row],[Duplicate Invoice Flag]]="Duplicate Invoice", 1, 0)</f>
        <v>0</v>
      </c>
      <c r="AD593" s="5" t="str">
        <f>TEXT(po_master[[#This Row],[Order Date]],"YYYY-MM")</f>
        <v>2026-05</v>
      </c>
    </row>
    <row r="594" spans="1:30" x14ac:dyDescent="0.25">
      <c r="A594" t="s">
        <v>527</v>
      </c>
      <c r="B594" t="s">
        <v>1512</v>
      </c>
      <c r="C594" s="1">
        <v>46134</v>
      </c>
      <c r="D594">
        <v>383</v>
      </c>
      <c r="E594">
        <v>190.92</v>
      </c>
      <c r="F594" t="s">
        <v>1440</v>
      </c>
      <c r="G594" s="1">
        <v>46140</v>
      </c>
      <c r="H594">
        <v>383</v>
      </c>
      <c r="I594" s="1">
        <v>46140</v>
      </c>
      <c r="J594" t="s">
        <v>1298</v>
      </c>
      <c r="K594">
        <v>383</v>
      </c>
      <c r="L594">
        <v>190.92</v>
      </c>
      <c r="M594" s="1">
        <v>46142</v>
      </c>
      <c r="N594" t="str">
        <f>IF(po_master[[#This Row],[Approved By]]="", "Missing Approval", "OK")</f>
        <v>OK</v>
      </c>
      <c r="O594" t="str">
        <f>IF(ISBLANK(po_master[[#This Row],[GR Quantity]]), "No GR - Not received", "OK")</f>
        <v>OK</v>
      </c>
      <c r="P594" t="str">
        <f>IF(po_master[[#This Row],[Promised Delivey Date]]&lt;po_master[[#This Row],[Order Date]], "Invalid", "OK")</f>
        <v>OK</v>
      </c>
      <c r="Q594" t="str">
        <f>IF(ISBLANK(po_master[[#This Row],[Invoice Number]]), "No Invoice", "OK")</f>
        <v>OK</v>
      </c>
      <c r="R594" t="str">
        <f>IF(AND(NOT(ISBLANK(po_master[[#This Row],[GR Quantity]])), po_master[[#This Row],[GR Quantity]]&lt;&gt;po_master[[#This Row],[PO Quantity]]), "Qty Variance", "OK")</f>
        <v>OK</v>
      </c>
      <c r="S594" t="str">
        <f>IF(po_master[[#This Row],[Invoice Unit Price]]&gt;po_master[[#This Row],[PO Unit Price]]*1.01, "Price Variance", "OK")</f>
        <v>OK</v>
      </c>
      <c r="T594" t="str">
        <f>IF(po_master[[#This Row],[Actual Delivery Date]]&gt;po_master[[#This Row],[Promised Delivey Date]], "Late Delivery", "OK")</f>
        <v>OK</v>
      </c>
      <c r="U594" t="str">
        <f>IF(COUNTIF(po_master[PO Number],po_master[[#This Row],[PO Number]])&gt;1, "Duplicate Invoice", "OK")</f>
        <v>OK</v>
      </c>
      <c r="V594" s="5">
        <f>IF(po_master[[#This Row],[Missing Approval]]="Missing Approval", 1, 0)</f>
        <v>0</v>
      </c>
      <c r="W594" s="5">
        <f>IF(po_master[[#This Row],[GR Receipt Status]]="No GR - Not Received", 1, 0)</f>
        <v>0</v>
      </c>
      <c r="X594" s="5">
        <f>IF(po_master[[#This Row],[No invoice]]="No Invoice", 1, 0)</f>
        <v>0</v>
      </c>
      <c r="Y594" s="5">
        <f>IF(po_master[[#This Row],[Date Check]]="Invalid Date", 1, 0)</f>
        <v>0</v>
      </c>
      <c r="Z594" s="5">
        <f>IF(po_master[[#This Row],[Qty Variance Flag]]="Qty Variance", 1, 0)</f>
        <v>0</v>
      </c>
      <c r="AA594" s="5">
        <f>IF(po_master[[#This Row],[Price Variance Flag]]="Price Variance", 1, 0)</f>
        <v>0</v>
      </c>
      <c r="AB594" s="5">
        <f>IF(po_master[[#This Row],[Late Delivery Flag]]="Late Delivery", 1, 0)</f>
        <v>0</v>
      </c>
      <c r="AC594" s="5">
        <f>IF(po_master[[#This Row],[Duplicate Invoice Flag]]="Duplicate Invoice", 1, 0)</f>
        <v>0</v>
      </c>
      <c r="AD594" s="5" t="str">
        <f>TEXT(po_master[[#This Row],[Order Date]],"YYYY-MM")</f>
        <v>2026-04</v>
      </c>
    </row>
    <row r="595" spans="1:30" x14ac:dyDescent="0.25">
      <c r="A595" t="s">
        <v>528</v>
      </c>
      <c r="B595" t="s">
        <v>1482</v>
      </c>
      <c r="C595" s="1">
        <v>46045</v>
      </c>
      <c r="D595">
        <v>483</v>
      </c>
      <c r="E595">
        <v>89.72</v>
      </c>
      <c r="F595" t="s">
        <v>1469</v>
      </c>
      <c r="G595" s="1">
        <v>46051</v>
      </c>
      <c r="H595">
        <v>483</v>
      </c>
      <c r="I595" s="1">
        <v>46066</v>
      </c>
      <c r="J595" t="s">
        <v>1299</v>
      </c>
      <c r="K595">
        <v>483</v>
      </c>
      <c r="L595">
        <v>89.72</v>
      </c>
      <c r="M595" s="1">
        <v>46054</v>
      </c>
      <c r="N595" t="str">
        <f>IF(po_master[[#This Row],[Approved By]]="", "Missing Approval", "OK")</f>
        <v>OK</v>
      </c>
      <c r="O595" t="str">
        <f>IF(ISBLANK(po_master[[#This Row],[GR Quantity]]), "No GR - Not received", "OK")</f>
        <v>OK</v>
      </c>
      <c r="P595" t="str">
        <f>IF(po_master[[#This Row],[Promised Delivey Date]]&lt;po_master[[#This Row],[Order Date]], "Invalid", "OK")</f>
        <v>OK</v>
      </c>
      <c r="Q595" t="str">
        <f>IF(ISBLANK(po_master[[#This Row],[Invoice Number]]), "No Invoice", "OK")</f>
        <v>OK</v>
      </c>
      <c r="R595" t="str">
        <f>IF(AND(NOT(ISBLANK(po_master[[#This Row],[GR Quantity]])), po_master[[#This Row],[GR Quantity]]&lt;&gt;po_master[[#This Row],[PO Quantity]]), "Qty Variance", "OK")</f>
        <v>OK</v>
      </c>
      <c r="S595" t="str">
        <f>IF(po_master[[#This Row],[Invoice Unit Price]]&gt;po_master[[#This Row],[PO Unit Price]]*1.01, "Price Variance", "OK")</f>
        <v>OK</v>
      </c>
      <c r="T595" t="str">
        <f>IF(po_master[[#This Row],[Actual Delivery Date]]&gt;po_master[[#This Row],[Promised Delivey Date]], "Late Delivery", "OK")</f>
        <v>Late Delivery</v>
      </c>
      <c r="U595" t="str">
        <f>IF(COUNTIF(po_master[PO Number],po_master[[#This Row],[PO Number]])&gt;1, "Duplicate Invoice", "OK")</f>
        <v>Duplicate Invoice</v>
      </c>
      <c r="V595" s="5">
        <f>IF(po_master[[#This Row],[Missing Approval]]="Missing Approval", 1, 0)</f>
        <v>0</v>
      </c>
      <c r="W595" s="5">
        <f>IF(po_master[[#This Row],[GR Receipt Status]]="No GR - Not Received", 1, 0)</f>
        <v>0</v>
      </c>
      <c r="X595" s="5">
        <f>IF(po_master[[#This Row],[No invoice]]="No Invoice", 1, 0)</f>
        <v>0</v>
      </c>
      <c r="Y595" s="5">
        <f>IF(po_master[[#This Row],[Date Check]]="Invalid Date", 1, 0)</f>
        <v>0</v>
      </c>
      <c r="Z595" s="5">
        <f>IF(po_master[[#This Row],[Qty Variance Flag]]="Qty Variance", 1, 0)</f>
        <v>0</v>
      </c>
      <c r="AA595" s="5">
        <f>IF(po_master[[#This Row],[Price Variance Flag]]="Price Variance", 1, 0)</f>
        <v>0</v>
      </c>
      <c r="AB595" s="5">
        <f>IF(po_master[[#This Row],[Late Delivery Flag]]="Late Delivery", 1, 0)</f>
        <v>1</v>
      </c>
      <c r="AC595" s="5">
        <f>IF(po_master[[#This Row],[Duplicate Invoice Flag]]="Duplicate Invoice", 1, 0)</f>
        <v>1</v>
      </c>
      <c r="AD595" s="5" t="str">
        <f>TEXT(po_master[[#This Row],[Order Date]],"YYYY-MM")</f>
        <v>2026-01</v>
      </c>
    </row>
    <row r="596" spans="1:30" x14ac:dyDescent="0.25">
      <c r="A596" t="s">
        <v>528</v>
      </c>
      <c r="B596" t="s">
        <v>1482</v>
      </c>
      <c r="C596" s="1">
        <v>46045</v>
      </c>
      <c r="D596">
        <v>483</v>
      </c>
      <c r="E596">
        <v>89.72</v>
      </c>
      <c r="F596" t="s">
        <v>1469</v>
      </c>
      <c r="G596" s="1">
        <v>46051</v>
      </c>
      <c r="H596">
        <v>483</v>
      </c>
      <c r="I596" s="1">
        <v>46066</v>
      </c>
      <c r="J596" t="s">
        <v>1300</v>
      </c>
      <c r="K596">
        <v>483</v>
      </c>
      <c r="L596">
        <v>89.72</v>
      </c>
      <c r="M596" s="1">
        <v>46058</v>
      </c>
      <c r="N596" t="str">
        <f>IF(po_master[[#This Row],[Approved By]]="", "Missing Approval", "OK")</f>
        <v>OK</v>
      </c>
      <c r="O596" t="str">
        <f>IF(ISBLANK(po_master[[#This Row],[GR Quantity]]), "No GR - Not received", "OK")</f>
        <v>OK</v>
      </c>
      <c r="P596" t="str">
        <f>IF(po_master[[#This Row],[Promised Delivey Date]]&lt;po_master[[#This Row],[Order Date]], "Invalid", "OK")</f>
        <v>OK</v>
      </c>
      <c r="Q596" t="str">
        <f>IF(ISBLANK(po_master[[#This Row],[Invoice Number]]), "No Invoice", "OK")</f>
        <v>OK</v>
      </c>
      <c r="R596" t="str">
        <f>IF(AND(NOT(ISBLANK(po_master[[#This Row],[GR Quantity]])), po_master[[#This Row],[GR Quantity]]&lt;&gt;po_master[[#This Row],[PO Quantity]]), "Qty Variance", "OK")</f>
        <v>OK</v>
      </c>
      <c r="S596" t="str">
        <f>IF(po_master[[#This Row],[Invoice Unit Price]]&gt;po_master[[#This Row],[PO Unit Price]]*1.01, "Price Variance", "OK")</f>
        <v>OK</v>
      </c>
      <c r="T596" t="str">
        <f>IF(po_master[[#This Row],[Actual Delivery Date]]&gt;po_master[[#This Row],[Promised Delivey Date]], "Late Delivery", "OK")</f>
        <v>Late Delivery</v>
      </c>
      <c r="U596" t="str">
        <f>IF(COUNTIF(po_master[PO Number],po_master[[#This Row],[PO Number]])&gt;1, "Duplicate Invoice", "OK")</f>
        <v>Duplicate Invoice</v>
      </c>
      <c r="V596" s="5">
        <f>IF(po_master[[#This Row],[Missing Approval]]="Missing Approval", 1, 0)</f>
        <v>0</v>
      </c>
      <c r="W596" s="5">
        <f>IF(po_master[[#This Row],[GR Receipt Status]]="No GR - Not Received", 1, 0)</f>
        <v>0</v>
      </c>
      <c r="X596" s="5">
        <f>IF(po_master[[#This Row],[No invoice]]="No Invoice", 1, 0)</f>
        <v>0</v>
      </c>
      <c r="Y596" s="5">
        <f>IF(po_master[[#This Row],[Date Check]]="Invalid Date", 1, 0)</f>
        <v>0</v>
      </c>
      <c r="Z596" s="5">
        <f>IF(po_master[[#This Row],[Qty Variance Flag]]="Qty Variance", 1, 0)</f>
        <v>0</v>
      </c>
      <c r="AA596" s="5">
        <f>IF(po_master[[#This Row],[Price Variance Flag]]="Price Variance", 1, 0)</f>
        <v>0</v>
      </c>
      <c r="AB596" s="5">
        <f>IF(po_master[[#This Row],[Late Delivery Flag]]="Late Delivery", 1, 0)</f>
        <v>1</v>
      </c>
      <c r="AC596" s="5">
        <f>IF(po_master[[#This Row],[Duplicate Invoice Flag]]="Duplicate Invoice", 1, 0)</f>
        <v>1</v>
      </c>
      <c r="AD596" s="5" t="str">
        <f>TEXT(po_master[[#This Row],[Order Date]],"YYYY-MM")</f>
        <v>2026-01</v>
      </c>
    </row>
    <row r="597" spans="1:30" x14ac:dyDescent="0.25">
      <c r="A597" t="s">
        <v>529</v>
      </c>
      <c r="B597" t="s">
        <v>1512</v>
      </c>
      <c r="C597" s="1">
        <v>46067</v>
      </c>
      <c r="D597">
        <v>71</v>
      </c>
      <c r="E597">
        <v>7.47</v>
      </c>
      <c r="F597" t="s">
        <v>1485</v>
      </c>
      <c r="G597" s="1">
        <v>46072</v>
      </c>
      <c r="H597">
        <v>71</v>
      </c>
      <c r="I597" s="1">
        <v>46071</v>
      </c>
      <c r="J597" t="s">
        <v>1301</v>
      </c>
      <c r="K597">
        <v>71</v>
      </c>
      <c r="L597">
        <v>7.47</v>
      </c>
      <c r="M597" s="1">
        <v>46074</v>
      </c>
      <c r="N597" t="str">
        <f>IF(po_master[[#This Row],[Approved By]]="", "Missing Approval", "OK")</f>
        <v>OK</v>
      </c>
      <c r="O597" t="str">
        <f>IF(ISBLANK(po_master[[#This Row],[GR Quantity]]), "No GR - Not received", "OK")</f>
        <v>OK</v>
      </c>
      <c r="P597" t="str">
        <f>IF(po_master[[#This Row],[Promised Delivey Date]]&lt;po_master[[#This Row],[Order Date]], "Invalid", "OK")</f>
        <v>OK</v>
      </c>
      <c r="Q597" t="str">
        <f>IF(ISBLANK(po_master[[#This Row],[Invoice Number]]), "No Invoice", "OK")</f>
        <v>OK</v>
      </c>
      <c r="R597" t="str">
        <f>IF(AND(NOT(ISBLANK(po_master[[#This Row],[GR Quantity]])), po_master[[#This Row],[GR Quantity]]&lt;&gt;po_master[[#This Row],[PO Quantity]]), "Qty Variance", "OK")</f>
        <v>OK</v>
      </c>
      <c r="S597" t="str">
        <f>IF(po_master[[#This Row],[Invoice Unit Price]]&gt;po_master[[#This Row],[PO Unit Price]]*1.01, "Price Variance", "OK")</f>
        <v>OK</v>
      </c>
      <c r="T597" t="str">
        <f>IF(po_master[[#This Row],[Actual Delivery Date]]&gt;po_master[[#This Row],[Promised Delivey Date]], "Late Delivery", "OK")</f>
        <v>OK</v>
      </c>
      <c r="U597" t="str">
        <f>IF(COUNTIF(po_master[PO Number],po_master[[#This Row],[PO Number]])&gt;1, "Duplicate Invoice", "OK")</f>
        <v>Duplicate Invoice</v>
      </c>
      <c r="V597" s="5">
        <f>IF(po_master[[#This Row],[Missing Approval]]="Missing Approval", 1, 0)</f>
        <v>0</v>
      </c>
      <c r="W597" s="5">
        <f>IF(po_master[[#This Row],[GR Receipt Status]]="No GR - Not Received", 1, 0)</f>
        <v>0</v>
      </c>
      <c r="X597" s="5">
        <f>IF(po_master[[#This Row],[No invoice]]="No Invoice", 1, 0)</f>
        <v>0</v>
      </c>
      <c r="Y597" s="5">
        <f>IF(po_master[[#This Row],[Date Check]]="Invalid Date", 1, 0)</f>
        <v>0</v>
      </c>
      <c r="Z597" s="5">
        <f>IF(po_master[[#This Row],[Qty Variance Flag]]="Qty Variance", 1, 0)</f>
        <v>0</v>
      </c>
      <c r="AA597" s="5">
        <f>IF(po_master[[#This Row],[Price Variance Flag]]="Price Variance", 1, 0)</f>
        <v>0</v>
      </c>
      <c r="AB597" s="5">
        <f>IF(po_master[[#This Row],[Late Delivery Flag]]="Late Delivery", 1, 0)</f>
        <v>0</v>
      </c>
      <c r="AC597" s="5">
        <f>IF(po_master[[#This Row],[Duplicate Invoice Flag]]="Duplicate Invoice", 1, 0)</f>
        <v>1</v>
      </c>
      <c r="AD597" s="5" t="str">
        <f>TEXT(po_master[[#This Row],[Order Date]],"YYYY-MM")</f>
        <v>2026-02</v>
      </c>
    </row>
    <row r="598" spans="1:30" x14ac:dyDescent="0.25">
      <c r="A598" t="s">
        <v>529</v>
      </c>
      <c r="B598" t="s">
        <v>1512</v>
      </c>
      <c r="C598" s="1">
        <v>46067</v>
      </c>
      <c r="D598">
        <v>71</v>
      </c>
      <c r="E598">
        <v>7.47</v>
      </c>
      <c r="F598" t="s">
        <v>1485</v>
      </c>
      <c r="G598" s="1">
        <v>46072</v>
      </c>
      <c r="H598">
        <v>71</v>
      </c>
      <c r="I598" s="1">
        <v>46071</v>
      </c>
      <c r="J598" t="s">
        <v>1302</v>
      </c>
      <c r="K598">
        <v>71</v>
      </c>
      <c r="L598">
        <v>7.47</v>
      </c>
      <c r="M598" s="1">
        <v>46079</v>
      </c>
      <c r="N598" t="str">
        <f>IF(po_master[[#This Row],[Approved By]]="", "Missing Approval", "OK")</f>
        <v>OK</v>
      </c>
      <c r="O598" t="str">
        <f>IF(ISBLANK(po_master[[#This Row],[GR Quantity]]), "No GR - Not received", "OK")</f>
        <v>OK</v>
      </c>
      <c r="P598" t="str">
        <f>IF(po_master[[#This Row],[Promised Delivey Date]]&lt;po_master[[#This Row],[Order Date]], "Invalid", "OK")</f>
        <v>OK</v>
      </c>
      <c r="Q598" t="str">
        <f>IF(ISBLANK(po_master[[#This Row],[Invoice Number]]), "No Invoice", "OK")</f>
        <v>OK</v>
      </c>
      <c r="R598" t="str">
        <f>IF(AND(NOT(ISBLANK(po_master[[#This Row],[GR Quantity]])), po_master[[#This Row],[GR Quantity]]&lt;&gt;po_master[[#This Row],[PO Quantity]]), "Qty Variance", "OK")</f>
        <v>OK</v>
      </c>
      <c r="S598" t="str">
        <f>IF(po_master[[#This Row],[Invoice Unit Price]]&gt;po_master[[#This Row],[PO Unit Price]]*1.01, "Price Variance", "OK")</f>
        <v>OK</v>
      </c>
      <c r="T598" t="str">
        <f>IF(po_master[[#This Row],[Actual Delivery Date]]&gt;po_master[[#This Row],[Promised Delivey Date]], "Late Delivery", "OK")</f>
        <v>OK</v>
      </c>
      <c r="U598" t="str">
        <f>IF(COUNTIF(po_master[PO Number],po_master[[#This Row],[PO Number]])&gt;1, "Duplicate Invoice", "OK")</f>
        <v>Duplicate Invoice</v>
      </c>
      <c r="V598" s="5">
        <f>IF(po_master[[#This Row],[Missing Approval]]="Missing Approval", 1, 0)</f>
        <v>0</v>
      </c>
      <c r="W598" s="5">
        <f>IF(po_master[[#This Row],[GR Receipt Status]]="No GR - Not Received", 1, 0)</f>
        <v>0</v>
      </c>
      <c r="X598" s="5">
        <f>IF(po_master[[#This Row],[No invoice]]="No Invoice", 1, 0)</f>
        <v>0</v>
      </c>
      <c r="Y598" s="5">
        <f>IF(po_master[[#This Row],[Date Check]]="Invalid Date", 1, 0)</f>
        <v>0</v>
      </c>
      <c r="Z598" s="5">
        <f>IF(po_master[[#This Row],[Qty Variance Flag]]="Qty Variance", 1, 0)</f>
        <v>0</v>
      </c>
      <c r="AA598" s="5">
        <f>IF(po_master[[#This Row],[Price Variance Flag]]="Price Variance", 1, 0)</f>
        <v>0</v>
      </c>
      <c r="AB598" s="5">
        <f>IF(po_master[[#This Row],[Late Delivery Flag]]="Late Delivery", 1, 0)</f>
        <v>0</v>
      </c>
      <c r="AC598" s="5">
        <f>IF(po_master[[#This Row],[Duplicate Invoice Flag]]="Duplicate Invoice", 1, 0)</f>
        <v>1</v>
      </c>
      <c r="AD598" s="5" t="str">
        <f>TEXT(po_master[[#This Row],[Order Date]],"YYYY-MM")</f>
        <v>2026-02</v>
      </c>
    </row>
    <row r="599" spans="1:30" x14ac:dyDescent="0.25">
      <c r="A599" t="s">
        <v>530</v>
      </c>
      <c r="B599" t="s">
        <v>1460</v>
      </c>
      <c r="C599" s="1">
        <v>46150</v>
      </c>
      <c r="D599">
        <v>497</v>
      </c>
      <c r="E599">
        <v>72.61</v>
      </c>
      <c r="F599" t="s">
        <v>1504</v>
      </c>
      <c r="G599" s="1">
        <v>46163</v>
      </c>
      <c r="H599">
        <v>497</v>
      </c>
      <c r="I599" s="1">
        <v>46183</v>
      </c>
      <c r="J599" t="s">
        <v>1303</v>
      </c>
      <c r="K599">
        <v>497</v>
      </c>
      <c r="L599">
        <v>72.61</v>
      </c>
      <c r="M599" s="1">
        <v>46166</v>
      </c>
      <c r="N599" t="str">
        <f>IF(po_master[[#This Row],[Approved By]]="", "Missing Approval", "OK")</f>
        <v>OK</v>
      </c>
      <c r="O599" t="str">
        <f>IF(ISBLANK(po_master[[#This Row],[GR Quantity]]), "No GR - Not received", "OK")</f>
        <v>OK</v>
      </c>
      <c r="P599" t="str">
        <f>IF(po_master[[#This Row],[Promised Delivey Date]]&lt;po_master[[#This Row],[Order Date]], "Invalid", "OK")</f>
        <v>OK</v>
      </c>
      <c r="Q599" t="str">
        <f>IF(ISBLANK(po_master[[#This Row],[Invoice Number]]), "No Invoice", "OK")</f>
        <v>OK</v>
      </c>
      <c r="R599" t="str">
        <f>IF(AND(NOT(ISBLANK(po_master[[#This Row],[GR Quantity]])), po_master[[#This Row],[GR Quantity]]&lt;&gt;po_master[[#This Row],[PO Quantity]]), "Qty Variance", "OK")</f>
        <v>OK</v>
      </c>
      <c r="S599" t="str">
        <f>IF(po_master[[#This Row],[Invoice Unit Price]]&gt;po_master[[#This Row],[PO Unit Price]]*1.01, "Price Variance", "OK")</f>
        <v>OK</v>
      </c>
      <c r="T599" t="str">
        <f>IF(po_master[[#This Row],[Actual Delivery Date]]&gt;po_master[[#This Row],[Promised Delivey Date]], "Late Delivery", "OK")</f>
        <v>Late Delivery</v>
      </c>
      <c r="U599" t="str">
        <f>IF(COUNTIF(po_master[PO Number],po_master[[#This Row],[PO Number]])&gt;1, "Duplicate Invoice", "OK")</f>
        <v>OK</v>
      </c>
      <c r="V599" s="5">
        <f>IF(po_master[[#This Row],[Missing Approval]]="Missing Approval", 1, 0)</f>
        <v>0</v>
      </c>
      <c r="W599" s="5">
        <f>IF(po_master[[#This Row],[GR Receipt Status]]="No GR - Not Received", 1, 0)</f>
        <v>0</v>
      </c>
      <c r="X599" s="5">
        <f>IF(po_master[[#This Row],[No invoice]]="No Invoice", 1, 0)</f>
        <v>0</v>
      </c>
      <c r="Y599" s="5">
        <f>IF(po_master[[#This Row],[Date Check]]="Invalid Date", 1, 0)</f>
        <v>0</v>
      </c>
      <c r="Z599" s="5">
        <f>IF(po_master[[#This Row],[Qty Variance Flag]]="Qty Variance", 1, 0)</f>
        <v>0</v>
      </c>
      <c r="AA599" s="5">
        <f>IF(po_master[[#This Row],[Price Variance Flag]]="Price Variance", 1, 0)</f>
        <v>0</v>
      </c>
      <c r="AB599" s="5">
        <f>IF(po_master[[#This Row],[Late Delivery Flag]]="Late Delivery", 1, 0)</f>
        <v>1</v>
      </c>
      <c r="AC599" s="5">
        <f>IF(po_master[[#This Row],[Duplicate Invoice Flag]]="Duplicate Invoice", 1, 0)</f>
        <v>0</v>
      </c>
      <c r="AD599" s="5" t="str">
        <f>TEXT(po_master[[#This Row],[Order Date]],"YYYY-MM")</f>
        <v>2026-05</v>
      </c>
    </row>
    <row r="600" spans="1:30" x14ac:dyDescent="0.25">
      <c r="A600" t="s">
        <v>531</v>
      </c>
      <c r="B600" t="s">
        <v>1460</v>
      </c>
      <c r="C600" s="1">
        <v>46118</v>
      </c>
      <c r="D600">
        <v>74</v>
      </c>
      <c r="E600">
        <v>151.21</v>
      </c>
      <c r="F600" t="s">
        <v>1458</v>
      </c>
      <c r="G600" s="1">
        <v>46126</v>
      </c>
      <c r="H600">
        <v>74</v>
      </c>
      <c r="I600" s="1">
        <v>46128</v>
      </c>
      <c r="J600" t="s">
        <v>1304</v>
      </c>
      <c r="K600">
        <v>74</v>
      </c>
      <c r="L600">
        <v>151.21</v>
      </c>
      <c r="M600" s="1">
        <v>46127</v>
      </c>
      <c r="N600" t="str">
        <f>IF(po_master[[#This Row],[Approved By]]="", "Missing Approval", "OK")</f>
        <v>OK</v>
      </c>
      <c r="O600" t="str">
        <f>IF(ISBLANK(po_master[[#This Row],[GR Quantity]]), "No GR - Not received", "OK")</f>
        <v>OK</v>
      </c>
      <c r="P600" t="str">
        <f>IF(po_master[[#This Row],[Promised Delivey Date]]&lt;po_master[[#This Row],[Order Date]], "Invalid", "OK")</f>
        <v>OK</v>
      </c>
      <c r="Q600" t="str">
        <f>IF(ISBLANK(po_master[[#This Row],[Invoice Number]]), "No Invoice", "OK")</f>
        <v>OK</v>
      </c>
      <c r="R600" t="str">
        <f>IF(AND(NOT(ISBLANK(po_master[[#This Row],[GR Quantity]])), po_master[[#This Row],[GR Quantity]]&lt;&gt;po_master[[#This Row],[PO Quantity]]), "Qty Variance", "OK")</f>
        <v>OK</v>
      </c>
      <c r="S600" t="str">
        <f>IF(po_master[[#This Row],[Invoice Unit Price]]&gt;po_master[[#This Row],[PO Unit Price]]*1.01, "Price Variance", "OK")</f>
        <v>OK</v>
      </c>
      <c r="T600" t="str">
        <f>IF(po_master[[#This Row],[Actual Delivery Date]]&gt;po_master[[#This Row],[Promised Delivey Date]], "Late Delivery", "OK")</f>
        <v>Late Delivery</v>
      </c>
      <c r="U600" t="str">
        <f>IF(COUNTIF(po_master[PO Number],po_master[[#This Row],[PO Number]])&gt;1, "Duplicate Invoice", "OK")</f>
        <v>OK</v>
      </c>
      <c r="V600" s="5">
        <f>IF(po_master[[#This Row],[Missing Approval]]="Missing Approval", 1, 0)</f>
        <v>0</v>
      </c>
      <c r="W600" s="5">
        <f>IF(po_master[[#This Row],[GR Receipt Status]]="No GR - Not Received", 1, 0)</f>
        <v>0</v>
      </c>
      <c r="X600" s="5">
        <f>IF(po_master[[#This Row],[No invoice]]="No Invoice", 1, 0)</f>
        <v>0</v>
      </c>
      <c r="Y600" s="5">
        <f>IF(po_master[[#This Row],[Date Check]]="Invalid Date", 1, 0)</f>
        <v>0</v>
      </c>
      <c r="Z600" s="5">
        <f>IF(po_master[[#This Row],[Qty Variance Flag]]="Qty Variance", 1, 0)</f>
        <v>0</v>
      </c>
      <c r="AA600" s="5">
        <f>IF(po_master[[#This Row],[Price Variance Flag]]="Price Variance", 1, 0)</f>
        <v>0</v>
      </c>
      <c r="AB600" s="5">
        <f>IF(po_master[[#This Row],[Late Delivery Flag]]="Late Delivery", 1, 0)</f>
        <v>1</v>
      </c>
      <c r="AC600" s="5">
        <f>IF(po_master[[#This Row],[Duplicate Invoice Flag]]="Duplicate Invoice", 1, 0)</f>
        <v>0</v>
      </c>
      <c r="AD600" s="5" t="str">
        <f>TEXT(po_master[[#This Row],[Order Date]],"YYYY-MM")</f>
        <v>2026-04</v>
      </c>
    </row>
    <row r="601" spans="1:30" x14ac:dyDescent="0.25">
      <c r="A601" t="s">
        <v>532</v>
      </c>
      <c r="B601" t="s">
        <v>1473</v>
      </c>
      <c r="C601" s="1">
        <v>46108</v>
      </c>
      <c r="D601">
        <v>423</v>
      </c>
      <c r="E601">
        <v>88.72</v>
      </c>
      <c r="F601" t="s">
        <v>1504</v>
      </c>
      <c r="G601" s="1">
        <v>46115</v>
      </c>
      <c r="H601">
        <v>423</v>
      </c>
      <c r="I601" s="1">
        <v>46114</v>
      </c>
      <c r="J601" t="s">
        <v>1305</v>
      </c>
      <c r="K601">
        <v>423</v>
      </c>
      <c r="L601">
        <v>88.72</v>
      </c>
      <c r="M601" s="1">
        <v>46120</v>
      </c>
      <c r="N601" t="str">
        <f>IF(po_master[[#This Row],[Approved By]]="", "Missing Approval", "OK")</f>
        <v>OK</v>
      </c>
      <c r="O601" t="str">
        <f>IF(ISBLANK(po_master[[#This Row],[GR Quantity]]), "No GR - Not received", "OK")</f>
        <v>OK</v>
      </c>
      <c r="P601" t="str">
        <f>IF(po_master[[#This Row],[Promised Delivey Date]]&lt;po_master[[#This Row],[Order Date]], "Invalid", "OK")</f>
        <v>OK</v>
      </c>
      <c r="Q601" t="str">
        <f>IF(ISBLANK(po_master[[#This Row],[Invoice Number]]), "No Invoice", "OK")</f>
        <v>OK</v>
      </c>
      <c r="R601" t="str">
        <f>IF(AND(NOT(ISBLANK(po_master[[#This Row],[GR Quantity]])), po_master[[#This Row],[GR Quantity]]&lt;&gt;po_master[[#This Row],[PO Quantity]]), "Qty Variance", "OK")</f>
        <v>OK</v>
      </c>
      <c r="S601" t="str">
        <f>IF(po_master[[#This Row],[Invoice Unit Price]]&gt;po_master[[#This Row],[PO Unit Price]]*1.01, "Price Variance", "OK")</f>
        <v>OK</v>
      </c>
      <c r="T601" t="str">
        <f>IF(po_master[[#This Row],[Actual Delivery Date]]&gt;po_master[[#This Row],[Promised Delivey Date]], "Late Delivery", "OK")</f>
        <v>OK</v>
      </c>
      <c r="U601" t="str">
        <f>IF(COUNTIF(po_master[PO Number],po_master[[#This Row],[PO Number]])&gt;1, "Duplicate Invoice", "OK")</f>
        <v>OK</v>
      </c>
      <c r="V601" s="5">
        <f>IF(po_master[[#This Row],[Missing Approval]]="Missing Approval", 1, 0)</f>
        <v>0</v>
      </c>
      <c r="W601" s="5">
        <f>IF(po_master[[#This Row],[GR Receipt Status]]="No GR - Not Received", 1, 0)</f>
        <v>0</v>
      </c>
      <c r="X601" s="5">
        <f>IF(po_master[[#This Row],[No invoice]]="No Invoice", 1, 0)</f>
        <v>0</v>
      </c>
      <c r="Y601" s="5">
        <f>IF(po_master[[#This Row],[Date Check]]="Invalid Date", 1, 0)</f>
        <v>0</v>
      </c>
      <c r="Z601" s="5">
        <f>IF(po_master[[#This Row],[Qty Variance Flag]]="Qty Variance", 1, 0)</f>
        <v>0</v>
      </c>
      <c r="AA601" s="5">
        <f>IF(po_master[[#This Row],[Price Variance Flag]]="Price Variance", 1, 0)</f>
        <v>0</v>
      </c>
      <c r="AB601" s="5">
        <f>IF(po_master[[#This Row],[Late Delivery Flag]]="Late Delivery", 1, 0)</f>
        <v>0</v>
      </c>
      <c r="AC601" s="5">
        <f>IF(po_master[[#This Row],[Duplicate Invoice Flag]]="Duplicate Invoice", 1, 0)</f>
        <v>0</v>
      </c>
      <c r="AD601" s="5" t="str">
        <f>TEXT(po_master[[#This Row],[Order Date]],"YYYY-MM")</f>
        <v>2026-03</v>
      </c>
    </row>
    <row r="602" spans="1:30" x14ac:dyDescent="0.25">
      <c r="A602" t="s">
        <v>1275</v>
      </c>
      <c r="B602" t="s">
        <v>1449</v>
      </c>
      <c r="C602" s="1">
        <v>46056</v>
      </c>
      <c r="D602">
        <v>254</v>
      </c>
      <c r="E602">
        <v>18.809999999999999</v>
      </c>
      <c r="F602" t="s">
        <v>1453</v>
      </c>
      <c r="G602" s="1">
        <v>46063</v>
      </c>
      <c r="I602" s="1"/>
      <c r="J602" t="s">
        <v>1276</v>
      </c>
      <c r="K602">
        <v>254</v>
      </c>
      <c r="L602">
        <v>22.5</v>
      </c>
      <c r="M602" s="1">
        <v>46066</v>
      </c>
      <c r="N602" t="str">
        <f>IF(po_master[[#This Row],[Approved By]]="", "Missing Approval", "OK")</f>
        <v>OK</v>
      </c>
      <c r="O602" t="str">
        <f>IF(ISBLANK(po_master[[#This Row],[GR Quantity]]), "No GR - Not received", "OK")</f>
        <v>No GR - Not received</v>
      </c>
      <c r="P602" t="str">
        <f>IF(po_master[[#This Row],[Promised Delivey Date]]&lt;po_master[[#This Row],[Order Date]], "Invalid", "OK")</f>
        <v>OK</v>
      </c>
      <c r="Q602" t="str">
        <f>IF(ISBLANK(po_master[[#This Row],[Invoice Number]]), "No Invoice", "OK")</f>
        <v>OK</v>
      </c>
      <c r="R602" t="str">
        <f>IF(AND(NOT(ISBLANK(po_master[[#This Row],[GR Quantity]])), po_master[[#This Row],[GR Quantity]]&lt;&gt;po_master[[#This Row],[PO Quantity]]), "Qty Variance", "OK")</f>
        <v>OK</v>
      </c>
      <c r="S602" t="str">
        <f>IF(po_master[[#This Row],[Invoice Unit Price]]&gt;po_master[[#This Row],[PO Unit Price]]*1.01, "Price Variance", "OK")</f>
        <v>Price Variance</v>
      </c>
      <c r="T602" t="str">
        <f>IF(po_master[[#This Row],[Actual Delivery Date]]&gt;po_master[[#This Row],[Promised Delivey Date]], "Late Delivery", "OK")</f>
        <v>OK</v>
      </c>
      <c r="U602" t="str">
        <f>IF(COUNTIF(po_master[PO Number],po_master[[#This Row],[PO Number]])&gt;1, "Duplicate Invoice", "OK")</f>
        <v>OK</v>
      </c>
      <c r="V602" s="5">
        <f>IF(po_master[[#This Row],[Missing Approval]]="Missing Approval", 1, 0)</f>
        <v>0</v>
      </c>
      <c r="W602" s="5">
        <f>IF(po_master[[#This Row],[GR Receipt Status]]="No GR - Not Received", 1, 0)</f>
        <v>1</v>
      </c>
      <c r="X602" s="5">
        <f>IF(po_master[[#This Row],[No invoice]]="No Invoice", 1, 0)</f>
        <v>0</v>
      </c>
      <c r="Y602" s="5">
        <f>IF(po_master[[#This Row],[Date Check]]="Invalid Date", 1, 0)</f>
        <v>0</v>
      </c>
      <c r="Z602" s="5">
        <f>IF(po_master[[#This Row],[Qty Variance Flag]]="Qty Variance", 1, 0)</f>
        <v>0</v>
      </c>
      <c r="AA602" s="5">
        <f>IF(po_master[[#This Row],[Price Variance Flag]]="Price Variance", 1, 0)</f>
        <v>1</v>
      </c>
      <c r="AB602" s="5">
        <f>IF(po_master[[#This Row],[Late Delivery Flag]]="Late Delivery", 1, 0)</f>
        <v>0</v>
      </c>
      <c r="AC602" s="5">
        <f>IF(po_master[[#This Row],[Duplicate Invoice Flag]]="Duplicate Invoice", 1, 0)</f>
        <v>0</v>
      </c>
      <c r="AD602" s="5" t="str">
        <f>TEXT(po_master[[#This Row],[Order Date]],"YYYY-MM")</f>
        <v>2026-02</v>
      </c>
    </row>
    <row r="603" spans="1:30" x14ac:dyDescent="0.25">
      <c r="A603" t="s">
        <v>533</v>
      </c>
      <c r="B603" t="s">
        <v>1470</v>
      </c>
      <c r="C603" s="1">
        <v>46170</v>
      </c>
      <c r="D603">
        <v>331</v>
      </c>
      <c r="E603">
        <v>20.03</v>
      </c>
      <c r="F603" t="s">
        <v>1469</v>
      </c>
      <c r="G603" s="1">
        <v>46191</v>
      </c>
      <c r="H603">
        <v>331</v>
      </c>
      <c r="I603" s="1">
        <v>46190</v>
      </c>
      <c r="J603" t="s">
        <v>1306</v>
      </c>
      <c r="K603">
        <v>331</v>
      </c>
      <c r="L603">
        <v>20.03</v>
      </c>
      <c r="M603" s="1">
        <v>46198</v>
      </c>
      <c r="N603" t="str">
        <f>IF(po_master[[#This Row],[Approved By]]="", "Missing Approval", "OK")</f>
        <v>OK</v>
      </c>
      <c r="O603" t="str">
        <f>IF(ISBLANK(po_master[[#This Row],[GR Quantity]]), "No GR - Not received", "OK")</f>
        <v>OK</v>
      </c>
      <c r="P603" t="str">
        <f>IF(po_master[[#This Row],[Promised Delivey Date]]&lt;po_master[[#This Row],[Order Date]], "Invalid", "OK")</f>
        <v>OK</v>
      </c>
      <c r="Q603" t="str">
        <f>IF(ISBLANK(po_master[[#This Row],[Invoice Number]]), "No Invoice", "OK")</f>
        <v>OK</v>
      </c>
      <c r="R603" t="str">
        <f>IF(AND(NOT(ISBLANK(po_master[[#This Row],[GR Quantity]])), po_master[[#This Row],[GR Quantity]]&lt;&gt;po_master[[#This Row],[PO Quantity]]), "Qty Variance", "OK")</f>
        <v>OK</v>
      </c>
      <c r="S603" t="str">
        <f>IF(po_master[[#This Row],[Invoice Unit Price]]&gt;po_master[[#This Row],[PO Unit Price]]*1.01, "Price Variance", "OK")</f>
        <v>OK</v>
      </c>
      <c r="T603" t="str">
        <f>IF(po_master[[#This Row],[Actual Delivery Date]]&gt;po_master[[#This Row],[Promised Delivey Date]], "Late Delivery", "OK")</f>
        <v>OK</v>
      </c>
      <c r="U603" t="str">
        <f>IF(COUNTIF(po_master[PO Number],po_master[[#This Row],[PO Number]])&gt;1, "Duplicate Invoice", "OK")</f>
        <v>OK</v>
      </c>
      <c r="V603" s="5">
        <f>IF(po_master[[#This Row],[Missing Approval]]="Missing Approval", 1, 0)</f>
        <v>0</v>
      </c>
      <c r="W603" s="5">
        <f>IF(po_master[[#This Row],[GR Receipt Status]]="No GR - Not Received", 1, 0)</f>
        <v>0</v>
      </c>
      <c r="X603" s="5">
        <f>IF(po_master[[#This Row],[No invoice]]="No Invoice", 1, 0)</f>
        <v>0</v>
      </c>
      <c r="Y603" s="5">
        <f>IF(po_master[[#This Row],[Date Check]]="Invalid Date", 1, 0)</f>
        <v>0</v>
      </c>
      <c r="Z603" s="5">
        <f>IF(po_master[[#This Row],[Qty Variance Flag]]="Qty Variance", 1, 0)</f>
        <v>0</v>
      </c>
      <c r="AA603" s="5">
        <f>IF(po_master[[#This Row],[Price Variance Flag]]="Price Variance", 1, 0)</f>
        <v>0</v>
      </c>
      <c r="AB603" s="5">
        <f>IF(po_master[[#This Row],[Late Delivery Flag]]="Late Delivery", 1, 0)</f>
        <v>0</v>
      </c>
      <c r="AC603" s="5">
        <f>IF(po_master[[#This Row],[Duplicate Invoice Flag]]="Duplicate Invoice", 1, 0)</f>
        <v>0</v>
      </c>
      <c r="AD603" s="5" t="str">
        <f>TEXT(po_master[[#This Row],[Order Date]],"YYYY-MM")</f>
        <v>2026-05</v>
      </c>
    </row>
    <row r="604" spans="1:30" x14ac:dyDescent="0.25">
      <c r="A604" t="s">
        <v>534</v>
      </c>
      <c r="B604" t="s">
        <v>1496</v>
      </c>
      <c r="C604" s="1">
        <v>46037</v>
      </c>
      <c r="D604">
        <v>265</v>
      </c>
      <c r="E604">
        <v>172.58</v>
      </c>
      <c r="F604" t="s">
        <v>1501</v>
      </c>
      <c r="G604" s="1">
        <v>46053</v>
      </c>
      <c r="H604">
        <v>265</v>
      </c>
      <c r="I604" s="1">
        <v>46053</v>
      </c>
      <c r="J604" t="s">
        <v>1307</v>
      </c>
      <c r="K604">
        <v>265</v>
      </c>
      <c r="L604">
        <v>172.58</v>
      </c>
      <c r="M604" s="1">
        <v>46057</v>
      </c>
      <c r="N604" t="str">
        <f>IF(po_master[[#This Row],[Approved By]]="", "Missing Approval", "OK")</f>
        <v>OK</v>
      </c>
      <c r="O604" t="str">
        <f>IF(ISBLANK(po_master[[#This Row],[GR Quantity]]), "No GR - Not received", "OK")</f>
        <v>OK</v>
      </c>
      <c r="P604" t="str">
        <f>IF(po_master[[#This Row],[Promised Delivey Date]]&lt;po_master[[#This Row],[Order Date]], "Invalid", "OK")</f>
        <v>OK</v>
      </c>
      <c r="Q604" t="str">
        <f>IF(ISBLANK(po_master[[#This Row],[Invoice Number]]), "No Invoice", "OK")</f>
        <v>OK</v>
      </c>
      <c r="R604" t="str">
        <f>IF(AND(NOT(ISBLANK(po_master[[#This Row],[GR Quantity]])), po_master[[#This Row],[GR Quantity]]&lt;&gt;po_master[[#This Row],[PO Quantity]]), "Qty Variance", "OK")</f>
        <v>OK</v>
      </c>
      <c r="S604" t="str">
        <f>IF(po_master[[#This Row],[Invoice Unit Price]]&gt;po_master[[#This Row],[PO Unit Price]]*1.01, "Price Variance", "OK")</f>
        <v>OK</v>
      </c>
      <c r="T604" t="str">
        <f>IF(po_master[[#This Row],[Actual Delivery Date]]&gt;po_master[[#This Row],[Promised Delivey Date]], "Late Delivery", "OK")</f>
        <v>OK</v>
      </c>
      <c r="U604" t="str">
        <f>IF(COUNTIF(po_master[PO Number],po_master[[#This Row],[PO Number]])&gt;1, "Duplicate Invoice", "OK")</f>
        <v>OK</v>
      </c>
      <c r="V604" s="5">
        <f>IF(po_master[[#This Row],[Missing Approval]]="Missing Approval", 1, 0)</f>
        <v>0</v>
      </c>
      <c r="W604" s="5">
        <f>IF(po_master[[#This Row],[GR Receipt Status]]="No GR - Not Received", 1, 0)</f>
        <v>0</v>
      </c>
      <c r="X604" s="5">
        <f>IF(po_master[[#This Row],[No invoice]]="No Invoice", 1, 0)</f>
        <v>0</v>
      </c>
      <c r="Y604" s="5">
        <f>IF(po_master[[#This Row],[Date Check]]="Invalid Date", 1, 0)</f>
        <v>0</v>
      </c>
      <c r="Z604" s="5">
        <f>IF(po_master[[#This Row],[Qty Variance Flag]]="Qty Variance", 1, 0)</f>
        <v>0</v>
      </c>
      <c r="AA604" s="5">
        <f>IF(po_master[[#This Row],[Price Variance Flag]]="Price Variance", 1, 0)</f>
        <v>0</v>
      </c>
      <c r="AB604" s="5">
        <f>IF(po_master[[#This Row],[Late Delivery Flag]]="Late Delivery", 1, 0)</f>
        <v>0</v>
      </c>
      <c r="AC604" s="5">
        <f>IF(po_master[[#This Row],[Duplicate Invoice Flag]]="Duplicate Invoice", 1, 0)</f>
        <v>0</v>
      </c>
      <c r="AD604" s="5" t="str">
        <f>TEXT(po_master[[#This Row],[Order Date]],"YYYY-MM")</f>
        <v>2026-01</v>
      </c>
    </row>
    <row r="605" spans="1:30" x14ac:dyDescent="0.25">
      <c r="A605" t="s">
        <v>535</v>
      </c>
      <c r="B605" t="s">
        <v>1460</v>
      </c>
      <c r="C605" s="1">
        <v>46088</v>
      </c>
      <c r="D605">
        <v>405</v>
      </c>
      <c r="E605">
        <v>25.07</v>
      </c>
      <c r="F605" t="s">
        <v>1480</v>
      </c>
      <c r="G605" s="1">
        <v>46096</v>
      </c>
      <c r="H605">
        <v>405</v>
      </c>
      <c r="I605" s="1">
        <v>46094</v>
      </c>
      <c r="J605" t="s">
        <v>1308</v>
      </c>
      <c r="K605">
        <v>405</v>
      </c>
      <c r="L605">
        <v>25.07</v>
      </c>
      <c r="M605" s="1">
        <v>46105</v>
      </c>
      <c r="N605" t="str">
        <f>IF(po_master[[#This Row],[Approved By]]="", "Missing Approval", "OK")</f>
        <v>OK</v>
      </c>
      <c r="O605" t="str">
        <f>IF(ISBLANK(po_master[[#This Row],[GR Quantity]]), "No GR - Not received", "OK")</f>
        <v>OK</v>
      </c>
      <c r="P605" t="str">
        <f>IF(po_master[[#This Row],[Promised Delivey Date]]&lt;po_master[[#This Row],[Order Date]], "Invalid", "OK")</f>
        <v>OK</v>
      </c>
      <c r="Q605" t="str">
        <f>IF(ISBLANK(po_master[[#This Row],[Invoice Number]]), "No Invoice", "OK")</f>
        <v>OK</v>
      </c>
      <c r="R605" t="str">
        <f>IF(AND(NOT(ISBLANK(po_master[[#This Row],[GR Quantity]])), po_master[[#This Row],[GR Quantity]]&lt;&gt;po_master[[#This Row],[PO Quantity]]), "Qty Variance", "OK")</f>
        <v>OK</v>
      </c>
      <c r="S605" t="str">
        <f>IF(po_master[[#This Row],[Invoice Unit Price]]&gt;po_master[[#This Row],[PO Unit Price]]*1.01, "Price Variance", "OK")</f>
        <v>OK</v>
      </c>
      <c r="T605" t="str">
        <f>IF(po_master[[#This Row],[Actual Delivery Date]]&gt;po_master[[#This Row],[Promised Delivey Date]], "Late Delivery", "OK")</f>
        <v>OK</v>
      </c>
      <c r="U605" t="str">
        <f>IF(COUNTIF(po_master[PO Number],po_master[[#This Row],[PO Number]])&gt;1, "Duplicate Invoice", "OK")</f>
        <v>OK</v>
      </c>
      <c r="V605" s="5">
        <f>IF(po_master[[#This Row],[Missing Approval]]="Missing Approval", 1, 0)</f>
        <v>0</v>
      </c>
      <c r="W605" s="5">
        <f>IF(po_master[[#This Row],[GR Receipt Status]]="No GR - Not Received", 1, 0)</f>
        <v>0</v>
      </c>
      <c r="X605" s="5">
        <f>IF(po_master[[#This Row],[No invoice]]="No Invoice", 1, 0)</f>
        <v>0</v>
      </c>
      <c r="Y605" s="5">
        <f>IF(po_master[[#This Row],[Date Check]]="Invalid Date", 1, 0)</f>
        <v>0</v>
      </c>
      <c r="Z605" s="5">
        <f>IF(po_master[[#This Row],[Qty Variance Flag]]="Qty Variance", 1, 0)</f>
        <v>0</v>
      </c>
      <c r="AA605" s="5">
        <f>IF(po_master[[#This Row],[Price Variance Flag]]="Price Variance", 1, 0)</f>
        <v>0</v>
      </c>
      <c r="AB605" s="5">
        <f>IF(po_master[[#This Row],[Late Delivery Flag]]="Late Delivery", 1, 0)</f>
        <v>0</v>
      </c>
      <c r="AC605" s="5">
        <f>IF(po_master[[#This Row],[Duplicate Invoice Flag]]="Duplicate Invoice", 1, 0)</f>
        <v>0</v>
      </c>
      <c r="AD605" s="5" t="str">
        <f>TEXT(po_master[[#This Row],[Order Date]],"YYYY-MM")</f>
        <v>2026-03</v>
      </c>
    </row>
    <row r="606" spans="1:30" x14ac:dyDescent="0.25">
      <c r="A606" t="s">
        <v>536</v>
      </c>
      <c r="B606" t="s">
        <v>1447</v>
      </c>
      <c r="C606" s="1">
        <v>46153</v>
      </c>
      <c r="D606">
        <v>11</v>
      </c>
      <c r="E606">
        <v>13.59</v>
      </c>
      <c r="F606" t="s">
        <v>1448</v>
      </c>
      <c r="G606" s="1">
        <v>46165</v>
      </c>
      <c r="H606">
        <v>11</v>
      </c>
      <c r="I606" s="1">
        <v>46182</v>
      </c>
      <c r="J606" t="s">
        <v>1309</v>
      </c>
      <c r="K606">
        <v>11</v>
      </c>
      <c r="L606">
        <v>13.59</v>
      </c>
      <c r="M606" s="1">
        <v>46174</v>
      </c>
      <c r="N606" t="str">
        <f>IF(po_master[[#This Row],[Approved By]]="", "Missing Approval", "OK")</f>
        <v>OK</v>
      </c>
      <c r="O606" t="str">
        <f>IF(ISBLANK(po_master[[#This Row],[GR Quantity]]), "No GR - Not received", "OK")</f>
        <v>OK</v>
      </c>
      <c r="P606" t="str">
        <f>IF(po_master[[#This Row],[Promised Delivey Date]]&lt;po_master[[#This Row],[Order Date]], "Invalid", "OK")</f>
        <v>OK</v>
      </c>
      <c r="Q606" t="str">
        <f>IF(ISBLANK(po_master[[#This Row],[Invoice Number]]), "No Invoice", "OK")</f>
        <v>OK</v>
      </c>
      <c r="R606" t="str">
        <f>IF(AND(NOT(ISBLANK(po_master[[#This Row],[GR Quantity]])), po_master[[#This Row],[GR Quantity]]&lt;&gt;po_master[[#This Row],[PO Quantity]]), "Qty Variance", "OK")</f>
        <v>OK</v>
      </c>
      <c r="S606" t="str">
        <f>IF(po_master[[#This Row],[Invoice Unit Price]]&gt;po_master[[#This Row],[PO Unit Price]]*1.01, "Price Variance", "OK")</f>
        <v>OK</v>
      </c>
      <c r="T606" t="str">
        <f>IF(po_master[[#This Row],[Actual Delivery Date]]&gt;po_master[[#This Row],[Promised Delivey Date]], "Late Delivery", "OK")</f>
        <v>Late Delivery</v>
      </c>
      <c r="U606" t="str">
        <f>IF(COUNTIF(po_master[PO Number],po_master[[#This Row],[PO Number]])&gt;1, "Duplicate Invoice", "OK")</f>
        <v>OK</v>
      </c>
      <c r="V606" s="5">
        <f>IF(po_master[[#This Row],[Missing Approval]]="Missing Approval", 1, 0)</f>
        <v>0</v>
      </c>
      <c r="W606" s="5">
        <f>IF(po_master[[#This Row],[GR Receipt Status]]="No GR - Not Received", 1, 0)</f>
        <v>0</v>
      </c>
      <c r="X606" s="5">
        <f>IF(po_master[[#This Row],[No invoice]]="No Invoice", 1, 0)</f>
        <v>0</v>
      </c>
      <c r="Y606" s="5">
        <f>IF(po_master[[#This Row],[Date Check]]="Invalid Date", 1, 0)</f>
        <v>0</v>
      </c>
      <c r="Z606" s="5">
        <f>IF(po_master[[#This Row],[Qty Variance Flag]]="Qty Variance", 1, 0)</f>
        <v>0</v>
      </c>
      <c r="AA606" s="5">
        <f>IF(po_master[[#This Row],[Price Variance Flag]]="Price Variance", 1, 0)</f>
        <v>0</v>
      </c>
      <c r="AB606" s="5">
        <f>IF(po_master[[#This Row],[Late Delivery Flag]]="Late Delivery", 1, 0)</f>
        <v>1</v>
      </c>
      <c r="AC606" s="5">
        <f>IF(po_master[[#This Row],[Duplicate Invoice Flag]]="Duplicate Invoice", 1, 0)</f>
        <v>0</v>
      </c>
      <c r="AD606" s="5" t="str">
        <f>TEXT(po_master[[#This Row],[Order Date]],"YYYY-MM")</f>
        <v>2026-05</v>
      </c>
    </row>
    <row r="607" spans="1:30" x14ac:dyDescent="0.25">
      <c r="A607" t="s">
        <v>537</v>
      </c>
      <c r="B607" t="s">
        <v>1452</v>
      </c>
      <c r="C607" s="1">
        <v>46143</v>
      </c>
      <c r="D607">
        <v>196</v>
      </c>
      <c r="E607">
        <v>79.680000000000007</v>
      </c>
      <c r="F607" t="s">
        <v>1485</v>
      </c>
      <c r="G607" s="1">
        <v>46153</v>
      </c>
      <c r="H607">
        <v>196</v>
      </c>
      <c r="I607" s="1">
        <v>46164</v>
      </c>
      <c r="J607" t="s">
        <v>1310</v>
      </c>
      <c r="K607">
        <v>196</v>
      </c>
      <c r="L607">
        <v>79.680000000000007</v>
      </c>
      <c r="M607" s="1">
        <v>46159</v>
      </c>
      <c r="N607" t="str">
        <f>IF(po_master[[#This Row],[Approved By]]="", "Missing Approval", "OK")</f>
        <v>OK</v>
      </c>
      <c r="O607" t="str">
        <f>IF(ISBLANK(po_master[[#This Row],[GR Quantity]]), "No GR - Not received", "OK")</f>
        <v>OK</v>
      </c>
      <c r="P607" t="str">
        <f>IF(po_master[[#This Row],[Promised Delivey Date]]&lt;po_master[[#This Row],[Order Date]], "Invalid", "OK")</f>
        <v>OK</v>
      </c>
      <c r="Q607" t="str">
        <f>IF(ISBLANK(po_master[[#This Row],[Invoice Number]]), "No Invoice", "OK")</f>
        <v>OK</v>
      </c>
      <c r="R607" t="str">
        <f>IF(AND(NOT(ISBLANK(po_master[[#This Row],[GR Quantity]])), po_master[[#This Row],[GR Quantity]]&lt;&gt;po_master[[#This Row],[PO Quantity]]), "Qty Variance", "OK")</f>
        <v>OK</v>
      </c>
      <c r="S607" t="str">
        <f>IF(po_master[[#This Row],[Invoice Unit Price]]&gt;po_master[[#This Row],[PO Unit Price]]*1.01, "Price Variance", "OK")</f>
        <v>OK</v>
      </c>
      <c r="T607" t="str">
        <f>IF(po_master[[#This Row],[Actual Delivery Date]]&gt;po_master[[#This Row],[Promised Delivey Date]], "Late Delivery", "OK")</f>
        <v>Late Delivery</v>
      </c>
      <c r="U607" t="str">
        <f>IF(COUNTIF(po_master[PO Number],po_master[[#This Row],[PO Number]])&gt;1, "Duplicate Invoice", "OK")</f>
        <v>OK</v>
      </c>
      <c r="V607" s="5">
        <f>IF(po_master[[#This Row],[Missing Approval]]="Missing Approval", 1, 0)</f>
        <v>0</v>
      </c>
      <c r="W607" s="5">
        <f>IF(po_master[[#This Row],[GR Receipt Status]]="No GR - Not Received", 1, 0)</f>
        <v>0</v>
      </c>
      <c r="X607" s="5">
        <f>IF(po_master[[#This Row],[No invoice]]="No Invoice", 1, 0)</f>
        <v>0</v>
      </c>
      <c r="Y607" s="5">
        <f>IF(po_master[[#This Row],[Date Check]]="Invalid Date", 1, 0)</f>
        <v>0</v>
      </c>
      <c r="Z607" s="5">
        <f>IF(po_master[[#This Row],[Qty Variance Flag]]="Qty Variance", 1, 0)</f>
        <v>0</v>
      </c>
      <c r="AA607" s="5">
        <f>IF(po_master[[#This Row],[Price Variance Flag]]="Price Variance", 1, 0)</f>
        <v>0</v>
      </c>
      <c r="AB607" s="5">
        <f>IF(po_master[[#This Row],[Late Delivery Flag]]="Late Delivery", 1, 0)</f>
        <v>1</v>
      </c>
      <c r="AC607" s="5">
        <f>IF(po_master[[#This Row],[Duplicate Invoice Flag]]="Duplicate Invoice", 1, 0)</f>
        <v>0</v>
      </c>
      <c r="AD607" s="5" t="str">
        <f>TEXT(po_master[[#This Row],[Order Date]],"YYYY-MM")</f>
        <v>2026-05</v>
      </c>
    </row>
    <row r="608" spans="1:30" x14ac:dyDescent="0.25">
      <c r="A608" t="s">
        <v>538</v>
      </c>
      <c r="B608" t="s">
        <v>1452</v>
      </c>
      <c r="C608" s="1">
        <v>46164</v>
      </c>
      <c r="D608">
        <v>421</v>
      </c>
      <c r="E608">
        <v>183.22</v>
      </c>
      <c r="F608" t="s">
        <v>1490</v>
      </c>
      <c r="G608" s="1">
        <v>46182</v>
      </c>
      <c r="H608">
        <v>421</v>
      </c>
      <c r="I608" s="1">
        <v>46200</v>
      </c>
      <c r="J608" t="s">
        <v>1311</v>
      </c>
      <c r="K608">
        <v>421</v>
      </c>
      <c r="L608">
        <v>183.22</v>
      </c>
      <c r="M608" s="1">
        <v>46188</v>
      </c>
      <c r="N608" t="str">
        <f>IF(po_master[[#This Row],[Approved By]]="", "Missing Approval", "OK")</f>
        <v>OK</v>
      </c>
      <c r="O608" t="str">
        <f>IF(ISBLANK(po_master[[#This Row],[GR Quantity]]), "No GR - Not received", "OK")</f>
        <v>OK</v>
      </c>
      <c r="P608" t="str">
        <f>IF(po_master[[#This Row],[Promised Delivey Date]]&lt;po_master[[#This Row],[Order Date]], "Invalid", "OK")</f>
        <v>OK</v>
      </c>
      <c r="Q608" t="str">
        <f>IF(ISBLANK(po_master[[#This Row],[Invoice Number]]), "No Invoice", "OK")</f>
        <v>OK</v>
      </c>
      <c r="R608" t="str">
        <f>IF(AND(NOT(ISBLANK(po_master[[#This Row],[GR Quantity]])), po_master[[#This Row],[GR Quantity]]&lt;&gt;po_master[[#This Row],[PO Quantity]]), "Qty Variance", "OK")</f>
        <v>OK</v>
      </c>
      <c r="S608" t="str">
        <f>IF(po_master[[#This Row],[Invoice Unit Price]]&gt;po_master[[#This Row],[PO Unit Price]]*1.01, "Price Variance", "OK")</f>
        <v>OK</v>
      </c>
      <c r="T608" t="str">
        <f>IF(po_master[[#This Row],[Actual Delivery Date]]&gt;po_master[[#This Row],[Promised Delivey Date]], "Late Delivery", "OK")</f>
        <v>Late Delivery</v>
      </c>
      <c r="U608" t="str">
        <f>IF(COUNTIF(po_master[PO Number],po_master[[#This Row],[PO Number]])&gt;1, "Duplicate Invoice", "OK")</f>
        <v>OK</v>
      </c>
      <c r="V608" s="5">
        <f>IF(po_master[[#This Row],[Missing Approval]]="Missing Approval", 1, 0)</f>
        <v>0</v>
      </c>
      <c r="W608" s="5">
        <f>IF(po_master[[#This Row],[GR Receipt Status]]="No GR - Not Received", 1, 0)</f>
        <v>0</v>
      </c>
      <c r="X608" s="5">
        <f>IF(po_master[[#This Row],[No invoice]]="No Invoice", 1, 0)</f>
        <v>0</v>
      </c>
      <c r="Y608" s="5">
        <f>IF(po_master[[#This Row],[Date Check]]="Invalid Date", 1, 0)</f>
        <v>0</v>
      </c>
      <c r="Z608" s="5">
        <f>IF(po_master[[#This Row],[Qty Variance Flag]]="Qty Variance", 1, 0)</f>
        <v>0</v>
      </c>
      <c r="AA608" s="5">
        <f>IF(po_master[[#This Row],[Price Variance Flag]]="Price Variance", 1, 0)</f>
        <v>0</v>
      </c>
      <c r="AB608" s="5">
        <f>IF(po_master[[#This Row],[Late Delivery Flag]]="Late Delivery", 1, 0)</f>
        <v>1</v>
      </c>
      <c r="AC608" s="5">
        <f>IF(po_master[[#This Row],[Duplicate Invoice Flag]]="Duplicate Invoice", 1, 0)</f>
        <v>0</v>
      </c>
      <c r="AD608" s="5" t="str">
        <f>TEXT(po_master[[#This Row],[Order Date]],"YYYY-MM")</f>
        <v>2026-05</v>
      </c>
    </row>
    <row r="609" spans="1:30" x14ac:dyDescent="0.25">
      <c r="A609" t="s">
        <v>539</v>
      </c>
      <c r="B609" t="s">
        <v>1447</v>
      </c>
      <c r="C609" s="1">
        <v>46105</v>
      </c>
      <c r="D609">
        <v>137</v>
      </c>
      <c r="E609">
        <v>86.17</v>
      </c>
      <c r="F609" t="s">
        <v>1490</v>
      </c>
      <c r="G609" s="1">
        <v>46120</v>
      </c>
      <c r="H609">
        <v>137</v>
      </c>
      <c r="I609" s="1">
        <v>46122</v>
      </c>
      <c r="J609" t="s">
        <v>1312</v>
      </c>
      <c r="K609">
        <v>137</v>
      </c>
      <c r="L609">
        <v>86.17</v>
      </c>
      <c r="M609" s="1">
        <v>46122</v>
      </c>
      <c r="N609" t="str">
        <f>IF(po_master[[#This Row],[Approved By]]="", "Missing Approval", "OK")</f>
        <v>OK</v>
      </c>
      <c r="O609" t="str">
        <f>IF(ISBLANK(po_master[[#This Row],[GR Quantity]]), "No GR - Not received", "OK")</f>
        <v>OK</v>
      </c>
      <c r="P609" t="str">
        <f>IF(po_master[[#This Row],[Promised Delivey Date]]&lt;po_master[[#This Row],[Order Date]], "Invalid", "OK")</f>
        <v>OK</v>
      </c>
      <c r="Q609" t="str">
        <f>IF(ISBLANK(po_master[[#This Row],[Invoice Number]]), "No Invoice", "OK")</f>
        <v>OK</v>
      </c>
      <c r="R609" t="str">
        <f>IF(AND(NOT(ISBLANK(po_master[[#This Row],[GR Quantity]])), po_master[[#This Row],[GR Quantity]]&lt;&gt;po_master[[#This Row],[PO Quantity]]), "Qty Variance", "OK")</f>
        <v>OK</v>
      </c>
      <c r="S609" t="str">
        <f>IF(po_master[[#This Row],[Invoice Unit Price]]&gt;po_master[[#This Row],[PO Unit Price]]*1.01, "Price Variance", "OK")</f>
        <v>OK</v>
      </c>
      <c r="T609" t="str">
        <f>IF(po_master[[#This Row],[Actual Delivery Date]]&gt;po_master[[#This Row],[Promised Delivey Date]], "Late Delivery", "OK")</f>
        <v>Late Delivery</v>
      </c>
      <c r="U609" t="str">
        <f>IF(COUNTIF(po_master[PO Number],po_master[[#This Row],[PO Number]])&gt;1, "Duplicate Invoice", "OK")</f>
        <v>OK</v>
      </c>
      <c r="V609" s="5">
        <f>IF(po_master[[#This Row],[Missing Approval]]="Missing Approval", 1, 0)</f>
        <v>0</v>
      </c>
      <c r="W609" s="5">
        <f>IF(po_master[[#This Row],[GR Receipt Status]]="No GR - Not Received", 1, 0)</f>
        <v>0</v>
      </c>
      <c r="X609" s="5">
        <f>IF(po_master[[#This Row],[No invoice]]="No Invoice", 1, 0)</f>
        <v>0</v>
      </c>
      <c r="Y609" s="5">
        <f>IF(po_master[[#This Row],[Date Check]]="Invalid Date", 1, 0)</f>
        <v>0</v>
      </c>
      <c r="Z609" s="5">
        <f>IF(po_master[[#This Row],[Qty Variance Flag]]="Qty Variance", 1, 0)</f>
        <v>0</v>
      </c>
      <c r="AA609" s="5">
        <f>IF(po_master[[#This Row],[Price Variance Flag]]="Price Variance", 1, 0)</f>
        <v>0</v>
      </c>
      <c r="AB609" s="5">
        <f>IF(po_master[[#This Row],[Late Delivery Flag]]="Late Delivery", 1, 0)</f>
        <v>1</v>
      </c>
      <c r="AC609" s="5">
        <f>IF(po_master[[#This Row],[Duplicate Invoice Flag]]="Duplicate Invoice", 1, 0)</f>
        <v>0</v>
      </c>
      <c r="AD609" s="5" t="str">
        <f>TEXT(po_master[[#This Row],[Order Date]],"YYYY-MM")</f>
        <v>2026-03</v>
      </c>
    </row>
    <row r="610" spans="1:30" x14ac:dyDescent="0.25">
      <c r="A610" t="s">
        <v>1284</v>
      </c>
      <c r="B610" t="s">
        <v>1449</v>
      </c>
      <c r="C610" s="1">
        <v>46029</v>
      </c>
      <c r="D610">
        <v>444</v>
      </c>
      <c r="E610">
        <v>170.18</v>
      </c>
      <c r="F610" t="s">
        <v>1474</v>
      </c>
      <c r="G610" s="1">
        <v>46040</v>
      </c>
      <c r="I610" s="1"/>
      <c r="J610" t="s">
        <v>1285</v>
      </c>
      <c r="K610">
        <v>444</v>
      </c>
      <c r="L610">
        <v>170.18</v>
      </c>
      <c r="M610" s="1">
        <v>46046</v>
      </c>
      <c r="N610" t="str">
        <f>IF(po_master[[#This Row],[Approved By]]="", "Missing Approval", "OK")</f>
        <v>OK</v>
      </c>
      <c r="O610" t="str">
        <f>IF(ISBLANK(po_master[[#This Row],[GR Quantity]]), "No GR - Not received", "OK")</f>
        <v>No GR - Not received</v>
      </c>
      <c r="P610" t="str">
        <f>IF(po_master[[#This Row],[Promised Delivey Date]]&lt;po_master[[#This Row],[Order Date]], "Invalid", "OK")</f>
        <v>OK</v>
      </c>
      <c r="Q610" t="str">
        <f>IF(ISBLANK(po_master[[#This Row],[Invoice Number]]), "No Invoice", "OK")</f>
        <v>OK</v>
      </c>
      <c r="R610" t="str">
        <f>IF(AND(NOT(ISBLANK(po_master[[#This Row],[GR Quantity]])), po_master[[#This Row],[GR Quantity]]&lt;&gt;po_master[[#This Row],[PO Quantity]]), "Qty Variance", "OK")</f>
        <v>OK</v>
      </c>
      <c r="S610" t="str">
        <f>IF(po_master[[#This Row],[Invoice Unit Price]]&gt;po_master[[#This Row],[PO Unit Price]]*1.01, "Price Variance", "OK")</f>
        <v>OK</v>
      </c>
      <c r="T610" t="str">
        <f>IF(po_master[[#This Row],[Actual Delivery Date]]&gt;po_master[[#This Row],[Promised Delivey Date]], "Late Delivery", "OK")</f>
        <v>OK</v>
      </c>
      <c r="U610" t="str">
        <f>IF(COUNTIF(po_master[PO Number],po_master[[#This Row],[PO Number]])&gt;1, "Duplicate Invoice", "OK")</f>
        <v>Duplicate Invoice</v>
      </c>
      <c r="V610" s="5">
        <f>IF(po_master[[#This Row],[Missing Approval]]="Missing Approval", 1, 0)</f>
        <v>0</v>
      </c>
      <c r="W610" s="5">
        <f>IF(po_master[[#This Row],[GR Receipt Status]]="No GR - Not Received", 1, 0)</f>
        <v>1</v>
      </c>
      <c r="X610" s="5">
        <f>IF(po_master[[#This Row],[No invoice]]="No Invoice", 1, 0)</f>
        <v>0</v>
      </c>
      <c r="Y610" s="5">
        <f>IF(po_master[[#This Row],[Date Check]]="Invalid Date", 1, 0)</f>
        <v>0</v>
      </c>
      <c r="Z610" s="5">
        <f>IF(po_master[[#This Row],[Qty Variance Flag]]="Qty Variance", 1, 0)</f>
        <v>0</v>
      </c>
      <c r="AA610" s="5">
        <f>IF(po_master[[#This Row],[Price Variance Flag]]="Price Variance", 1, 0)</f>
        <v>0</v>
      </c>
      <c r="AB610" s="5">
        <f>IF(po_master[[#This Row],[Late Delivery Flag]]="Late Delivery", 1, 0)</f>
        <v>0</v>
      </c>
      <c r="AC610" s="5">
        <f>IF(po_master[[#This Row],[Duplicate Invoice Flag]]="Duplicate Invoice", 1, 0)</f>
        <v>1</v>
      </c>
      <c r="AD610" s="5" t="str">
        <f>TEXT(po_master[[#This Row],[Order Date]],"YYYY-MM")</f>
        <v>2026-01</v>
      </c>
    </row>
    <row r="611" spans="1:30" x14ac:dyDescent="0.25">
      <c r="A611" t="s">
        <v>1284</v>
      </c>
      <c r="B611" t="s">
        <v>1449</v>
      </c>
      <c r="C611" s="1">
        <v>46029</v>
      </c>
      <c r="D611">
        <v>444</v>
      </c>
      <c r="E611">
        <v>170.18</v>
      </c>
      <c r="F611" t="s">
        <v>1474</v>
      </c>
      <c r="G611" s="1">
        <v>46040</v>
      </c>
      <c r="I611" s="1"/>
      <c r="J611" t="s">
        <v>1286</v>
      </c>
      <c r="K611">
        <v>444</v>
      </c>
      <c r="L611">
        <v>170.18</v>
      </c>
      <c r="M611" s="1">
        <v>46047</v>
      </c>
      <c r="N611" t="str">
        <f>IF(po_master[[#This Row],[Approved By]]="", "Missing Approval", "OK")</f>
        <v>OK</v>
      </c>
      <c r="O611" t="str">
        <f>IF(ISBLANK(po_master[[#This Row],[GR Quantity]]), "No GR - Not received", "OK")</f>
        <v>No GR - Not received</v>
      </c>
      <c r="P611" t="str">
        <f>IF(po_master[[#This Row],[Promised Delivey Date]]&lt;po_master[[#This Row],[Order Date]], "Invalid", "OK")</f>
        <v>OK</v>
      </c>
      <c r="Q611" t="str">
        <f>IF(ISBLANK(po_master[[#This Row],[Invoice Number]]), "No Invoice", "OK")</f>
        <v>OK</v>
      </c>
      <c r="R611" t="str">
        <f>IF(AND(NOT(ISBLANK(po_master[[#This Row],[GR Quantity]])), po_master[[#This Row],[GR Quantity]]&lt;&gt;po_master[[#This Row],[PO Quantity]]), "Qty Variance", "OK")</f>
        <v>OK</v>
      </c>
      <c r="S611" t="str">
        <f>IF(po_master[[#This Row],[Invoice Unit Price]]&gt;po_master[[#This Row],[PO Unit Price]]*1.01, "Price Variance", "OK")</f>
        <v>OK</v>
      </c>
      <c r="T611" t="str">
        <f>IF(po_master[[#This Row],[Actual Delivery Date]]&gt;po_master[[#This Row],[Promised Delivey Date]], "Late Delivery", "OK")</f>
        <v>OK</v>
      </c>
      <c r="U611" t="str">
        <f>IF(COUNTIF(po_master[PO Number],po_master[[#This Row],[PO Number]])&gt;1, "Duplicate Invoice", "OK")</f>
        <v>Duplicate Invoice</v>
      </c>
      <c r="V611" s="5">
        <f>IF(po_master[[#This Row],[Missing Approval]]="Missing Approval", 1, 0)</f>
        <v>0</v>
      </c>
      <c r="W611" s="5">
        <f>IF(po_master[[#This Row],[GR Receipt Status]]="No GR - Not Received", 1, 0)</f>
        <v>1</v>
      </c>
      <c r="X611" s="5">
        <f>IF(po_master[[#This Row],[No invoice]]="No Invoice", 1, 0)</f>
        <v>0</v>
      </c>
      <c r="Y611" s="5">
        <f>IF(po_master[[#This Row],[Date Check]]="Invalid Date", 1, 0)</f>
        <v>0</v>
      </c>
      <c r="Z611" s="5">
        <f>IF(po_master[[#This Row],[Qty Variance Flag]]="Qty Variance", 1, 0)</f>
        <v>0</v>
      </c>
      <c r="AA611" s="5">
        <f>IF(po_master[[#This Row],[Price Variance Flag]]="Price Variance", 1, 0)</f>
        <v>0</v>
      </c>
      <c r="AB611" s="5">
        <f>IF(po_master[[#This Row],[Late Delivery Flag]]="Late Delivery", 1, 0)</f>
        <v>0</v>
      </c>
      <c r="AC611" s="5">
        <f>IF(po_master[[#This Row],[Duplicate Invoice Flag]]="Duplicate Invoice", 1, 0)</f>
        <v>1</v>
      </c>
      <c r="AD611" s="5" t="str">
        <f>TEXT(po_master[[#This Row],[Order Date]],"YYYY-MM")</f>
        <v>2026-01</v>
      </c>
    </row>
    <row r="612" spans="1:30" x14ac:dyDescent="0.25">
      <c r="A612" t="s">
        <v>540</v>
      </c>
      <c r="B612" t="s">
        <v>1511</v>
      </c>
      <c r="C612" s="1">
        <v>46042</v>
      </c>
      <c r="D612">
        <v>302</v>
      </c>
      <c r="E612">
        <v>77.7</v>
      </c>
      <c r="F612" t="s">
        <v>1504</v>
      </c>
      <c r="G612" s="1">
        <v>46048</v>
      </c>
      <c r="H612">
        <v>302</v>
      </c>
      <c r="I612" s="1">
        <v>46049</v>
      </c>
      <c r="J612" t="s">
        <v>1313</v>
      </c>
      <c r="K612">
        <v>302</v>
      </c>
      <c r="L612">
        <v>82.01</v>
      </c>
      <c r="M612" s="1">
        <v>46051</v>
      </c>
      <c r="N612" t="str">
        <f>IF(po_master[[#This Row],[Approved By]]="", "Missing Approval", "OK")</f>
        <v>OK</v>
      </c>
      <c r="O612" t="str">
        <f>IF(ISBLANK(po_master[[#This Row],[GR Quantity]]), "No GR - Not received", "OK")</f>
        <v>OK</v>
      </c>
      <c r="P612" t="str">
        <f>IF(po_master[[#This Row],[Promised Delivey Date]]&lt;po_master[[#This Row],[Order Date]], "Invalid", "OK")</f>
        <v>OK</v>
      </c>
      <c r="Q612" t="str">
        <f>IF(ISBLANK(po_master[[#This Row],[Invoice Number]]), "No Invoice", "OK")</f>
        <v>OK</v>
      </c>
      <c r="R612" t="str">
        <f>IF(AND(NOT(ISBLANK(po_master[[#This Row],[GR Quantity]])), po_master[[#This Row],[GR Quantity]]&lt;&gt;po_master[[#This Row],[PO Quantity]]), "Qty Variance", "OK")</f>
        <v>OK</v>
      </c>
      <c r="S612" t="str">
        <f>IF(po_master[[#This Row],[Invoice Unit Price]]&gt;po_master[[#This Row],[PO Unit Price]]*1.01, "Price Variance", "OK")</f>
        <v>Price Variance</v>
      </c>
      <c r="T612" t="str">
        <f>IF(po_master[[#This Row],[Actual Delivery Date]]&gt;po_master[[#This Row],[Promised Delivey Date]], "Late Delivery", "OK")</f>
        <v>Late Delivery</v>
      </c>
      <c r="U612" t="str">
        <f>IF(COUNTIF(po_master[PO Number],po_master[[#This Row],[PO Number]])&gt;1, "Duplicate Invoice", "OK")</f>
        <v>OK</v>
      </c>
      <c r="V612" s="5">
        <f>IF(po_master[[#This Row],[Missing Approval]]="Missing Approval", 1, 0)</f>
        <v>0</v>
      </c>
      <c r="W612" s="5">
        <f>IF(po_master[[#This Row],[GR Receipt Status]]="No GR - Not Received", 1, 0)</f>
        <v>0</v>
      </c>
      <c r="X612" s="5">
        <f>IF(po_master[[#This Row],[No invoice]]="No Invoice", 1, 0)</f>
        <v>0</v>
      </c>
      <c r="Y612" s="5">
        <f>IF(po_master[[#This Row],[Date Check]]="Invalid Date", 1, 0)</f>
        <v>0</v>
      </c>
      <c r="Z612" s="5">
        <f>IF(po_master[[#This Row],[Qty Variance Flag]]="Qty Variance", 1, 0)</f>
        <v>0</v>
      </c>
      <c r="AA612" s="5">
        <f>IF(po_master[[#This Row],[Price Variance Flag]]="Price Variance", 1, 0)</f>
        <v>1</v>
      </c>
      <c r="AB612" s="5">
        <f>IF(po_master[[#This Row],[Late Delivery Flag]]="Late Delivery", 1, 0)</f>
        <v>1</v>
      </c>
      <c r="AC612" s="5">
        <f>IF(po_master[[#This Row],[Duplicate Invoice Flag]]="Duplicate Invoice", 1, 0)</f>
        <v>0</v>
      </c>
      <c r="AD612" s="5" t="str">
        <f>TEXT(po_master[[#This Row],[Order Date]],"YYYY-MM")</f>
        <v>2026-01</v>
      </c>
    </row>
    <row r="613" spans="1:30" x14ac:dyDescent="0.25">
      <c r="A613" t="s">
        <v>541</v>
      </c>
      <c r="B613" t="s">
        <v>1486</v>
      </c>
      <c r="C613" s="1">
        <v>46080</v>
      </c>
      <c r="D613">
        <v>421</v>
      </c>
      <c r="E613">
        <v>105.58</v>
      </c>
      <c r="F613" t="s">
        <v>1462</v>
      </c>
      <c r="G613" s="1">
        <v>46097</v>
      </c>
      <c r="H613">
        <v>421</v>
      </c>
      <c r="I613" s="1">
        <v>46098</v>
      </c>
      <c r="J613" t="s">
        <v>1314</v>
      </c>
      <c r="K613">
        <v>421</v>
      </c>
      <c r="L613">
        <v>105.58</v>
      </c>
      <c r="M613" s="1">
        <v>46100</v>
      </c>
      <c r="N613" t="str">
        <f>IF(po_master[[#This Row],[Approved By]]="", "Missing Approval", "OK")</f>
        <v>OK</v>
      </c>
      <c r="O613" t="str">
        <f>IF(ISBLANK(po_master[[#This Row],[GR Quantity]]), "No GR - Not received", "OK")</f>
        <v>OK</v>
      </c>
      <c r="P613" t="str">
        <f>IF(po_master[[#This Row],[Promised Delivey Date]]&lt;po_master[[#This Row],[Order Date]], "Invalid", "OK")</f>
        <v>OK</v>
      </c>
      <c r="Q613" t="str">
        <f>IF(ISBLANK(po_master[[#This Row],[Invoice Number]]), "No Invoice", "OK")</f>
        <v>OK</v>
      </c>
      <c r="R613" t="str">
        <f>IF(AND(NOT(ISBLANK(po_master[[#This Row],[GR Quantity]])), po_master[[#This Row],[GR Quantity]]&lt;&gt;po_master[[#This Row],[PO Quantity]]), "Qty Variance", "OK")</f>
        <v>OK</v>
      </c>
      <c r="S613" t="str">
        <f>IF(po_master[[#This Row],[Invoice Unit Price]]&gt;po_master[[#This Row],[PO Unit Price]]*1.01, "Price Variance", "OK")</f>
        <v>OK</v>
      </c>
      <c r="T613" t="str">
        <f>IF(po_master[[#This Row],[Actual Delivery Date]]&gt;po_master[[#This Row],[Promised Delivey Date]], "Late Delivery", "OK")</f>
        <v>Late Delivery</v>
      </c>
      <c r="U613" t="str">
        <f>IF(COUNTIF(po_master[PO Number],po_master[[#This Row],[PO Number]])&gt;1, "Duplicate Invoice", "OK")</f>
        <v>OK</v>
      </c>
      <c r="V613" s="5">
        <f>IF(po_master[[#This Row],[Missing Approval]]="Missing Approval", 1, 0)</f>
        <v>0</v>
      </c>
      <c r="W613" s="5">
        <f>IF(po_master[[#This Row],[GR Receipt Status]]="No GR - Not Received", 1, 0)</f>
        <v>0</v>
      </c>
      <c r="X613" s="5">
        <f>IF(po_master[[#This Row],[No invoice]]="No Invoice", 1, 0)</f>
        <v>0</v>
      </c>
      <c r="Y613" s="5">
        <f>IF(po_master[[#This Row],[Date Check]]="Invalid Date", 1, 0)</f>
        <v>0</v>
      </c>
      <c r="Z613" s="5">
        <f>IF(po_master[[#This Row],[Qty Variance Flag]]="Qty Variance", 1, 0)</f>
        <v>0</v>
      </c>
      <c r="AA613" s="5">
        <f>IF(po_master[[#This Row],[Price Variance Flag]]="Price Variance", 1, 0)</f>
        <v>0</v>
      </c>
      <c r="AB613" s="5">
        <f>IF(po_master[[#This Row],[Late Delivery Flag]]="Late Delivery", 1, 0)</f>
        <v>1</v>
      </c>
      <c r="AC613" s="5">
        <f>IF(po_master[[#This Row],[Duplicate Invoice Flag]]="Duplicate Invoice", 1, 0)</f>
        <v>0</v>
      </c>
      <c r="AD613" s="5" t="str">
        <f>TEXT(po_master[[#This Row],[Order Date]],"YYYY-MM")</f>
        <v>2026-02</v>
      </c>
    </row>
    <row r="614" spans="1:30" x14ac:dyDescent="0.25">
      <c r="A614" t="s">
        <v>542</v>
      </c>
      <c r="B614" t="s">
        <v>1492</v>
      </c>
      <c r="C614" s="1">
        <v>46142</v>
      </c>
      <c r="D614">
        <v>453</v>
      </c>
      <c r="E614">
        <v>60.05</v>
      </c>
      <c r="F614" t="s">
        <v>1474</v>
      </c>
      <c r="G614" s="1">
        <v>46157</v>
      </c>
      <c r="H614">
        <v>453</v>
      </c>
      <c r="I614" s="1">
        <v>46155</v>
      </c>
      <c r="J614" t="s">
        <v>1315</v>
      </c>
      <c r="K614">
        <v>453</v>
      </c>
      <c r="L614">
        <v>60.05</v>
      </c>
      <c r="M614" s="1">
        <v>46163</v>
      </c>
      <c r="N614" t="str">
        <f>IF(po_master[[#This Row],[Approved By]]="", "Missing Approval", "OK")</f>
        <v>OK</v>
      </c>
      <c r="O614" t="str">
        <f>IF(ISBLANK(po_master[[#This Row],[GR Quantity]]), "No GR - Not received", "OK")</f>
        <v>OK</v>
      </c>
      <c r="P614" t="str">
        <f>IF(po_master[[#This Row],[Promised Delivey Date]]&lt;po_master[[#This Row],[Order Date]], "Invalid", "OK")</f>
        <v>OK</v>
      </c>
      <c r="Q614" t="str">
        <f>IF(ISBLANK(po_master[[#This Row],[Invoice Number]]), "No Invoice", "OK")</f>
        <v>OK</v>
      </c>
      <c r="R614" t="str">
        <f>IF(AND(NOT(ISBLANK(po_master[[#This Row],[GR Quantity]])), po_master[[#This Row],[GR Quantity]]&lt;&gt;po_master[[#This Row],[PO Quantity]]), "Qty Variance", "OK")</f>
        <v>OK</v>
      </c>
      <c r="S614" t="str">
        <f>IF(po_master[[#This Row],[Invoice Unit Price]]&gt;po_master[[#This Row],[PO Unit Price]]*1.01, "Price Variance", "OK")</f>
        <v>OK</v>
      </c>
      <c r="T614" t="str">
        <f>IF(po_master[[#This Row],[Actual Delivery Date]]&gt;po_master[[#This Row],[Promised Delivey Date]], "Late Delivery", "OK")</f>
        <v>OK</v>
      </c>
      <c r="U614" t="str">
        <f>IF(COUNTIF(po_master[PO Number],po_master[[#This Row],[PO Number]])&gt;1, "Duplicate Invoice", "OK")</f>
        <v>OK</v>
      </c>
      <c r="V614" s="5">
        <f>IF(po_master[[#This Row],[Missing Approval]]="Missing Approval", 1, 0)</f>
        <v>0</v>
      </c>
      <c r="W614" s="5">
        <f>IF(po_master[[#This Row],[GR Receipt Status]]="No GR - Not Received", 1, 0)</f>
        <v>0</v>
      </c>
      <c r="X614" s="5">
        <f>IF(po_master[[#This Row],[No invoice]]="No Invoice", 1, 0)</f>
        <v>0</v>
      </c>
      <c r="Y614" s="5">
        <f>IF(po_master[[#This Row],[Date Check]]="Invalid Date", 1, 0)</f>
        <v>0</v>
      </c>
      <c r="Z614" s="5">
        <f>IF(po_master[[#This Row],[Qty Variance Flag]]="Qty Variance", 1, 0)</f>
        <v>0</v>
      </c>
      <c r="AA614" s="5">
        <f>IF(po_master[[#This Row],[Price Variance Flag]]="Price Variance", 1, 0)</f>
        <v>0</v>
      </c>
      <c r="AB614" s="5">
        <f>IF(po_master[[#This Row],[Late Delivery Flag]]="Late Delivery", 1, 0)</f>
        <v>0</v>
      </c>
      <c r="AC614" s="5">
        <f>IF(po_master[[#This Row],[Duplicate Invoice Flag]]="Duplicate Invoice", 1, 0)</f>
        <v>0</v>
      </c>
      <c r="AD614" s="5" t="str">
        <f>TEXT(po_master[[#This Row],[Order Date]],"YYYY-MM")</f>
        <v>2026-04</v>
      </c>
    </row>
    <row r="615" spans="1:30" x14ac:dyDescent="0.25">
      <c r="A615" t="s">
        <v>1288</v>
      </c>
      <c r="B615" t="s">
        <v>1482</v>
      </c>
      <c r="C615" s="1">
        <v>46149</v>
      </c>
      <c r="D615">
        <v>207</v>
      </c>
      <c r="E615">
        <v>26.99</v>
      </c>
      <c r="F615" t="s">
        <v>1487</v>
      </c>
      <c r="G615" s="1">
        <v>46156</v>
      </c>
      <c r="I615" s="1"/>
      <c r="J615" t="s">
        <v>1289</v>
      </c>
      <c r="K615">
        <v>207</v>
      </c>
      <c r="L615">
        <v>26.99</v>
      </c>
      <c r="M615" s="1">
        <v>46166</v>
      </c>
      <c r="N615" t="str">
        <f>IF(po_master[[#This Row],[Approved By]]="", "Missing Approval", "OK")</f>
        <v>OK</v>
      </c>
      <c r="O615" t="str">
        <f>IF(ISBLANK(po_master[[#This Row],[GR Quantity]]), "No GR - Not received", "OK")</f>
        <v>No GR - Not received</v>
      </c>
      <c r="P615" t="str">
        <f>IF(po_master[[#This Row],[Promised Delivey Date]]&lt;po_master[[#This Row],[Order Date]], "Invalid", "OK")</f>
        <v>OK</v>
      </c>
      <c r="Q615" t="str">
        <f>IF(ISBLANK(po_master[[#This Row],[Invoice Number]]), "No Invoice", "OK")</f>
        <v>OK</v>
      </c>
      <c r="R615" t="str">
        <f>IF(AND(NOT(ISBLANK(po_master[[#This Row],[GR Quantity]])), po_master[[#This Row],[GR Quantity]]&lt;&gt;po_master[[#This Row],[PO Quantity]]), "Qty Variance", "OK")</f>
        <v>OK</v>
      </c>
      <c r="S615" t="str">
        <f>IF(po_master[[#This Row],[Invoice Unit Price]]&gt;po_master[[#This Row],[PO Unit Price]]*1.01, "Price Variance", "OK")</f>
        <v>OK</v>
      </c>
      <c r="T615" t="str">
        <f>IF(po_master[[#This Row],[Actual Delivery Date]]&gt;po_master[[#This Row],[Promised Delivey Date]], "Late Delivery", "OK")</f>
        <v>OK</v>
      </c>
      <c r="U615" t="str">
        <f>IF(COUNTIF(po_master[PO Number],po_master[[#This Row],[PO Number]])&gt;1, "Duplicate Invoice", "OK")</f>
        <v>OK</v>
      </c>
      <c r="V615" s="5">
        <f>IF(po_master[[#This Row],[Missing Approval]]="Missing Approval", 1, 0)</f>
        <v>0</v>
      </c>
      <c r="W615" s="5">
        <f>IF(po_master[[#This Row],[GR Receipt Status]]="No GR - Not Received", 1, 0)</f>
        <v>1</v>
      </c>
      <c r="X615" s="5">
        <f>IF(po_master[[#This Row],[No invoice]]="No Invoice", 1, 0)</f>
        <v>0</v>
      </c>
      <c r="Y615" s="5">
        <f>IF(po_master[[#This Row],[Date Check]]="Invalid Date", 1, 0)</f>
        <v>0</v>
      </c>
      <c r="Z615" s="5">
        <f>IF(po_master[[#This Row],[Qty Variance Flag]]="Qty Variance", 1, 0)</f>
        <v>0</v>
      </c>
      <c r="AA615" s="5">
        <f>IF(po_master[[#This Row],[Price Variance Flag]]="Price Variance", 1, 0)</f>
        <v>0</v>
      </c>
      <c r="AB615" s="5">
        <f>IF(po_master[[#This Row],[Late Delivery Flag]]="Late Delivery", 1, 0)</f>
        <v>0</v>
      </c>
      <c r="AC615" s="5">
        <f>IF(po_master[[#This Row],[Duplicate Invoice Flag]]="Duplicate Invoice", 1, 0)</f>
        <v>0</v>
      </c>
      <c r="AD615" s="5" t="str">
        <f>TEXT(po_master[[#This Row],[Order Date]],"YYYY-MM")</f>
        <v>2026-05</v>
      </c>
    </row>
    <row r="616" spans="1:30" x14ac:dyDescent="0.25">
      <c r="A616" t="s">
        <v>543</v>
      </c>
      <c r="B616" t="s">
        <v>1457</v>
      </c>
      <c r="C616" s="1">
        <v>46164</v>
      </c>
      <c r="D616">
        <v>243</v>
      </c>
      <c r="E616">
        <v>6.55</v>
      </c>
      <c r="F616" t="s">
        <v>1444</v>
      </c>
      <c r="G616" s="1">
        <v>46178</v>
      </c>
      <c r="H616">
        <v>243</v>
      </c>
      <c r="I616" s="1">
        <v>46184</v>
      </c>
      <c r="J616" t="s">
        <v>1316</v>
      </c>
      <c r="K616">
        <v>243</v>
      </c>
      <c r="L616">
        <v>6.55</v>
      </c>
      <c r="M616" s="1">
        <v>46185</v>
      </c>
      <c r="N616" t="str">
        <f>IF(po_master[[#This Row],[Approved By]]="", "Missing Approval", "OK")</f>
        <v>OK</v>
      </c>
      <c r="O616" t="str">
        <f>IF(ISBLANK(po_master[[#This Row],[GR Quantity]]), "No GR - Not received", "OK")</f>
        <v>OK</v>
      </c>
      <c r="P616" t="str">
        <f>IF(po_master[[#This Row],[Promised Delivey Date]]&lt;po_master[[#This Row],[Order Date]], "Invalid", "OK")</f>
        <v>OK</v>
      </c>
      <c r="Q616" t="str">
        <f>IF(ISBLANK(po_master[[#This Row],[Invoice Number]]), "No Invoice", "OK")</f>
        <v>OK</v>
      </c>
      <c r="R616" t="str">
        <f>IF(AND(NOT(ISBLANK(po_master[[#This Row],[GR Quantity]])), po_master[[#This Row],[GR Quantity]]&lt;&gt;po_master[[#This Row],[PO Quantity]]), "Qty Variance", "OK")</f>
        <v>OK</v>
      </c>
      <c r="S616" t="str">
        <f>IF(po_master[[#This Row],[Invoice Unit Price]]&gt;po_master[[#This Row],[PO Unit Price]]*1.01, "Price Variance", "OK")</f>
        <v>OK</v>
      </c>
      <c r="T616" t="str">
        <f>IF(po_master[[#This Row],[Actual Delivery Date]]&gt;po_master[[#This Row],[Promised Delivey Date]], "Late Delivery", "OK")</f>
        <v>Late Delivery</v>
      </c>
      <c r="U616" t="str">
        <f>IF(COUNTIF(po_master[PO Number],po_master[[#This Row],[PO Number]])&gt;1, "Duplicate Invoice", "OK")</f>
        <v>OK</v>
      </c>
      <c r="V616" s="5">
        <f>IF(po_master[[#This Row],[Missing Approval]]="Missing Approval", 1, 0)</f>
        <v>0</v>
      </c>
      <c r="W616" s="5">
        <f>IF(po_master[[#This Row],[GR Receipt Status]]="No GR - Not Received", 1, 0)</f>
        <v>0</v>
      </c>
      <c r="X616" s="5">
        <f>IF(po_master[[#This Row],[No invoice]]="No Invoice", 1, 0)</f>
        <v>0</v>
      </c>
      <c r="Y616" s="5">
        <f>IF(po_master[[#This Row],[Date Check]]="Invalid Date", 1, 0)</f>
        <v>0</v>
      </c>
      <c r="Z616" s="5">
        <f>IF(po_master[[#This Row],[Qty Variance Flag]]="Qty Variance", 1, 0)</f>
        <v>0</v>
      </c>
      <c r="AA616" s="5">
        <f>IF(po_master[[#This Row],[Price Variance Flag]]="Price Variance", 1, 0)</f>
        <v>0</v>
      </c>
      <c r="AB616" s="5">
        <f>IF(po_master[[#This Row],[Late Delivery Flag]]="Late Delivery", 1, 0)</f>
        <v>1</v>
      </c>
      <c r="AC616" s="5">
        <f>IF(po_master[[#This Row],[Duplicate Invoice Flag]]="Duplicate Invoice", 1, 0)</f>
        <v>0</v>
      </c>
      <c r="AD616" s="5" t="str">
        <f>TEXT(po_master[[#This Row],[Order Date]],"YYYY-MM")</f>
        <v>2026-05</v>
      </c>
    </row>
    <row r="617" spans="1:30" x14ac:dyDescent="0.25">
      <c r="A617" t="s">
        <v>544</v>
      </c>
      <c r="B617" t="s">
        <v>1493</v>
      </c>
      <c r="C617" s="1">
        <v>46100</v>
      </c>
      <c r="D617">
        <v>388</v>
      </c>
      <c r="E617">
        <v>126.43</v>
      </c>
      <c r="F617" t="s">
        <v>1469</v>
      </c>
      <c r="G617" s="1">
        <v>46116</v>
      </c>
      <c r="H617">
        <v>388</v>
      </c>
      <c r="I617" s="1">
        <v>46114</v>
      </c>
      <c r="J617" t="s">
        <v>1317</v>
      </c>
      <c r="K617">
        <v>388</v>
      </c>
      <c r="L617">
        <v>126.43</v>
      </c>
      <c r="M617" s="1">
        <v>46123</v>
      </c>
      <c r="N617" t="str">
        <f>IF(po_master[[#This Row],[Approved By]]="", "Missing Approval", "OK")</f>
        <v>OK</v>
      </c>
      <c r="O617" t="str">
        <f>IF(ISBLANK(po_master[[#This Row],[GR Quantity]]), "No GR - Not received", "OK")</f>
        <v>OK</v>
      </c>
      <c r="P617" t="str">
        <f>IF(po_master[[#This Row],[Promised Delivey Date]]&lt;po_master[[#This Row],[Order Date]], "Invalid", "OK")</f>
        <v>OK</v>
      </c>
      <c r="Q617" t="str">
        <f>IF(ISBLANK(po_master[[#This Row],[Invoice Number]]), "No Invoice", "OK")</f>
        <v>OK</v>
      </c>
      <c r="R617" t="str">
        <f>IF(AND(NOT(ISBLANK(po_master[[#This Row],[GR Quantity]])), po_master[[#This Row],[GR Quantity]]&lt;&gt;po_master[[#This Row],[PO Quantity]]), "Qty Variance", "OK")</f>
        <v>OK</v>
      </c>
      <c r="S617" t="str">
        <f>IF(po_master[[#This Row],[Invoice Unit Price]]&gt;po_master[[#This Row],[PO Unit Price]]*1.01, "Price Variance", "OK")</f>
        <v>OK</v>
      </c>
      <c r="T617" t="str">
        <f>IF(po_master[[#This Row],[Actual Delivery Date]]&gt;po_master[[#This Row],[Promised Delivey Date]], "Late Delivery", "OK")</f>
        <v>OK</v>
      </c>
      <c r="U617" t="str">
        <f>IF(COUNTIF(po_master[PO Number],po_master[[#This Row],[PO Number]])&gt;1, "Duplicate Invoice", "OK")</f>
        <v>OK</v>
      </c>
      <c r="V617" s="5">
        <f>IF(po_master[[#This Row],[Missing Approval]]="Missing Approval", 1, 0)</f>
        <v>0</v>
      </c>
      <c r="W617" s="5">
        <f>IF(po_master[[#This Row],[GR Receipt Status]]="No GR - Not Received", 1, 0)</f>
        <v>0</v>
      </c>
      <c r="X617" s="5">
        <f>IF(po_master[[#This Row],[No invoice]]="No Invoice", 1, 0)</f>
        <v>0</v>
      </c>
      <c r="Y617" s="5">
        <f>IF(po_master[[#This Row],[Date Check]]="Invalid Date", 1, 0)</f>
        <v>0</v>
      </c>
      <c r="Z617" s="5">
        <f>IF(po_master[[#This Row],[Qty Variance Flag]]="Qty Variance", 1, 0)</f>
        <v>0</v>
      </c>
      <c r="AA617" s="5">
        <f>IF(po_master[[#This Row],[Price Variance Flag]]="Price Variance", 1, 0)</f>
        <v>0</v>
      </c>
      <c r="AB617" s="5">
        <f>IF(po_master[[#This Row],[Late Delivery Flag]]="Late Delivery", 1, 0)</f>
        <v>0</v>
      </c>
      <c r="AC617" s="5">
        <f>IF(po_master[[#This Row],[Duplicate Invoice Flag]]="Duplicate Invoice", 1, 0)</f>
        <v>0</v>
      </c>
      <c r="AD617" s="5" t="str">
        <f>TEXT(po_master[[#This Row],[Order Date]],"YYYY-MM")</f>
        <v>2026-03</v>
      </c>
    </row>
    <row r="618" spans="1:30" x14ac:dyDescent="0.25">
      <c r="A618" t="s">
        <v>545</v>
      </c>
      <c r="B618" t="s">
        <v>1443</v>
      </c>
      <c r="C618" s="1">
        <v>46149</v>
      </c>
      <c r="D618">
        <v>405</v>
      </c>
      <c r="E618">
        <v>156.30000000000001</v>
      </c>
      <c r="F618" t="s">
        <v>1490</v>
      </c>
      <c r="G618" s="1">
        <v>46161</v>
      </c>
      <c r="H618">
        <v>405</v>
      </c>
      <c r="I618" s="1">
        <v>46160</v>
      </c>
      <c r="J618" t="s">
        <v>1318</v>
      </c>
      <c r="K618">
        <v>405</v>
      </c>
      <c r="L618">
        <v>156.30000000000001</v>
      </c>
      <c r="M618" s="1">
        <v>46169</v>
      </c>
      <c r="N618" t="str">
        <f>IF(po_master[[#This Row],[Approved By]]="", "Missing Approval", "OK")</f>
        <v>OK</v>
      </c>
      <c r="O618" t="str">
        <f>IF(ISBLANK(po_master[[#This Row],[GR Quantity]]), "No GR - Not received", "OK")</f>
        <v>OK</v>
      </c>
      <c r="P618" t="str">
        <f>IF(po_master[[#This Row],[Promised Delivey Date]]&lt;po_master[[#This Row],[Order Date]], "Invalid", "OK")</f>
        <v>OK</v>
      </c>
      <c r="Q618" t="str">
        <f>IF(ISBLANK(po_master[[#This Row],[Invoice Number]]), "No Invoice", "OK")</f>
        <v>OK</v>
      </c>
      <c r="R618" t="str">
        <f>IF(AND(NOT(ISBLANK(po_master[[#This Row],[GR Quantity]])), po_master[[#This Row],[GR Quantity]]&lt;&gt;po_master[[#This Row],[PO Quantity]]), "Qty Variance", "OK")</f>
        <v>OK</v>
      </c>
      <c r="S618" t="str">
        <f>IF(po_master[[#This Row],[Invoice Unit Price]]&gt;po_master[[#This Row],[PO Unit Price]]*1.01, "Price Variance", "OK")</f>
        <v>OK</v>
      </c>
      <c r="T618" t="str">
        <f>IF(po_master[[#This Row],[Actual Delivery Date]]&gt;po_master[[#This Row],[Promised Delivey Date]], "Late Delivery", "OK")</f>
        <v>OK</v>
      </c>
      <c r="U618" t="str">
        <f>IF(COUNTIF(po_master[PO Number],po_master[[#This Row],[PO Number]])&gt;1, "Duplicate Invoice", "OK")</f>
        <v>OK</v>
      </c>
      <c r="V618" s="5">
        <f>IF(po_master[[#This Row],[Missing Approval]]="Missing Approval", 1, 0)</f>
        <v>0</v>
      </c>
      <c r="W618" s="5">
        <f>IF(po_master[[#This Row],[GR Receipt Status]]="No GR - Not Received", 1, 0)</f>
        <v>0</v>
      </c>
      <c r="X618" s="5">
        <f>IF(po_master[[#This Row],[No invoice]]="No Invoice", 1, 0)</f>
        <v>0</v>
      </c>
      <c r="Y618" s="5">
        <f>IF(po_master[[#This Row],[Date Check]]="Invalid Date", 1, 0)</f>
        <v>0</v>
      </c>
      <c r="Z618" s="5">
        <f>IF(po_master[[#This Row],[Qty Variance Flag]]="Qty Variance", 1, 0)</f>
        <v>0</v>
      </c>
      <c r="AA618" s="5">
        <f>IF(po_master[[#This Row],[Price Variance Flag]]="Price Variance", 1, 0)</f>
        <v>0</v>
      </c>
      <c r="AB618" s="5">
        <f>IF(po_master[[#This Row],[Late Delivery Flag]]="Late Delivery", 1, 0)</f>
        <v>0</v>
      </c>
      <c r="AC618" s="5">
        <f>IF(po_master[[#This Row],[Duplicate Invoice Flag]]="Duplicate Invoice", 1, 0)</f>
        <v>0</v>
      </c>
      <c r="AD618" s="5" t="str">
        <f>TEXT(po_master[[#This Row],[Order Date]],"YYYY-MM")</f>
        <v>2026-05</v>
      </c>
    </row>
    <row r="619" spans="1:30" x14ac:dyDescent="0.25">
      <c r="A619" t="s">
        <v>546</v>
      </c>
      <c r="B619" t="s">
        <v>1464</v>
      </c>
      <c r="C619" s="1">
        <v>46024</v>
      </c>
      <c r="D619">
        <v>487</v>
      </c>
      <c r="E619">
        <v>84.96</v>
      </c>
      <c r="F619" t="s">
        <v>1440</v>
      </c>
      <c r="G619" s="1">
        <v>46040</v>
      </c>
      <c r="H619">
        <v>487</v>
      </c>
      <c r="I619" s="1">
        <v>46042</v>
      </c>
      <c r="J619" t="s">
        <v>1319</v>
      </c>
      <c r="K619">
        <v>487</v>
      </c>
      <c r="L619">
        <v>84.96</v>
      </c>
      <c r="M619" s="1">
        <v>46047</v>
      </c>
      <c r="N619" t="str">
        <f>IF(po_master[[#This Row],[Approved By]]="", "Missing Approval", "OK")</f>
        <v>OK</v>
      </c>
      <c r="O619" t="str">
        <f>IF(ISBLANK(po_master[[#This Row],[GR Quantity]]), "No GR - Not received", "OK")</f>
        <v>OK</v>
      </c>
      <c r="P619" t="str">
        <f>IF(po_master[[#This Row],[Promised Delivey Date]]&lt;po_master[[#This Row],[Order Date]], "Invalid", "OK")</f>
        <v>OK</v>
      </c>
      <c r="Q619" t="str">
        <f>IF(ISBLANK(po_master[[#This Row],[Invoice Number]]), "No Invoice", "OK")</f>
        <v>OK</v>
      </c>
      <c r="R619" t="str">
        <f>IF(AND(NOT(ISBLANK(po_master[[#This Row],[GR Quantity]])), po_master[[#This Row],[GR Quantity]]&lt;&gt;po_master[[#This Row],[PO Quantity]]), "Qty Variance", "OK")</f>
        <v>OK</v>
      </c>
      <c r="S619" t="str">
        <f>IF(po_master[[#This Row],[Invoice Unit Price]]&gt;po_master[[#This Row],[PO Unit Price]]*1.01, "Price Variance", "OK")</f>
        <v>OK</v>
      </c>
      <c r="T619" t="str">
        <f>IF(po_master[[#This Row],[Actual Delivery Date]]&gt;po_master[[#This Row],[Promised Delivey Date]], "Late Delivery", "OK")</f>
        <v>Late Delivery</v>
      </c>
      <c r="U619" t="str">
        <f>IF(COUNTIF(po_master[PO Number],po_master[[#This Row],[PO Number]])&gt;1, "Duplicate Invoice", "OK")</f>
        <v>OK</v>
      </c>
      <c r="V619" s="5">
        <f>IF(po_master[[#This Row],[Missing Approval]]="Missing Approval", 1, 0)</f>
        <v>0</v>
      </c>
      <c r="W619" s="5">
        <f>IF(po_master[[#This Row],[GR Receipt Status]]="No GR - Not Received", 1, 0)</f>
        <v>0</v>
      </c>
      <c r="X619" s="5">
        <f>IF(po_master[[#This Row],[No invoice]]="No Invoice", 1, 0)</f>
        <v>0</v>
      </c>
      <c r="Y619" s="5">
        <f>IF(po_master[[#This Row],[Date Check]]="Invalid Date", 1, 0)</f>
        <v>0</v>
      </c>
      <c r="Z619" s="5">
        <f>IF(po_master[[#This Row],[Qty Variance Flag]]="Qty Variance", 1, 0)</f>
        <v>0</v>
      </c>
      <c r="AA619" s="5">
        <f>IF(po_master[[#This Row],[Price Variance Flag]]="Price Variance", 1, 0)</f>
        <v>0</v>
      </c>
      <c r="AB619" s="5">
        <f>IF(po_master[[#This Row],[Late Delivery Flag]]="Late Delivery", 1, 0)</f>
        <v>1</v>
      </c>
      <c r="AC619" s="5">
        <f>IF(po_master[[#This Row],[Duplicate Invoice Flag]]="Duplicate Invoice", 1, 0)</f>
        <v>0</v>
      </c>
      <c r="AD619" s="5" t="str">
        <f>TEXT(po_master[[#This Row],[Order Date]],"YYYY-MM")</f>
        <v>2026-01</v>
      </c>
    </row>
    <row r="620" spans="1:30" x14ac:dyDescent="0.25">
      <c r="A620" t="s">
        <v>547</v>
      </c>
      <c r="B620" t="s">
        <v>1439</v>
      </c>
      <c r="C620" s="1">
        <v>46025</v>
      </c>
      <c r="D620">
        <v>496</v>
      </c>
      <c r="E620">
        <v>70.33</v>
      </c>
      <c r="F620" t="s">
        <v>1456</v>
      </c>
      <c r="G620" s="1">
        <v>46042</v>
      </c>
      <c r="H620">
        <v>496</v>
      </c>
      <c r="I620" s="1">
        <v>46043</v>
      </c>
      <c r="J620" t="s">
        <v>1320</v>
      </c>
      <c r="K620">
        <v>496</v>
      </c>
      <c r="L620">
        <v>70.33</v>
      </c>
      <c r="M620" s="1">
        <v>46046</v>
      </c>
      <c r="N620" t="str">
        <f>IF(po_master[[#This Row],[Approved By]]="", "Missing Approval", "OK")</f>
        <v>OK</v>
      </c>
      <c r="O620" t="str">
        <f>IF(ISBLANK(po_master[[#This Row],[GR Quantity]]), "No GR - Not received", "OK")</f>
        <v>OK</v>
      </c>
      <c r="P620" t="str">
        <f>IF(po_master[[#This Row],[Promised Delivey Date]]&lt;po_master[[#This Row],[Order Date]], "Invalid", "OK")</f>
        <v>OK</v>
      </c>
      <c r="Q620" t="str">
        <f>IF(ISBLANK(po_master[[#This Row],[Invoice Number]]), "No Invoice", "OK")</f>
        <v>OK</v>
      </c>
      <c r="R620" t="str">
        <f>IF(AND(NOT(ISBLANK(po_master[[#This Row],[GR Quantity]])), po_master[[#This Row],[GR Quantity]]&lt;&gt;po_master[[#This Row],[PO Quantity]]), "Qty Variance", "OK")</f>
        <v>OK</v>
      </c>
      <c r="S620" t="str">
        <f>IF(po_master[[#This Row],[Invoice Unit Price]]&gt;po_master[[#This Row],[PO Unit Price]]*1.01, "Price Variance", "OK")</f>
        <v>OK</v>
      </c>
      <c r="T620" t="str">
        <f>IF(po_master[[#This Row],[Actual Delivery Date]]&gt;po_master[[#This Row],[Promised Delivey Date]], "Late Delivery", "OK")</f>
        <v>Late Delivery</v>
      </c>
      <c r="U620" t="str">
        <f>IF(COUNTIF(po_master[PO Number],po_master[[#This Row],[PO Number]])&gt;1, "Duplicate Invoice", "OK")</f>
        <v>OK</v>
      </c>
      <c r="V620" s="5">
        <f>IF(po_master[[#This Row],[Missing Approval]]="Missing Approval", 1, 0)</f>
        <v>0</v>
      </c>
      <c r="W620" s="5">
        <f>IF(po_master[[#This Row],[GR Receipt Status]]="No GR - Not Received", 1, 0)</f>
        <v>0</v>
      </c>
      <c r="X620" s="5">
        <f>IF(po_master[[#This Row],[No invoice]]="No Invoice", 1, 0)</f>
        <v>0</v>
      </c>
      <c r="Y620" s="5">
        <f>IF(po_master[[#This Row],[Date Check]]="Invalid Date", 1, 0)</f>
        <v>0</v>
      </c>
      <c r="Z620" s="5">
        <f>IF(po_master[[#This Row],[Qty Variance Flag]]="Qty Variance", 1, 0)</f>
        <v>0</v>
      </c>
      <c r="AA620" s="5">
        <f>IF(po_master[[#This Row],[Price Variance Flag]]="Price Variance", 1, 0)</f>
        <v>0</v>
      </c>
      <c r="AB620" s="5">
        <f>IF(po_master[[#This Row],[Late Delivery Flag]]="Late Delivery", 1, 0)</f>
        <v>1</v>
      </c>
      <c r="AC620" s="5">
        <f>IF(po_master[[#This Row],[Duplicate Invoice Flag]]="Duplicate Invoice", 1, 0)</f>
        <v>0</v>
      </c>
      <c r="AD620" s="5" t="str">
        <f>TEXT(po_master[[#This Row],[Order Date]],"YYYY-MM")</f>
        <v>2026-01</v>
      </c>
    </row>
    <row r="621" spans="1:30" x14ac:dyDescent="0.25">
      <c r="A621" t="s">
        <v>548</v>
      </c>
      <c r="B621" t="s">
        <v>1465</v>
      </c>
      <c r="C621" s="1">
        <v>46101</v>
      </c>
      <c r="D621">
        <v>63</v>
      </c>
      <c r="E621">
        <v>45.01</v>
      </c>
      <c r="F621" t="s">
        <v>1440</v>
      </c>
      <c r="G621" s="1">
        <v>46119</v>
      </c>
      <c r="H621">
        <v>63</v>
      </c>
      <c r="I621" s="1">
        <v>46121</v>
      </c>
      <c r="J621" t="s">
        <v>1321</v>
      </c>
      <c r="K621">
        <v>63</v>
      </c>
      <c r="L621">
        <v>45.01</v>
      </c>
      <c r="M621" s="1">
        <v>46123</v>
      </c>
      <c r="N621" t="str">
        <f>IF(po_master[[#This Row],[Approved By]]="", "Missing Approval", "OK")</f>
        <v>OK</v>
      </c>
      <c r="O621" t="str">
        <f>IF(ISBLANK(po_master[[#This Row],[GR Quantity]]), "No GR - Not received", "OK")</f>
        <v>OK</v>
      </c>
      <c r="P621" t="str">
        <f>IF(po_master[[#This Row],[Promised Delivey Date]]&lt;po_master[[#This Row],[Order Date]], "Invalid", "OK")</f>
        <v>OK</v>
      </c>
      <c r="Q621" t="str">
        <f>IF(ISBLANK(po_master[[#This Row],[Invoice Number]]), "No Invoice", "OK")</f>
        <v>OK</v>
      </c>
      <c r="R621" t="str">
        <f>IF(AND(NOT(ISBLANK(po_master[[#This Row],[GR Quantity]])), po_master[[#This Row],[GR Quantity]]&lt;&gt;po_master[[#This Row],[PO Quantity]]), "Qty Variance", "OK")</f>
        <v>OK</v>
      </c>
      <c r="S621" t="str">
        <f>IF(po_master[[#This Row],[Invoice Unit Price]]&gt;po_master[[#This Row],[PO Unit Price]]*1.01, "Price Variance", "OK")</f>
        <v>OK</v>
      </c>
      <c r="T621" t="str">
        <f>IF(po_master[[#This Row],[Actual Delivery Date]]&gt;po_master[[#This Row],[Promised Delivey Date]], "Late Delivery", "OK")</f>
        <v>Late Delivery</v>
      </c>
      <c r="U621" t="str">
        <f>IF(COUNTIF(po_master[PO Number],po_master[[#This Row],[PO Number]])&gt;1, "Duplicate Invoice", "OK")</f>
        <v>OK</v>
      </c>
      <c r="V621" s="5">
        <f>IF(po_master[[#This Row],[Missing Approval]]="Missing Approval", 1, 0)</f>
        <v>0</v>
      </c>
      <c r="W621" s="5">
        <f>IF(po_master[[#This Row],[GR Receipt Status]]="No GR - Not Received", 1, 0)</f>
        <v>0</v>
      </c>
      <c r="X621" s="5">
        <f>IF(po_master[[#This Row],[No invoice]]="No Invoice", 1, 0)</f>
        <v>0</v>
      </c>
      <c r="Y621" s="5">
        <f>IF(po_master[[#This Row],[Date Check]]="Invalid Date", 1, 0)</f>
        <v>0</v>
      </c>
      <c r="Z621" s="5">
        <f>IF(po_master[[#This Row],[Qty Variance Flag]]="Qty Variance", 1, 0)</f>
        <v>0</v>
      </c>
      <c r="AA621" s="5">
        <f>IF(po_master[[#This Row],[Price Variance Flag]]="Price Variance", 1, 0)</f>
        <v>0</v>
      </c>
      <c r="AB621" s="5">
        <f>IF(po_master[[#This Row],[Late Delivery Flag]]="Late Delivery", 1, 0)</f>
        <v>1</v>
      </c>
      <c r="AC621" s="5">
        <f>IF(po_master[[#This Row],[Duplicate Invoice Flag]]="Duplicate Invoice", 1, 0)</f>
        <v>0</v>
      </c>
      <c r="AD621" s="5" t="str">
        <f>TEXT(po_master[[#This Row],[Order Date]],"YYYY-MM")</f>
        <v>2026-03</v>
      </c>
    </row>
    <row r="622" spans="1:30" x14ac:dyDescent="0.25">
      <c r="A622" t="s">
        <v>549</v>
      </c>
      <c r="B622" t="s">
        <v>1498</v>
      </c>
      <c r="C622" s="1">
        <v>46038</v>
      </c>
      <c r="D622">
        <v>82</v>
      </c>
      <c r="E622">
        <v>143.77000000000001</v>
      </c>
      <c r="F622" t="s">
        <v>1476</v>
      </c>
      <c r="G622" s="1">
        <v>46044</v>
      </c>
      <c r="H622">
        <v>86</v>
      </c>
      <c r="I622" s="1">
        <v>46045</v>
      </c>
      <c r="J622" t="s">
        <v>1322</v>
      </c>
      <c r="K622">
        <v>82</v>
      </c>
      <c r="L622">
        <v>143.77000000000001</v>
      </c>
      <c r="M622" s="1">
        <v>46053</v>
      </c>
      <c r="N622" t="str">
        <f>IF(po_master[[#This Row],[Approved By]]="", "Missing Approval", "OK")</f>
        <v>OK</v>
      </c>
      <c r="O622" t="str">
        <f>IF(ISBLANK(po_master[[#This Row],[GR Quantity]]), "No GR - Not received", "OK")</f>
        <v>OK</v>
      </c>
      <c r="P622" t="str">
        <f>IF(po_master[[#This Row],[Promised Delivey Date]]&lt;po_master[[#This Row],[Order Date]], "Invalid", "OK")</f>
        <v>OK</v>
      </c>
      <c r="Q622" t="str">
        <f>IF(ISBLANK(po_master[[#This Row],[Invoice Number]]), "No Invoice", "OK")</f>
        <v>OK</v>
      </c>
      <c r="R622" t="str">
        <f>IF(AND(NOT(ISBLANK(po_master[[#This Row],[GR Quantity]])), po_master[[#This Row],[GR Quantity]]&lt;&gt;po_master[[#This Row],[PO Quantity]]), "Qty Variance", "OK")</f>
        <v>Qty Variance</v>
      </c>
      <c r="S622" t="str">
        <f>IF(po_master[[#This Row],[Invoice Unit Price]]&gt;po_master[[#This Row],[PO Unit Price]]*1.01, "Price Variance", "OK")</f>
        <v>OK</v>
      </c>
      <c r="T622" t="str">
        <f>IF(po_master[[#This Row],[Actual Delivery Date]]&gt;po_master[[#This Row],[Promised Delivey Date]], "Late Delivery", "OK")</f>
        <v>Late Delivery</v>
      </c>
      <c r="U622" t="str">
        <f>IF(COUNTIF(po_master[PO Number],po_master[[#This Row],[PO Number]])&gt;1, "Duplicate Invoice", "OK")</f>
        <v>OK</v>
      </c>
      <c r="V622" s="5">
        <f>IF(po_master[[#This Row],[Missing Approval]]="Missing Approval", 1, 0)</f>
        <v>0</v>
      </c>
      <c r="W622" s="5">
        <f>IF(po_master[[#This Row],[GR Receipt Status]]="No GR - Not Received", 1, 0)</f>
        <v>0</v>
      </c>
      <c r="X622" s="5">
        <f>IF(po_master[[#This Row],[No invoice]]="No Invoice", 1, 0)</f>
        <v>0</v>
      </c>
      <c r="Y622" s="5">
        <f>IF(po_master[[#This Row],[Date Check]]="Invalid Date", 1, 0)</f>
        <v>0</v>
      </c>
      <c r="Z622" s="5">
        <f>IF(po_master[[#This Row],[Qty Variance Flag]]="Qty Variance", 1, 0)</f>
        <v>1</v>
      </c>
      <c r="AA622" s="5">
        <f>IF(po_master[[#This Row],[Price Variance Flag]]="Price Variance", 1, 0)</f>
        <v>0</v>
      </c>
      <c r="AB622" s="5">
        <f>IF(po_master[[#This Row],[Late Delivery Flag]]="Late Delivery", 1, 0)</f>
        <v>1</v>
      </c>
      <c r="AC622" s="5">
        <f>IF(po_master[[#This Row],[Duplicate Invoice Flag]]="Duplicate Invoice", 1, 0)</f>
        <v>0</v>
      </c>
      <c r="AD622" s="5" t="str">
        <f>TEXT(po_master[[#This Row],[Order Date]],"YYYY-MM")</f>
        <v>2026-01</v>
      </c>
    </row>
    <row r="623" spans="1:30" x14ac:dyDescent="0.25">
      <c r="A623" t="s">
        <v>550</v>
      </c>
      <c r="B623" t="s">
        <v>1447</v>
      </c>
      <c r="C623" s="1">
        <v>46156</v>
      </c>
      <c r="D623">
        <v>221</v>
      </c>
      <c r="E623">
        <v>141.66999999999999</v>
      </c>
      <c r="F623" t="s">
        <v>1451</v>
      </c>
      <c r="G623" s="1">
        <v>46175</v>
      </c>
      <c r="H623">
        <v>221</v>
      </c>
      <c r="I623" s="1">
        <v>46189</v>
      </c>
      <c r="J623" t="s">
        <v>1323</v>
      </c>
      <c r="K623">
        <v>221</v>
      </c>
      <c r="L623">
        <v>141.66999999999999</v>
      </c>
      <c r="M623" s="1">
        <v>46178</v>
      </c>
      <c r="N623" t="str">
        <f>IF(po_master[[#This Row],[Approved By]]="", "Missing Approval", "OK")</f>
        <v>OK</v>
      </c>
      <c r="O623" t="str">
        <f>IF(ISBLANK(po_master[[#This Row],[GR Quantity]]), "No GR - Not received", "OK")</f>
        <v>OK</v>
      </c>
      <c r="P623" t="str">
        <f>IF(po_master[[#This Row],[Promised Delivey Date]]&lt;po_master[[#This Row],[Order Date]], "Invalid", "OK")</f>
        <v>OK</v>
      </c>
      <c r="Q623" t="str">
        <f>IF(ISBLANK(po_master[[#This Row],[Invoice Number]]), "No Invoice", "OK")</f>
        <v>OK</v>
      </c>
      <c r="R623" t="str">
        <f>IF(AND(NOT(ISBLANK(po_master[[#This Row],[GR Quantity]])), po_master[[#This Row],[GR Quantity]]&lt;&gt;po_master[[#This Row],[PO Quantity]]), "Qty Variance", "OK")</f>
        <v>OK</v>
      </c>
      <c r="S623" t="str">
        <f>IF(po_master[[#This Row],[Invoice Unit Price]]&gt;po_master[[#This Row],[PO Unit Price]]*1.01, "Price Variance", "OK")</f>
        <v>OK</v>
      </c>
      <c r="T623" t="str">
        <f>IF(po_master[[#This Row],[Actual Delivery Date]]&gt;po_master[[#This Row],[Promised Delivey Date]], "Late Delivery", "OK")</f>
        <v>Late Delivery</v>
      </c>
      <c r="U623" t="str">
        <f>IF(COUNTIF(po_master[PO Number],po_master[[#This Row],[PO Number]])&gt;1, "Duplicate Invoice", "OK")</f>
        <v>OK</v>
      </c>
      <c r="V623" s="5">
        <f>IF(po_master[[#This Row],[Missing Approval]]="Missing Approval", 1, 0)</f>
        <v>0</v>
      </c>
      <c r="W623" s="5">
        <f>IF(po_master[[#This Row],[GR Receipt Status]]="No GR - Not Received", 1, 0)</f>
        <v>0</v>
      </c>
      <c r="X623" s="5">
        <f>IF(po_master[[#This Row],[No invoice]]="No Invoice", 1, 0)</f>
        <v>0</v>
      </c>
      <c r="Y623" s="5">
        <f>IF(po_master[[#This Row],[Date Check]]="Invalid Date", 1, 0)</f>
        <v>0</v>
      </c>
      <c r="Z623" s="5">
        <f>IF(po_master[[#This Row],[Qty Variance Flag]]="Qty Variance", 1, 0)</f>
        <v>0</v>
      </c>
      <c r="AA623" s="5">
        <f>IF(po_master[[#This Row],[Price Variance Flag]]="Price Variance", 1, 0)</f>
        <v>0</v>
      </c>
      <c r="AB623" s="5">
        <f>IF(po_master[[#This Row],[Late Delivery Flag]]="Late Delivery", 1, 0)</f>
        <v>1</v>
      </c>
      <c r="AC623" s="5">
        <f>IF(po_master[[#This Row],[Duplicate Invoice Flag]]="Duplicate Invoice", 1, 0)</f>
        <v>0</v>
      </c>
      <c r="AD623" s="5" t="str">
        <f>TEXT(po_master[[#This Row],[Order Date]],"YYYY-MM")</f>
        <v>2026-05</v>
      </c>
    </row>
    <row r="624" spans="1:30" x14ac:dyDescent="0.25">
      <c r="A624" t="s">
        <v>551</v>
      </c>
      <c r="B624" t="s">
        <v>1465</v>
      </c>
      <c r="C624" s="1">
        <v>46044</v>
      </c>
      <c r="D624">
        <v>307</v>
      </c>
      <c r="E624">
        <v>23.64</v>
      </c>
      <c r="F624" t="s">
        <v>1485</v>
      </c>
      <c r="G624" s="1">
        <v>46061</v>
      </c>
      <c r="H624">
        <v>307</v>
      </c>
      <c r="I624" s="1">
        <v>46078</v>
      </c>
      <c r="J624" t="s">
        <v>1324</v>
      </c>
      <c r="K624">
        <v>307</v>
      </c>
      <c r="L624">
        <v>23.64</v>
      </c>
      <c r="M624" s="1">
        <v>46068</v>
      </c>
      <c r="N624" t="str">
        <f>IF(po_master[[#This Row],[Approved By]]="", "Missing Approval", "OK")</f>
        <v>OK</v>
      </c>
      <c r="O624" t="str">
        <f>IF(ISBLANK(po_master[[#This Row],[GR Quantity]]), "No GR - Not received", "OK")</f>
        <v>OK</v>
      </c>
      <c r="P624" t="str">
        <f>IF(po_master[[#This Row],[Promised Delivey Date]]&lt;po_master[[#This Row],[Order Date]], "Invalid", "OK")</f>
        <v>OK</v>
      </c>
      <c r="Q624" t="str">
        <f>IF(ISBLANK(po_master[[#This Row],[Invoice Number]]), "No Invoice", "OK")</f>
        <v>OK</v>
      </c>
      <c r="R624" t="str">
        <f>IF(AND(NOT(ISBLANK(po_master[[#This Row],[GR Quantity]])), po_master[[#This Row],[GR Quantity]]&lt;&gt;po_master[[#This Row],[PO Quantity]]), "Qty Variance", "OK")</f>
        <v>OK</v>
      </c>
      <c r="S624" t="str">
        <f>IF(po_master[[#This Row],[Invoice Unit Price]]&gt;po_master[[#This Row],[PO Unit Price]]*1.01, "Price Variance", "OK")</f>
        <v>OK</v>
      </c>
      <c r="T624" t="str">
        <f>IF(po_master[[#This Row],[Actual Delivery Date]]&gt;po_master[[#This Row],[Promised Delivey Date]], "Late Delivery", "OK")</f>
        <v>Late Delivery</v>
      </c>
      <c r="U624" t="str">
        <f>IF(COUNTIF(po_master[PO Number],po_master[[#This Row],[PO Number]])&gt;1, "Duplicate Invoice", "OK")</f>
        <v>Duplicate Invoice</v>
      </c>
      <c r="V624" s="5">
        <f>IF(po_master[[#This Row],[Missing Approval]]="Missing Approval", 1, 0)</f>
        <v>0</v>
      </c>
      <c r="W624" s="5">
        <f>IF(po_master[[#This Row],[GR Receipt Status]]="No GR - Not Received", 1, 0)</f>
        <v>0</v>
      </c>
      <c r="X624" s="5">
        <f>IF(po_master[[#This Row],[No invoice]]="No Invoice", 1, 0)</f>
        <v>0</v>
      </c>
      <c r="Y624" s="5">
        <f>IF(po_master[[#This Row],[Date Check]]="Invalid Date", 1, 0)</f>
        <v>0</v>
      </c>
      <c r="Z624" s="5">
        <f>IF(po_master[[#This Row],[Qty Variance Flag]]="Qty Variance", 1, 0)</f>
        <v>0</v>
      </c>
      <c r="AA624" s="5">
        <f>IF(po_master[[#This Row],[Price Variance Flag]]="Price Variance", 1, 0)</f>
        <v>0</v>
      </c>
      <c r="AB624" s="5">
        <f>IF(po_master[[#This Row],[Late Delivery Flag]]="Late Delivery", 1, 0)</f>
        <v>1</v>
      </c>
      <c r="AC624" s="5">
        <f>IF(po_master[[#This Row],[Duplicate Invoice Flag]]="Duplicate Invoice", 1, 0)</f>
        <v>1</v>
      </c>
      <c r="AD624" s="5" t="str">
        <f>TEXT(po_master[[#This Row],[Order Date]],"YYYY-MM")</f>
        <v>2026-01</v>
      </c>
    </row>
    <row r="625" spans="1:30" x14ac:dyDescent="0.25">
      <c r="A625" t="s">
        <v>551</v>
      </c>
      <c r="B625" t="s">
        <v>1465</v>
      </c>
      <c r="C625" s="1">
        <v>46044</v>
      </c>
      <c r="D625">
        <v>307</v>
      </c>
      <c r="E625">
        <v>23.64</v>
      </c>
      <c r="F625" t="s">
        <v>1485</v>
      </c>
      <c r="G625" s="1">
        <v>46061</v>
      </c>
      <c r="H625">
        <v>307</v>
      </c>
      <c r="I625" s="1">
        <v>46078</v>
      </c>
      <c r="J625" t="s">
        <v>1325</v>
      </c>
      <c r="K625">
        <v>307</v>
      </c>
      <c r="L625">
        <v>23.64</v>
      </c>
      <c r="M625" s="1">
        <v>46073</v>
      </c>
      <c r="N625" t="str">
        <f>IF(po_master[[#This Row],[Approved By]]="", "Missing Approval", "OK")</f>
        <v>OK</v>
      </c>
      <c r="O625" t="str">
        <f>IF(ISBLANK(po_master[[#This Row],[GR Quantity]]), "No GR - Not received", "OK")</f>
        <v>OK</v>
      </c>
      <c r="P625" t="str">
        <f>IF(po_master[[#This Row],[Promised Delivey Date]]&lt;po_master[[#This Row],[Order Date]], "Invalid", "OK")</f>
        <v>OK</v>
      </c>
      <c r="Q625" t="str">
        <f>IF(ISBLANK(po_master[[#This Row],[Invoice Number]]), "No Invoice", "OK")</f>
        <v>OK</v>
      </c>
      <c r="R625" t="str">
        <f>IF(AND(NOT(ISBLANK(po_master[[#This Row],[GR Quantity]])), po_master[[#This Row],[GR Quantity]]&lt;&gt;po_master[[#This Row],[PO Quantity]]), "Qty Variance", "OK")</f>
        <v>OK</v>
      </c>
      <c r="S625" t="str">
        <f>IF(po_master[[#This Row],[Invoice Unit Price]]&gt;po_master[[#This Row],[PO Unit Price]]*1.01, "Price Variance", "OK")</f>
        <v>OK</v>
      </c>
      <c r="T625" t="str">
        <f>IF(po_master[[#This Row],[Actual Delivery Date]]&gt;po_master[[#This Row],[Promised Delivey Date]], "Late Delivery", "OK")</f>
        <v>Late Delivery</v>
      </c>
      <c r="U625" t="str">
        <f>IF(COUNTIF(po_master[PO Number],po_master[[#This Row],[PO Number]])&gt;1, "Duplicate Invoice", "OK")</f>
        <v>Duplicate Invoice</v>
      </c>
      <c r="V625" s="5">
        <f>IF(po_master[[#This Row],[Missing Approval]]="Missing Approval", 1, 0)</f>
        <v>0</v>
      </c>
      <c r="W625" s="5">
        <f>IF(po_master[[#This Row],[GR Receipt Status]]="No GR - Not Received", 1, 0)</f>
        <v>0</v>
      </c>
      <c r="X625" s="5">
        <f>IF(po_master[[#This Row],[No invoice]]="No Invoice", 1, 0)</f>
        <v>0</v>
      </c>
      <c r="Y625" s="5">
        <f>IF(po_master[[#This Row],[Date Check]]="Invalid Date", 1, 0)</f>
        <v>0</v>
      </c>
      <c r="Z625" s="5">
        <f>IF(po_master[[#This Row],[Qty Variance Flag]]="Qty Variance", 1, 0)</f>
        <v>0</v>
      </c>
      <c r="AA625" s="5">
        <f>IF(po_master[[#This Row],[Price Variance Flag]]="Price Variance", 1, 0)</f>
        <v>0</v>
      </c>
      <c r="AB625" s="5">
        <f>IF(po_master[[#This Row],[Late Delivery Flag]]="Late Delivery", 1, 0)</f>
        <v>1</v>
      </c>
      <c r="AC625" s="5">
        <f>IF(po_master[[#This Row],[Duplicate Invoice Flag]]="Duplicate Invoice", 1, 0)</f>
        <v>1</v>
      </c>
      <c r="AD625" s="5" t="str">
        <f>TEXT(po_master[[#This Row],[Order Date]],"YYYY-MM")</f>
        <v>2026-01</v>
      </c>
    </row>
    <row r="626" spans="1:30" x14ac:dyDescent="0.25">
      <c r="A626" t="s">
        <v>552</v>
      </c>
      <c r="B626" t="s">
        <v>1492</v>
      </c>
      <c r="C626" s="1">
        <v>46168</v>
      </c>
      <c r="D626">
        <v>41</v>
      </c>
      <c r="E626">
        <v>89.82</v>
      </c>
      <c r="F626" t="s">
        <v>1485</v>
      </c>
      <c r="G626" s="1">
        <v>46180</v>
      </c>
      <c r="H626">
        <v>41</v>
      </c>
      <c r="I626" s="1">
        <v>46181</v>
      </c>
      <c r="J626" t="s">
        <v>1326</v>
      </c>
      <c r="K626">
        <v>41</v>
      </c>
      <c r="L626">
        <v>89.82</v>
      </c>
      <c r="M626" s="1">
        <v>46185</v>
      </c>
      <c r="N626" t="str">
        <f>IF(po_master[[#This Row],[Approved By]]="", "Missing Approval", "OK")</f>
        <v>OK</v>
      </c>
      <c r="O626" t="str">
        <f>IF(ISBLANK(po_master[[#This Row],[GR Quantity]]), "No GR - Not received", "OK")</f>
        <v>OK</v>
      </c>
      <c r="P626" t="str">
        <f>IF(po_master[[#This Row],[Promised Delivey Date]]&lt;po_master[[#This Row],[Order Date]], "Invalid", "OK")</f>
        <v>OK</v>
      </c>
      <c r="Q626" t="str">
        <f>IF(ISBLANK(po_master[[#This Row],[Invoice Number]]), "No Invoice", "OK")</f>
        <v>OK</v>
      </c>
      <c r="R626" t="str">
        <f>IF(AND(NOT(ISBLANK(po_master[[#This Row],[GR Quantity]])), po_master[[#This Row],[GR Quantity]]&lt;&gt;po_master[[#This Row],[PO Quantity]]), "Qty Variance", "OK")</f>
        <v>OK</v>
      </c>
      <c r="S626" t="str">
        <f>IF(po_master[[#This Row],[Invoice Unit Price]]&gt;po_master[[#This Row],[PO Unit Price]]*1.01, "Price Variance", "OK")</f>
        <v>OK</v>
      </c>
      <c r="T626" t="str">
        <f>IF(po_master[[#This Row],[Actual Delivery Date]]&gt;po_master[[#This Row],[Promised Delivey Date]], "Late Delivery", "OK")</f>
        <v>Late Delivery</v>
      </c>
      <c r="U626" t="str">
        <f>IF(COUNTIF(po_master[PO Number],po_master[[#This Row],[PO Number]])&gt;1, "Duplicate Invoice", "OK")</f>
        <v>OK</v>
      </c>
      <c r="V626" s="5">
        <f>IF(po_master[[#This Row],[Missing Approval]]="Missing Approval", 1, 0)</f>
        <v>0</v>
      </c>
      <c r="W626" s="5">
        <f>IF(po_master[[#This Row],[GR Receipt Status]]="No GR - Not Received", 1, 0)</f>
        <v>0</v>
      </c>
      <c r="X626" s="5">
        <f>IF(po_master[[#This Row],[No invoice]]="No Invoice", 1, 0)</f>
        <v>0</v>
      </c>
      <c r="Y626" s="5">
        <f>IF(po_master[[#This Row],[Date Check]]="Invalid Date", 1, 0)</f>
        <v>0</v>
      </c>
      <c r="Z626" s="5">
        <f>IF(po_master[[#This Row],[Qty Variance Flag]]="Qty Variance", 1, 0)</f>
        <v>0</v>
      </c>
      <c r="AA626" s="5">
        <f>IF(po_master[[#This Row],[Price Variance Flag]]="Price Variance", 1, 0)</f>
        <v>0</v>
      </c>
      <c r="AB626" s="5">
        <f>IF(po_master[[#This Row],[Late Delivery Flag]]="Late Delivery", 1, 0)</f>
        <v>1</v>
      </c>
      <c r="AC626" s="5">
        <f>IF(po_master[[#This Row],[Duplicate Invoice Flag]]="Duplicate Invoice", 1, 0)</f>
        <v>0</v>
      </c>
      <c r="AD626" s="5" t="str">
        <f>TEXT(po_master[[#This Row],[Order Date]],"YYYY-MM")</f>
        <v>2026-05</v>
      </c>
    </row>
    <row r="627" spans="1:30" x14ac:dyDescent="0.25">
      <c r="A627" t="s">
        <v>553</v>
      </c>
      <c r="B627" t="s">
        <v>1506</v>
      </c>
      <c r="C627" s="1">
        <v>46089</v>
      </c>
      <c r="D627">
        <v>445</v>
      </c>
      <c r="E627">
        <v>66.430000000000007</v>
      </c>
      <c r="F627" t="s">
        <v>1453</v>
      </c>
      <c r="G627" s="1">
        <v>46104</v>
      </c>
      <c r="H627">
        <v>445</v>
      </c>
      <c r="I627" s="1">
        <v>46105</v>
      </c>
      <c r="J627" t="s">
        <v>1327</v>
      </c>
      <c r="K627">
        <v>445</v>
      </c>
      <c r="L627">
        <v>66.430000000000007</v>
      </c>
      <c r="M627" s="1">
        <v>46113</v>
      </c>
      <c r="N627" t="str">
        <f>IF(po_master[[#This Row],[Approved By]]="", "Missing Approval", "OK")</f>
        <v>OK</v>
      </c>
      <c r="O627" t="str">
        <f>IF(ISBLANK(po_master[[#This Row],[GR Quantity]]), "No GR - Not received", "OK")</f>
        <v>OK</v>
      </c>
      <c r="P627" t="str">
        <f>IF(po_master[[#This Row],[Promised Delivey Date]]&lt;po_master[[#This Row],[Order Date]], "Invalid", "OK")</f>
        <v>OK</v>
      </c>
      <c r="Q627" t="str">
        <f>IF(ISBLANK(po_master[[#This Row],[Invoice Number]]), "No Invoice", "OK")</f>
        <v>OK</v>
      </c>
      <c r="R627" t="str">
        <f>IF(AND(NOT(ISBLANK(po_master[[#This Row],[GR Quantity]])), po_master[[#This Row],[GR Quantity]]&lt;&gt;po_master[[#This Row],[PO Quantity]]), "Qty Variance", "OK")</f>
        <v>OK</v>
      </c>
      <c r="S627" t="str">
        <f>IF(po_master[[#This Row],[Invoice Unit Price]]&gt;po_master[[#This Row],[PO Unit Price]]*1.01, "Price Variance", "OK")</f>
        <v>OK</v>
      </c>
      <c r="T627" t="str">
        <f>IF(po_master[[#This Row],[Actual Delivery Date]]&gt;po_master[[#This Row],[Promised Delivey Date]], "Late Delivery", "OK")</f>
        <v>Late Delivery</v>
      </c>
      <c r="U627" t="str">
        <f>IF(COUNTIF(po_master[PO Number],po_master[[#This Row],[PO Number]])&gt;1, "Duplicate Invoice", "OK")</f>
        <v>OK</v>
      </c>
      <c r="V627" s="5">
        <f>IF(po_master[[#This Row],[Missing Approval]]="Missing Approval", 1, 0)</f>
        <v>0</v>
      </c>
      <c r="W627" s="5">
        <f>IF(po_master[[#This Row],[GR Receipt Status]]="No GR - Not Received", 1, 0)</f>
        <v>0</v>
      </c>
      <c r="X627" s="5">
        <f>IF(po_master[[#This Row],[No invoice]]="No Invoice", 1, 0)</f>
        <v>0</v>
      </c>
      <c r="Y627" s="5">
        <f>IF(po_master[[#This Row],[Date Check]]="Invalid Date", 1, 0)</f>
        <v>0</v>
      </c>
      <c r="Z627" s="5">
        <f>IF(po_master[[#This Row],[Qty Variance Flag]]="Qty Variance", 1, 0)</f>
        <v>0</v>
      </c>
      <c r="AA627" s="5">
        <f>IF(po_master[[#This Row],[Price Variance Flag]]="Price Variance", 1, 0)</f>
        <v>0</v>
      </c>
      <c r="AB627" s="5">
        <f>IF(po_master[[#This Row],[Late Delivery Flag]]="Late Delivery", 1, 0)</f>
        <v>1</v>
      </c>
      <c r="AC627" s="5">
        <f>IF(po_master[[#This Row],[Duplicate Invoice Flag]]="Duplicate Invoice", 1, 0)</f>
        <v>0</v>
      </c>
      <c r="AD627" s="5" t="str">
        <f>TEXT(po_master[[#This Row],[Order Date]],"YYYY-MM")</f>
        <v>2026-03</v>
      </c>
    </row>
    <row r="628" spans="1:30" x14ac:dyDescent="0.25">
      <c r="A628" t="s">
        <v>554</v>
      </c>
      <c r="B628" t="s">
        <v>1509</v>
      </c>
      <c r="C628" s="1">
        <v>46138</v>
      </c>
      <c r="D628">
        <v>149</v>
      </c>
      <c r="E628">
        <v>50.55</v>
      </c>
      <c r="F628" t="s">
        <v>1444</v>
      </c>
      <c r="G628" s="1">
        <v>46147</v>
      </c>
      <c r="H628">
        <v>165</v>
      </c>
      <c r="I628" s="1">
        <v>46149</v>
      </c>
      <c r="J628" t="s">
        <v>1328</v>
      </c>
      <c r="K628">
        <v>149</v>
      </c>
      <c r="L628">
        <v>50.55</v>
      </c>
      <c r="M628" s="1">
        <v>46149</v>
      </c>
      <c r="N628" t="str">
        <f>IF(po_master[[#This Row],[Approved By]]="", "Missing Approval", "OK")</f>
        <v>OK</v>
      </c>
      <c r="O628" t="str">
        <f>IF(ISBLANK(po_master[[#This Row],[GR Quantity]]), "No GR - Not received", "OK")</f>
        <v>OK</v>
      </c>
      <c r="P628" t="str">
        <f>IF(po_master[[#This Row],[Promised Delivey Date]]&lt;po_master[[#This Row],[Order Date]], "Invalid", "OK")</f>
        <v>OK</v>
      </c>
      <c r="Q628" t="str">
        <f>IF(ISBLANK(po_master[[#This Row],[Invoice Number]]), "No Invoice", "OK")</f>
        <v>OK</v>
      </c>
      <c r="R628" t="str">
        <f>IF(AND(NOT(ISBLANK(po_master[[#This Row],[GR Quantity]])), po_master[[#This Row],[GR Quantity]]&lt;&gt;po_master[[#This Row],[PO Quantity]]), "Qty Variance", "OK")</f>
        <v>Qty Variance</v>
      </c>
      <c r="S628" t="str">
        <f>IF(po_master[[#This Row],[Invoice Unit Price]]&gt;po_master[[#This Row],[PO Unit Price]]*1.01, "Price Variance", "OK")</f>
        <v>OK</v>
      </c>
      <c r="T628" t="str">
        <f>IF(po_master[[#This Row],[Actual Delivery Date]]&gt;po_master[[#This Row],[Promised Delivey Date]], "Late Delivery", "OK")</f>
        <v>Late Delivery</v>
      </c>
      <c r="U628" t="str">
        <f>IF(COUNTIF(po_master[PO Number],po_master[[#This Row],[PO Number]])&gt;1, "Duplicate Invoice", "OK")</f>
        <v>OK</v>
      </c>
      <c r="V628" s="5">
        <f>IF(po_master[[#This Row],[Missing Approval]]="Missing Approval", 1, 0)</f>
        <v>0</v>
      </c>
      <c r="W628" s="5">
        <f>IF(po_master[[#This Row],[GR Receipt Status]]="No GR - Not Received", 1, 0)</f>
        <v>0</v>
      </c>
      <c r="X628" s="5">
        <f>IF(po_master[[#This Row],[No invoice]]="No Invoice", 1, 0)</f>
        <v>0</v>
      </c>
      <c r="Y628" s="5">
        <f>IF(po_master[[#This Row],[Date Check]]="Invalid Date", 1, 0)</f>
        <v>0</v>
      </c>
      <c r="Z628" s="5">
        <f>IF(po_master[[#This Row],[Qty Variance Flag]]="Qty Variance", 1, 0)</f>
        <v>1</v>
      </c>
      <c r="AA628" s="5">
        <f>IF(po_master[[#This Row],[Price Variance Flag]]="Price Variance", 1, 0)</f>
        <v>0</v>
      </c>
      <c r="AB628" s="5">
        <f>IF(po_master[[#This Row],[Late Delivery Flag]]="Late Delivery", 1, 0)</f>
        <v>1</v>
      </c>
      <c r="AC628" s="5">
        <f>IF(po_master[[#This Row],[Duplicate Invoice Flag]]="Duplicate Invoice", 1, 0)</f>
        <v>0</v>
      </c>
      <c r="AD628" s="5" t="str">
        <f>TEXT(po_master[[#This Row],[Order Date]],"YYYY-MM")</f>
        <v>2026-04</v>
      </c>
    </row>
    <row r="629" spans="1:30" x14ac:dyDescent="0.25">
      <c r="A629" t="s">
        <v>555</v>
      </c>
      <c r="B629" t="s">
        <v>1443</v>
      </c>
      <c r="C629" s="1">
        <v>46050</v>
      </c>
      <c r="D629">
        <v>89</v>
      </c>
      <c r="E629">
        <v>25.6</v>
      </c>
      <c r="F629" t="s">
        <v>1469</v>
      </c>
      <c r="G629" s="1">
        <v>46069</v>
      </c>
      <c r="H629">
        <v>89</v>
      </c>
      <c r="I629" s="1">
        <v>46069</v>
      </c>
      <c r="J629" t="s">
        <v>1329</v>
      </c>
      <c r="K629">
        <v>89</v>
      </c>
      <c r="L629">
        <v>25.6</v>
      </c>
      <c r="M629" s="1">
        <v>46074</v>
      </c>
      <c r="N629" t="str">
        <f>IF(po_master[[#This Row],[Approved By]]="", "Missing Approval", "OK")</f>
        <v>OK</v>
      </c>
      <c r="O629" t="str">
        <f>IF(ISBLANK(po_master[[#This Row],[GR Quantity]]), "No GR - Not received", "OK")</f>
        <v>OK</v>
      </c>
      <c r="P629" t="str">
        <f>IF(po_master[[#This Row],[Promised Delivey Date]]&lt;po_master[[#This Row],[Order Date]], "Invalid", "OK")</f>
        <v>OK</v>
      </c>
      <c r="Q629" t="str">
        <f>IF(ISBLANK(po_master[[#This Row],[Invoice Number]]), "No Invoice", "OK")</f>
        <v>OK</v>
      </c>
      <c r="R629" t="str">
        <f>IF(AND(NOT(ISBLANK(po_master[[#This Row],[GR Quantity]])), po_master[[#This Row],[GR Quantity]]&lt;&gt;po_master[[#This Row],[PO Quantity]]), "Qty Variance", "OK")</f>
        <v>OK</v>
      </c>
      <c r="S629" t="str">
        <f>IF(po_master[[#This Row],[Invoice Unit Price]]&gt;po_master[[#This Row],[PO Unit Price]]*1.01, "Price Variance", "OK")</f>
        <v>OK</v>
      </c>
      <c r="T629" t="str">
        <f>IF(po_master[[#This Row],[Actual Delivery Date]]&gt;po_master[[#This Row],[Promised Delivey Date]], "Late Delivery", "OK")</f>
        <v>OK</v>
      </c>
      <c r="U629" t="str">
        <f>IF(COUNTIF(po_master[PO Number],po_master[[#This Row],[PO Number]])&gt;1, "Duplicate Invoice", "OK")</f>
        <v>OK</v>
      </c>
      <c r="V629" s="5">
        <f>IF(po_master[[#This Row],[Missing Approval]]="Missing Approval", 1, 0)</f>
        <v>0</v>
      </c>
      <c r="W629" s="5">
        <f>IF(po_master[[#This Row],[GR Receipt Status]]="No GR - Not Received", 1, 0)</f>
        <v>0</v>
      </c>
      <c r="X629" s="5">
        <f>IF(po_master[[#This Row],[No invoice]]="No Invoice", 1, 0)</f>
        <v>0</v>
      </c>
      <c r="Y629" s="5">
        <f>IF(po_master[[#This Row],[Date Check]]="Invalid Date", 1, 0)</f>
        <v>0</v>
      </c>
      <c r="Z629" s="5">
        <f>IF(po_master[[#This Row],[Qty Variance Flag]]="Qty Variance", 1, 0)</f>
        <v>0</v>
      </c>
      <c r="AA629" s="5">
        <f>IF(po_master[[#This Row],[Price Variance Flag]]="Price Variance", 1, 0)</f>
        <v>0</v>
      </c>
      <c r="AB629" s="5">
        <f>IF(po_master[[#This Row],[Late Delivery Flag]]="Late Delivery", 1, 0)</f>
        <v>0</v>
      </c>
      <c r="AC629" s="5">
        <f>IF(po_master[[#This Row],[Duplicate Invoice Flag]]="Duplicate Invoice", 1, 0)</f>
        <v>0</v>
      </c>
      <c r="AD629" s="5" t="str">
        <f>TEXT(po_master[[#This Row],[Order Date]],"YYYY-MM")</f>
        <v>2026-01</v>
      </c>
    </row>
    <row r="630" spans="1:30" x14ac:dyDescent="0.25">
      <c r="A630" t="s">
        <v>556</v>
      </c>
      <c r="B630" t="s">
        <v>1460</v>
      </c>
      <c r="C630" s="1">
        <v>46100</v>
      </c>
      <c r="D630">
        <v>433</v>
      </c>
      <c r="E630">
        <v>142.41999999999999</v>
      </c>
      <c r="F630" t="s">
        <v>1494</v>
      </c>
      <c r="G630" s="1">
        <v>46106</v>
      </c>
      <c r="H630">
        <v>433</v>
      </c>
      <c r="I630" s="1">
        <v>46121</v>
      </c>
      <c r="J630" t="s">
        <v>1335</v>
      </c>
      <c r="K630">
        <v>433</v>
      </c>
      <c r="L630">
        <v>142.41999999999999</v>
      </c>
      <c r="M630" s="1">
        <v>46108</v>
      </c>
      <c r="N630" t="str">
        <f>IF(po_master[[#This Row],[Approved By]]="", "Missing Approval", "OK")</f>
        <v>OK</v>
      </c>
      <c r="O630" t="str">
        <f>IF(ISBLANK(po_master[[#This Row],[GR Quantity]]), "No GR - Not received", "OK")</f>
        <v>OK</v>
      </c>
      <c r="P630" t="str">
        <f>IF(po_master[[#This Row],[Promised Delivey Date]]&lt;po_master[[#This Row],[Order Date]], "Invalid", "OK")</f>
        <v>OK</v>
      </c>
      <c r="Q630" t="str">
        <f>IF(ISBLANK(po_master[[#This Row],[Invoice Number]]), "No Invoice", "OK")</f>
        <v>OK</v>
      </c>
      <c r="R630" t="str">
        <f>IF(AND(NOT(ISBLANK(po_master[[#This Row],[GR Quantity]])), po_master[[#This Row],[GR Quantity]]&lt;&gt;po_master[[#This Row],[PO Quantity]]), "Qty Variance", "OK")</f>
        <v>OK</v>
      </c>
      <c r="S630" t="str">
        <f>IF(po_master[[#This Row],[Invoice Unit Price]]&gt;po_master[[#This Row],[PO Unit Price]]*1.01, "Price Variance", "OK")</f>
        <v>OK</v>
      </c>
      <c r="T630" t="str">
        <f>IF(po_master[[#This Row],[Actual Delivery Date]]&gt;po_master[[#This Row],[Promised Delivey Date]], "Late Delivery", "OK")</f>
        <v>Late Delivery</v>
      </c>
      <c r="U630" t="str">
        <f>IF(COUNTIF(po_master[PO Number],po_master[[#This Row],[PO Number]])&gt;1, "Duplicate Invoice", "OK")</f>
        <v>OK</v>
      </c>
      <c r="V630" s="5">
        <f>IF(po_master[[#This Row],[Missing Approval]]="Missing Approval", 1, 0)</f>
        <v>0</v>
      </c>
      <c r="W630" s="5">
        <f>IF(po_master[[#This Row],[GR Receipt Status]]="No GR - Not Received", 1, 0)</f>
        <v>0</v>
      </c>
      <c r="X630" s="5">
        <f>IF(po_master[[#This Row],[No invoice]]="No Invoice", 1, 0)</f>
        <v>0</v>
      </c>
      <c r="Y630" s="5">
        <f>IF(po_master[[#This Row],[Date Check]]="Invalid Date", 1, 0)</f>
        <v>0</v>
      </c>
      <c r="Z630" s="5">
        <f>IF(po_master[[#This Row],[Qty Variance Flag]]="Qty Variance", 1, 0)</f>
        <v>0</v>
      </c>
      <c r="AA630" s="5">
        <f>IF(po_master[[#This Row],[Price Variance Flag]]="Price Variance", 1, 0)</f>
        <v>0</v>
      </c>
      <c r="AB630" s="5">
        <f>IF(po_master[[#This Row],[Late Delivery Flag]]="Late Delivery", 1, 0)</f>
        <v>1</v>
      </c>
      <c r="AC630" s="5">
        <f>IF(po_master[[#This Row],[Duplicate Invoice Flag]]="Duplicate Invoice", 1, 0)</f>
        <v>0</v>
      </c>
      <c r="AD630" s="5" t="str">
        <f>TEXT(po_master[[#This Row],[Order Date]],"YYYY-MM")</f>
        <v>2026-03</v>
      </c>
    </row>
    <row r="631" spans="1:30" x14ac:dyDescent="0.25">
      <c r="A631" t="s">
        <v>557</v>
      </c>
      <c r="B631" t="s">
        <v>1463</v>
      </c>
      <c r="C631" s="1">
        <v>46106</v>
      </c>
      <c r="D631">
        <v>85</v>
      </c>
      <c r="E631">
        <v>22.79</v>
      </c>
      <c r="F631" t="s">
        <v>1440</v>
      </c>
      <c r="G631" s="1">
        <v>46122</v>
      </c>
      <c r="H631">
        <v>85</v>
      </c>
      <c r="I631" s="1">
        <v>46122</v>
      </c>
      <c r="J631" t="s">
        <v>1336</v>
      </c>
      <c r="K631">
        <v>85</v>
      </c>
      <c r="L631">
        <v>22.79</v>
      </c>
      <c r="M631" s="1">
        <v>46127</v>
      </c>
      <c r="N631" t="str">
        <f>IF(po_master[[#This Row],[Approved By]]="", "Missing Approval", "OK")</f>
        <v>OK</v>
      </c>
      <c r="O631" t="str">
        <f>IF(ISBLANK(po_master[[#This Row],[GR Quantity]]), "No GR - Not received", "OK")</f>
        <v>OK</v>
      </c>
      <c r="P631" t="str">
        <f>IF(po_master[[#This Row],[Promised Delivey Date]]&lt;po_master[[#This Row],[Order Date]], "Invalid", "OK")</f>
        <v>OK</v>
      </c>
      <c r="Q631" t="str">
        <f>IF(ISBLANK(po_master[[#This Row],[Invoice Number]]), "No Invoice", "OK")</f>
        <v>OK</v>
      </c>
      <c r="R631" t="str">
        <f>IF(AND(NOT(ISBLANK(po_master[[#This Row],[GR Quantity]])), po_master[[#This Row],[GR Quantity]]&lt;&gt;po_master[[#This Row],[PO Quantity]]), "Qty Variance", "OK")</f>
        <v>OK</v>
      </c>
      <c r="S631" t="str">
        <f>IF(po_master[[#This Row],[Invoice Unit Price]]&gt;po_master[[#This Row],[PO Unit Price]]*1.01, "Price Variance", "OK")</f>
        <v>OK</v>
      </c>
      <c r="T631" t="str">
        <f>IF(po_master[[#This Row],[Actual Delivery Date]]&gt;po_master[[#This Row],[Promised Delivey Date]], "Late Delivery", "OK")</f>
        <v>OK</v>
      </c>
      <c r="U631" t="str">
        <f>IF(COUNTIF(po_master[PO Number],po_master[[#This Row],[PO Number]])&gt;1, "Duplicate Invoice", "OK")</f>
        <v>OK</v>
      </c>
      <c r="V631" s="5">
        <f>IF(po_master[[#This Row],[Missing Approval]]="Missing Approval", 1, 0)</f>
        <v>0</v>
      </c>
      <c r="W631" s="5">
        <f>IF(po_master[[#This Row],[GR Receipt Status]]="No GR - Not Received", 1, 0)</f>
        <v>0</v>
      </c>
      <c r="X631" s="5">
        <f>IF(po_master[[#This Row],[No invoice]]="No Invoice", 1, 0)</f>
        <v>0</v>
      </c>
      <c r="Y631" s="5">
        <f>IF(po_master[[#This Row],[Date Check]]="Invalid Date", 1, 0)</f>
        <v>0</v>
      </c>
      <c r="Z631" s="5">
        <f>IF(po_master[[#This Row],[Qty Variance Flag]]="Qty Variance", 1, 0)</f>
        <v>0</v>
      </c>
      <c r="AA631" s="5">
        <f>IF(po_master[[#This Row],[Price Variance Flag]]="Price Variance", 1, 0)</f>
        <v>0</v>
      </c>
      <c r="AB631" s="5">
        <f>IF(po_master[[#This Row],[Late Delivery Flag]]="Late Delivery", 1, 0)</f>
        <v>0</v>
      </c>
      <c r="AC631" s="5">
        <f>IF(po_master[[#This Row],[Duplicate Invoice Flag]]="Duplicate Invoice", 1, 0)</f>
        <v>0</v>
      </c>
      <c r="AD631" s="5" t="str">
        <f>TEXT(po_master[[#This Row],[Order Date]],"YYYY-MM")</f>
        <v>2026-03</v>
      </c>
    </row>
    <row r="632" spans="1:30" x14ac:dyDescent="0.25">
      <c r="A632" t="s">
        <v>558</v>
      </c>
      <c r="B632" t="s">
        <v>1473</v>
      </c>
      <c r="C632" s="1">
        <v>46126</v>
      </c>
      <c r="D632">
        <v>447</v>
      </c>
      <c r="E632">
        <v>93.18</v>
      </c>
      <c r="F632" t="s">
        <v>1490</v>
      </c>
      <c r="G632" s="1">
        <v>46138</v>
      </c>
      <c r="H632">
        <v>447</v>
      </c>
      <c r="I632" s="1">
        <v>46138</v>
      </c>
      <c r="J632" t="s">
        <v>1339</v>
      </c>
      <c r="K632">
        <v>447</v>
      </c>
      <c r="L632">
        <v>93.18</v>
      </c>
      <c r="M632" s="1">
        <v>46143</v>
      </c>
      <c r="N632" t="str">
        <f>IF(po_master[[#This Row],[Approved By]]="", "Missing Approval", "OK")</f>
        <v>OK</v>
      </c>
      <c r="O632" t="str">
        <f>IF(ISBLANK(po_master[[#This Row],[GR Quantity]]), "No GR - Not received", "OK")</f>
        <v>OK</v>
      </c>
      <c r="P632" t="str">
        <f>IF(po_master[[#This Row],[Promised Delivey Date]]&lt;po_master[[#This Row],[Order Date]], "Invalid", "OK")</f>
        <v>OK</v>
      </c>
      <c r="Q632" t="str">
        <f>IF(ISBLANK(po_master[[#This Row],[Invoice Number]]), "No Invoice", "OK")</f>
        <v>OK</v>
      </c>
      <c r="R632" t="str">
        <f>IF(AND(NOT(ISBLANK(po_master[[#This Row],[GR Quantity]])), po_master[[#This Row],[GR Quantity]]&lt;&gt;po_master[[#This Row],[PO Quantity]]), "Qty Variance", "OK")</f>
        <v>OK</v>
      </c>
      <c r="S632" t="str">
        <f>IF(po_master[[#This Row],[Invoice Unit Price]]&gt;po_master[[#This Row],[PO Unit Price]]*1.01, "Price Variance", "OK")</f>
        <v>OK</v>
      </c>
      <c r="T632" t="str">
        <f>IF(po_master[[#This Row],[Actual Delivery Date]]&gt;po_master[[#This Row],[Promised Delivey Date]], "Late Delivery", "OK")</f>
        <v>OK</v>
      </c>
      <c r="U632" t="str">
        <f>IF(COUNTIF(po_master[PO Number],po_master[[#This Row],[PO Number]])&gt;1, "Duplicate Invoice", "OK")</f>
        <v>OK</v>
      </c>
      <c r="V632" s="5">
        <f>IF(po_master[[#This Row],[Missing Approval]]="Missing Approval", 1, 0)</f>
        <v>0</v>
      </c>
      <c r="W632" s="5">
        <f>IF(po_master[[#This Row],[GR Receipt Status]]="No GR - Not Received", 1, 0)</f>
        <v>0</v>
      </c>
      <c r="X632" s="5">
        <f>IF(po_master[[#This Row],[No invoice]]="No Invoice", 1, 0)</f>
        <v>0</v>
      </c>
      <c r="Y632" s="5">
        <f>IF(po_master[[#This Row],[Date Check]]="Invalid Date", 1, 0)</f>
        <v>0</v>
      </c>
      <c r="Z632" s="5">
        <f>IF(po_master[[#This Row],[Qty Variance Flag]]="Qty Variance", 1, 0)</f>
        <v>0</v>
      </c>
      <c r="AA632" s="5">
        <f>IF(po_master[[#This Row],[Price Variance Flag]]="Price Variance", 1, 0)</f>
        <v>0</v>
      </c>
      <c r="AB632" s="5">
        <f>IF(po_master[[#This Row],[Late Delivery Flag]]="Late Delivery", 1, 0)</f>
        <v>0</v>
      </c>
      <c r="AC632" s="5">
        <f>IF(po_master[[#This Row],[Duplicate Invoice Flag]]="Duplicate Invoice", 1, 0)</f>
        <v>0</v>
      </c>
      <c r="AD632" s="5" t="str">
        <f>TEXT(po_master[[#This Row],[Order Date]],"YYYY-MM")</f>
        <v>2026-04</v>
      </c>
    </row>
    <row r="633" spans="1:30" x14ac:dyDescent="0.25">
      <c r="A633" t="s">
        <v>559</v>
      </c>
      <c r="B633" t="s">
        <v>1450</v>
      </c>
      <c r="C633" s="1">
        <v>46141</v>
      </c>
      <c r="D633">
        <v>62</v>
      </c>
      <c r="E633">
        <v>161.76</v>
      </c>
      <c r="F633" t="s">
        <v>1485</v>
      </c>
      <c r="G633" s="1">
        <v>46149</v>
      </c>
      <c r="H633">
        <v>66</v>
      </c>
      <c r="I633" s="1">
        <v>46149</v>
      </c>
      <c r="J633" t="s">
        <v>1340</v>
      </c>
      <c r="K633">
        <v>62</v>
      </c>
      <c r="L633">
        <v>161.76</v>
      </c>
      <c r="M633" s="1">
        <v>46150</v>
      </c>
      <c r="N633" t="str">
        <f>IF(po_master[[#This Row],[Approved By]]="", "Missing Approval", "OK")</f>
        <v>OK</v>
      </c>
      <c r="O633" t="str">
        <f>IF(ISBLANK(po_master[[#This Row],[GR Quantity]]), "No GR - Not received", "OK")</f>
        <v>OK</v>
      </c>
      <c r="P633" t="str">
        <f>IF(po_master[[#This Row],[Promised Delivey Date]]&lt;po_master[[#This Row],[Order Date]], "Invalid", "OK")</f>
        <v>OK</v>
      </c>
      <c r="Q633" t="str">
        <f>IF(ISBLANK(po_master[[#This Row],[Invoice Number]]), "No Invoice", "OK")</f>
        <v>OK</v>
      </c>
      <c r="R633" t="str">
        <f>IF(AND(NOT(ISBLANK(po_master[[#This Row],[GR Quantity]])), po_master[[#This Row],[GR Quantity]]&lt;&gt;po_master[[#This Row],[PO Quantity]]), "Qty Variance", "OK")</f>
        <v>Qty Variance</v>
      </c>
      <c r="S633" t="str">
        <f>IF(po_master[[#This Row],[Invoice Unit Price]]&gt;po_master[[#This Row],[PO Unit Price]]*1.01, "Price Variance", "OK")</f>
        <v>OK</v>
      </c>
      <c r="T633" t="str">
        <f>IF(po_master[[#This Row],[Actual Delivery Date]]&gt;po_master[[#This Row],[Promised Delivey Date]], "Late Delivery", "OK")</f>
        <v>OK</v>
      </c>
      <c r="U633" t="str">
        <f>IF(COUNTIF(po_master[PO Number],po_master[[#This Row],[PO Number]])&gt;1, "Duplicate Invoice", "OK")</f>
        <v>OK</v>
      </c>
      <c r="V633" s="5">
        <f>IF(po_master[[#This Row],[Missing Approval]]="Missing Approval", 1, 0)</f>
        <v>0</v>
      </c>
      <c r="W633" s="5">
        <f>IF(po_master[[#This Row],[GR Receipt Status]]="No GR - Not Received", 1, 0)</f>
        <v>0</v>
      </c>
      <c r="X633" s="5">
        <f>IF(po_master[[#This Row],[No invoice]]="No Invoice", 1, 0)</f>
        <v>0</v>
      </c>
      <c r="Y633" s="5">
        <f>IF(po_master[[#This Row],[Date Check]]="Invalid Date", 1, 0)</f>
        <v>0</v>
      </c>
      <c r="Z633" s="5">
        <f>IF(po_master[[#This Row],[Qty Variance Flag]]="Qty Variance", 1, 0)</f>
        <v>1</v>
      </c>
      <c r="AA633" s="5">
        <f>IF(po_master[[#This Row],[Price Variance Flag]]="Price Variance", 1, 0)</f>
        <v>0</v>
      </c>
      <c r="AB633" s="5">
        <f>IF(po_master[[#This Row],[Late Delivery Flag]]="Late Delivery", 1, 0)</f>
        <v>0</v>
      </c>
      <c r="AC633" s="5">
        <f>IF(po_master[[#This Row],[Duplicate Invoice Flag]]="Duplicate Invoice", 1, 0)</f>
        <v>0</v>
      </c>
      <c r="AD633" s="5" t="str">
        <f>TEXT(po_master[[#This Row],[Order Date]],"YYYY-MM")</f>
        <v>2026-04</v>
      </c>
    </row>
    <row r="634" spans="1:30" x14ac:dyDescent="0.25">
      <c r="A634" t="s">
        <v>560</v>
      </c>
      <c r="B634" t="s">
        <v>1481</v>
      </c>
      <c r="C634" s="1">
        <v>46038</v>
      </c>
      <c r="D634">
        <v>435</v>
      </c>
      <c r="E634">
        <v>157.29</v>
      </c>
      <c r="F634" t="s">
        <v>1440</v>
      </c>
      <c r="G634" s="1">
        <v>46047</v>
      </c>
      <c r="H634">
        <v>454</v>
      </c>
      <c r="I634" s="1">
        <v>46049</v>
      </c>
      <c r="J634" t="s">
        <v>1341</v>
      </c>
      <c r="K634">
        <v>435</v>
      </c>
      <c r="L634">
        <v>157.29</v>
      </c>
      <c r="M634" s="1">
        <v>46054</v>
      </c>
      <c r="N634" t="str">
        <f>IF(po_master[[#This Row],[Approved By]]="", "Missing Approval", "OK")</f>
        <v>OK</v>
      </c>
      <c r="O634" t="str">
        <f>IF(ISBLANK(po_master[[#This Row],[GR Quantity]]), "No GR - Not received", "OK")</f>
        <v>OK</v>
      </c>
      <c r="P634" t="str">
        <f>IF(po_master[[#This Row],[Promised Delivey Date]]&lt;po_master[[#This Row],[Order Date]], "Invalid", "OK")</f>
        <v>OK</v>
      </c>
      <c r="Q634" t="str">
        <f>IF(ISBLANK(po_master[[#This Row],[Invoice Number]]), "No Invoice", "OK")</f>
        <v>OK</v>
      </c>
      <c r="R634" t="str">
        <f>IF(AND(NOT(ISBLANK(po_master[[#This Row],[GR Quantity]])), po_master[[#This Row],[GR Quantity]]&lt;&gt;po_master[[#This Row],[PO Quantity]]), "Qty Variance", "OK")</f>
        <v>Qty Variance</v>
      </c>
      <c r="S634" t="str">
        <f>IF(po_master[[#This Row],[Invoice Unit Price]]&gt;po_master[[#This Row],[PO Unit Price]]*1.01, "Price Variance", "OK")</f>
        <v>OK</v>
      </c>
      <c r="T634" t="str">
        <f>IF(po_master[[#This Row],[Actual Delivery Date]]&gt;po_master[[#This Row],[Promised Delivey Date]], "Late Delivery", "OK")</f>
        <v>Late Delivery</v>
      </c>
      <c r="U634" t="str">
        <f>IF(COUNTIF(po_master[PO Number],po_master[[#This Row],[PO Number]])&gt;1, "Duplicate Invoice", "OK")</f>
        <v>OK</v>
      </c>
      <c r="V634" s="5">
        <f>IF(po_master[[#This Row],[Missing Approval]]="Missing Approval", 1, 0)</f>
        <v>0</v>
      </c>
      <c r="W634" s="5">
        <f>IF(po_master[[#This Row],[GR Receipt Status]]="No GR - Not Received", 1, 0)</f>
        <v>0</v>
      </c>
      <c r="X634" s="5">
        <f>IF(po_master[[#This Row],[No invoice]]="No Invoice", 1, 0)</f>
        <v>0</v>
      </c>
      <c r="Y634" s="5">
        <f>IF(po_master[[#This Row],[Date Check]]="Invalid Date", 1, 0)</f>
        <v>0</v>
      </c>
      <c r="Z634" s="5">
        <f>IF(po_master[[#This Row],[Qty Variance Flag]]="Qty Variance", 1, 0)</f>
        <v>1</v>
      </c>
      <c r="AA634" s="5">
        <f>IF(po_master[[#This Row],[Price Variance Flag]]="Price Variance", 1, 0)</f>
        <v>0</v>
      </c>
      <c r="AB634" s="5">
        <f>IF(po_master[[#This Row],[Late Delivery Flag]]="Late Delivery", 1, 0)</f>
        <v>1</v>
      </c>
      <c r="AC634" s="5">
        <f>IF(po_master[[#This Row],[Duplicate Invoice Flag]]="Duplicate Invoice", 1, 0)</f>
        <v>0</v>
      </c>
      <c r="AD634" s="5" t="str">
        <f>TEXT(po_master[[#This Row],[Order Date]],"YYYY-MM")</f>
        <v>2026-01</v>
      </c>
    </row>
    <row r="635" spans="1:30" x14ac:dyDescent="0.25">
      <c r="A635" t="s">
        <v>561</v>
      </c>
      <c r="B635" t="s">
        <v>1505</v>
      </c>
      <c r="C635" s="1">
        <v>46125</v>
      </c>
      <c r="D635">
        <v>200</v>
      </c>
      <c r="E635">
        <v>138.83000000000001</v>
      </c>
      <c r="F635" t="s">
        <v>1446</v>
      </c>
      <c r="G635" s="1">
        <v>46132</v>
      </c>
      <c r="H635">
        <v>200</v>
      </c>
      <c r="I635" s="1">
        <v>46147</v>
      </c>
      <c r="J635" t="s">
        <v>1342</v>
      </c>
      <c r="K635">
        <v>200</v>
      </c>
      <c r="L635">
        <v>138.83000000000001</v>
      </c>
      <c r="M635" s="1">
        <v>46141</v>
      </c>
      <c r="N635" t="str">
        <f>IF(po_master[[#This Row],[Approved By]]="", "Missing Approval", "OK")</f>
        <v>OK</v>
      </c>
      <c r="O635" t="str">
        <f>IF(ISBLANK(po_master[[#This Row],[GR Quantity]]), "No GR - Not received", "OK")</f>
        <v>OK</v>
      </c>
      <c r="P635" t="str">
        <f>IF(po_master[[#This Row],[Promised Delivey Date]]&lt;po_master[[#This Row],[Order Date]], "Invalid", "OK")</f>
        <v>OK</v>
      </c>
      <c r="Q635" t="str">
        <f>IF(ISBLANK(po_master[[#This Row],[Invoice Number]]), "No Invoice", "OK")</f>
        <v>OK</v>
      </c>
      <c r="R635" t="str">
        <f>IF(AND(NOT(ISBLANK(po_master[[#This Row],[GR Quantity]])), po_master[[#This Row],[GR Quantity]]&lt;&gt;po_master[[#This Row],[PO Quantity]]), "Qty Variance", "OK")</f>
        <v>OK</v>
      </c>
      <c r="S635" t="str">
        <f>IF(po_master[[#This Row],[Invoice Unit Price]]&gt;po_master[[#This Row],[PO Unit Price]]*1.01, "Price Variance", "OK")</f>
        <v>OK</v>
      </c>
      <c r="T635" t="str">
        <f>IF(po_master[[#This Row],[Actual Delivery Date]]&gt;po_master[[#This Row],[Promised Delivey Date]], "Late Delivery", "OK")</f>
        <v>Late Delivery</v>
      </c>
      <c r="U635" t="str">
        <f>IF(COUNTIF(po_master[PO Number],po_master[[#This Row],[PO Number]])&gt;1, "Duplicate Invoice", "OK")</f>
        <v>OK</v>
      </c>
      <c r="V635" s="5">
        <f>IF(po_master[[#This Row],[Missing Approval]]="Missing Approval", 1, 0)</f>
        <v>0</v>
      </c>
      <c r="W635" s="5">
        <f>IF(po_master[[#This Row],[GR Receipt Status]]="No GR - Not Received", 1, 0)</f>
        <v>0</v>
      </c>
      <c r="X635" s="5">
        <f>IF(po_master[[#This Row],[No invoice]]="No Invoice", 1, 0)</f>
        <v>0</v>
      </c>
      <c r="Y635" s="5">
        <f>IF(po_master[[#This Row],[Date Check]]="Invalid Date", 1, 0)</f>
        <v>0</v>
      </c>
      <c r="Z635" s="5">
        <f>IF(po_master[[#This Row],[Qty Variance Flag]]="Qty Variance", 1, 0)</f>
        <v>0</v>
      </c>
      <c r="AA635" s="5">
        <f>IF(po_master[[#This Row],[Price Variance Flag]]="Price Variance", 1, 0)</f>
        <v>0</v>
      </c>
      <c r="AB635" s="5">
        <f>IF(po_master[[#This Row],[Late Delivery Flag]]="Late Delivery", 1, 0)</f>
        <v>1</v>
      </c>
      <c r="AC635" s="5">
        <f>IF(po_master[[#This Row],[Duplicate Invoice Flag]]="Duplicate Invoice", 1, 0)</f>
        <v>0</v>
      </c>
      <c r="AD635" s="5" t="str">
        <f>TEXT(po_master[[#This Row],[Order Date]],"YYYY-MM")</f>
        <v>2026-04</v>
      </c>
    </row>
    <row r="636" spans="1:30" x14ac:dyDescent="0.25">
      <c r="A636" t="s">
        <v>562</v>
      </c>
      <c r="B636" t="s">
        <v>1443</v>
      </c>
      <c r="C636" s="1">
        <v>46173</v>
      </c>
      <c r="D636">
        <v>142</v>
      </c>
      <c r="E636">
        <v>183.9</v>
      </c>
      <c r="F636" t="s">
        <v>1476</v>
      </c>
      <c r="G636" s="1">
        <v>46178</v>
      </c>
      <c r="H636">
        <v>142</v>
      </c>
      <c r="I636" s="1">
        <v>46198</v>
      </c>
      <c r="J636" t="s">
        <v>1343</v>
      </c>
      <c r="K636">
        <v>142</v>
      </c>
      <c r="L636">
        <v>183.9</v>
      </c>
      <c r="M636" s="1">
        <v>46185</v>
      </c>
      <c r="N636" t="str">
        <f>IF(po_master[[#This Row],[Approved By]]="", "Missing Approval", "OK")</f>
        <v>OK</v>
      </c>
      <c r="O636" t="str">
        <f>IF(ISBLANK(po_master[[#This Row],[GR Quantity]]), "No GR - Not received", "OK")</f>
        <v>OK</v>
      </c>
      <c r="P636" t="str">
        <f>IF(po_master[[#This Row],[Promised Delivey Date]]&lt;po_master[[#This Row],[Order Date]], "Invalid", "OK")</f>
        <v>OK</v>
      </c>
      <c r="Q636" t="str">
        <f>IF(ISBLANK(po_master[[#This Row],[Invoice Number]]), "No Invoice", "OK")</f>
        <v>OK</v>
      </c>
      <c r="R636" t="str">
        <f>IF(AND(NOT(ISBLANK(po_master[[#This Row],[GR Quantity]])), po_master[[#This Row],[GR Quantity]]&lt;&gt;po_master[[#This Row],[PO Quantity]]), "Qty Variance", "OK")</f>
        <v>OK</v>
      </c>
      <c r="S636" t="str">
        <f>IF(po_master[[#This Row],[Invoice Unit Price]]&gt;po_master[[#This Row],[PO Unit Price]]*1.01, "Price Variance", "OK")</f>
        <v>OK</v>
      </c>
      <c r="T636" t="str">
        <f>IF(po_master[[#This Row],[Actual Delivery Date]]&gt;po_master[[#This Row],[Promised Delivey Date]], "Late Delivery", "OK")</f>
        <v>Late Delivery</v>
      </c>
      <c r="U636" t="str">
        <f>IF(COUNTIF(po_master[PO Number],po_master[[#This Row],[PO Number]])&gt;1, "Duplicate Invoice", "OK")</f>
        <v>OK</v>
      </c>
      <c r="V636" s="5">
        <f>IF(po_master[[#This Row],[Missing Approval]]="Missing Approval", 1, 0)</f>
        <v>0</v>
      </c>
      <c r="W636" s="5">
        <f>IF(po_master[[#This Row],[GR Receipt Status]]="No GR - Not Received", 1, 0)</f>
        <v>0</v>
      </c>
      <c r="X636" s="5">
        <f>IF(po_master[[#This Row],[No invoice]]="No Invoice", 1, 0)</f>
        <v>0</v>
      </c>
      <c r="Y636" s="5">
        <f>IF(po_master[[#This Row],[Date Check]]="Invalid Date", 1, 0)</f>
        <v>0</v>
      </c>
      <c r="Z636" s="5">
        <f>IF(po_master[[#This Row],[Qty Variance Flag]]="Qty Variance", 1, 0)</f>
        <v>0</v>
      </c>
      <c r="AA636" s="5">
        <f>IF(po_master[[#This Row],[Price Variance Flag]]="Price Variance", 1, 0)</f>
        <v>0</v>
      </c>
      <c r="AB636" s="5">
        <f>IF(po_master[[#This Row],[Late Delivery Flag]]="Late Delivery", 1, 0)</f>
        <v>1</v>
      </c>
      <c r="AC636" s="5">
        <f>IF(po_master[[#This Row],[Duplicate Invoice Flag]]="Duplicate Invoice", 1, 0)</f>
        <v>0</v>
      </c>
      <c r="AD636" s="5" t="str">
        <f>TEXT(po_master[[#This Row],[Order Date]],"YYYY-MM")</f>
        <v>2026-05</v>
      </c>
    </row>
    <row r="637" spans="1:30" x14ac:dyDescent="0.25">
      <c r="A637" t="s">
        <v>563</v>
      </c>
      <c r="B637" t="s">
        <v>1492</v>
      </c>
      <c r="C637" s="1">
        <v>46073</v>
      </c>
      <c r="D637">
        <v>472</v>
      </c>
      <c r="E637">
        <v>130.97</v>
      </c>
      <c r="F637" t="s">
        <v>1485</v>
      </c>
      <c r="G637" s="1">
        <v>46080</v>
      </c>
      <c r="H637">
        <v>472</v>
      </c>
      <c r="I637" s="1">
        <v>46080</v>
      </c>
      <c r="J637" t="s">
        <v>1344</v>
      </c>
      <c r="K637">
        <v>472</v>
      </c>
      <c r="L637">
        <v>130.97</v>
      </c>
      <c r="M637" s="1">
        <v>46081</v>
      </c>
      <c r="N637" t="str">
        <f>IF(po_master[[#This Row],[Approved By]]="", "Missing Approval", "OK")</f>
        <v>OK</v>
      </c>
      <c r="O637" t="str">
        <f>IF(ISBLANK(po_master[[#This Row],[GR Quantity]]), "No GR - Not received", "OK")</f>
        <v>OK</v>
      </c>
      <c r="P637" t="str">
        <f>IF(po_master[[#This Row],[Promised Delivey Date]]&lt;po_master[[#This Row],[Order Date]], "Invalid", "OK")</f>
        <v>OK</v>
      </c>
      <c r="Q637" t="str">
        <f>IF(ISBLANK(po_master[[#This Row],[Invoice Number]]), "No Invoice", "OK")</f>
        <v>OK</v>
      </c>
      <c r="R637" t="str">
        <f>IF(AND(NOT(ISBLANK(po_master[[#This Row],[GR Quantity]])), po_master[[#This Row],[GR Quantity]]&lt;&gt;po_master[[#This Row],[PO Quantity]]), "Qty Variance", "OK")</f>
        <v>OK</v>
      </c>
      <c r="S637" t="str">
        <f>IF(po_master[[#This Row],[Invoice Unit Price]]&gt;po_master[[#This Row],[PO Unit Price]]*1.01, "Price Variance", "OK")</f>
        <v>OK</v>
      </c>
      <c r="T637" t="str">
        <f>IF(po_master[[#This Row],[Actual Delivery Date]]&gt;po_master[[#This Row],[Promised Delivey Date]], "Late Delivery", "OK")</f>
        <v>OK</v>
      </c>
      <c r="U637" t="str">
        <f>IF(COUNTIF(po_master[PO Number],po_master[[#This Row],[PO Number]])&gt;1, "Duplicate Invoice", "OK")</f>
        <v>OK</v>
      </c>
      <c r="V637" s="5">
        <f>IF(po_master[[#This Row],[Missing Approval]]="Missing Approval", 1, 0)</f>
        <v>0</v>
      </c>
      <c r="W637" s="5">
        <f>IF(po_master[[#This Row],[GR Receipt Status]]="No GR - Not Received", 1, 0)</f>
        <v>0</v>
      </c>
      <c r="X637" s="5">
        <f>IF(po_master[[#This Row],[No invoice]]="No Invoice", 1, 0)</f>
        <v>0</v>
      </c>
      <c r="Y637" s="5">
        <f>IF(po_master[[#This Row],[Date Check]]="Invalid Date", 1, 0)</f>
        <v>0</v>
      </c>
      <c r="Z637" s="5">
        <f>IF(po_master[[#This Row],[Qty Variance Flag]]="Qty Variance", 1, 0)</f>
        <v>0</v>
      </c>
      <c r="AA637" s="5">
        <f>IF(po_master[[#This Row],[Price Variance Flag]]="Price Variance", 1, 0)</f>
        <v>0</v>
      </c>
      <c r="AB637" s="5">
        <f>IF(po_master[[#This Row],[Late Delivery Flag]]="Late Delivery", 1, 0)</f>
        <v>0</v>
      </c>
      <c r="AC637" s="5">
        <f>IF(po_master[[#This Row],[Duplicate Invoice Flag]]="Duplicate Invoice", 1, 0)</f>
        <v>0</v>
      </c>
      <c r="AD637" s="5" t="str">
        <f>TEXT(po_master[[#This Row],[Order Date]],"YYYY-MM")</f>
        <v>2026-02</v>
      </c>
    </row>
    <row r="638" spans="1:30" x14ac:dyDescent="0.25">
      <c r="A638" t="s">
        <v>564</v>
      </c>
      <c r="B638" t="s">
        <v>1479</v>
      </c>
      <c r="C638" s="1">
        <v>46054</v>
      </c>
      <c r="D638">
        <v>31</v>
      </c>
      <c r="E638">
        <v>188.74</v>
      </c>
      <c r="F638" t="s">
        <v>1462</v>
      </c>
      <c r="G638" s="1">
        <v>46064</v>
      </c>
      <c r="H638">
        <v>31</v>
      </c>
      <c r="I638" s="1">
        <v>46063</v>
      </c>
      <c r="J638" t="s">
        <v>1345</v>
      </c>
      <c r="K638">
        <v>31</v>
      </c>
      <c r="L638">
        <v>188.74</v>
      </c>
      <c r="M638" s="1">
        <v>46067</v>
      </c>
      <c r="N638" t="str">
        <f>IF(po_master[[#This Row],[Approved By]]="", "Missing Approval", "OK")</f>
        <v>OK</v>
      </c>
      <c r="O638" t="str">
        <f>IF(ISBLANK(po_master[[#This Row],[GR Quantity]]), "No GR - Not received", "OK")</f>
        <v>OK</v>
      </c>
      <c r="P638" t="str">
        <f>IF(po_master[[#This Row],[Promised Delivey Date]]&lt;po_master[[#This Row],[Order Date]], "Invalid", "OK")</f>
        <v>OK</v>
      </c>
      <c r="Q638" t="str">
        <f>IF(ISBLANK(po_master[[#This Row],[Invoice Number]]), "No Invoice", "OK")</f>
        <v>OK</v>
      </c>
      <c r="R638" t="str">
        <f>IF(AND(NOT(ISBLANK(po_master[[#This Row],[GR Quantity]])), po_master[[#This Row],[GR Quantity]]&lt;&gt;po_master[[#This Row],[PO Quantity]]), "Qty Variance", "OK")</f>
        <v>OK</v>
      </c>
      <c r="S638" t="str">
        <f>IF(po_master[[#This Row],[Invoice Unit Price]]&gt;po_master[[#This Row],[PO Unit Price]]*1.01, "Price Variance", "OK")</f>
        <v>OK</v>
      </c>
      <c r="T638" t="str">
        <f>IF(po_master[[#This Row],[Actual Delivery Date]]&gt;po_master[[#This Row],[Promised Delivey Date]], "Late Delivery", "OK")</f>
        <v>OK</v>
      </c>
      <c r="U638" t="str">
        <f>IF(COUNTIF(po_master[PO Number],po_master[[#This Row],[PO Number]])&gt;1, "Duplicate Invoice", "OK")</f>
        <v>OK</v>
      </c>
      <c r="V638" s="5">
        <f>IF(po_master[[#This Row],[Missing Approval]]="Missing Approval", 1, 0)</f>
        <v>0</v>
      </c>
      <c r="W638" s="5">
        <f>IF(po_master[[#This Row],[GR Receipt Status]]="No GR - Not Received", 1, 0)</f>
        <v>0</v>
      </c>
      <c r="X638" s="5">
        <f>IF(po_master[[#This Row],[No invoice]]="No Invoice", 1, 0)</f>
        <v>0</v>
      </c>
      <c r="Y638" s="5">
        <f>IF(po_master[[#This Row],[Date Check]]="Invalid Date", 1, 0)</f>
        <v>0</v>
      </c>
      <c r="Z638" s="5">
        <f>IF(po_master[[#This Row],[Qty Variance Flag]]="Qty Variance", 1, 0)</f>
        <v>0</v>
      </c>
      <c r="AA638" s="5">
        <f>IF(po_master[[#This Row],[Price Variance Flag]]="Price Variance", 1, 0)</f>
        <v>0</v>
      </c>
      <c r="AB638" s="5">
        <f>IF(po_master[[#This Row],[Late Delivery Flag]]="Late Delivery", 1, 0)</f>
        <v>0</v>
      </c>
      <c r="AC638" s="5">
        <f>IF(po_master[[#This Row],[Duplicate Invoice Flag]]="Duplicate Invoice", 1, 0)</f>
        <v>0</v>
      </c>
      <c r="AD638" s="5" t="str">
        <f>TEXT(po_master[[#This Row],[Order Date]],"YYYY-MM")</f>
        <v>2026-02</v>
      </c>
    </row>
    <row r="639" spans="1:30" x14ac:dyDescent="0.25">
      <c r="A639" t="s">
        <v>565</v>
      </c>
      <c r="B639" t="s">
        <v>1493</v>
      </c>
      <c r="C639" s="1">
        <v>46133</v>
      </c>
      <c r="D639">
        <v>430</v>
      </c>
      <c r="E639">
        <v>146.26</v>
      </c>
      <c r="F639" t="s">
        <v>1487</v>
      </c>
      <c r="G639" s="1">
        <v>46138</v>
      </c>
      <c r="H639">
        <v>430</v>
      </c>
      <c r="I639" s="1">
        <v>46139</v>
      </c>
      <c r="J639" t="s">
        <v>1346</v>
      </c>
      <c r="K639">
        <v>430</v>
      </c>
      <c r="L639">
        <v>146.26</v>
      </c>
      <c r="M639" s="1">
        <v>46143</v>
      </c>
      <c r="N639" t="str">
        <f>IF(po_master[[#This Row],[Approved By]]="", "Missing Approval", "OK")</f>
        <v>OK</v>
      </c>
      <c r="O639" t="str">
        <f>IF(ISBLANK(po_master[[#This Row],[GR Quantity]]), "No GR - Not received", "OK")</f>
        <v>OK</v>
      </c>
      <c r="P639" t="str">
        <f>IF(po_master[[#This Row],[Promised Delivey Date]]&lt;po_master[[#This Row],[Order Date]], "Invalid", "OK")</f>
        <v>OK</v>
      </c>
      <c r="Q639" t="str">
        <f>IF(ISBLANK(po_master[[#This Row],[Invoice Number]]), "No Invoice", "OK")</f>
        <v>OK</v>
      </c>
      <c r="R639" t="str">
        <f>IF(AND(NOT(ISBLANK(po_master[[#This Row],[GR Quantity]])), po_master[[#This Row],[GR Quantity]]&lt;&gt;po_master[[#This Row],[PO Quantity]]), "Qty Variance", "OK")</f>
        <v>OK</v>
      </c>
      <c r="S639" t="str">
        <f>IF(po_master[[#This Row],[Invoice Unit Price]]&gt;po_master[[#This Row],[PO Unit Price]]*1.01, "Price Variance", "OK")</f>
        <v>OK</v>
      </c>
      <c r="T639" t="str">
        <f>IF(po_master[[#This Row],[Actual Delivery Date]]&gt;po_master[[#This Row],[Promised Delivey Date]], "Late Delivery", "OK")</f>
        <v>Late Delivery</v>
      </c>
      <c r="U639" t="str">
        <f>IF(COUNTIF(po_master[PO Number],po_master[[#This Row],[PO Number]])&gt;1, "Duplicate Invoice", "OK")</f>
        <v>OK</v>
      </c>
      <c r="V639" s="5">
        <f>IF(po_master[[#This Row],[Missing Approval]]="Missing Approval", 1, 0)</f>
        <v>0</v>
      </c>
      <c r="W639" s="5">
        <f>IF(po_master[[#This Row],[GR Receipt Status]]="No GR - Not Received", 1, 0)</f>
        <v>0</v>
      </c>
      <c r="X639" s="5">
        <f>IF(po_master[[#This Row],[No invoice]]="No Invoice", 1, 0)</f>
        <v>0</v>
      </c>
      <c r="Y639" s="5">
        <f>IF(po_master[[#This Row],[Date Check]]="Invalid Date", 1, 0)</f>
        <v>0</v>
      </c>
      <c r="Z639" s="5">
        <f>IF(po_master[[#This Row],[Qty Variance Flag]]="Qty Variance", 1, 0)</f>
        <v>0</v>
      </c>
      <c r="AA639" s="5">
        <f>IF(po_master[[#This Row],[Price Variance Flag]]="Price Variance", 1, 0)</f>
        <v>0</v>
      </c>
      <c r="AB639" s="5">
        <f>IF(po_master[[#This Row],[Late Delivery Flag]]="Late Delivery", 1, 0)</f>
        <v>1</v>
      </c>
      <c r="AC639" s="5">
        <f>IF(po_master[[#This Row],[Duplicate Invoice Flag]]="Duplicate Invoice", 1, 0)</f>
        <v>0</v>
      </c>
      <c r="AD639" s="5" t="str">
        <f>TEXT(po_master[[#This Row],[Order Date]],"YYYY-MM")</f>
        <v>2026-04</v>
      </c>
    </row>
    <row r="640" spans="1:30" x14ac:dyDescent="0.25">
      <c r="A640" t="s">
        <v>566</v>
      </c>
      <c r="B640" t="s">
        <v>1502</v>
      </c>
      <c r="C640" s="1">
        <v>46132</v>
      </c>
      <c r="D640">
        <v>98</v>
      </c>
      <c r="E640">
        <v>74.02</v>
      </c>
      <c r="F640" t="s">
        <v>1501</v>
      </c>
      <c r="G640" s="1">
        <v>46145</v>
      </c>
      <c r="H640">
        <v>88</v>
      </c>
      <c r="I640" s="1">
        <v>46162</v>
      </c>
      <c r="J640" t="s">
        <v>1347</v>
      </c>
      <c r="K640">
        <v>98</v>
      </c>
      <c r="L640">
        <v>74.02</v>
      </c>
      <c r="M640" s="1">
        <v>46151</v>
      </c>
      <c r="N640" t="str">
        <f>IF(po_master[[#This Row],[Approved By]]="", "Missing Approval", "OK")</f>
        <v>OK</v>
      </c>
      <c r="O640" t="str">
        <f>IF(ISBLANK(po_master[[#This Row],[GR Quantity]]), "No GR - Not received", "OK")</f>
        <v>OK</v>
      </c>
      <c r="P640" t="str">
        <f>IF(po_master[[#This Row],[Promised Delivey Date]]&lt;po_master[[#This Row],[Order Date]], "Invalid", "OK")</f>
        <v>OK</v>
      </c>
      <c r="Q640" t="str">
        <f>IF(ISBLANK(po_master[[#This Row],[Invoice Number]]), "No Invoice", "OK")</f>
        <v>OK</v>
      </c>
      <c r="R640" t="str">
        <f>IF(AND(NOT(ISBLANK(po_master[[#This Row],[GR Quantity]])), po_master[[#This Row],[GR Quantity]]&lt;&gt;po_master[[#This Row],[PO Quantity]]), "Qty Variance", "OK")</f>
        <v>Qty Variance</v>
      </c>
      <c r="S640" t="str">
        <f>IF(po_master[[#This Row],[Invoice Unit Price]]&gt;po_master[[#This Row],[PO Unit Price]]*1.01, "Price Variance", "OK")</f>
        <v>OK</v>
      </c>
      <c r="T640" t="str">
        <f>IF(po_master[[#This Row],[Actual Delivery Date]]&gt;po_master[[#This Row],[Promised Delivey Date]], "Late Delivery", "OK")</f>
        <v>Late Delivery</v>
      </c>
      <c r="U640" t="str">
        <f>IF(COUNTIF(po_master[PO Number],po_master[[#This Row],[PO Number]])&gt;1, "Duplicate Invoice", "OK")</f>
        <v>OK</v>
      </c>
      <c r="V640" s="5">
        <f>IF(po_master[[#This Row],[Missing Approval]]="Missing Approval", 1, 0)</f>
        <v>0</v>
      </c>
      <c r="W640" s="5">
        <f>IF(po_master[[#This Row],[GR Receipt Status]]="No GR - Not Received", 1, 0)</f>
        <v>0</v>
      </c>
      <c r="X640" s="5">
        <f>IF(po_master[[#This Row],[No invoice]]="No Invoice", 1, 0)</f>
        <v>0</v>
      </c>
      <c r="Y640" s="5">
        <f>IF(po_master[[#This Row],[Date Check]]="Invalid Date", 1, 0)</f>
        <v>0</v>
      </c>
      <c r="Z640" s="5">
        <f>IF(po_master[[#This Row],[Qty Variance Flag]]="Qty Variance", 1, 0)</f>
        <v>1</v>
      </c>
      <c r="AA640" s="5">
        <f>IF(po_master[[#This Row],[Price Variance Flag]]="Price Variance", 1, 0)</f>
        <v>0</v>
      </c>
      <c r="AB640" s="5">
        <f>IF(po_master[[#This Row],[Late Delivery Flag]]="Late Delivery", 1, 0)</f>
        <v>1</v>
      </c>
      <c r="AC640" s="5">
        <f>IF(po_master[[#This Row],[Duplicate Invoice Flag]]="Duplicate Invoice", 1, 0)</f>
        <v>0</v>
      </c>
      <c r="AD640" s="5" t="str">
        <f>TEXT(po_master[[#This Row],[Order Date]],"YYYY-MM")</f>
        <v>2026-04</v>
      </c>
    </row>
    <row r="641" spans="1:30" x14ac:dyDescent="0.25">
      <c r="A641" t="s">
        <v>567</v>
      </c>
      <c r="B641" t="s">
        <v>1511</v>
      </c>
      <c r="C641" s="1">
        <v>46137</v>
      </c>
      <c r="D641">
        <v>462</v>
      </c>
      <c r="E641">
        <v>33.979999999999997</v>
      </c>
      <c r="F641" t="s">
        <v>1494</v>
      </c>
      <c r="G641" s="1">
        <v>46149</v>
      </c>
      <c r="H641">
        <v>462</v>
      </c>
      <c r="I641" s="1">
        <v>46147</v>
      </c>
      <c r="J641" t="s">
        <v>1348</v>
      </c>
      <c r="K641">
        <v>462</v>
      </c>
      <c r="L641">
        <v>33.979999999999997</v>
      </c>
      <c r="M641" s="1">
        <v>46159</v>
      </c>
      <c r="N641" t="str">
        <f>IF(po_master[[#This Row],[Approved By]]="", "Missing Approval", "OK")</f>
        <v>OK</v>
      </c>
      <c r="O641" t="str">
        <f>IF(ISBLANK(po_master[[#This Row],[GR Quantity]]), "No GR - Not received", "OK")</f>
        <v>OK</v>
      </c>
      <c r="P641" t="str">
        <f>IF(po_master[[#This Row],[Promised Delivey Date]]&lt;po_master[[#This Row],[Order Date]], "Invalid", "OK")</f>
        <v>OK</v>
      </c>
      <c r="Q641" t="str">
        <f>IF(ISBLANK(po_master[[#This Row],[Invoice Number]]), "No Invoice", "OK")</f>
        <v>OK</v>
      </c>
      <c r="R641" t="str">
        <f>IF(AND(NOT(ISBLANK(po_master[[#This Row],[GR Quantity]])), po_master[[#This Row],[GR Quantity]]&lt;&gt;po_master[[#This Row],[PO Quantity]]), "Qty Variance", "OK")</f>
        <v>OK</v>
      </c>
      <c r="S641" t="str">
        <f>IF(po_master[[#This Row],[Invoice Unit Price]]&gt;po_master[[#This Row],[PO Unit Price]]*1.01, "Price Variance", "OK")</f>
        <v>OK</v>
      </c>
      <c r="T641" t="str">
        <f>IF(po_master[[#This Row],[Actual Delivery Date]]&gt;po_master[[#This Row],[Promised Delivey Date]], "Late Delivery", "OK")</f>
        <v>OK</v>
      </c>
      <c r="U641" t="str">
        <f>IF(COUNTIF(po_master[PO Number],po_master[[#This Row],[PO Number]])&gt;1, "Duplicate Invoice", "OK")</f>
        <v>OK</v>
      </c>
      <c r="V641" s="5">
        <f>IF(po_master[[#This Row],[Missing Approval]]="Missing Approval", 1, 0)</f>
        <v>0</v>
      </c>
      <c r="W641" s="5">
        <f>IF(po_master[[#This Row],[GR Receipt Status]]="No GR - Not Received", 1, 0)</f>
        <v>0</v>
      </c>
      <c r="X641" s="5">
        <f>IF(po_master[[#This Row],[No invoice]]="No Invoice", 1, 0)</f>
        <v>0</v>
      </c>
      <c r="Y641" s="5">
        <f>IF(po_master[[#This Row],[Date Check]]="Invalid Date", 1, 0)</f>
        <v>0</v>
      </c>
      <c r="Z641" s="5">
        <f>IF(po_master[[#This Row],[Qty Variance Flag]]="Qty Variance", 1, 0)</f>
        <v>0</v>
      </c>
      <c r="AA641" s="5">
        <f>IF(po_master[[#This Row],[Price Variance Flag]]="Price Variance", 1, 0)</f>
        <v>0</v>
      </c>
      <c r="AB641" s="5">
        <f>IF(po_master[[#This Row],[Late Delivery Flag]]="Late Delivery", 1, 0)</f>
        <v>0</v>
      </c>
      <c r="AC641" s="5">
        <f>IF(po_master[[#This Row],[Duplicate Invoice Flag]]="Duplicate Invoice", 1, 0)</f>
        <v>0</v>
      </c>
      <c r="AD641" s="5" t="str">
        <f>TEXT(po_master[[#This Row],[Order Date]],"YYYY-MM")</f>
        <v>2026-04</v>
      </c>
    </row>
    <row r="642" spans="1:30" x14ac:dyDescent="0.25">
      <c r="A642" t="s">
        <v>568</v>
      </c>
      <c r="B642" t="s">
        <v>1508</v>
      </c>
      <c r="C642" s="1">
        <v>46098</v>
      </c>
      <c r="D642">
        <v>265</v>
      </c>
      <c r="E642">
        <v>85.34</v>
      </c>
      <c r="F642" t="s">
        <v>1442</v>
      </c>
      <c r="G642" s="1">
        <v>46118</v>
      </c>
      <c r="H642">
        <v>265</v>
      </c>
      <c r="I642" s="1">
        <v>46138</v>
      </c>
      <c r="J642" t="s">
        <v>1349</v>
      </c>
      <c r="K642">
        <v>265</v>
      </c>
      <c r="L642">
        <v>85.34</v>
      </c>
      <c r="M642" s="1">
        <v>46126</v>
      </c>
      <c r="N642" t="str">
        <f>IF(po_master[[#This Row],[Approved By]]="", "Missing Approval", "OK")</f>
        <v>OK</v>
      </c>
      <c r="O642" t="str">
        <f>IF(ISBLANK(po_master[[#This Row],[GR Quantity]]), "No GR - Not received", "OK")</f>
        <v>OK</v>
      </c>
      <c r="P642" t="str">
        <f>IF(po_master[[#This Row],[Promised Delivey Date]]&lt;po_master[[#This Row],[Order Date]], "Invalid", "OK")</f>
        <v>OK</v>
      </c>
      <c r="Q642" t="str">
        <f>IF(ISBLANK(po_master[[#This Row],[Invoice Number]]), "No Invoice", "OK")</f>
        <v>OK</v>
      </c>
      <c r="R642" t="str">
        <f>IF(AND(NOT(ISBLANK(po_master[[#This Row],[GR Quantity]])), po_master[[#This Row],[GR Quantity]]&lt;&gt;po_master[[#This Row],[PO Quantity]]), "Qty Variance", "OK")</f>
        <v>OK</v>
      </c>
      <c r="S642" t="str">
        <f>IF(po_master[[#This Row],[Invoice Unit Price]]&gt;po_master[[#This Row],[PO Unit Price]]*1.01, "Price Variance", "OK")</f>
        <v>OK</v>
      </c>
      <c r="T642" t="str">
        <f>IF(po_master[[#This Row],[Actual Delivery Date]]&gt;po_master[[#This Row],[Promised Delivey Date]], "Late Delivery", "OK")</f>
        <v>Late Delivery</v>
      </c>
      <c r="U642" t="str">
        <f>IF(COUNTIF(po_master[PO Number],po_master[[#This Row],[PO Number]])&gt;1, "Duplicate Invoice", "OK")</f>
        <v>OK</v>
      </c>
      <c r="V642" s="5">
        <f>IF(po_master[[#This Row],[Missing Approval]]="Missing Approval", 1, 0)</f>
        <v>0</v>
      </c>
      <c r="W642" s="5">
        <f>IF(po_master[[#This Row],[GR Receipt Status]]="No GR - Not Received", 1, 0)</f>
        <v>0</v>
      </c>
      <c r="X642" s="5">
        <f>IF(po_master[[#This Row],[No invoice]]="No Invoice", 1, 0)</f>
        <v>0</v>
      </c>
      <c r="Y642" s="5">
        <f>IF(po_master[[#This Row],[Date Check]]="Invalid Date", 1, 0)</f>
        <v>0</v>
      </c>
      <c r="Z642" s="5">
        <f>IF(po_master[[#This Row],[Qty Variance Flag]]="Qty Variance", 1, 0)</f>
        <v>0</v>
      </c>
      <c r="AA642" s="5">
        <f>IF(po_master[[#This Row],[Price Variance Flag]]="Price Variance", 1, 0)</f>
        <v>0</v>
      </c>
      <c r="AB642" s="5">
        <f>IF(po_master[[#This Row],[Late Delivery Flag]]="Late Delivery", 1, 0)</f>
        <v>1</v>
      </c>
      <c r="AC642" s="5">
        <f>IF(po_master[[#This Row],[Duplicate Invoice Flag]]="Duplicate Invoice", 1, 0)</f>
        <v>0</v>
      </c>
      <c r="AD642" s="5" t="str">
        <f>TEXT(po_master[[#This Row],[Order Date]],"YYYY-MM")</f>
        <v>2026-03</v>
      </c>
    </row>
    <row r="643" spans="1:30" x14ac:dyDescent="0.25">
      <c r="A643" t="s">
        <v>569</v>
      </c>
      <c r="B643" t="s">
        <v>1475</v>
      </c>
      <c r="C643" s="1">
        <v>46045</v>
      </c>
      <c r="D643">
        <v>153</v>
      </c>
      <c r="E643">
        <v>79.69</v>
      </c>
      <c r="F643" t="s">
        <v>1507</v>
      </c>
      <c r="G643" s="1">
        <v>46056</v>
      </c>
      <c r="H643">
        <v>153</v>
      </c>
      <c r="I643" s="1">
        <v>46054</v>
      </c>
      <c r="J643" t="s">
        <v>1350</v>
      </c>
      <c r="K643">
        <v>153</v>
      </c>
      <c r="L643">
        <v>79.69</v>
      </c>
      <c r="M643" s="1">
        <v>46065</v>
      </c>
      <c r="N643" t="str">
        <f>IF(po_master[[#This Row],[Approved By]]="", "Missing Approval", "OK")</f>
        <v>OK</v>
      </c>
      <c r="O643" t="str">
        <f>IF(ISBLANK(po_master[[#This Row],[GR Quantity]]), "No GR - Not received", "OK")</f>
        <v>OK</v>
      </c>
      <c r="P643" t="str">
        <f>IF(po_master[[#This Row],[Promised Delivey Date]]&lt;po_master[[#This Row],[Order Date]], "Invalid", "OK")</f>
        <v>OK</v>
      </c>
      <c r="Q643" t="str">
        <f>IF(ISBLANK(po_master[[#This Row],[Invoice Number]]), "No Invoice", "OK")</f>
        <v>OK</v>
      </c>
      <c r="R643" t="str">
        <f>IF(AND(NOT(ISBLANK(po_master[[#This Row],[GR Quantity]])), po_master[[#This Row],[GR Quantity]]&lt;&gt;po_master[[#This Row],[PO Quantity]]), "Qty Variance", "OK")</f>
        <v>OK</v>
      </c>
      <c r="S643" t="str">
        <f>IF(po_master[[#This Row],[Invoice Unit Price]]&gt;po_master[[#This Row],[PO Unit Price]]*1.01, "Price Variance", "OK")</f>
        <v>OK</v>
      </c>
      <c r="T643" t="str">
        <f>IF(po_master[[#This Row],[Actual Delivery Date]]&gt;po_master[[#This Row],[Promised Delivey Date]], "Late Delivery", "OK")</f>
        <v>OK</v>
      </c>
      <c r="U643" t="str">
        <f>IF(COUNTIF(po_master[PO Number],po_master[[#This Row],[PO Number]])&gt;1, "Duplicate Invoice", "OK")</f>
        <v>OK</v>
      </c>
      <c r="V643" s="5">
        <f>IF(po_master[[#This Row],[Missing Approval]]="Missing Approval", 1, 0)</f>
        <v>0</v>
      </c>
      <c r="W643" s="5">
        <f>IF(po_master[[#This Row],[GR Receipt Status]]="No GR - Not Received", 1, 0)</f>
        <v>0</v>
      </c>
      <c r="X643" s="5">
        <f>IF(po_master[[#This Row],[No invoice]]="No Invoice", 1, 0)</f>
        <v>0</v>
      </c>
      <c r="Y643" s="5">
        <f>IF(po_master[[#This Row],[Date Check]]="Invalid Date", 1, 0)</f>
        <v>0</v>
      </c>
      <c r="Z643" s="5">
        <f>IF(po_master[[#This Row],[Qty Variance Flag]]="Qty Variance", 1, 0)</f>
        <v>0</v>
      </c>
      <c r="AA643" s="5">
        <f>IF(po_master[[#This Row],[Price Variance Flag]]="Price Variance", 1, 0)</f>
        <v>0</v>
      </c>
      <c r="AB643" s="5">
        <f>IF(po_master[[#This Row],[Late Delivery Flag]]="Late Delivery", 1, 0)</f>
        <v>0</v>
      </c>
      <c r="AC643" s="5">
        <f>IF(po_master[[#This Row],[Duplicate Invoice Flag]]="Duplicate Invoice", 1, 0)</f>
        <v>0</v>
      </c>
      <c r="AD643" s="5" t="str">
        <f>TEXT(po_master[[#This Row],[Order Date]],"YYYY-MM")</f>
        <v>2026-01</v>
      </c>
    </row>
    <row r="644" spans="1:30" x14ac:dyDescent="0.25">
      <c r="A644" t="s">
        <v>570</v>
      </c>
      <c r="B644" t="s">
        <v>1508</v>
      </c>
      <c r="C644" s="1">
        <v>46157</v>
      </c>
      <c r="D644">
        <v>137</v>
      </c>
      <c r="E644">
        <v>128</v>
      </c>
      <c r="F644" t="s">
        <v>1442</v>
      </c>
      <c r="G644" s="1">
        <v>46162</v>
      </c>
      <c r="H644">
        <v>137</v>
      </c>
      <c r="I644" s="1">
        <v>46163</v>
      </c>
      <c r="J644" t="s">
        <v>1351</v>
      </c>
      <c r="K644">
        <v>137</v>
      </c>
      <c r="L644">
        <v>128</v>
      </c>
      <c r="M644" s="1">
        <v>46171</v>
      </c>
      <c r="N644" t="str">
        <f>IF(po_master[[#This Row],[Approved By]]="", "Missing Approval", "OK")</f>
        <v>OK</v>
      </c>
      <c r="O644" t="str">
        <f>IF(ISBLANK(po_master[[#This Row],[GR Quantity]]), "No GR - Not received", "OK")</f>
        <v>OK</v>
      </c>
      <c r="P644" t="str">
        <f>IF(po_master[[#This Row],[Promised Delivey Date]]&lt;po_master[[#This Row],[Order Date]], "Invalid", "OK")</f>
        <v>OK</v>
      </c>
      <c r="Q644" t="str">
        <f>IF(ISBLANK(po_master[[#This Row],[Invoice Number]]), "No Invoice", "OK")</f>
        <v>OK</v>
      </c>
      <c r="R644" t="str">
        <f>IF(AND(NOT(ISBLANK(po_master[[#This Row],[GR Quantity]])), po_master[[#This Row],[GR Quantity]]&lt;&gt;po_master[[#This Row],[PO Quantity]]), "Qty Variance", "OK")</f>
        <v>OK</v>
      </c>
      <c r="S644" t="str">
        <f>IF(po_master[[#This Row],[Invoice Unit Price]]&gt;po_master[[#This Row],[PO Unit Price]]*1.01, "Price Variance", "OK")</f>
        <v>OK</v>
      </c>
      <c r="T644" t="str">
        <f>IF(po_master[[#This Row],[Actual Delivery Date]]&gt;po_master[[#This Row],[Promised Delivey Date]], "Late Delivery", "OK")</f>
        <v>Late Delivery</v>
      </c>
      <c r="U644" t="str">
        <f>IF(COUNTIF(po_master[PO Number],po_master[[#This Row],[PO Number]])&gt;1, "Duplicate Invoice", "OK")</f>
        <v>OK</v>
      </c>
      <c r="V644" s="5">
        <f>IF(po_master[[#This Row],[Missing Approval]]="Missing Approval", 1, 0)</f>
        <v>0</v>
      </c>
      <c r="W644" s="5">
        <f>IF(po_master[[#This Row],[GR Receipt Status]]="No GR - Not Received", 1, 0)</f>
        <v>0</v>
      </c>
      <c r="X644" s="5">
        <f>IF(po_master[[#This Row],[No invoice]]="No Invoice", 1, 0)</f>
        <v>0</v>
      </c>
      <c r="Y644" s="5">
        <f>IF(po_master[[#This Row],[Date Check]]="Invalid Date", 1, 0)</f>
        <v>0</v>
      </c>
      <c r="Z644" s="5">
        <f>IF(po_master[[#This Row],[Qty Variance Flag]]="Qty Variance", 1, 0)</f>
        <v>0</v>
      </c>
      <c r="AA644" s="5">
        <f>IF(po_master[[#This Row],[Price Variance Flag]]="Price Variance", 1, 0)</f>
        <v>0</v>
      </c>
      <c r="AB644" s="5">
        <f>IF(po_master[[#This Row],[Late Delivery Flag]]="Late Delivery", 1, 0)</f>
        <v>1</v>
      </c>
      <c r="AC644" s="5">
        <f>IF(po_master[[#This Row],[Duplicate Invoice Flag]]="Duplicate Invoice", 1, 0)</f>
        <v>0</v>
      </c>
      <c r="AD644" s="5" t="str">
        <f>TEXT(po_master[[#This Row],[Order Date]],"YYYY-MM")</f>
        <v>2026-05</v>
      </c>
    </row>
    <row r="645" spans="1:30" x14ac:dyDescent="0.25">
      <c r="A645" t="s">
        <v>571</v>
      </c>
      <c r="B645" t="s">
        <v>1502</v>
      </c>
      <c r="C645" s="1">
        <v>46114</v>
      </c>
      <c r="D645">
        <v>255</v>
      </c>
      <c r="E645">
        <v>111.18</v>
      </c>
      <c r="F645" t="s">
        <v>1487</v>
      </c>
      <c r="G645" s="1">
        <v>46130</v>
      </c>
      <c r="H645">
        <v>255</v>
      </c>
      <c r="I645" s="1">
        <v>46130</v>
      </c>
      <c r="J645" t="s">
        <v>1352</v>
      </c>
      <c r="K645">
        <v>255</v>
      </c>
      <c r="L645">
        <v>111.18</v>
      </c>
      <c r="M645" s="1">
        <v>46134</v>
      </c>
      <c r="N645" t="str">
        <f>IF(po_master[[#This Row],[Approved By]]="", "Missing Approval", "OK")</f>
        <v>OK</v>
      </c>
      <c r="O645" t="str">
        <f>IF(ISBLANK(po_master[[#This Row],[GR Quantity]]), "No GR - Not received", "OK")</f>
        <v>OK</v>
      </c>
      <c r="P645" t="str">
        <f>IF(po_master[[#This Row],[Promised Delivey Date]]&lt;po_master[[#This Row],[Order Date]], "Invalid", "OK")</f>
        <v>OK</v>
      </c>
      <c r="Q645" t="str">
        <f>IF(ISBLANK(po_master[[#This Row],[Invoice Number]]), "No Invoice", "OK")</f>
        <v>OK</v>
      </c>
      <c r="R645" t="str">
        <f>IF(AND(NOT(ISBLANK(po_master[[#This Row],[GR Quantity]])), po_master[[#This Row],[GR Quantity]]&lt;&gt;po_master[[#This Row],[PO Quantity]]), "Qty Variance", "OK")</f>
        <v>OK</v>
      </c>
      <c r="S645" t="str">
        <f>IF(po_master[[#This Row],[Invoice Unit Price]]&gt;po_master[[#This Row],[PO Unit Price]]*1.01, "Price Variance", "OK")</f>
        <v>OK</v>
      </c>
      <c r="T645" t="str">
        <f>IF(po_master[[#This Row],[Actual Delivery Date]]&gt;po_master[[#This Row],[Promised Delivey Date]], "Late Delivery", "OK")</f>
        <v>OK</v>
      </c>
      <c r="U645" t="str">
        <f>IF(COUNTIF(po_master[PO Number],po_master[[#This Row],[PO Number]])&gt;1, "Duplicate Invoice", "OK")</f>
        <v>OK</v>
      </c>
      <c r="V645" s="5">
        <f>IF(po_master[[#This Row],[Missing Approval]]="Missing Approval", 1, 0)</f>
        <v>0</v>
      </c>
      <c r="W645" s="5">
        <f>IF(po_master[[#This Row],[GR Receipt Status]]="No GR - Not Received", 1, 0)</f>
        <v>0</v>
      </c>
      <c r="X645" s="5">
        <f>IF(po_master[[#This Row],[No invoice]]="No Invoice", 1, 0)</f>
        <v>0</v>
      </c>
      <c r="Y645" s="5">
        <f>IF(po_master[[#This Row],[Date Check]]="Invalid Date", 1, 0)</f>
        <v>0</v>
      </c>
      <c r="Z645" s="5">
        <f>IF(po_master[[#This Row],[Qty Variance Flag]]="Qty Variance", 1, 0)</f>
        <v>0</v>
      </c>
      <c r="AA645" s="5">
        <f>IF(po_master[[#This Row],[Price Variance Flag]]="Price Variance", 1, 0)</f>
        <v>0</v>
      </c>
      <c r="AB645" s="5">
        <f>IF(po_master[[#This Row],[Late Delivery Flag]]="Late Delivery", 1, 0)</f>
        <v>0</v>
      </c>
      <c r="AC645" s="5">
        <f>IF(po_master[[#This Row],[Duplicate Invoice Flag]]="Duplicate Invoice", 1, 0)</f>
        <v>0</v>
      </c>
      <c r="AD645" s="5" t="str">
        <f>TEXT(po_master[[#This Row],[Order Date]],"YYYY-MM")</f>
        <v>2026-04</v>
      </c>
    </row>
    <row r="646" spans="1:30" x14ac:dyDescent="0.25">
      <c r="A646" t="s">
        <v>572</v>
      </c>
      <c r="B646" t="s">
        <v>1493</v>
      </c>
      <c r="C646" s="1">
        <v>46151</v>
      </c>
      <c r="D646">
        <v>174</v>
      </c>
      <c r="E646">
        <v>80.73</v>
      </c>
      <c r="F646" t="s">
        <v>1501</v>
      </c>
      <c r="G646" s="1">
        <v>46156</v>
      </c>
      <c r="H646">
        <v>174</v>
      </c>
      <c r="I646" s="1">
        <v>46155</v>
      </c>
      <c r="J646" t="s">
        <v>1353</v>
      </c>
      <c r="K646">
        <v>174</v>
      </c>
      <c r="L646">
        <v>80.73</v>
      </c>
      <c r="M646" s="1">
        <v>46161</v>
      </c>
      <c r="N646" t="str">
        <f>IF(po_master[[#This Row],[Approved By]]="", "Missing Approval", "OK")</f>
        <v>OK</v>
      </c>
      <c r="O646" t="str">
        <f>IF(ISBLANK(po_master[[#This Row],[GR Quantity]]), "No GR - Not received", "OK")</f>
        <v>OK</v>
      </c>
      <c r="P646" t="str">
        <f>IF(po_master[[#This Row],[Promised Delivey Date]]&lt;po_master[[#This Row],[Order Date]], "Invalid", "OK")</f>
        <v>OK</v>
      </c>
      <c r="Q646" t="str">
        <f>IF(ISBLANK(po_master[[#This Row],[Invoice Number]]), "No Invoice", "OK")</f>
        <v>OK</v>
      </c>
      <c r="R646" t="str">
        <f>IF(AND(NOT(ISBLANK(po_master[[#This Row],[GR Quantity]])), po_master[[#This Row],[GR Quantity]]&lt;&gt;po_master[[#This Row],[PO Quantity]]), "Qty Variance", "OK")</f>
        <v>OK</v>
      </c>
      <c r="S646" t="str">
        <f>IF(po_master[[#This Row],[Invoice Unit Price]]&gt;po_master[[#This Row],[PO Unit Price]]*1.01, "Price Variance", "OK")</f>
        <v>OK</v>
      </c>
      <c r="T646" t="str">
        <f>IF(po_master[[#This Row],[Actual Delivery Date]]&gt;po_master[[#This Row],[Promised Delivey Date]], "Late Delivery", "OK")</f>
        <v>OK</v>
      </c>
      <c r="U646" t="str">
        <f>IF(COUNTIF(po_master[PO Number],po_master[[#This Row],[PO Number]])&gt;1, "Duplicate Invoice", "OK")</f>
        <v>OK</v>
      </c>
      <c r="V646" s="5">
        <f>IF(po_master[[#This Row],[Missing Approval]]="Missing Approval", 1, 0)</f>
        <v>0</v>
      </c>
      <c r="W646" s="5">
        <f>IF(po_master[[#This Row],[GR Receipt Status]]="No GR - Not Received", 1, 0)</f>
        <v>0</v>
      </c>
      <c r="X646" s="5">
        <f>IF(po_master[[#This Row],[No invoice]]="No Invoice", 1, 0)</f>
        <v>0</v>
      </c>
      <c r="Y646" s="5">
        <f>IF(po_master[[#This Row],[Date Check]]="Invalid Date", 1, 0)</f>
        <v>0</v>
      </c>
      <c r="Z646" s="5">
        <f>IF(po_master[[#This Row],[Qty Variance Flag]]="Qty Variance", 1, 0)</f>
        <v>0</v>
      </c>
      <c r="AA646" s="5">
        <f>IF(po_master[[#This Row],[Price Variance Flag]]="Price Variance", 1, 0)</f>
        <v>0</v>
      </c>
      <c r="AB646" s="5">
        <f>IF(po_master[[#This Row],[Late Delivery Flag]]="Late Delivery", 1, 0)</f>
        <v>0</v>
      </c>
      <c r="AC646" s="5">
        <f>IF(po_master[[#This Row],[Duplicate Invoice Flag]]="Duplicate Invoice", 1, 0)</f>
        <v>0</v>
      </c>
      <c r="AD646" s="5" t="str">
        <f>TEXT(po_master[[#This Row],[Order Date]],"YYYY-MM")</f>
        <v>2026-05</v>
      </c>
    </row>
    <row r="647" spans="1:30" x14ac:dyDescent="0.25">
      <c r="A647" t="s">
        <v>573</v>
      </c>
      <c r="B647" t="s">
        <v>1509</v>
      </c>
      <c r="C647" s="1">
        <v>46079</v>
      </c>
      <c r="D647">
        <v>25</v>
      </c>
      <c r="E647">
        <v>179.67</v>
      </c>
      <c r="F647" t="s">
        <v>1456</v>
      </c>
      <c r="G647" s="1">
        <v>46092</v>
      </c>
      <c r="H647">
        <v>25</v>
      </c>
      <c r="I647" s="1">
        <v>46091</v>
      </c>
      <c r="J647" t="s">
        <v>1354</v>
      </c>
      <c r="K647">
        <v>25</v>
      </c>
      <c r="L647">
        <v>179.67</v>
      </c>
      <c r="M647" s="1">
        <v>46094</v>
      </c>
      <c r="N647" t="str">
        <f>IF(po_master[[#This Row],[Approved By]]="", "Missing Approval", "OK")</f>
        <v>OK</v>
      </c>
      <c r="O647" t="str">
        <f>IF(ISBLANK(po_master[[#This Row],[GR Quantity]]), "No GR - Not received", "OK")</f>
        <v>OK</v>
      </c>
      <c r="P647" t="str">
        <f>IF(po_master[[#This Row],[Promised Delivey Date]]&lt;po_master[[#This Row],[Order Date]], "Invalid", "OK")</f>
        <v>OK</v>
      </c>
      <c r="Q647" t="str">
        <f>IF(ISBLANK(po_master[[#This Row],[Invoice Number]]), "No Invoice", "OK")</f>
        <v>OK</v>
      </c>
      <c r="R647" t="str">
        <f>IF(AND(NOT(ISBLANK(po_master[[#This Row],[GR Quantity]])), po_master[[#This Row],[GR Quantity]]&lt;&gt;po_master[[#This Row],[PO Quantity]]), "Qty Variance", "OK")</f>
        <v>OK</v>
      </c>
      <c r="S647" t="str">
        <f>IF(po_master[[#This Row],[Invoice Unit Price]]&gt;po_master[[#This Row],[PO Unit Price]]*1.01, "Price Variance", "OK")</f>
        <v>OK</v>
      </c>
      <c r="T647" t="str">
        <f>IF(po_master[[#This Row],[Actual Delivery Date]]&gt;po_master[[#This Row],[Promised Delivey Date]], "Late Delivery", "OK")</f>
        <v>OK</v>
      </c>
      <c r="U647" t="str">
        <f>IF(COUNTIF(po_master[PO Number],po_master[[#This Row],[PO Number]])&gt;1, "Duplicate Invoice", "OK")</f>
        <v>OK</v>
      </c>
      <c r="V647" s="5">
        <f>IF(po_master[[#This Row],[Missing Approval]]="Missing Approval", 1, 0)</f>
        <v>0</v>
      </c>
      <c r="W647" s="5">
        <f>IF(po_master[[#This Row],[GR Receipt Status]]="No GR - Not Received", 1, 0)</f>
        <v>0</v>
      </c>
      <c r="X647" s="5">
        <f>IF(po_master[[#This Row],[No invoice]]="No Invoice", 1, 0)</f>
        <v>0</v>
      </c>
      <c r="Y647" s="5">
        <f>IF(po_master[[#This Row],[Date Check]]="Invalid Date", 1, 0)</f>
        <v>0</v>
      </c>
      <c r="Z647" s="5">
        <f>IF(po_master[[#This Row],[Qty Variance Flag]]="Qty Variance", 1, 0)</f>
        <v>0</v>
      </c>
      <c r="AA647" s="5">
        <f>IF(po_master[[#This Row],[Price Variance Flag]]="Price Variance", 1, 0)</f>
        <v>0</v>
      </c>
      <c r="AB647" s="5">
        <f>IF(po_master[[#This Row],[Late Delivery Flag]]="Late Delivery", 1, 0)</f>
        <v>0</v>
      </c>
      <c r="AC647" s="5">
        <f>IF(po_master[[#This Row],[Duplicate Invoice Flag]]="Duplicate Invoice", 1, 0)</f>
        <v>0</v>
      </c>
      <c r="AD647" s="5" t="str">
        <f>TEXT(po_master[[#This Row],[Order Date]],"YYYY-MM")</f>
        <v>2026-02</v>
      </c>
    </row>
    <row r="648" spans="1:30" x14ac:dyDescent="0.25">
      <c r="A648" t="s">
        <v>574</v>
      </c>
      <c r="B648" t="s">
        <v>1475</v>
      </c>
      <c r="C648" s="1">
        <v>46143</v>
      </c>
      <c r="D648">
        <v>281</v>
      </c>
      <c r="E648">
        <v>74.7</v>
      </c>
      <c r="F648" t="s">
        <v>1480</v>
      </c>
      <c r="G648" s="1">
        <v>46155</v>
      </c>
      <c r="H648">
        <v>281</v>
      </c>
      <c r="I648" s="1">
        <v>46156</v>
      </c>
      <c r="J648" t="s">
        <v>1355</v>
      </c>
      <c r="K648">
        <v>281</v>
      </c>
      <c r="L648">
        <v>81.12</v>
      </c>
      <c r="M648" s="1">
        <v>46157</v>
      </c>
      <c r="N648" t="str">
        <f>IF(po_master[[#This Row],[Approved By]]="", "Missing Approval", "OK")</f>
        <v>OK</v>
      </c>
      <c r="O648" t="str">
        <f>IF(ISBLANK(po_master[[#This Row],[GR Quantity]]), "No GR - Not received", "OK")</f>
        <v>OK</v>
      </c>
      <c r="P648" t="str">
        <f>IF(po_master[[#This Row],[Promised Delivey Date]]&lt;po_master[[#This Row],[Order Date]], "Invalid", "OK")</f>
        <v>OK</v>
      </c>
      <c r="Q648" t="str">
        <f>IF(ISBLANK(po_master[[#This Row],[Invoice Number]]), "No Invoice", "OK")</f>
        <v>OK</v>
      </c>
      <c r="R648" t="str">
        <f>IF(AND(NOT(ISBLANK(po_master[[#This Row],[GR Quantity]])), po_master[[#This Row],[GR Quantity]]&lt;&gt;po_master[[#This Row],[PO Quantity]]), "Qty Variance", "OK")</f>
        <v>OK</v>
      </c>
      <c r="S648" t="str">
        <f>IF(po_master[[#This Row],[Invoice Unit Price]]&gt;po_master[[#This Row],[PO Unit Price]]*1.01, "Price Variance", "OK")</f>
        <v>Price Variance</v>
      </c>
      <c r="T648" t="str">
        <f>IF(po_master[[#This Row],[Actual Delivery Date]]&gt;po_master[[#This Row],[Promised Delivey Date]], "Late Delivery", "OK")</f>
        <v>Late Delivery</v>
      </c>
      <c r="U648" t="str">
        <f>IF(COUNTIF(po_master[PO Number],po_master[[#This Row],[PO Number]])&gt;1, "Duplicate Invoice", "OK")</f>
        <v>OK</v>
      </c>
      <c r="V648" s="5">
        <f>IF(po_master[[#This Row],[Missing Approval]]="Missing Approval", 1, 0)</f>
        <v>0</v>
      </c>
      <c r="W648" s="5">
        <f>IF(po_master[[#This Row],[GR Receipt Status]]="No GR - Not Received", 1, 0)</f>
        <v>0</v>
      </c>
      <c r="X648" s="5">
        <f>IF(po_master[[#This Row],[No invoice]]="No Invoice", 1, 0)</f>
        <v>0</v>
      </c>
      <c r="Y648" s="5">
        <f>IF(po_master[[#This Row],[Date Check]]="Invalid Date", 1, 0)</f>
        <v>0</v>
      </c>
      <c r="Z648" s="5">
        <f>IF(po_master[[#This Row],[Qty Variance Flag]]="Qty Variance", 1, 0)</f>
        <v>0</v>
      </c>
      <c r="AA648" s="5">
        <f>IF(po_master[[#This Row],[Price Variance Flag]]="Price Variance", 1, 0)</f>
        <v>1</v>
      </c>
      <c r="AB648" s="5">
        <f>IF(po_master[[#This Row],[Late Delivery Flag]]="Late Delivery", 1, 0)</f>
        <v>1</v>
      </c>
      <c r="AC648" s="5">
        <f>IF(po_master[[#This Row],[Duplicate Invoice Flag]]="Duplicate Invoice", 1, 0)</f>
        <v>0</v>
      </c>
      <c r="AD648" s="5" t="str">
        <f>TEXT(po_master[[#This Row],[Order Date]],"YYYY-MM")</f>
        <v>2026-05</v>
      </c>
    </row>
    <row r="649" spans="1:30" x14ac:dyDescent="0.25">
      <c r="A649" t="s">
        <v>575</v>
      </c>
      <c r="B649" t="s">
        <v>1460</v>
      </c>
      <c r="C649" s="1">
        <v>46048</v>
      </c>
      <c r="D649">
        <v>136</v>
      </c>
      <c r="E649">
        <v>133.09</v>
      </c>
      <c r="F649" t="s">
        <v>1458</v>
      </c>
      <c r="G649" s="1">
        <v>46054</v>
      </c>
      <c r="H649">
        <v>136</v>
      </c>
      <c r="I649" s="1">
        <v>46055</v>
      </c>
      <c r="J649" t="s">
        <v>1356</v>
      </c>
      <c r="K649">
        <v>136</v>
      </c>
      <c r="L649">
        <v>154.59</v>
      </c>
      <c r="M649" s="1">
        <v>46063</v>
      </c>
      <c r="N649" t="str">
        <f>IF(po_master[[#This Row],[Approved By]]="", "Missing Approval", "OK")</f>
        <v>OK</v>
      </c>
      <c r="O649" t="str">
        <f>IF(ISBLANK(po_master[[#This Row],[GR Quantity]]), "No GR - Not received", "OK")</f>
        <v>OK</v>
      </c>
      <c r="P649" t="str">
        <f>IF(po_master[[#This Row],[Promised Delivey Date]]&lt;po_master[[#This Row],[Order Date]], "Invalid", "OK")</f>
        <v>OK</v>
      </c>
      <c r="Q649" t="str">
        <f>IF(ISBLANK(po_master[[#This Row],[Invoice Number]]), "No Invoice", "OK")</f>
        <v>OK</v>
      </c>
      <c r="R649" t="str">
        <f>IF(AND(NOT(ISBLANK(po_master[[#This Row],[GR Quantity]])), po_master[[#This Row],[GR Quantity]]&lt;&gt;po_master[[#This Row],[PO Quantity]]), "Qty Variance", "OK")</f>
        <v>OK</v>
      </c>
      <c r="S649" t="str">
        <f>IF(po_master[[#This Row],[Invoice Unit Price]]&gt;po_master[[#This Row],[PO Unit Price]]*1.01, "Price Variance", "OK")</f>
        <v>Price Variance</v>
      </c>
      <c r="T649" t="str">
        <f>IF(po_master[[#This Row],[Actual Delivery Date]]&gt;po_master[[#This Row],[Promised Delivey Date]], "Late Delivery", "OK")</f>
        <v>Late Delivery</v>
      </c>
      <c r="U649" t="str">
        <f>IF(COUNTIF(po_master[PO Number],po_master[[#This Row],[PO Number]])&gt;1, "Duplicate Invoice", "OK")</f>
        <v>OK</v>
      </c>
      <c r="V649" s="5">
        <f>IF(po_master[[#This Row],[Missing Approval]]="Missing Approval", 1, 0)</f>
        <v>0</v>
      </c>
      <c r="W649" s="5">
        <f>IF(po_master[[#This Row],[GR Receipt Status]]="No GR - Not Received", 1, 0)</f>
        <v>0</v>
      </c>
      <c r="X649" s="5">
        <f>IF(po_master[[#This Row],[No invoice]]="No Invoice", 1, 0)</f>
        <v>0</v>
      </c>
      <c r="Y649" s="5">
        <f>IF(po_master[[#This Row],[Date Check]]="Invalid Date", 1, 0)</f>
        <v>0</v>
      </c>
      <c r="Z649" s="5">
        <f>IF(po_master[[#This Row],[Qty Variance Flag]]="Qty Variance", 1, 0)</f>
        <v>0</v>
      </c>
      <c r="AA649" s="5">
        <f>IF(po_master[[#This Row],[Price Variance Flag]]="Price Variance", 1, 0)</f>
        <v>1</v>
      </c>
      <c r="AB649" s="5">
        <f>IF(po_master[[#This Row],[Late Delivery Flag]]="Late Delivery", 1, 0)</f>
        <v>1</v>
      </c>
      <c r="AC649" s="5">
        <f>IF(po_master[[#This Row],[Duplicate Invoice Flag]]="Duplicate Invoice", 1, 0)</f>
        <v>0</v>
      </c>
      <c r="AD649" s="5" t="str">
        <f>TEXT(po_master[[#This Row],[Order Date]],"YYYY-MM")</f>
        <v>2026-01</v>
      </c>
    </row>
    <row r="650" spans="1:30" x14ac:dyDescent="0.25">
      <c r="A650" t="s">
        <v>576</v>
      </c>
      <c r="B650" t="s">
        <v>1447</v>
      </c>
      <c r="C650" s="1">
        <v>46170</v>
      </c>
      <c r="D650">
        <v>443</v>
      </c>
      <c r="E650">
        <v>196.62</v>
      </c>
      <c r="F650" t="s">
        <v>1453</v>
      </c>
      <c r="G650" s="1">
        <v>46186</v>
      </c>
      <c r="H650">
        <v>431</v>
      </c>
      <c r="I650" s="1">
        <v>46195</v>
      </c>
      <c r="J650" t="s">
        <v>1357</v>
      </c>
      <c r="K650">
        <v>443</v>
      </c>
      <c r="L650">
        <v>196.62</v>
      </c>
      <c r="M650" s="1">
        <v>46187</v>
      </c>
      <c r="N650" t="str">
        <f>IF(po_master[[#This Row],[Approved By]]="", "Missing Approval", "OK")</f>
        <v>OK</v>
      </c>
      <c r="O650" t="str">
        <f>IF(ISBLANK(po_master[[#This Row],[GR Quantity]]), "No GR - Not received", "OK")</f>
        <v>OK</v>
      </c>
      <c r="P650" t="str">
        <f>IF(po_master[[#This Row],[Promised Delivey Date]]&lt;po_master[[#This Row],[Order Date]], "Invalid", "OK")</f>
        <v>OK</v>
      </c>
      <c r="Q650" t="str">
        <f>IF(ISBLANK(po_master[[#This Row],[Invoice Number]]), "No Invoice", "OK")</f>
        <v>OK</v>
      </c>
      <c r="R650" t="str">
        <f>IF(AND(NOT(ISBLANK(po_master[[#This Row],[GR Quantity]])), po_master[[#This Row],[GR Quantity]]&lt;&gt;po_master[[#This Row],[PO Quantity]]), "Qty Variance", "OK")</f>
        <v>Qty Variance</v>
      </c>
      <c r="S650" t="str">
        <f>IF(po_master[[#This Row],[Invoice Unit Price]]&gt;po_master[[#This Row],[PO Unit Price]]*1.01, "Price Variance", "OK")</f>
        <v>OK</v>
      </c>
      <c r="T650" t="str">
        <f>IF(po_master[[#This Row],[Actual Delivery Date]]&gt;po_master[[#This Row],[Promised Delivey Date]], "Late Delivery", "OK")</f>
        <v>Late Delivery</v>
      </c>
      <c r="U650" t="str">
        <f>IF(COUNTIF(po_master[PO Number],po_master[[#This Row],[PO Number]])&gt;1, "Duplicate Invoice", "OK")</f>
        <v>OK</v>
      </c>
      <c r="V650" s="5">
        <f>IF(po_master[[#This Row],[Missing Approval]]="Missing Approval", 1, 0)</f>
        <v>0</v>
      </c>
      <c r="W650" s="5">
        <f>IF(po_master[[#This Row],[GR Receipt Status]]="No GR - Not Received", 1, 0)</f>
        <v>0</v>
      </c>
      <c r="X650" s="5">
        <f>IF(po_master[[#This Row],[No invoice]]="No Invoice", 1, 0)</f>
        <v>0</v>
      </c>
      <c r="Y650" s="5">
        <f>IF(po_master[[#This Row],[Date Check]]="Invalid Date", 1, 0)</f>
        <v>0</v>
      </c>
      <c r="Z650" s="5">
        <f>IF(po_master[[#This Row],[Qty Variance Flag]]="Qty Variance", 1, 0)</f>
        <v>1</v>
      </c>
      <c r="AA650" s="5">
        <f>IF(po_master[[#This Row],[Price Variance Flag]]="Price Variance", 1, 0)</f>
        <v>0</v>
      </c>
      <c r="AB650" s="5">
        <f>IF(po_master[[#This Row],[Late Delivery Flag]]="Late Delivery", 1, 0)</f>
        <v>1</v>
      </c>
      <c r="AC650" s="5">
        <f>IF(po_master[[#This Row],[Duplicate Invoice Flag]]="Duplicate Invoice", 1, 0)</f>
        <v>0</v>
      </c>
      <c r="AD650" s="5" t="str">
        <f>TEXT(po_master[[#This Row],[Order Date]],"YYYY-MM")</f>
        <v>2026-05</v>
      </c>
    </row>
    <row r="651" spans="1:30" x14ac:dyDescent="0.25">
      <c r="A651" t="s">
        <v>577</v>
      </c>
      <c r="B651" t="s">
        <v>1486</v>
      </c>
      <c r="C651" s="1">
        <v>46068</v>
      </c>
      <c r="D651">
        <v>131</v>
      </c>
      <c r="E651">
        <v>120.54</v>
      </c>
      <c r="F651" t="s">
        <v>1490</v>
      </c>
      <c r="G651" s="1">
        <v>46084</v>
      </c>
      <c r="H651">
        <v>131</v>
      </c>
      <c r="I651" s="1">
        <v>46085</v>
      </c>
      <c r="J651" t="s">
        <v>1358</v>
      </c>
      <c r="K651">
        <v>131</v>
      </c>
      <c r="L651">
        <v>120.54</v>
      </c>
      <c r="M651" s="1">
        <v>46093</v>
      </c>
      <c r="N651" t="str">
        <f>IF(po_master[[#This Row],[Approved By]]="", "Missing Approval", "OK")</f>
        <v>OK</v>
      </c>
      <c r="O651" t="str">
        <f>IF(ISBLANK(po_master[[#This Row],[GR Quantity]]), "No GR - Not received", "OK")</f>
        <v>OK</v>
      </c>
      <c r="P651" t="str">
        <f>IF(po_master[[#This Row],[Promised Delivey Date]]&lt;po_master[[#This Row],[Order Date]], "Invalid", "OK")</f>
        <v>OK</v>
      </c>
      <c r="Q651" t="str">
        <f>IF(ISBLANK(po_master[[#This Row],[Invoice Number]]), "No Invoice", "OK")</f>
        <v>OK</v>
      </c>
      <c r="R651" t="str">
        <f>IF(AND(NOT(ISBLANK(po_master[[#This Row],[GR Quantity]])), po_master[[#This Row],[GR Quantity]]&lt;&gt;po_master[[#This Row],[PO Quantity]]), "Qty Variance", "OK")</f>
        <v>OK</v>
      </c>
      <c r="S651" t="str">
        <f>IF(po_master[[#This Row],[Invoice Unit Price]]&gt;po_master[[#This Row],[PO Unit Price]]*1.01, "Price Variance", "OK")</f>
        <v>OK</v>
      </c>
      <c r="T651" t="str">
        <f>IF(po_master[[#This Row],[Actual Delivery Date]]&gt;po_master[[#This Row],[Promised Delivey Date]], "Late Delivery", "OK")</f>
        <v>Late Delivery</v>
      </c>
      <c r="U651" t="str">
        <f>IF(COUNTIF(po_master[PO Number],po_master[[#This Row],[PO Number]])&gt;1, "Duplicate Invoice", "OK")</f>
        <v>OK</v>
      </c>
      <c r="V651" s="5">
        <f>IF(po_master[[#This Row],[Missing Approval]]="Missing Approval", 1, 0)</f>
        <v>0</v>
      </c>
      <c r="W651" s="5">
        <f>IF(po_master[[#This Row],[GR Receipt Status]]="No GR - Not Received", 1, 0)</f>
        <v>0</v>
      </c>
      <c r="X651" s="5">
        <f>IF(po_master[[#This Row],[No invoice]]="No Invoice", 1, 0)</f>
        <v>0</v>
      </c>
      <c r="Y651" s="5">
        <f>IF(po_master[[#This Row],[Date Check]]="Invalid Date", 1, 0)</f>
        <v>0</v>
      </c>
      <c r="Z651" s="5">
        <f>IF(po_master[[#This Row],[Qty Variance Flag]]="Qty Variance", 1, 0)</f>
        <v>0</v>
      </c>
      <c r="AA651" s="5">
        <f>IF(po_master[[#This Row],[Price Variance Flag]]="Price Variance", 1, 0)</f>
        <v>0</v>
      </c>
      <c r="AB651" s="5">
        <f>IF(po_master[[#This Row],[Late Delivery Flag]]="Late Delivery", 1, 0)</f>
        <v>1</v>
      </c>
      <c r="AC651" s="5">
        <f>IF(po_master[[#This Row],[Duplicate Invoice Flag]]="Duplicate Invoice", 1, 0)</f>
        <v>0</v>
      </c>
      <c r="AD651" s="5" t="str">
        <f>TEXT(po_master[[#This Row],[Order Date]],"YYYY-MM")</f>
        <v>2026-02</v>
      </c>
    </row>
    <row r="652" spans="1:30" x14ac:dyDescent="0.25">
      <c r="A652" t="s">
        <v>578</v>
      </c>
      <c r="B652" t="s">
        <v>1443</v>
      </c>
      <c r="C652" s="1">
        <v>46030</v>
      </c>
      <c r="D652">
        <v>370</v>
      </c>
      <c r="E652">
        <v>141.61000000000001</v>
      </c>
      <c r="F652" t="s">
        <v>1480</v>
      </c>
      <c r="G652" s="1">
        <v>46039</v>
      </c>
      <c r="H652">
        <v>370</v>
      </c>
      <c r="I652" s="1">
        <v>46038</v>
      </c>
      <c r="J652" t="s">
        <v>1359</v>
      </c>
      <c r="K652">
        <v>370</v>
      </c>
      <c r="L652">
        <v>141.61000000000001</v>
      </c>
      <c r="M652" s="1">
        <v>46047</v>
      </c>
      <c r="N652" t="str">
        <f>IF(po_master[[#This Row],[Approved By]]="", "Missing Approval", "OK")</f>
        <v>OK</v>
      </c>
      <c r="O652" t="str">
        <f>IF(ISBLANK(po_master[[#This Row],[GR Quantity]]), "No GR - Not received", "OK")</f>
        <v>OK</v>
      </c>
      <c r="P652" t="str">
        <f>IF(po_master[[#This Row],[Promised Delivey Date]]&lt;po_master[[#This Row],[Order Date]], "Invalid", "OK")</f>
        <v>OK</v>
      </c>
      <c r="Q652" t="str">
        <f>IF(ISBLANK(po_master[[#This Row],[Invoice Number]]), "No Invoice", "OK")</f>
        <v>OK</v>
      </c>
      <c r="R652" t="str">
        <f>IF(AND(NOT(ISBLANK(po_master[[#This Row],[GR Quantity]])), po_master[[#This Row],[GR Quantity]]&lt;&gt;po_master[[#This Row],[PO Quantity]]), "Qty Variance", "OK")</f>
        <v>OK</v>
      </c>
      <c r="S652" t="str">
        <f>IF(po_master[[#This Row],[Invoice Unit Price]]&gt;po_master[[#This Row],[PO Unit Price]]*1.01, "Price Variance", "OK")</f>
        <v>OK</v>
      </c>
      <c r="T652" t="str">
        <f>IF(po_master[[#This Row],[Actual Delivery Date]]&gt;po_master[[#This Row],[Promised Delivey Date]], "Late Delivery", "OK")</f>
        <v>OK</v>
      </c>
      <c r="U652" t="str">
        <f>IF(COUNTIF(po_master[PO Number],po_master[[#This Row],[PO Number]])&gt;1, "Duplicate Invoice", "OK")</f>
        <v>OK</v>
      </c>
      <c r="V652" s="5">
        <f>IF(po_master[[#This Row],[Missing Approval]]="Missing Approval", 1, 0)</f>
        <v>0</v>
      </c>
      <c r="W652" s="5">
        <f>IF(po_master[[#This Row],[GR Receipt Status]]="No GR - Not Received", 1, 0)</f>
        <v>0</v>
      </c>
      <c r="X652" s="5">
        <f>IF(po_master[[#This Row],[No invoice]]="No Invoice", 1, 0)</f>
        <v>0</v>
      </c>
      <c r="Y652" s="5">
        <f>IF(po_master[[#This Row],[Date Check]]="Invalid Date", 1, 0)</f>
        <v>0</v>
      </c>
      <c r="Z652" s="5">
        <f>IF(po_master[[#This Row],[Qty Variance Flag]]="Qty Variance", 1, 0)</f>
        <v>0</v>
      </c>
      <c r="AA652" s="5">
        <f>IF(po_master[[#This Row],[Price Variance Flag]]="Price Variance", 1, 0)</f>
        <v>0</v>
      </c>
      <c r="AB652" s="5">
        <f>IF(po_master[[#This Row],[Late Delivery Flag]]="Late Delivery", 1, 0)</f>
        <v>0</v>
      </c>
      <c r="AC652" s="5">
        <f>IF(po_master[[#This Row],[Duplicate Invoice Flag]]="Duplicate Invoice", 1, 0)</f>
        <v>0</v>
      </c>
      <c r="AD652" s="5" t="str">
        <f>TEXT(po_master[[#This Row],[Order Date]],"YYYY-MM")</f>
        <v>2026-01</v>
      </c>
    </row>
    <row r="653" spans="1:30" x14ac:dyDescent="0.25">
      <c r="A653" t="s">
        <v>579</v>
      </c>
      <c r="B653" t="s">
        <v>1493</v>
      </c>
      <c r="C653" s="1">
        <v>46071</v>
      </c>
      <c r="D653">
        <v>438</v>
      </c>
      <c r="E653">
        <v>197.66</v>
      </c>
      <c r="F653" t="s">
        <v>1487</v>
      </c>
      <c r="G653" s="1">
        <v>46085</v>
      </c>
      <c r="H653">
        <v>438</v>
      </c>
      <c r="I653" s="1">
        <v>46084</v>
      </c>
      <c r="J653" t="s">
        <v>1360</v>
      </c>
      <c r="K653">
        <v>438</v>
      </c>
      <c r="L653">
        <v>197.66</v>
      </c>
      <c r="M653" s="1">
        <v>46094</v>
      </c>
      <c r="N653" t="str">
        <f>IF(po_master[[#This Row],[Approved By]]="", "Missing Approval", "OK")</f>
        <v>OK</v>
      </c>
      <c r="O653" t="str">
        <f>IF(ISBLANK(po_master[[#This Row],[GR Quantity]]), "No GR - Not received", "OK")</f>
        <v>OK</v>
      </c>
      <c r="P653" t="str">
        <f>IF(po_master[[#This Row],[Promised Delivey Date]]&lt;po_master[[#This Row],[Order Date]], "Invalid", "OK")</f>
        <v>OK</v>
      </c>
      <c r="Q653" t="str">
        <f>IF(ISBLANK(po_master[[#This Row],[Invoice Number]]), "No Invoice", "OK")</f>
        <v>OK</v>
      </c>
      <c r="R653" t="str">
        <f>IF(AND(NOT(ISBLANK(po_master[[#This Row],[GR Quantity]])), po_master[[#This Row],[GR Quantity]]&lt;&gt;po_master[[#This Row],[PO Quantity]]), "Qty Variance", "OK")</f>
        <v>OK</v>
      </c>
      <c r="S653" t="str">
        <f>IF(po_master[[#This Row],[Invoice Unit Price]]&gt;po_master[[#This Row],[PO Unit Price]]*1.01, "Price Variance", "OK")</f>
        <v>OK</v>
      </c>
      <c r="T653" t="str">
        <f>IF(po_master[[#This Row],[Actual Delivery Date]]&gt;po_master[[#This Row],[Promised Delivey Date]], "Late Delivery", "OK")</f>
        <v>OK</v>
      </c>
      <c r="U653" t="str">
        <f>IF(COUNTIF(po_master[PO Number],po_master[[#This Row],[PO Number]])&gt;1, "Duplicate Invoice", "OK")</f>
        <v>OK</v>
      </c>
      <c r="V653" s="5">
        <f>IF(po_master[[#This Row],[Missing Approval]]="Missing Approval", 1, 0)</f>
        <v>0</v>
      </c>
      <c r="W653" s="5">
        <f>IF(po_master[[#This Row],[GR Receipt Status]]="No GR - Not Received", 1, 0)</f>
        <v>0</v>
      </c>
      <c r="X653" s="5">
        <f>IF(po_master[[#This Row],[No invoice]]="No Invoice", 1, 0)</f>
        <v>0</v>
      </c>
      <c r="Y653" s="5">
        <f>IF(po_master[[#This Row],[Date Check]]="Invalid Date", 1, 0)</f>
        <v>0</v>
      </c>
      <c r="Z653" s="5">
        <f>IF(po_master[[#This Row],[Qty Variance Flag]]="Qty Variance", 1, 0)</f>
        <v>0</v>
      </c>
      <c r="AA653" s="5">
        <f>IF(po_master[[#This Row],[Price Variance Flag]]="Price Variance", 1, 0)</f>
        <v>0</v>
      </c>
      <c r="AB653" s="5">
        <f>IF(po_master[[#This Row],[Late Delivery Flag]]="Late Delivery", 1, 0)</f>
        <v>0</v>
      </c>
      <c r="AC653" s="5">
        <f>IF(po_master[[#This Row],[Duplicate Invoice Flag]]="Duplicate Invoice", 1, 0)</f>
        <v>0</v>
      </c>
      <c r="AD653" s="5" t="str">
        <f>TEXT(po_master[[#This Row],[Order Date]],"YYYY-MM")</f>
        <v>2026-02</v>
      </c>
    </row>
    <row r="654" spans="1:30" x14ac:dyDescent="0.25">
      <c r="A654" t="s">
        <v>580</v>
      </c>
      <c r="B654" t="s">
        <v>1486</v>
      </c>
      <c r="C654" s="1">
        <v>46148</v>
      </c>
      <c r="D654">
        <v>29</v>
      </c>
      <c r="E654">
        <v>22.6</v>
      </c>
      <c r="F654" t="s">
        <v>1440</v>
      </c>
      <c r="G654" s="1">
        <v>46160</v>
      </c>
      <c r="H654">
        <v>29</v>
      </c>
      <c r="I654" s="1">
        <v>46165</v>
      </c>
      <c r="J654" t="s">
        <v>1361</v>
      </c>
      <c r="K654">
        <v>29</v>
      </c>
      <c r="L654">
        <v>22.6</v>
      </c>
      <c r="M654" s="1">
        <v>46170</v>
      </c>
      <c r="N654" t="str">
        <f>IF(po_master[[#This Row],[Approved By]]="", "Missing Approval", "OK")</f>
        <v>OK</v>
      </c>
      <c r="O654" t="str">
        <f>IF(ISBLANK(po_master[[#This Row],[GR Quantity]]), "No GR - Not received", "OK")</f>
        <v>OK</v>
      </c>
      <c r="P654" t="str">
        <f>IF(po_master[[#This Row],[Promised Delivey Date]]&lt;po_master[[#This Row],[Order Date]], "Invalid", "OK")</f>
        <v>OK</v>
      </c>
      <c r="Q654" t="str">
        <f>IF(ISBLANK(po_master[[#This Row],[Invoice Number]]), "No Invoice", "OK")</f>
        <v>OK</v>
      </c>
      <c r="R654" t="str">
        <f>IF(AND(NOT(ISBLANK(po_master[[#This Row],[GR Quantity]])), po_master[[#This Row],[GR Quantity]]&lt;&gt;po_master[[#This Row],[PO Quantity]]), "Qty Variance", "OK")</f>
        <v>OK</v>
      </c>
      <c r="S654" t="str">
        <f>IF(po_master[[#This Row],[Invoice Unit Price]]&gt;po_master[[#This Row],[PO Unit Price]]*1.01, "Price Variance", "OK")</f>
        <v>OK</v>
      </c>
      <c r="T654" t="str">
        <f>IF(po_master[[#This Row],[Actual Delivery Date]]&gt;po_master[[#This Row],[Promised Delivey Date]], "Late Delivery", "OK")</f>
        <v>Late Delivery</v>
      </c>
      <c r="U654" t="str">
        <f>IF(COUNTIF(po_master[PO Number],po_master[[#This Row],[PO Number]])&gt;1, "Duplicate Invoice", "OK")</f>
        <v>OK</v>
      </c>
      <c r="V654" s="5">
        <f>IF(po_master[[#This Row],[Missing Approval]]="Missing Approval", 1, 0)</f>
        <v>0</v>
      </c>
      <c r="W654" s="5">
        <f>IF(po_master[[#This Row],[GR Receipt Status]]="No GR - Not Received", 1, 0)</f>
        <v>0</v>
      </c>
      <c r="X654" s="5">
        <f>IF(po_master[[#This Row],[No invoice]]="No Invoice", 1, 0)</f>
        <v>0</v>
      </c>
      <c r="Y654" s="5">
        <f>IF(po_master[[#This Row],[Date Check]]="Invalid Date", 1, 0)</f>
        <v>0</v>
      </c>
      <c r="Z654" s="5">
        <f>IF(po_master[[#This Row],[Qty Variance Flag]]="Qty Variance", 1, 0)</f>
        <v>0</v>
      </c>
      <c r="AA654" s="5">
        <f>IF(po_master[[#This Row],[Price Variance Flag]]="Price Variance", 1, 0)</f>
        <v>0</v>
      </c>
      <c r="AB654" s="5">
        <f>IF(po_master[[#This Row],[Late Delivery Flag]]="Late Delivery", 1, 0)</f>
        <v>1</v>
      </c>
      <c r="AC654" s="5">
        <f>IF(po_master[[#This Row],[Duplicate Invoice Flag]]="Duplicate Invoice", 1, 0)</f>
        <v>0</v>
      </c>
      <c r="AD654" s="5" t="str">
        <f>TEXT(po_master[[#This Row],[Order Date]],"YYYY-MM")</f>
        <v>2026-05</v>
      </c>
    </row>
    <row r="655" spans="1:30" x14ac:dyDescent="0.25">
      <c r="A655" t="s">
        <v>1330</v>
      </c>
      <c r="B655" t="s">
        <v>1509</v>
      </c>
      <c r="C655" s="1">
        <v>46127</v>
      </c>
      <c r="D655">
        <v>71</v>
      </c>
      <c r="E655">
        <v>109.51</v>
      </c>
      <c r="F655" t="s">
        <v>1456</v>
      </c>
      <c r="G655" s="1">
        <v>46138</v>
      </c>
      <c r="I655" s="1"/>
      <c r="J655" t="s">
        <v>1331</v>
      </c>
      <c r="K655">
        <v>71</v>
      </c>
      <c r="L655">
        <v>109.51</v>
      </c>
      <c r="M655" s="1">
        <v>46143</v>
      </c>
      <c r="N655" t="str">
        <f>IF(po_master[[#This Row],[Approved By]]="", "Missing Approval", "OK")</f>
        <v>OK</v>
      </c>
      <c r="O655" t="str">
        <f>IF(ISBLANK(po_master[[#This Row],[GR Quantity]]), "No GR - Not received", "OK")</f>
        <v>No GR - Not received</v>
      </c>
      <c r="P655" t="str">
        <f>IF(po_master[[#This Row],[Promised Delivey Date]]&lt;po_master[[#This Row],[Order Date]], "Invalid", "OK")</f>
        <v>OK</v>
      </c>
      <c r="Q655" t="str">
        <f>IF(ISBLANK(po_master[[#This Row],[Invoice Number]]), "No Invoice", "OK")</f>
        <v>OK</v>
      </c>
      <c r="R655" t="str">
        <f>IF(AND(NOT(ISBLANK(po_master[[#This Row],[GR Quantity]])), po_master[[#This Row],[GR Quantity]]&lt;&gt;po_master[[#This Row],[PO Quantity]]), "Qty Variance", "OK")</f>
        <v>OK</v>
      </c>
      <c r="S655" t="str">
        <f>IF(po_master[[#This Row],[Invoice Unit Price]]&gt;po_master[[#This Row],[PO Unit Price]]*1.01, "Price Variance", "OK")</f>
        <v>OK</v>
      </c>
      <c r="T655" t="str">
        <f>IF(po_master[[#This Row],[Actual Delivery Date]]&gt;po_master[[#This Row],[Promised Delivey Date]], "Late Delivery", "OK")</f>
        <v>OK</v>
      </c>
      <c r="U655" t="str">
        <f>IF(COUNTIF(po_master[PO Number],po_master[[#This Row],[PO Number]])&gt;1, "Duplicate Invoice", "OK")</f>
        <v>Duplicate Invoice</v>
      </c>
      <c r="V655" s="5">
        <f>IF(po_master[[#This Row],[Missing Approval]]="Missing Approval", 1, 0)</f>
        <v>0</v>
      </c>
      <c r="W655" s="5">
        <f>IF(po_master[[#This Row],[GR Receipt Status]]="No GR - Not Received", 1, 0)</f>
        <v>1</v>
      </c>
      <c r="X655" s="5">
        <f>IF(po_master[[#This Row],[No invoice]]="No Invoice", 1, 0)</f>
        <v>0</v>
      </c>
      <c r="Y655" s="5">
        <f>IF(po_master[[#This Row],[Date Check]]="Invalid Date", 1, 0)</f>
        <v>0</v>
      </c>
      <c r="Z655" s="5">
        <f>IF(po_master[[#This Row],[Qty Variance Flag]]="Qty Variance", 1, 0)</f>
        <v>0</v>
      </c>
      <c r="AA655" s="5">
        <f>IF(po_master[[#This Row],[Price Variance Flag]]="Price Variance", 1, 0)</f>
        <v>0</v>
      </c>
      <c r="AB655" s="5">
        <f>IF(po_master[[#This Row],[Late Delivery Flag]]="Late Delivery", 1, 0)</f>
        <v>0</v>
      </c>
      <c r="AC655" s="5">
        <f>IF(po_master[[#This Row],[Duplicate Invoice Flag]]="Duplicate Invoice", 1, 0)</f>
        <v>1</v>
      </c>
      <c r="AD655" s="5" t="str">
        <f>TEXT(po_master[[#This Row],[Order Date]],"YYYY-MM")</f>
        <v>2026-04</v>
      </c>
    </row>
    <row r="656" spans="1:30" x14ac:dyDescent="0.25">
      <c r="A656" t="s">
        <v>1330</v>
      </c>
      <c r="B656" t="s">
        <v>1509</v>
      </c>
      <c r="C656" s="1">
        <v>46127</v>
      </c>
      <c r="D656">
        <v>71</v>
      </c>
      <c r="E656">
        <v>109.51</v>
      </c>
      <c r="F656" t="s">
        <v>1456</v>
      </c>
      <c r="G656" s="1">
        <v>46138</v>
      </c>
      <c r="I656" s="1"/>
      <c r="J656" t="s">
        <v>1332</v>
      </c>
      <c r="K656">
        <v>71</v>
      </c>
      <c r="L656">
        <v>109.51</v>
      </c>
      <c r="M656" s="1">
        <v>46147</v>
      </c>
      <c r="N656" t="str">
        <f>IF(po_master[[#This Row],[Approved By]]="", "Missing Approval", "OK")</f>
        <v>OK</v>
      </c>
      <c r="O656" t="str">
        <f>IF(ISBLANK(po_master[[#This Row],[GR Quantity]]), "No GR - Not received", "OK")</f>
        <v>No GR - Not received</v>
      </c>
      <c r="P656" t="str">
        <f>IF(po_master[[#This Row],[Promised Delivey Date]]&lt;po_master[[#This Row],[Order Date]], "Invalid", "OK")</f>
        <v>OK</v>
      </c>
      <c r="Q656" t="str">
        <f>IF(ISBLANK(po_master[[#This Row],[Invoice Number]]), "No Invoice", "OK")</f>
        <v>OK</v>
      </c>
      <c r="R656" t="str">
        <f>IF(AND(NOT(ISBLANK(po_master[[#This Row],[GR Quantity]])), po_master[[#This Row],[GR Quantity]]&lt;&gt;po_master[[#This Row],[PO Quantity]]), "Qty Variance", "OK")</f>
        <v>OK</v>
      </c>
      <c r="S656" t="str">
        <f>IF(po_master[[#This Row],[Invoice Unit Price]]&gt;po_master[[#This Row],[PO Unit Price]]*1.01, "Price Variance", "OK")</f>
        <v>OK</v>
      </c>
      <c r="T656" t="str">
        <f>IF(po_master[[#This Row],[Actual Delivery Date]]&gt;po_master[[#This Row],[Promised Delivey Date]], "Late Delivery", "OK")</f>
        <v>OK</v>
      </c>
      <c r="U656" t="str">
        <f>IF(COUNTIF(po_master[PO Number],po_master[[#This Row],[PO Number]])&gt;1, "Duplicate Invoice", "OK")</f>
        <v>Duplicate Invoice</v>
      </c>
      <c r="V656" s="5">
        <f>IF(po_master[[#This Row],[Missing Approval]]="Missing Approval", 1, 0)</f>
        <v>0</v>
      </c>
      <c r="W656" s="5">
        <f>IF(po_master[[#This Row],[GR Receipt Status]]="No GR - Not Received", 1, 0)</f>
        <v>1</v>
      </c>
      <c r="X656" s="5">
        <f>IF(po_master[[#This Row],[No invoice]]="No Invoice", 1, 0)</f>
        <v>0</v>
      </c>
      <c r="Y656" s="5">
        <f>IF(po_master[[#This Row],[Date Check]]="Invalid Date", 1, 0)</f>
        <v>0</v>
      </c>
      <c r="Z656" s="5">
        <f>IF(po_master[[#This Row],[Qty Variance Flag]]="Qty Variance", 1, 0)</f>
        <v>0</v>
      </c>
      <c r="AA656" s="5">
        <f>IF(po_master[[#This Row],[Price Variance Flag]]="Price Variance", 1, 0)</f>
        <v>0</v>
      </c>
      <c r="AB656" s="5">
        <f>IF(po_master[[#This Row],[Late Delivery Flag]]="Late Delivery", 1, 0)</f>
        <v>0</v>
      </c>
      <c r="AC656" s="5">
        <f>IF(po_master[[#This Row],[Duplicate Invoice Flag]]="Duplicate Invoice", 1, 0)</f>
        <v>1</v>
      </c>
      <c r="AD656" s="5" t="str">
        <f>TEXT(po_master[[#This Row],[Order Date]],"YYYY-MM")</f>
        <v>2026-04</v>
      </c>
    </row>
    <row r="657" spans="1:30" x14ac:dyDescent="0.25">
      <c r="A657" t="s">
        <v>581</v>
      </c>
      <c r="B657" t="s">
        <v>1473</v>
      </c>
      <c r="C657" s="1">
        <v>46157</v>
      </c>
      <c r="D657">
        <v>254</v>
      </c>
      <c r="E657">
        <v>5.13</v>
      </c>
      <c r="F657" t="s">
        <v>1494</v>
      </c>
      <c r="G657" s="1">
        <v>46168</v>
      </c>
      <c r="H657">
        <v>254</v>
      </c>
      <c r="I657" s="1">
        <v>46169</v>
      </c>
      <c r="J657" t="s">
        <v>1362</v>
      </c>
      <c r="K657">
        <v>254</v>
      </c>
      <c r="L657">
        <v>5.13</v>
      </c>
      <c r="M657" s="1">
        <v>46169</v>
      </c>
      <c r="N657" t="str">
        <f>IF(po_master[[#This Row],[Approved By]]="", "Missing Approval", "OK")</f>
        <v>OK</v>
      </c>
      <c r="O657" t="str">
        <f>IF(ISBLANK(po_master[[#This Row],[GR Quantity]]), "No GR - Not received", "OK")</f>
        <v>OK</v>
      </c>
      <c r="P657" t="str">
        <f>IF(po_master[[#This Row],[Promised Delivey Date]]&lt;po_master[[#This Row],[Order Date]], "Invalid", "OK")</f>
        <v>OK</v>
      </c>
      <c r="Q657" t="str">
        <f>IF(ISBLANK(po_master[[#This Row],[Invoice Number]]), "No Invoice", "OK")</f>
        <v>OK</v>
      </c>
      <c r="R657" t="str">
        <f>IF(AND(NOT(ISBLANK(po_master[[#This Row],[GR Quantity]])), po_master[[#This Row],[GR Quantity]]&lt;&gt;po_master[[#This Row],[PO Quantity]]), "Qty Variance", "OK")</f>
        <v>OK</v>
      </c>
      <c r="S657" t="str">
        <f>IF(po_master[[#This Row],[Invoice Unit Price]]&gt;po_master[[#This Row],[PO Unit Price]]*1.01, "Price Variance", "OK")</f>
        <v>OK</v>
      </c>
      <c r="T657" t="str">
        <f>IF(po_master[[#This Row],[Actual Delivery Date]]&gt;po_master[[#This Row],[Promised Delivey Date]], "Late Delivery", "OK")</f>
        <v>Late Delivery</v>
      </c>
      <c r="U657" t="str">
        <f>IF(COUNTIF(po_master[PO Number],po_master[[#This Row],[PO Number]])&gt;1, "Duplicate Invoice", "OK")</f>
        <v>OK</v>
      </c>
      <c r="V657" s="5">
        <f>IF(po_master[[#This Row],[Missing Approval]]="Missing Approval", 1, 0)</f>
        <v>0</v>
      </c>
      <c r="W657" s="5">
        <f>IF(po_master[[#This Row],[GR Receipt Status]]="No GR - Not Received", 1, 0)</f>
        <v>0</v>
      </c>
      <c r="X657" s="5">
        <f>IF(po_master[[#This Row],[No invoice]]="No Invoice", 1, 0)</f>
        <v>0</v>
      </c>
      <c r="Y657" s="5">
        <f>IF(po_master[[#This Row],[Date Check]]="Invalid Date", 1, 0)</f>
        <v>0</v>
      </c>
      <c r="Z657" s="5">
        <f>IF(po_master[[#This Row],[Qty Variance Flag]]="Qty Variance", 1, 0)</f>
        <v>0</v>
      </c>
      <c r="AA657" s="5">
        <f>IF(po_master[[#This Row],[Price Variance Flag]]="Price Variance", 1, 0)</f>
        <v>0</v>
      </c>
      <c r="AB657" s="5">
        <f>IF(po_master[[#This Row],[Late Delivery Flag]]="Late Delivery", 1, 0)</f>
        <v>1</v>
      </c>
      <c r="AC657" s="5">
        <f>IF(po_master[[#This Row],[Duplicate Invoice Flag]]="Duplicate Invoice", 1, 0)</f>
        <v>0</v>
      </c>
      <c r="AD657" s="5" t="str">
        <f>TEXT(po_master[[#This Row],[Order Date]],"YYYY-MM")</f>
        <v>2026-05</v>
      </c>
    </row>
    <row r="658" spans="1:30" x14ac:dyDescent="0.25">
      <c r="A658" t="s">
        <v>582</v>
      </c>
      <c r="B658" t="s">
        <v>1441</v>
      </c>
      <c r="C658" s="1">
        <v>46110</v>
      </c>
      <c r="D658">
        <v>377</v>
      </c>
      <c r="E658">
        <v>39.6</v>
      </c>
      <c r="F658" t="s">
        <v>1472</v>
      </c>
      <c r="G658" s="1">
        <v>46116</v>
      </c>
      <c r="H658">
        <v>377</v>
      </c>
      <c r="I658" s="1">
        <v>46114</v>
      </c>
      <c r="J658" t="s">
        <v>1363</v>
      </c>
      <c r="K658">
        <v>377</v>
      </c>
      <c r="L658">
        <v>39.6</v>
      </c>
      <c r="M658" s="1">
        <v>46122</v>
      </c>
      <c r="N658" t="str">
        <f>IF(po_master[[#This Row],[Approved By]]="", "Missing Approval", "OK")</f>
        <v>OK</v>
      </c>
      <c r="O658" t="str">
        <f>IF(ISBLANK(po_master[[#This Row],[GR Quantity]]), "No GR - Not received", "OK")</f>
        <v>OK</v>
      </c>
      <c r="P658" t="str">
        <f>IF(po_master[[#This Row],[Promised Delivey Date]]&lt;po_master[[#This Row],[Order Date]], "Invalid", "OK")</f>
        <v>OK</v>
      </c>
      <c r="Q658" t="str">
        <f>IF(ISBLANK(po_master[[#This Row],[Invoice Number]]), "No Invoice", "OK")</f>
        <v>OK</v>
      </c>
      <c r="R658" t="str">
        <f>IF(AND(NOT(ISBLANK(po_master[[#This Row],[GR Quantity]])), po_master[[#This Row],[GR Quantity]]&lt;&gt;po_master[[#This Row],[PO Quantity]]), "Qty Variance", "OK")</f>
        <v>OK</v>
      </c>
      <c r="S658" t="str">
        <f>IF(po_master[[#This Row],[Invoice Unit Price]]&gt;po_master[[#This Row],[PO Unit Price]]*1.01, "Price Variance", "OK")</f>
        <v>OK</v>
      </c>
      <c r="T658" t="str">
        <f>IF(po_master[[#This Row],[Actual Delivery Date]]&gt;po_master[[#This Row],[Promised Delivey Date]], "Late Delivery", "OK")</f>
        <v>OK</v>
      </c>
      <c r="U658" t="str">
        <f>IF(COUNTIF(po_master[PO Number],po_master[[#This Row],[PO Number]])&gt;1, "Duplicate Invoice", "OK")</f>
        <v>OK</v>
      </c>
      <c r="V658" s="5">
        <f>IF(po_master[[#This Row],[Missing Approval]]="Missing Approval", 1, 0)</f>
        <v>0</v>
      </c>
      <c r="W658" s="5">
        <f>IF(po_master[[#This Row],[GR Receipt Status]]="No GR - Not Received", 1, 0)</f>
        <v>0</v>
      </c>
      <c r="X658" s="5">
        <f>IF(po_master[[#This Row],[No invoice]]="No Invoice", 1, 0)</f>
        <v>0</v>
      </c>
      <c r="Y658" s="5">
        <f>IF(po_master[[#This Row],[Date Check]]="Invalid Date", 1, 0)</f>
        <v>0</v>
      </c>
      <c r="Z658" s="5">
        <f>IF(po_master[[#This Row],[Qty Variance Flag]]="Qty Variance", 1, 0)</f>
        <v>0</v>
      </c>
      <c r="AA658" s="5">
        <f>IF(po_master[[#This Row],[Price Variance Flag]]="Price Variance", 1, 0)</f>
        <v>0</v>
      </c>
      <c r="AB658" s="5">
        <f>IF(po_master[[#This Row],[Late Delivery Flag]]="Late Delivery", 1, 0)</f>
        <v>0</v>
      </c>
      <c r="AC658" s="5">
        <f>IF(po_master[[#This Row],[Duplicate Invoice Flag]]="Duplicate Invoice", 1, 0)</f>
        <v>0</v>
      </c>
      <c r="AD658" s="5" t="str">
        <f>TEXT(po_master[[#This Row],[Order Date]],"YYYY-MM")</f>
        <v>2026-03</v>
      </c>
    </row>
    <row r="659" spans="1:30" x14ac:dyDescent="0.25">
      <c r="A659" t="s">
        <v>1333</v>
      </c>
      <c r="B659" t="s">
        <v>1478</v>
      </c>
      <c r="C659" s="1">
        <v>46101</v>
      </c>
      <c r="D659">
        <v>247</v>
      </c>
      <c r="E659">
        <v>56.68</v>
      </c>
      <c r="F659" t="s">
        <v>1483</v>
      </c>
      <c r="G659" s="1">
        <v>46108</v>
      </c>
      <c r="I659" s="1"/>
      <c r="J659" t="s">
        <v>1334</v>
      </c>
      <c r="K659">
        <v>247</v>
      </c>
      <c r="L659">
        <v>56.68</v>
      </c>
      <c r="M659" s="1">
        <v>46112</v>
      </c>
      <c r="N659" t="str">
        <f>IF(po_master[[#This Row],[Approved By]]="", "Missing Approval", "OK")</f>
        <v>OK</v>
      </c>
      <c r="O659" t="str">
        <f>IF(ISBLANK(po_master[[#This Row],[GR Quantity]]), "No GR - Not received", "OK")</f>
        <v>No GR - Not received</v>
      </c>
      <c r="P659" t="str">
        <f>IF(po_master[[#This Row],[Promised Delivey Date]]&lt;po_master[[#This Row],[Order Date]], "Invalid", "OK")</f>
        <v>OK</v>
      </c>
      <c r="Q659" t="str">
        <f>IF(ISBLANK(po_master[[#This Row],[Invoice Number]]), "No Invoice", "OK")</f>
        <v>OK</v>
      </c>
      <c r="R659" t="str">
        <f>IF(AND(NOT(ISBLANK(po_master[[#This Row],[GR Quantity]])), po_master[[#This Row],[GR Quantity]]&lt;&gt;po_master[[#This Row],[PO Quantity]]), "Qty Variance", "OK")</f>
        <v>OK</v>
      </c>
      <c r="S659" t="str">
        <f>IF(po_master[[#This Row],[Invoice Unit Price]]&gt;po_master[[#This Row],[PO Unit Price]]*1.01, "Price Variance", "OK")</f>
        <v>OK</v>
      </c>
      <c r="T659" t="str">
        <f>IF(po_master[[#This Row],[Actual Delivery Date]]&gt;po_master[[#This Row],[Promised Delivey Date]], "Late Delivery", "OK")</f>
        <v>OK</v>
      </c>
      <c r="U659" t="str">
        <f>IF(COUNTIF(po_master[PO Number],po_master[[#This Row],[PO Number]])&gt;1, "Duplicate Invoice", "OK")</f>
        <v>OK</v>
      </c>
      <c r="V659" s="5">
        <f>IF(po_master[[#This Row],[Missing Approval]]="Missing Approval", 1, 0)</f>
        <v>0</v>
      </c>
      <c r="W659" s="5">
        <f>IF(po_master[[#This Row],[GR Receipt Status]]="No GR - Not Received", 1, 0)</f>
        <v>1</v>
      </c>
      <c r="X659" s="5">
        <f>IF(po_master[[#This Row],[No invoice]]="No Invoice", 1, 0)</f>
        <v>0</v>
      </c>
      <c r="Y659" s="5">
        <f>IF(po_master[[#This Row],[Date Check]]="Invalid Date", 1, 0)</f>
        <v>0</v>
      </c>
      <c r="Z659" s="5">
        <f>IF(po_master[[#This Row],[Qty Variance Flag]]="Qty Variance", 1, 0)</f>
        <v>0</v>
      </c>
      <c r="AA659" s="5">
        <f>IF(po_master[[#This Row],[Price Variance Flag]]="Price Variance", 1, 0)</f>
        <v>0</v>
      </c>
      <c r="AB659" s="5">
        <f>IF(po_master[[#This Row],[Late Delivery Flag]]="Late Delivery", 1, 0)</f>
        <v>0</v>
      </c>
      <c r="AC659" s="5">
        <f>IF(po_master[[#This Row],[Duplicate Invoice Flag]]="Duplicate Invoice", 1, 0)</f>
        <v>0</v>
      </c>
      <c r="AD659" s="5" t="str">
        <f>TEXT(po_master[[#This Row],[Order Date]],"YYYY-MM")</f>
        <v>2026-03</v>
      </c>
    </row>
    <row r="660" spans="1:30" x14ac:dyDescent="0.25">
      <c r="A660" t="s">
        <v>583</v>
      </c>
      <c r="B660" t="s">
        <v>1473</v>
      </c>
      <c r="C660" s="1">
        <v>46060</v>
      </c>
      <c r="D660">
        <v>310</v>
      </c>
      <c r="E660">
        <v>142.41999999999999</v>
      </c>
      <c r="F660" t="s">
        <v>1485</v>
      </c>
      <c r="G660" s="1">
        <v>46068</v>
      </c>
      <c r="H660">
        <v>328</v>
      </c>
      <c r="I660" s="1">
        <v>46067</v>
      </c>
      <c r="J660" t="s">
        <v>1364</v>
      </c>
      <c r="K660">
        <v>310</v>
      </c>
      <c r="L660">
        <v>142.41999999999999</v>
      </c>
      <c r="M660" s="1">
        <v>46077</v>
      </c>
      <c r="N660" t="str">
        <f>IF(po_master[[#This Row],[Approved By]]="", "Missing Approval", "OK")</f>
        <v>OK</v>
      </c>
      <c r="O660" t="str">
        <f>IF(ISBLANK(po_master[[#This Row],[GR Quantity]]), "No GR - Not received", "OK")</f>
        <v>OK</v>
      </c>
      <c r="P660" t="str">
        <f>IF(po_master[[#This Row],[Promised Delivey Date]]&lt;po_master[[#This Row],[Order Date]], "Invalid", "OK")</f>
        <v>OK</v>
      </c>
      <c r="Q660" t="str">
        <f>IF(ISBLANK(po_master[[#This Row],[Invoice Number]]), "No Invoice", "OK")</f>
        <v>OK</v>
      </c>
      <c r="R660" t="str">
        <f>IF(AND(NOT(ISBLANK(po_master[[#This Row],[GR Quantity]])), po_master[[#This Row],[GR Quantity]]&lt;&gt;po_master[[#This Row],[PO Quantity]]), "Qty Variance", "OK")</f>
        <v>Qty Variance</v>
      </c>
      <c r="S660" t="str">
        <f>IF(po_master[[#This Row],[Invoice Unit Price]]&gt;po_master[[#This Row],[PO Unit Price]]*1.01, "Price Variance", "OK")</f>
        <v>OK</v>
      </c>
      <c r="T660" t="str">
        <f>IF(po_master[[#This Row],[Actual Delivery Date]]&gt;po_master[[#This Row],[Promised Delivey Date]], "Late Delivery", "OK")</f>
        <v>OK</v>
      </c>
      <c r="U660" t="str">
        <f>IF(COUNTIF(po_master[PO Number],po_master[[#This Row],[PO Number]])&gt;1, "Duplicate Invoice", "OK")</f>
        <v>OK</v>
      </c>
      <c r="V660" s="5">
        <f>IF(po_master[[#This Row],[Missing Approval]]="Missing Approval", 1, 0)</f>
        <v>0</v>
      </c>
      <c r="W660" s="5">
        <f>IF(po_master[[#This Row],[GR Receipt Status]]="No GR - Not Received", 1, 0)</f>
        <v>0</v>
      </c>
      <c r="X660" s="5">
        <f>IF(po_master[[#This Row],[No invoice]]="No Invoice", 1, 0)</f>
        <v>0</v>
      </c>
      <c r="Y660" s="5">
        <f>IF(po_master[[#This Row],[Date Check]]="Invalid Date", 1, 0)</f>
        <v>0</v>
      </c>
      <c r="Z660" s="5">
        <f>IF(po_master[[#This Row],[Qty Variance Flag]]="Qty Variance", 1, 0)</f>
        <v>1</v>
      </c>
      <c r="AA660" s="5">
        <f>IF(po_master[[#This Row],[Price Variance Flag]]="Price Variance", 1, 0)</f>
        <v>0</v>
      </c>
      <c r="AB660" s="5">
        <f>IF(po_master[[#This Row],[Late Delivery Flag]]="Late Delivery", 1, 0)</f>
        <v>0</v>
      </c>
      <c r="AC660" s="5">
        <f>IF(po_master[[#This Row],[Duplicate Invoice Flag]]="Duplicate Invoice", 1, 0)</f>
        <v>0</v>
      </c>
      <c r="AD660" s="5" t="str">
        <f>TEXT(po_master[[#This Row],[Order Date]],"YYYY-MM")</f>
        <v>2026-02</v>
      </c>
    </row>
    <row r="661" spans="1:30" x14ac:dyDescent="0.25">
      <c r="A661" t="s">
        <v>584</v>
      </c>
      <c r="B661" t="s">
        <v>1443</v>
      </c>
      <c r="C661" s="1">
        <v>46048</v>
      </c>
      <c r="D661">
        <v>182</v>
      </c>
      <c r="E661">
        <v>63.84</v>
      </c>
      <c r="F661" t="s">
        <v>1485</v>
      </c>
      <c r="G661" s="1">
        <v>46058</v>
      </c>
      <c r="H661">
        <v>182</v>
      </c>
      <c r="I661" s="1">
        <v>46056</v>
      </c>
      <c r="J661" t="s">
        <v>1367</v>
      </c>
      <c r="K661">
        <v>182</v>
      </c>
      <c r="L661">
        <v>63.84</v>
      </c>
      <c r="M661" s="1">
        <v>46067</v>
      </c>
      <c r="N661" t="str">
        <f>IF(po_master[[#This Row],[Approved By]]="", "Missing Approval", "OK")</f>
        <v>OK</v>
      </c>
      <c r="O661" t="str">
        <f>IF(ISBLANK(po_master[[#This Row],[GR Quantity]]), "No GR - Not received", "OK")</f>
        <v>OK</v>
      </c>
      <c r="P661" t="str">
        <f>IF(po_master[[#This Row],[Promised Delivey Date]]&lt;po_master[[#This Row],[Order Date]], "Invalid", "OK")</f>
        <v>OK</v>
      </c>
      <c r="Q661" t="str">
        <f>IF(ISBLANK(po_master[[#This Row],[Invoice Number]]), "No Invoice", "OK")</f>
        <v>OK</v>
      </c>
      <c r="R661" t="str">
        <f>IF(AND(NOT(ISBLANK(po_master[[#This Row],[GR Quantity]])), po_master[[#This Row],[GR Quantity]]&lt;&gt;po_master[[#This Row],[PO Quantity]]), "Qty Variance", "OK")</f>
        <v>OK</v>
      </c>
      <c r="S661" t="str">
        <f>IF(po_master[[#This Row],[Invoice Unit Price]]&gt;po_master[[#This Row],[PO Unit Price]]*1.01, "Price Variance", "OK")</f>
        <v>OK</v>
      </c>
      <c r="T661" t="str">
        <f>IF(po_master[[#This Row],[Actual Delivery Date]]&gt;po_master[[#This Row],[Promised Delivey Date]], "Late Delivery", "OK")</f>
        <v>OK</v>
      </c>
      <c r="U661" t="str">
        <f>IF(COUNTIF(po_master[PO Number],po_master[[#This Row],[PO Number]])&gt;1, "Duplicate Invoice", "OK")</f>
        <v>OK</v>
      </c>
      <c r="V661" s="5">
        <f>IF(po_master[[#This Row],[Missing Approval]]="Missing Approval", 1, 0)</f>
        <v>0</v>
      </c>
      <c r="W661" s="5">
        <f>IF(po_master[[#This Row],[GR Receipt Status]]="No GR - Not Received", 1, 0)</f>
        <v>0</v>
      </c>
      <c r="X661" s="5">
        <f>IF(po_master[[#This Row],[No invoice]]="No Invoice", 1, 0)</f>
        <v>0</v>
      </c>
      <c r="Y661" s="5">
        <f>IF(po_master[[#This Row],[Date Check]]="Invalid Date", 1, 0)</f>
        <v>0</v>
      </c>
      <c r="Z661" s="5">
        <f>IF(po_master[[#This Row],[Qty Variance Flag]]="Qty Variance", 1, 0)</f>
        <v>0</v>
      </c>
      <c r="AA661" s="5">
        <f>IF(po_master[[#This Row],[Price Variance Flag]]="Price Variance", 1, 0)</f>
        <v>0</v>
      </c>
      <c r="AB661" s="5">
        <f>IF(po_master[[#This Row],[Late Delivery Flag]]="Late Delivery", 1, 0)</f>
        <v>0</v>
      </c>
      <c r="AC661" s="5">
        <f>IF(po_master[[#This Row],[Duplicate Invoice Flag]]="Duplicate Invoice", 1, 0)</f>
        <v>0</v>
      </c>
      <c r="AD661" s="5" t="str">
        <f>TEXT(po_master[[#This Row],[Order Date]],"YYYY-MM")</f>
        <v>2026-01</v>
      </c>
    </row>
    <row r="662" spans="1:30" x14ac:dyDescent="0.25">
      <c r="A662" t="s">
        <v>585</v>
      </c>
      <c r="B662" t="s">
        <v>1477</v>
      </c>
      <c r="C662" s="1">
        <v>46134</v>
      </c>
      <c r="D662">
        <v>415</v>
      </c>
      <c r="E662">
        <v>129.66</v>
      </c>
      <c r="F662" t="s">
        <v>1487</v>
      </c>
      <c r="G662" s="1">
        <v>46149</v>
      </c>
      <c r="H662">
        <v>415</v>
      </c>
      <c r="I662" s="1">
        <v>46147</v>
      </c>
      <c r="J662" t="s">
        <v>1368</v>
      </c>
      <c r="K662">
        <v>415</v>
      </c>
      <c r="L662">
        <v>129.66</v>
      </c>
      <c r="M662" s="1">
        <v>46155</v>
      </c>
      <c r="N662" t="str">
        <f>IF(po_master[[#This Row],[Approved By]]="", "Missing Approval", "OK")</f>
        <v>OK</v>
      </c>
      <c r="O662" t="str">
        <f>IF(ISBLANK(po_master[[#This Row],[GR Quantity]]), "No GR - Not received", "OK")</f>
        <v>OK</v>
      </c>
      <c r="P662" t="str">
        <f>IF(po_master[[#This Row],[Promised Delivey Date]]&lt;po_master[[#This Row],[Order Date]], "Invalid", "OK")</f>
        <v>OK</v>
      </c>
      <c r="Q662" t="str">
        <f>IF(ISBLANK(po_master[[#This Row],[Invoice Number]]), "No Invoice", "OK")</f>
        <v>OK</v>
      </c>
      <c r="R662" t="str">
        <f>IF(AND(NOT(ISBLANK(po_master[[#This Row],[GR Quantity]])), po_master[[#This Row],[GR Quantity]]&lt;&gt;po_master[[#This Row],[PO Quantity]]), "Qty Variance", "OK")</f>
        <v>OK</v>
      </c>
      <c r="S662" t="str">
        <f>IF(po_master[[#This Row],[Invoice Unit Price]]&gt;po_master[[#This Row],[PO Unit Price]]*1.01, "Price Variance", "OK")</f>
        <v>OK</v>
      </c>
      <c r="T662" t="str">
        <f>IF(po_master[[#This Row],[Actual Delivery Date]]&gt;po_master[[#This Row],[Promised Delivey Date]], "Late Delivery", "OK")</f>
        <v>OK</v>
      </c>
      <c r="U662" t="str">
        <f>IF(COUNTIF(po_master[PO Number],po_master[[#This Row],[PO Number]])&gt;1, "Duplicate Invoice", "OK")</f>
        <v>OK</v>
      </c>
      <c r="V662" s="5">
        <f>IF(po_master[[#This Row],[Missing Approval]]="Missing Approval", 1, 0)</f>
        <v>0</v>
      </c>
      <c r="W662" s="5">
        <f>IF(po_master[[#This Row],[GR Receipt Status]]="No GR - Not Received", 1, 0)</f>
        <v>0</v>
      </c>
      <c r="X662" s="5">
        <f>IF(po_master[[#This Row],[No invoice]]="No Invoice", 1, 0)</f>
        <v>0</v>
      </c>
      <c r="Y662" s="5">
        <f>IF(po_master[[#This Row],[Date Check]]="Invalid Date", 1, 0)</f>
        <v>0</v>
      </c>
      <c r="Z662" s="5">
        <f>IF(po_master[[#This Row],[Qty Variance Flag]]="Qty Variance", 1, 0)</f>
        <v>0</v>
      </c>
      <c r="AA662" s="5">
        <f>IF(po_master[[#This Row],[Price Variance Flag]]="Price Variance", 1, 0)</f>
        <v>0</v>
      </c>
      <c r="AB662" s="5">
        <f>IF(po_master[[#This Row],[Late Delivery Flag]]="Late Delivery", 1, 0)</f>
        <v>0</v>
      </c>
      <c r="AC662" s="5">
        <f>IF(po_master[[#This Row],[Duplicate Invoice Flag]]="Duplicate Invoice", 1, 0)</f>
        <v>0</v>
      </c>
      <c r="AD662" s="5" t="str">
        <f>TEXT(po_master[[#This Row],[Order Date]],"YYYY-MM")</f>
        <v>2026-04</v>
      </c>
    </row>
    <row r="663" spans="1:30" x14ac:dyDescent="0.25">
      <c r="A663" t="s">
        <v>1337</v>
      </c>
      <c r="B663" t="s">
        <v>1488</v>
      </c>
      <c r="C663" s="1">
        <v>46154</v>
      </c>
      <c r="D663">
        <v>35</v>
      </c>
      <c r="E663">
        <v>137.05000000000001</v>
      </c>
      <c r="F663" t="s">
        <v>1458</v>
      </c>
      <c r="G663" s="1">
        <v>46164</v>
      </c>
      <c r="I663" s="1"/>
      <c r="J663" t="s">
        <v>1338</v>
      </c>
      <c r="K663">
        <v>35</v>
      </c>
      <c r="L663">
        <v>137.05000000000001</v>
      </c>
      <c r="M663" s="1">
        <v>46166</v>
      </c>
      <c r="N663" t="str">
        <f>IF(po_master[[#This Row],[Approved By]]="", "Missing Approval", "OK")</f>
        <v>OK</v>
      </c>
      <c r="O663" t="str">
        <f>IF(ISBLANK(po_master[[#This Row],[GR Quantity]]), "No GR - Not received", "OK")</f>
        <v>No GR - Not received</v>
      </c>
      <c r="P663" t="str">
        <f>IF(po_master[[#This Row],[Promised Delivey Date]]&lt;po_master[[#This Row],[Order Date]], "Invalid", "OK")</f>
        <v>OK</v>
      </c>
      <c r="Q663" t="str">
        <f>IF(ISBLANK(po_master[[#This Row],[Invoice Number]]), "No Invoice", "OK")</f>
        <v>OK</v>
      </c>
      <c r="R663" t="str">
        <f>IF(AND(NOT(ISBLANK(po_master[[#This Row],[GR Quantity]])), po_master[[#This Row],[GR Quantity]]&lt;&gt;po_master[[#This Row],[PO Quantity]]), "Qty Variance", "OK")</f>
        <v>OK</v>
      </c>
      <c r="S663" t="str">
        <f>IF(po_master[[#This Row],[Invoice Unit Price]]&gt;po_master[[#This Row],[PO Unit Price]]*1.01, "Price Variance", "OK")</f>
        <v>OK</v>
      </c>
      <c r="T663" t="str">
        <f>IF(po_master[[#This Row],[Actual Delivery Date]]&gt;po_master[[#This Row],[Promised Delivey Date]], "Late Delivery", "OK")</f>
        <v>OK</v>
      </c>
      <c r="U663" t="str">
        <f>IF(COUNTIF(po_master[PO Number],po_master[[#This Row],[PO Number]])&gt;1, "Duplicate Invoice", "OK")</f>
        <v>OK</v>
      </c>
      <c r="V663" s="5">
        <f>IF(po_master[[#This Row],[Missing Approval]]="Missing Approval", 1, 0)</f>
        <v>0</v>
      </c>
      <c r="W663" s="5">
        <f>IF(po_master[[#This Row],[GR Receipt Status]]="No GR - Not Received", 1, 0)</f>
        <v>1</v>
      </c>
      <c r="X663" s="5">
        <f>IF(po_master[[#This Row],[No invoice]]="No Invoice", 1, 0)</f>
        <v>0</v>
      </c>
      <c r="Y663" s="5">
        <f>IF(po_master[[#This Row],[Date Check]]="Invalid Date", 1, 0)</f>
        <v>0</v>
      </c>
      <c r="Z663" s="5">
        <f>IF(po_master[[#This Row],[Qty Variance Flag]]="Qty Variance", 1, 0)</f>
        <v>0</v>
      </c>
      <c r="AA663" s="5">
        <f>IF(po_master[[#This Row],[Price Variance Flag]]="Price Variance", 1, 0)</f>
        <v>0</v>
      </c>
      <c r="AB663" s="5">
        <f>IF(po_master[[#This Row],[Late Delivery Flag]]="Late Delivery", 1, 0)</f>
        <v>0</v>
      </c>
      <c r="AC663" s="5">
        <f>IF(po_master[[#This Row],[Duplicate Invoice Flag]]="Duplicate Invoice", 1, 0)</f>
        <v>0</v>
      </c>
      <c r="AD663" s="5" t="str">
        <f>TEXT(po_master[[#This Row],[Order Date]],"YYYY-MM")</f>
        <v>2026-05</v>
      </c>
    </row>
    <row r="664" spans="1:30" x14ac:dyDescent="0.25">
      <c r="A664" t="s">
        <v>586</v>
      </c>
      <c r="B664" t="s">
        <v>1486</v>
      </c>
      <c r="C664" s="1">
        <v>46166</v>
      </c>
      <c r="D664">
        <v>365</v>
      </c>
      <c r="E664">
        <v>178.47</v>
      </c>
      <c r="F664" t="s">
        <v>1494</v>
      </c>
      <c r="G664" s="1">
        <v>46182</v>
      </c>
      <c r="H664">
        <v>365</v>
      </c>
      <c r="I664" s="1">
        <v>46180</v>
      </c>
      <c r="J664" t="s">
        <v>1369</v>
      </c>
      <c r="K664">
        <v>365</v>
      </c>
      <c r="L664">
        <v>178.47</v>
      </c>
      <c r="M664" s="1">
        <v>46183</v>
      </c>
      <c r="N664" t="str">
        <f>IF(po_master[[#This Row],[Approved By]]="", "Missing Approval", "OK")</f>
        <v>OK</v>
      </c>
      <c r="O664" t="str">
        <f>IF(ISBLANK(po_master[[#This Row],[GR Quantity]]), "No GR - Not received", "OK")</f>
        <v>OK</v>
      </c>
      <c r="P664" t="str">
        <f>IF(po_master[[#This Row],[Promised Delivey Date]]&lt;po_master[[#This Row],[Order Date]], "Invalid", "OK")</f>
        <v>OK</v>
      </c>
      <c r="Q664" t="str">
        <f>IF(ISBLANK(po_master[[#This Row],[Invoice Number]]), "No Invoice", "OK")</f>
        <v>OK</v>
      </c>
      <c r="R664" t="str">
        <f>IF(AND(NOT(ISBLANK(po_master[[#This Row],[GR Quantity]])), po_master[[#This Row],[GR Quantity]]&lt;&gt;po_master[[#This Row],[PO Quantity]]), "Qty Variance", "OK")</f>
        <v>OK</v>
      </c>
      <c r="S664" t="str">
        <f>IF(po_master[[#This Row],[Invoice Unit Price]]&gt;po_master[[#This Row],[PO Unit Price]]*1.01, "Price Variance", "OK")</f>
        <v>OK</v>
      </c>
      <c r="T664" t="str">
        <f>IF(po_master[[#This Row],[Actual Delivery Date]]&gt;po_master[[#This Row],[Promised Delivey Date]], "Late Delivery", "OK")</f>
        <v>OK</v>
      </c>
      <c r="U664" t="str">
        <f>IF(COUNTIF(po_master[PO Number],po_master[[#This Row],[PO Number]])&gt;1, "Duplicate Invoice", "OK")</f>
        <v>OK</v>
      </c>
      <c r="V664" s="5">
        <f>IF(po_master[[#This Row],[Missing Approval]]="Missing Approval", 1, 0)</f>
        <v>0</v>
      </c>
      <c r="W664" s="5">
        <f>IF(po_master[[#This Row],[GR Receipt Status]]="No GR - Not Received", 1, 0)</f>
        <v>0</v>
      </c>
      <c r="X664" s="5">
        <f>IF(po_master[[#This Row],[No invoice]]="No Invoice", 1, 0)</f>
        <v>0</v>
      </c>
      <c r="Y664" s="5">
        <f>IF(po_master[[#This Row],[Date Check]]="Invalid Date", 1, 0)</f>
        <v>0</v>
      </c>
      <c r="Z664" s="5">
        <f>IF(po_master[[#This Row],[Qty Variance Flag]]="Qty Variance", 1, 0)</f>
        <v>0</v>
      </c>
      <c r="AA664" s="5">
        <f>IF(po_master[[#This Row],[Price Variance Flag]]="Price Variance", 1, 0)</f>
        <v>0</v>
      </c>
      <c r="AB664" s="5">
        <f>IF(po_master[[#This Row],[Late Delivery Flag]]="Late Delivery", 1, 0)</f>
        <v>0</v>
      </c>
      <c r="AC664" s="5">
        <f>IF(po_master[[#This Row],[Duplicate Invoice Flag]]="Duplicate Invoice", 1, 0)</f>
        <v>0</v>
      </c>
      <c r="AD664" s="5" t="str">
        <f>TEXT(po_master[[#This Row],[Order Date]],"YYYY-MM")</f>
        <v>2026-05</v>
      </c>
    </row>
    <row r="665" spans="1:30" x14ac:dyDescent="0.25">
      <c r="A665" t="s">
        <v>587</v>
      </c>
      <c r="B665" t="s">
        <v>1447</v>
      </c>
      <c r="C665" s="1">
        <v>46173</v>
      </c>
      <c r="D665">
        <v>427</v>
      </c>
      <c r="E665">
        <v>39.19</v>
      </c>
      <c r="F665" t="s">
        <v>1474</v>
      </c>
      <c r="G665" s="1">
        <v>46187</v>
      </c>
      <c r="H665">
        <v>427</v>
      </c>
      <c r="I665" s="1">
        <v>46195</v>
      </c>
      <c r="J665" t="s">
        <v>1370</v>
      </c>
      <c r="K665">
        <v>427</v>
      </c>
      <c r="L665">
        <v>39.19</v>
      </c>
      <c r="M665" s="1">
        <v>46193</v>
      </c>
      <c r="N665" t="str">
        <f>IF(po_master[[#This Row],[Approved By]]="", "Missing Approval", "OK")</f>
        <v>OK</v>
      </c>
      <c r="O665" t="str">
        <f>IF(ISBLANK(po_master[[#This Row],[GR Quantity]]), "No GR - Not received", "OK")</f>
        <v>OK</v>
      </c>
      <c r="P665" t="str">
        <f>IF(po_master[[#This Row],[Promised Delivey Date]]&lt;po_master[[#This Row],[Order Date]], "Invalid", "OK")</f>
        <v>OK</v>
      </c>
      <c r="Q665" t="str">
        <f>IF(ISBLANK(po_master[[#This Row],[Invoice Number]]), "No Invoice", "OK")</f>
        <v>OK</v>
      </c>
      <c r="R665" t="str">
        <f>IF(AND(NOT(ISBLANK(po_master[[#This Row],[GR Quantity]])), po_master[[#This Row],[GR Quantity]]&lt;&gt;po_master[[#This Row],[PO Quantity]]), "Qty Variance", "OK")</f>
        <v>OK</v>
      </c>
      <c r="S665" t="str">
        <f>IF(po_master[[#This Row],[Invoice Unit Price]]&gt;po_master[[#This Row],[PO Unit Price]]*1.01, "Price Variance", "OK")</f>
        <v>OK</v>
      </c>
      <c r="T665" t="str">
        <f>IF(po_master[[#This Row],[Actual Delivery Date]]&gt;po_master[[#This Row],[Promised Delivey Date]], "Late Delivery", "OK")</f>
        <v>Late Delivery</v>
      </c>
      <c r="U665" t="str">
        <f>IF(COUNTIF(po_master[PO Number],po_master[[#This Row],[PO Number]])&gt;1, "Duplicate Invoice", "OK")</f>
        <v>OK</v>
      </c>
      <c r="V665" s="5">
        <f>IF(po_master[[#This Row],[Missing Approval]]="Missing Approval", 1, 0)</f>
        <v>0</v>
      </c>
      <c r="W665" s="5">
        <f>IF(po_master[[#This Row],[GR Receipt Status]]="No GR - Not Received", 1, 0)</f>
        <v>0</v>
      </c>
      <c r="X665" s="5">
        <f>IF(po_master[[#This Row],[No invoice]]="No Invoice", 1, 0)</f>
        <v>0</v>
      </c>
      <c r="Y665" s="5">
        <f>IF(po_master[[#This Row],[Date Check]]="Invalid Date", 1, 0)</f>
        <v>0</v>
      </c>
      <c r="Z665" s="5">
        <f>IF(po_master[[#This Row],[Qty Variance Flag]]="Qty Variance", 1, 0)</f>
        <v>0</v>
      </c>
      <c r="AA665" s="5">
        <f>IF(po_master[[#This Row],[Price Variance Flag]]="Price Variance", 1, 0)</f>
        <v>0</v>
      </c>
      <c r="AB665" s="5">
        <f>IF(po_master[[#This Row],[Late Delivery Flag]]="Late Delivery", 1, 0)</f>
        <v>1</v>
      </c>
      <c r="AC665" s="5">
        <f>IF(po_master[[#This Row],[Duplicate Invoice Flag]]="Duplicate Invoice", 1, 0)</f>
        <v>0</v>
      </c>
      <c r="AD665" s="5" t="str">
        <f>TEXT(po_master[[#This Row],[Order Date]],"YYYY-MM")</f>
        <v>2026-05</v>
      </c>
    </row>
    <row r="666" spans="1:30" x14ac:dyDescent="0.25">
      <c r="A666" t="s">
        <v>588</v>
      </c>
      <c r="B666" t="s">
        <v>1441</v>
      </c>
      <c r="C666" s="1">
        <v>46068</v>
      </c>
      <c r="D666">
        <v>383</v>
      </c>
      <c r="E666">
        <v>5.35</v>
      </c>
      <c r="F666" t="s">
        <v>1499</v>
      </c>
      <c r="G666" s="1">
        <v>46085</v>
      </c>
      <c r="H666">
        <v>383</v>
      </c>
      <c r="I666" s="1">
        <v>46087</v>
      </c>
      <c r="J666" t="s">
        <v>1371</v>
      </c>
      <c r="K666">
        <v>383</v>
      </c>
      <c r="L666">
        <v>5.35</v>
      </c>
      <c r="M666" s="1">
        <v>46089</v>
      </c>
      <c r="N666" t="str">
        <f>IF(po_master[[#This Row],[Approved By]]="", "Missing Approval", "OK")</f>
        <v>OK</v>
      </c>
      <c r="O666" t="str">
        <f>IF(ISBLANK(po_master[[#This Row],[GR Quantity]]), "No GR - Not received", "OK")</f>
        <v>OK</v>
      </c>
      <c r="P666" t="str">
        <f>IF(po_master[[#This Row],[Promised Delivey Date]]&lt;po_master[[#This Row],[Order Date]], "Invalid", "OK")</f>
        <v>OK</v>
      </c>
      <c r="Q666" t="str">
        <f>IF(ISBLANK(po_master[[#This Row],[Invoice Number]]), "No Invoice", "OK")</f>
        <v>OK</v>
      </c>
      <c r="R666" t="str">
        <f>IF(AND(NOT(ISBLANK(po_master[[#This Row],[GR Quantity]])), po_master[[#This Row],[GR Quantity]]&lt;&gt;po_master[[#This Row],[PO Quantity]]), "Qty Variance", "OK")</f>
        <v>OK</v>
      </c>
      <c r="S666" t="str">
        <f>IF(po_master[[#This Row],[Invoice Unit Price]]&gt;po_master[[#This Row],[PO Unit Price]]*1.01, "Price Variance", "OK")</f>
        <v>OK</v>
      </c>
      <c r="T666" t="str">
        <f>IF(po_master[[#This Row],[Actual Delivery Date]]&gt;po_master[[#This Row],[Promised Delivey Date]], "Late Delivery", "OK")</f>
        <v>Late Delivery</v>
      </c>
      <c r="U666" t="str">
        <f>IF(COUNTIF(po_master[PO Number],po_master[[#This Row],[PO Number]])&gt;1, "Duplicate Invoice", "OK")</f>
        <v>OK</v>
      </c>
      <c r="V666" s="5">
        <f>IF(po_master[[#This Row],[Missing Approval]]="Missing Approval", 1, 0)</f>
        <v>0</v>
      </c>
      <c r="W666" s="5">
        <f>IF(po_master[[#This Row],[GR Receipt Status]]="No GR - Not Received", 1, 0)</f>
        <v>0</v>
      </c>
      <c r="X666" s="5">
        <f>IF(po_master[[#This Row],[No invoice]]="No Invoice", 1, 0)</f>
        <v>0</v>
      </c>
      <c r="Y666" s="5">
        <f>IF(po_master[[#This Row],[Date Check]]="Invalid Date", 1, 0)</f>
        <v>0</v>
      </c>
      <c r="Z666" s="5">
        <f>IF(po_master[[#This Row],[Qty Variance Flag]]="Qty Variance", 1, 0)</f>
        <v>0</v>
      </c>
      <c r="AA666" s="5">
        <f>IF(po_master[[#This Row],[Price Variance Flag]]="Price Variance", 1, 0)</f>
        <v>0</v>
      </c>
      <c r="AB666" s="5">
        <f>IF(po_master[[#This Row],[Late Delivery Flag]]="Late Delivery", 1, 0)</f>
        <v>1</v>
      </c>
      <c r="AC666" s="5">
        <f>IF(po_master[[#This Row],[Duplicate Invoice Flag]]="Duplicate Invoice", 1, 0)</f>
        <v>0</v>
      </c>
      <c r="AD666" s="5" t="str">
        <f>TEXT(po_master[[#This Row],[Order Date]],"YYYY-MM")</f>
        <v>2026-02</v>
      </c>
    </row>
    <row r="667" spans="1:30" x14ac:dyDescent="0.25">
      <c r="A667" t="s">
        <v>589</v>
      </c>
      <c r="B667" t="s">
        <v>1493</v>
      </c>
      <c r="C667" s="1">
        <v>46031</v>
      </c>
      <c r="D667">
        <v>103</v>
      </c>
      <c r="E667">
        <v>122.47</v>
      </c>
      <c r="F667" t="s">
        <v>1494</v>
      </c>
      <c r="G667" s="1">
        <v>46043</v>
      </c>
      <c r="H667">
        <v>103</v>
      </c>
      <c r="I667" s="1">
        <v>46041</v>
      </c>
      <c r="J667" t="s">
        <v>1372</v>
      </c>
      <c r="K667">
        <v>103</v>
      </c>
      <c r="L667">
        <v>122.47</v>
      </c>
      <c r="M667" s="1">
        <v>46045</v>
      </c>
      <c r="N667" t="str">
        <f>IF(po_master[[#This Row],[Approved By]]="", "Missing Approval", "OK")</f>
        <v>OK</v>
      </c>
      <c r="O667" t="str">
        <f>IF(ISBLANK(po_master[[#This Row],[GR Quantity]]), "No GR - Not received", "OK")</f>
        <v>OK</v>
      </c>
      <c r="P667" t="str">
        <f>IF(po_master[[#This Row],[Promised Delivey Date]]&lt;po_master[[#This Row],[Order Date]], "Invalid", "OK")</f>
        <v>OK</v>
      </c>
      <c r="Q667" t="str">
        <f>IF(ISBLANK(po_master[[#This Row],[Invoice Number]]), "No Invoice", "OK")</f>
        <v>OK</v>
      </c>
      <c r="R667" t="str">
        <f>IF(AND(NOT(ISBLANK(po_master[[#This Row],[GR Quantity]])), po_master[[#This Row],[GR Quantity]]&lt;&gt;po_master[[#This Row],[PO Quantity]]), "Qty Variance", "OK")</f>
        <v>OK</v>
      </c>
      <c r="S667" t="str">
        <f>IF(po_master[[#This Row],[Invoice Unit Price]]&gt;po_master[[#This Row],[PO Unit Price]]*1.01, "Price Variance", "OK")</f>
        <v>OK</v>
      </c>
      <c r="T667" t="str">
        <f>IF(po_master[[#This Row],[Actual Delivery Date]]&gt;po_master[[#This Row],[Promised Delivey Date]], "Late Delivery", "OK")</f>
        <v>OK</v>
      </c>
      <c r="U667" t="str">
        <f>IF(COUNTIF(po_master[PO Number],po_master[[#This Row],[PO Number]])&gt;1, "Duplicate Invoice", "OK")</f>
        <v>OK</v>
      </c>
      <c r="V667" s="5">
        <f>IF(po_master[[#This Row],[Missing Approval]]="Missing Approval", 1, 0)</f>
        <v>0</v>
      </c>
      <c r="W667" s="5">
        <f>IF(po_master[[#This Row],[GR Receipt Status]]="No GR - Not Received", 1, 0)</f>
        <v>0</v>
      </c>
      <c r="X667" s="5">
        <f>IF(po_master[[#This Row],[No invoice]]="No Invoice", 1, 0)</f>
        <v>0</v>
      </c>
      <c r="Y667" s="5">
        <f>IF(po_master[[#This Row],[Date Check]]="Invalid Date", 1, 0)</f>
        <v>0</v>
      </c>
      <c r="Z667" s="5">
        <f>IF(po_master[[#This Row],[Qty Variance Flag]]="Qty Variance", 1, 0)</f>
        <v>0</v>
      </c>
      <c r="AA667" s="5">
        <f>IF(po_master[[#This Row],[Price Variance Flag]]="Price Variance", 1, 0)</f>
        <v>0</v>
      </c>
      <c r="AB667" s="5">
        <f>IF(po_master[[#This Row],[Late Delivery Flag]]="Late Delivery", 1, 0)</f>
        <v>0</v>
      </c>
      <c r="AC667" s="5">
        <f>IF(po_master[[#This Row],[Duplicate Invoice Flag]]="Duplicate Invoice", 1, 0)</f>
        <v>0</v>
      </c>
      <c r="AD667" s="5" t="str">
        <f>TEXT(po_master[[#This Row],[Order Date]],"YYYY-MM")</f>
        <v>2026-01</v>
      </c>
    </row>
    <row r="668" spans="1:30" x14ac:dyDescent="0.25">
      <c r="A668" t="s">
        <v>590</v>
      </c>
      <c r="B668" t="s">
        <v>1439</v>
      </c>
      <c r="C668" s="1">
        <v>46167</v>
      </c>
      <c r="D668">
        <v>63</v>
      </c>
      <c r="E668">
        <v>187.65</v>
      </c>
      <c r="F668" t="s">
        <v>1485</v>
      </c>
      <c r="G668" s="1">
        <v>46182</v>
      </c>
      <c r="H668">
        <v>63</v>
      </c>
      <c r="I668" s="1">
        <v>46183</v>
      </c>
      <c r="J668" t="s">
        <v>1373</v>
      </c>
      <c r="K668">
        <v>63</v>
      </c>
      <c r="L668">
        <v>187.65</v>
      </c>
      <c r="M668" s="1">
        <v>46187</v>
      </c>
      <c r="N668" t="str">
        <f>IF(po_master[[#This Row],[Approved By]]="", "Missing Approval", "OK")</f>
        <v>OK</v>
      </c>
      <c r="O668" t="str">
        <f>IF(ISBLANK(po_master[[#This Row],[GR Quantity]]), "No GR - Not received", "OK")</f>
        <v>OK</v>
      </c>
      <c r="P668" t="str">
        <f>IF(po_master[[#This Row],[Promised Delivey Date]]&lt;po_master[[#This Row],[Order Date]], "Invalid", "OK")</f>
        <v>OK</v>
      </c>
      <c r="Q668" t="str">
        <f>IF(ISBLANK(po_master[[#This Row],[Invoice Number]]), "No Invoice", "OK")</f>
        <v>OK</v>
      </c>
      <c r="R668" t="str">
        <f>IF(AND(NOT(ISBLANK(po_master[[#This Row],[GR Quantity]])), po_master[[#This Row],[GR Quantity]]&lt;&gt;po_master[[#This Row],[PO Quantity]]), "Qty Variance", "OK")</f>
        <v>OK</v>
      </c>
      <c r="S668" t="str">
        <f>IF(po_master[[#This Row],[Invoice Unit Price]]&gt;po_master[[#This Row],[PO Unit Price]]*1.01, "Price Variance", "OK")</f>
        <v>OK</v>
      </c>
      <c r="T668" t="str">
        <f>IF(po_master[[#This Row],[Actual Delivery Date]]&gt;po_master[[#This Row],[Promised Delivey Date]], "Late Delivery", "OK")</f>
        <v>Late Delivery</v>
      </c>
      <c r="U668" t="str">
        <f>IF(COUNTIF(po_master[PO Number],po_master[[#This Row],[PO Number]])&gt;1, "Duplicate Invoice", "OK")</f>
        <v>OK</v>
      </c>
      <c r="V668" s="5">
        <f>IF(po_master[[#This Row],[Missing Approval]]="Missing Approval", 1, 0)</f>
        <v>0</v>
      </c>
      <c r="W668" s="5">
        <f>IF(po_master[[#This Row],[GR Receipt Status]]="No GR - Not Received", 1, 0)</f>
        <v>0</v>
      </c>
      <c r="X668" s="5">
        <f>IF(po_master[[#This Row],[No invoice]]="No Invoice", 1, 0)</f>
        <v>0</v>
      </c>
      <c r="Y668" s="5">
        <f>IF(po_master[[#This Row],[Date Check]]="Invalid Date", 1, 0)</f>
        <v>0</v>
      </c>
      <c r="Z668" s="5">
        <f>IF(po_master[[#This Row],[Qty Variance Flag]]="Qty Variance", 1, 0)</f>
        <v>0</v>
      </c>
      <c r="AA668" s="5">
        <f>IF(po_master[[#This Row],[Price Variance Flag]]="Price Variance", 1, 0)</f>
        <v>0</v>
      </c>
      <c r="AB668" s="5">
        <f>IF(po_master[[#This Row],[Late Delivery Flag]]="Late Delivery", 1, 0)</f>
        <v>1</v>
      </c>
      <c r="AC668" s="5">
        <f>IF(po_master[[#This Row],[Duplicate Invoice Flag]]="Duplicate Invoice", 1, 0)</f>
        <v>0</v>
      </c>
      <c r="AD668" s="5" t="str">
        <f>TEXT(po_master[[#This Row],[Order Date]],"YYYY-MM")</f>
        <v>2026-05</v>
      </c>
    </row>
    <row r="669" spans="1:30" x14ac:dyDescent="0.25">
      <c r="A669" t="s">
        <v>591</v>
      </c>
      <c r="B669" t="s">
        <v>1465</v>
      </c>
      <c r="C669" s="1">
        <v>46042</v>
      </c>
      <c r="D669">
        <v>131</v>
      </c>
      <c r="E669">
        <v>72.63</v>
      </c>
      <c r="F669" t="s">
        <v>1472</v>
      </c>
      <c r="G669" s="1">
        <v>46052</v>
      </c>
      <c r="H669">
        <v>131</v>
      </c>
      <c r="I669" s="1">
        <v>46062</v>
      </c>
      <c r="J669" t="s">
        <v>1374</v>
      </c>
      <c r="K669">
        <v>131</v>
      </c>
      <c r="L669">
        <v>72.63</v>
      </c>
      <c r="M669" s="1">
        <v>46062</v>
      </c>
      <c r="N669" t="str">
        <f>IF(po_master[[#This Row],[Approved By]]="", "Missing Approval", "OK")</f>
        <v>OK</v>
      </c>
      <c r="O669" t="str">
        <f>IF(ISBLANK(po_master[[#This Row],[GR Quantity]]), "No GR - Not received", "OK")</f>
        <v>OK</v>
      </c>
      <c r="P669" t="str">
        <f>IF(po_master[[#This Row],[Promised Delivey Date]]&lt;po_master[[#This Row],[Order Date]], "Invalid", "OK")</f>
        <v>OK</v>
      </c>
      <c r="Q669" t="str">
        <f>IF(ISBLANK(po_master[[#This Row],[Invoice Number]]), "No Invoice", "OK")</f>
        <v>OK</v>
      </c>
      <c r="R669" t="str">
        <f>IF(AND(NOT(ISBLANK(po_master[[#This Row],[GR Quantity]])), po_master[[#This Row],[GR Quantity]]&lt;&gt;po_master[[#This Row],[PO Quantity]]), "Qty Variance", "OK")</f>
        <v>OK</v>
      </c>
      <c r="S669" t="str">
        <f>IF(po_master[[#This Row],[Invoice Unit Price]]&gt;po_master[[#This Row],[PO Unit Price]]*1.01, "Price Variance", "OK")</f>
        <v>OK</v>
      </c>
      <c r="T669" t="str">
        <f>IF(po_master[[#This Row],[Actual Delivery Date]]&gt;po_master[[#This Row],[Promised Delivey Date]], "Late Delivery", "OK")</f>
        <v>Late Delivery</v>
      </c>
      <c r="U669" t="str">
        <f>IF(COUNTIF(po_master[PO Number],po_master[[#This Row],[PO Number]])&gt;1, "Duplicate Invoice", "OK")</f>
        <v>OK</v>
      </c>
      <c r="V669" s="5">
        <f>IF(po_master[[#This Row],[Missing Approval]]="Missing Approval", 1, 0)</f>
        <v>0</v>
      </c>
      <c r="W669" s="5">
        <f>IF(po_master[[#This Row],[GR Receipt Status]]="No GR - Not Received", 1, 0)</f>
        <v>0</v>
      </c>
      <c r="X669" s="5">
        <f>IF(po_master[[#This Row],[No invoice]]="No Invoice", 1, 0)</f>
        <v>0</v>
      </c>
      <c r="Y669" s="5">
        <f>IF(po_master[[#This Row],[Date Check]]="Invalid Date", 1, 0)</f>
        <v>0</v>
      </c>
      <c r="Z669" s="5">
        <f>IF(po_master[[#This Row],[Qty Variance Flag]]="Qty Variance", 1, 0)</f>
        <v>0</v>
      </c>
      <c r="AA669" s="5">
        <f>IF(po_master[[#This Row],[Price Variance Flag]]="Price Variance", 1, 0)</f>
        <v>0</v>
      </c>
      <c r="AB669" s="5">
        <f>IF(po_master[[#This Row],[Late Delivery Flag]]="Late Delivery", 1, 0)</f>
        <v>1</v>
      </c>
      <c r="AC669" s="5">
        <f>IF(po_master[[#This Row],[Duplicate Invoice Flag]]="Duplicate Invoice", 1, 0)</f>
        <v>0</v>
      </c>
      <c r="AD669" s="5" t="str">
        <f>TEXT(po_master[[#This Row],[Order Date]],"YYYY-MM")</f>
        <v>2026-01</v>
      </c>
    </row>
    <row r="670" spans="1:30" x14ac:dyDescent="0.25">
      <c r="A670" t="s">
        <v>592</v>
      </c>
      <c r="B670" t="s">
        <v>1439</v>
      </c>
      <c r="C670" s="1">
        <v>46045</v>
      </c>
      <c r="D670">
        <v>430</v>
      </c>
      <c r="E670">
        <v>143.25</v>
      </c>
      <c r="F670" t="s">
        <v>1446</v>
      </c>
      <c r="G670" s="1">
        <v>46060</v>
      </c>
      <c r="H670">
        <v>430</v>
      </c>
      <c r="I670" s="1">
        <v>46061</v>
      </c>
      <c r="J670" t="s">
        <v>1375</v>
      </c>
      <c r="K670">
        <v>430</v>
      </c>
      <c r="L670">
        <v>143.25</v>
      </c>
      <c r="M670" s="1">
        <v>46069</v>
      </c>
      <c r="N670" t="str">
        <f>IF(po_master[[#This Row],[Approved By]]="", "Missing Approval", "OK")</f>
        <v>OK</v>
      </c>
      <c r="O670" t="str">
        <f>IF(ISBLANK(po_master[[#This Row],[GR Quantity]]), "No GR - Not received", "OK")</f>
        <v>OK</v>
      </c>
      <c r="P670" t="str">
        <f>IF(po_master[[#This Row],[Promised Delivey Date]]&lt;po_master[[#This Row],[Order Date]], "Invalid", "OK")</f>
        <v>OK</v>
      </c>
      <c r="Q670" t="str">
        <f>IF(ISBLANK(po_master[[#This Row],[Invoice Number]]), "No Invoice", "OK")</f>
        <v>OK</v>
      </c>
      <c r="R670" t="str">
        <f>IF(AND(NOT(ISBLANK(po_master[[#This Row],[GR Quantity]])), po_master[[#This Row],[GR Quantity]]&lt;&gt;po_master[[#This Row],[PO Quantity]]), "Qty Variance", "OK")</f>
        <v>OK</v>
      </c>
      <c r="S670" t="str">
        <f>IF(po_master[[#This Row],[Invoice Unit Price]]&gt;po_master[[#This Row],[PO Unit Price]]*1.01, "Price Variance", "OK")</f>
        <v>OK</v>
      </c>
      <c r="T670" t="str">
        <f>IF(po_master[[#This Row],[Actual Delivery Date]]&gt;po_master[[#This Row],[Promised Delivey Date]], "Late Delivery", "OK")</f>
        <v>Late Delivery</v>
      </c>
      <c r="U670" t="str">
        <f>IF(COUNTIF(po_master[PO Number],po_master[[#This Row],[PO Number]])&gt;1, "Duplicate Invoice", "OK")</f>
        <v>OK</v>
      </c>
      <c r="V670" s="5">
        <f>IF(po_master[[#This Row],[Missing Approval]]="Missing Approval", 1, 0)</f>
        <v>0</v>
      </c>
      <c r="W670" s="5">
        <f>IF(po_master[[#This Row],[GR Receipt Status]]="No GR - Not Received", 1, 0)</f>
        <v>0</v>
      </c>
      <c r="X670" s="5">
        <f>IF(po_master[[#This Row],[No invoice]]="No Invoice", 1, 0)</f>
        <v>0</v>
      </c>
      <c r="Y670" s="5">
        <f>IF(po_master[[#This Row],[Date Check]]="Invalid Date", 1, 0)</f>
        <v>0</v>
      </c>
      <c r="Z670" s="5">
        <f>IF(po_master[[#This Row],[Qty Variance Flag]]="Qty Variance", 1, 0)</f>
        <v>0</v>
      </c>
      <c r="AA670" s="5">
        <f>IF(po_master[[#This Row],[Price Variance Flag]]="Price Variance", 1, 0)</f>
        <v>0</v>
      </c>
      <c r="AB670" s="5">
        <f>IF(po_master[[#This Row],[Late Delivery Flag]]="Late Delivery", 1, 0)</f>
        <v>1</v>
      </c>
      <c r="AC670" s="5">
        <f>IF(po_master[[#This Row],[Duplicate Invoice Flag]]="Duplicate Invoice", 1, 0)</f>
        <v>0</v>
      </c>
      <c r="AD670" s="5" t="str">
        <f>TEXT(po_master[[#This Row],[Order Date]],"YYYY-MM")</f>
        <v>2026-01</v>
      </c>
    </row>
    <row r="671" spans="1:30" x14ac:dyDescent="0.25">
      <c r="A671" t="s">
        <v>1365</v>
      </c>
      <c r="B671" t="s">
        <v>1491</v>
      </c>
      <c r="C671" s="1">
        <v>46116</v>
      </c>
      <c r="D671">
        <v>47</v>
      </c>
      <c r="E671">
        <v>77.849999999999994</v>
      </c>
      <c r="F671" t="s">
        <v>1459</v>
      </c>
      <c r="G671" s="1">
        <v>46133</v>
      </c>
      <c r="I671" s="1"/>
      <c r="J671" t="s">
        <v>1366</v>
      </c>
      <c r="K671">
        <v>47</v>
      </c>
      <c r="L671">
        <v>86.98</v>
      </c>
      <c r="M671" s="1">
        <v>46136</v>
      </c>
      <c r="N671" t="str">
        <f>IF(po_master[[#This Row],[Approved By]]="", "Missing Approval", "OK")</f>
        <v>Missing Approval</v>
      </c>
      <c r="O671" t="str">
        <f>IF(ISBLANK(po_master[[#This Row],[GR Quantity]]), "No GR - Not received", "OK")</f>
        <v>No GR - Not received</v>
      </c>
      <c r="P671" t="str">
        <f>IF(po_master[[#This Row],[Promised Delivey Date]]&lt;po_master[[#This Row],[Order Date]], "Invalid", "OK")</f>
        <v>OK</v>
      </c>
      <c r="Q671" t="str">
        <f>IF(ISBLANK(po_master[[#This Row],[Invoice Number]]), "No Invoice", "OK")</f>
        <v>OK</v>
      </c>
      <c r="R671" t="str">
        <f>IF(AND(NOT(ISBLANK(po_master[[#This Row],[GR Quantity]])), po_master[[#This Row],[GR Quantity]]&lt;&gt;po_master[[#This Row],[PO Quantity]]), "Qty Variance", "OK")</f>
        <v>OK</v>
      </c>
      <c r="S671" t="str">
        <f>IF(po_master[[#This Row],[Invoice Unit Price]]&gt;po_master[[#This Row],[PO Unit Price]]*1.01, "Price Variance", "OK")</f>
        <v>Price Variance</v>
      </c>
      <c r="T671" t="str">
        <f>IF(po_master[[#This Row],[Actual Delivery Date]]&gt;po_master[[#This Row],[Promised Delivey Date]], "Late Delivery", "OK")</f>
        <v>OK</v>
      </c>
      <c r="U671" t="str">
        <f>IF(COUNTIF(po_master[PO Number],po_master[[#This Row],[PO Number]])&gt;1, "Duplicate Invoice", "OK")</f>
        <v>OK</v>
      </c>
      <c r="V671" s="5">
        <f>IF(po_master[[#This Row],[Missing Approval]]="Missing Approval", 1, 0)</f>
        <v>1</v>
      </c>
      <c r="W671" s="5">
        <f>IF(po_master[[#This Row],[GR Receipt Status]]="No GR - Not Received", 1, 0)</f>
        <v>1</v>
      </c>
      <c r="X671" s="5">
        <f>IF(po_master[[#This Row],[No invoice]]="No Invoice", 1, 0)</f>
        <v>0</v>
      </c>
      <c r="Y671" s="5">
        <f>IF(po_master[[#This Row],[Date Check]]="Invalid Date", 1, 0)</f>
        <v>0</v>
      </c>
      <c r="Z671" s="5">
        <f>IF(po_master[[#This Row],[Qty Variance Flag]]="Qty Variance", 1, 0)</f>
        <v>0</v>
      </c>
      <c r="AA671" s="5">
        <f>IF(po_master[[#This Row],[Price Variance Flag]]="Price Variance", 1, 0)</f>
        <v>1</v>
      </c>
      <c r="AB671" s="5">
        <f>IF(po_master[[#This Row],[Late Delivery Flag]]="Late Delivery", 1, 0)</f>
        <v>0</v>
      </c>
      <c r="AC671" s="5">
        <f>IF(po_master[[#This Row],[Duplicate Invoice Flag]]="Duplicate Invoice", 1, 0)</f>
        <v>0</v>
      </c>
      <c r="AD671" s="5" t="str">
        <f>TEXT(po_master[[#This Row],[Order Date]],"YYYY-MM")</f>
        <v>2026-04</v>
      </c>
    </row>
    <row r="672" spans="1:30" x14ac:dyDescent="0.25">
      <c r="A672" t="s">
        <v>593</v>
      </c>
      <c r="B672" t="s">
        <v>1478</v>
      </c>
      <c r="C672" s="1">
        <v>46025</v>
      </c>
      <c r="D672">
        <v>145</v>
      </c>
      <c r="E672">
        <v>45.89</v>
      </c>
      <c r="F672" t="s">
        <v>1499</v>
      </c>
      <c r="G672" s="1">
        <v>46032</v>
      </c>
      <c r="H672">
        <v>145</v>
      </c>
      <c r="I672" s="1">
        <v>46032</v>
      </c>
      <c r="J672" t="s">
        <v>1376</v>
      </c>
      <c r="K672">
        <v>145</v>
      </c>
      <c r="L672">
        <v>51.37</v>
      </c>
      <c r="M672" s="1">
        <v>46042</v>
      </c>
      <c r="N672" t="str">
        <f>IF(po_master[[#This Row],[Approved By]]="", "Missing Approval", "OK")</f>
        <v>OK</v>
      </c>
      <c r="O672" t="str">
        <f>IF(ISBLANK(po_master[[#This Row],[GR Quantity]]), "No GR - Not received", "OK")</f>
        <v>OK</v>
      </c>
      <c r="P672" t="str">
        <f>IF(po_master[[#This Row],[Promised Delivey Date]]&lt;po_master[[#This Row],[Order Date]], "Invalid", "OK")</f>
        <v>OK</v>
      </c>
      <c r="Q672" t="str">
        <f>IF(ISBLANK(po_master[[#This Row],[Invoice Number]]), "No Invoice", "OK")</f>
        <v>OK</v>
      </c>
      <c r="R672" t="str">
        <f>IF(AND(NOT(ISBLANK(po_master[[#This Row],[GR Quantity]])), po_master[[#This Row],[GR Quantity]]&lt;&gt;po_master[[#This Row],[PO Quantity]]), "Qty Variance", "OK")</f>
        <v>OK</v>
      </c>
      <c r="S672" t="str">
        <f>IF(po_master[[#This Row],[Invoice Unit Price]]&gt;po_master[[#This Row],[PO Unit Price]]*1.01, "Price Variance", "OK")</f>
        <v>Price Variance</v>
      </c>
      <c r="T672" t="str">
        <f>IF(po_master[[#This Row],[Actual Delivery Date]]&gt;po_master[[#This Row],[Promised Delivey Date]], "Late Delivery", "OK")</f>
        <v>OK</v>
      </c>
      <c r="U672" t="str">
        <f>IF(COUNTIF(po_master[PO Number],po_master[[#This Row],[PO Number]])&gt;1, "Duplicate Invoice", "OK")</f>
        <v>OK</v>
      </c>
      <c r="V672" s="5">
        <f>IF(po_master[[#This Row],[Missing Approval]]="Missing Approval", 1, 0)</f>
        <v>0</v>
      </c>
      <c r="W672" s="5">
        <f>IF(po_master[[#This Row],[GR Receipt Status]]="No GR - Not Received", 1, 0)</f>
        <v>0</v>
      </c>
      <c r="X672" s="5">
        <f>IF(po_master[[#This Row],[No invoice]]="No Invoice", 1, 0)</f>
        <v>0</v>
      </c>
      <c r="Y672" s="5">
        <f>IF(po_master[[#This Row],[Date Check]]="Invalid Date", 1, 0)</f>
        <v>0</v>
      </c>
      <c r="Z672" s="5">
        <f>IF(po_master[[#This Row],[Qty Variance Flag]]="Qty Variance", 1, 0)</f>
        <v>0</v>
      </c>
      <c r="AA672" s="5">
        <f>IF(po_master[[#This Row],[Price Variance Flag]]="Price Variance", 1, 0)</f>
        <v>1</v>
      </c>
      <c r="AB672" s="5">
        <f>IF(po_master[[#This Row],[Late Delivery Flag]]="Late Delivery", 1, 0)</f>
        <v>0</v>
      </c>
      <c r="AC672" s="5">
        <f>IF(po_master[[#This Row],[Duplicate Invoice Flag]]="Duplicate Invoice", 1, 0)</f>
        <v>0</v>
      </c>
      <c r="AD672" s="5" t="str">
        <f>TEXT(po_master[[#This Row],[Order Date]],"YYYY-MM")</f>
        <v>2026-01</v>
      </c>
    </row>
    <row r="673" spans="1:30" x14ac:dyDescent="0.25">
      <c r="A673" t="s">
        <v>594</v>
      </c>
      <c r="B673" t="s">
        <v>1503</v>
      </c>
      <c r="C673" s="1">
        <v>46088</v>
      </c>
      <c r="D673">
        <v>412</v>
      </c>
      <c r="E673">
        <v>26.07</v>
      </c>
      <c r="F673" t="s">
        <v>1448</v>
      </c>
      <c r="G673" s="1">
        <v>46094</v>
      </c>
      <c r="H673">
        <v>412</v>
      </c>
      <c r="I673" s="1">
        <v>46095</v>
      </c>
      <c r="J673" t="s">
        <v>1377</v>
      </c>
      <c r="K673">
        <v>412</v>
      </c>
      <c r="L673">
        <v>27.4</v>
      </c>
      <c r="M673" s="1">
        <v>46102</v>
      </c>
      <c r="N673" t="str">
        <f>IF(po_master[[#This Row],[Approved By]]="", "Missing Approval", "OK")</f>
        <v>OK</v>
      </c>
      <c r="O673" t="str">
        <f>IF(ISBLANK(po_master[[#This Row],[GR Quantity]]), "No GR - Not received", "OK")</f>
        <v>OK</v>
      </c>
      <c r="P673" t="str">
        <f>IF(po_master[[#This Row],[Promised Delivey Date]]&lt;po_master[[#This Row],[Order Date]], "Invalid", "OK")</f>
        <v>OK</v>
      </c>
      <c r="Q673" t="str">
        <f>IF(ISBLANK(po_master[[#This Row],[Invoice Number]]), "No Invoice", "OK")</f>
        <v>OK</v>
      </c>
      <c r="R673" t="str">
        <f>IF(AND(NOT(ISBLANK(po_master[[#This Row],[GR Quantity]])), po_master[[#This Row],[GR Quantity]]&lt;&gt;po_master[[#This Row],[PO Quantity]]), "Qty Variance", "OK")</f>
        <v>OK</v>
      </c>
      <c r="S673" t="str">
        <f>IF(po_master[[#This Row],[Invoice Unit Price]]&gt;po_master[[#This Row],[PO Unit Price]]*1.01, "Price Variance", "OK")</f>
        <v>Price Variance</v>
      </c>
      <c r="T673" t="str">
        <f>IF(po_master[[#This Row],[Actual Delivery Date]]&gt;po_master[[#This Row],[Promised Delivey Date]], "Late Delivery", "OK")</f>
        <v>Late Delivery</v>
      </c>
      <c r="U673" t="str">
        <f>IF(COUNTIF(po_master[PO Number],po_master[[#This Row],[PO Number]])&gt;1, "Duplicate Invoice", "OK")</f>
        <v>OK</v>
      </c>
      <c r="V673" s="5">
        <f>IF(po_master[[#This Row],[Missing Approval]]="Missing Approval", 1, 0)</f>
        <v>0</v>
      </c>
      <c r="W673" s="5">
        <f>IF(po_master[[#This Row],[GR Receipt Status]]="No GR - Not Received", 1, 0)</f>
        <v>0</v>
      </c>
      <c r="X673" s="5">
        <f>IF(po_master[[#This Row],[No invoice]]="No Invoice", 1, 0)</f>
        <v>0</v>
      </c>
      <c r="Y673" s="5">
        <f>IF(po_master[[#This Row],[Date Check]]="Invalid Date", 1, 0)</f>
        <v>0</v>
      </c>
      <c r="Z673" s="5">
        <f>IF(po_master[[#This Row],[Qty Variance Flag]]="Qty Variance", 1, 0)</f>
        <v>0</v>
      </c>
      <c r="AA673" s="5">
        <f>IF(po_master[[#This Row],[Price Variance Flag]]="Price Variance", 1, 0)</f>
        <v>1</v>
      </c>
      <c r="AB673" s="5">
        <f>IF(po_master[[#This Row],[Late Delivery Flag]]="Late Delivery", 1, 0)</f>
        <v>1</v>
      </c>
      <c r="AC673" s="5">
        <f>IF(po_master[[#This Row],[Duplicate Invoice Flag]]="Duplicate Invoice", 1, 0)</f>
        <v>0</v>
      </c>
      <c r="AD673" s="5" t="str">
        <f>TEXT(po_master[[#This Row],[Order Date]],"YYYY-MM")</f>
        <v>2026-03</v>
      </c>
    </row>
    <row r="674" spans="1:30" x14ac:dyDescent="0.25">
      <c r="A674" t="s">
        <v>595</v>
      </c>
      <c r="B674" t="s">
        <v>1502</v>
      </c>
      <c r="C674" s="1">
        <v>46135</v>
      </c>
      <c r="D674">
        <v>385</v>
      </c>
      <c r="E674">
        <v>86.83</v>
      </c>
      <c r="F674" t="s">
        <v>1501</v>
      </c>
      <c r="G674" s="1">
        <v>46153</v>
      </c>
      <c r="H674">
        <v>385</v>
      </c>
      <c r="I674" s="1">
        <v>46152</v>
      </c>
      <c r="J674" t="s">
        <v>1378</v>
      </c>
      <c r="K674">
        <v>385</v>
      </c>
      <c r="L674">
        <v>86.83</v>
      </c>
      <c r="M674" s="1">
        <v>46154</v>
      </c>
      <c r="N674" t="str">
        <f>IF(po_master[[#This Row],[Approved By]]="", "Missing Approval", "OK")</f>
        <v>OK</v>
      </c>
      <c r="O674" t="str">
        <f>IF(ISBLANK(po_master[[#This Row],[GR Quantity]]), "No GR - Not received", "OK")</f>
        <v>OK</v>
      </c>
      <c r="P674" t="str">
        <f>IF(po_master[[#This Row],[Promised Delivey Date]]&lt;po_master[[#This Row],[Order Date]], "Invalid", "OK")</f>
        <v>OK</v>
      </c>
      <c r="Q674" t="str">
        <f>IF(ISBLANK(po_master[[#This Row],[Invoice Number]]), "No Invoice", "OK")</f>
        <v>OK</v>
      </c>
      <c r="R674" t="str">
        <f>IF(AND(NOT(ISBLANK(po_master[[#This Row],[GR Quantity]])), po_master[[#This Row],[GR Quantity]]&lt;&gt;po_master[[#This Row],[PO Quantity]]), "Qty Variance", "OK")</f>
        <v>OK</v>
      </c>
      <c r="S674" t="str">
        <f>IF(po_master[[#This Row],[Invoice Unit Price]]&gt;po_master[[#This Row],[PO Unit Price]]*1.01, "Price Variance", "OK")</f>
        <v>OK</v>
      </c>
      <c r="T674" t="str">
        <f>IF(po_master[[#This Row],[Actual Delivery Date]]&gt;po_master[[#This Row],[Promised Delivey Date]], "Late Delivery", "OK")</f>
        <v>OK</v>
      </c>
      <c r="U674" t="str">
        <f>IF(COUNTIF(po_master[PO Number],po_master[[#This Row],[PO Number]])&gt;1, "Duplicate Invoice", "OK")</f>
        <v>OK</v>
      </c>
      <c r="V674" s="5">
        <f>IF(po_master[[#This Row],[Missing Approval]]="Missing Approval", 1, 0)</f>
        <v>0</v>
      </c>
      <c r="W674" s="5">
        <f>IF(po_master[[#This Row],[GR Receipt Status]]="No GR - Not Received", 1, 0)</f>
        <v>0</v>
      </c>
      <c r="X674" s="5">
        <f>IF(po_master[[#This Row],[No invoice]]="No Invoice", 1, 0)</f>
        <v>0</v>
      </c>
      <c r="Y674" s="5">
        <f>IF(po_master[[#This Row],[Date Check]]="Invalid Date", 1, 0)</f>
        <v>0</v>
      </c>
      <c r="Z674" s="5">
        <f>IF(po_master[[#This Row],[Qty Variance Flag]]="Qty Variance", 1, 0)</f>
        <v>0</v>
      </c>
      <c r="AA674" s="5">
        <f>IF(po_master[[#This Row],[Price Variance Flag]]="Price Variance", 1, 0)</f>
        <v>0</v>
      </c>
      <c r="AB674" s="5">
        <f>IF(po_master[[#This Row],[Late Delivery Flag]]="Late Delivery", 1, 0)</f>
        <v>0</v>
      </c>
      <c r="AC674" s="5">
        <f>IF(po_master[[#This Row],[Duplicate Invoice Flag]]="Duplicate Invoice", 1, 0)</f>
        <v>0</v>
      </c>
      <c r="AD674" s="5" t="str">
        <f>TEXT(po_master[[#This Row],[Order Date]],"YYYY-MM")</f>
        <v>2026-04</v>
      </c>
    </row>
    <row r="675" spans="1:30" x14ac:dyDescent="0.25">
      <c r="A675" t="s">
        <v>596</v>
      </c>
      <c r="B675" t="s">
        <v>1498</v>
      </c>
      <c r="C675" s="1">
        <v>46119</v>
      </c>
      <c r="D675">
        <v>189</v>
      </c>
      <c r="E675">
        <v>111.47</v>
      </c>
      <c r="F675" t="s">
        <v>1483</v>
      </c>
      <c r="G675" s="1">
        <v>46139</v>
      </c>
      <c r="H675">
        <v>189</v>
      </c>
      <c r="I675" s="1">
        <v>46137</v>
      </c>
      <c r="J675" t="s">
        <v>1379</v>
      </c>
      <c r="K675">
        <v>189</v>
      </c>
      <c r="L675">
        <v>111.47</v>
      </c>
      <c r="M675" s="1">
        <v>46146</v>
      </c>
      <c r="N675" t="str">
        <f>IF(po_master[[#This Row],[Approved By]]="", "Missing Approval", "OK")</f>
        <v>OK</v>
      </c>
      <c r="O675" t="str">
        <f>IF(ISBLANK(po_master[[#This Row],[GR Quantity]]), "No GR - Not received", "OK")</f>
        <v>OK</v>
      </c>
      <c r="P675" t="str">
        <f>IF(po_master[[#This Row],[Promised Delivey Date]]&lt;po_master[[#This Row],[Order Date]], "Invalid", "OK")</f>
        <v>OK</v>
      </c>
      <c r="Q675" t="str">
        <f>IF(ISBLANK(po_master[[#This Row],[Invoice Number]]), "No Invoice", "OK")</f>
        <v>OK</v>
      </c>
      <c r="R675" t="str">
        <f>IF(AND(NOT(ISBLANK(po_master[[#This Row],[GR Quantity]])), po_master[[#This Row],[GR Quantity]]&lt;&gt;po_master[[#This Row],[PO Quantity]]), "Qty Variance", "OK")</f>
        <v>OK</v>
      </c>
      <c r="S675" t="str">
        <f>IF(po_master[[#This Row],[Invoice Unit Price]]&gt;po_master[[#This Row],[PO Unit Price]]*1.01, "Price Variance", "OK")</f>
        <v>OK</v>
      </c>
      <c r="T675" t="str">
        <f>IF(po_master[[#This Row],[Actual Delivery Date]]&gt;po_master[[#This Row],[Promised Delivey Date]], "Late Delivery", "OK")</f>
        <v>OK</v>
      </c>
      <c r="U675" t="str">
        <f>IF(COUNTIF(po_master[PO Number],po_master[[#This Row],[PO Number]])&gt;1, "Duplicate Invoice", "OK")</f>
        <v>OK</v>
      </c>
      <c r="V675" s="5">
        <f>IF(po_master[[#This Row],[Missing Approval]]="Missing Approval", 1, 0)</f>
        <v>0</v>
      </c>
      <c r="W675" s="5">
        <f>IF(po_master[[#This Row],[GR Receipt Status]]="No GR - Not Received", 1, 0)</f>
        <v>0</v>
      </c>
      <c r="X675" s="5">
        <f>IF(po_master[[#This Row],[No invoice]]="No Invoice", 1, 0)</f>
        <v>0</v>
      </c>
      <c r="Y675" s="5">
        <f>IF(po_master[[#This Row],[Date Check]]="Invalid Date", 1, 0)</f>
        <v>0</v>
      </c>
      <c r="Z675" s="5">
        <f>IF(po_master[[#This Row],[Qty Variance Flag]]="Qty Variance", 1, 0)</f>
        <v>0</v>
      </c>
      <c r="AA675" s="5">
        <f>IF(po_master[[#This Row],[Price Variance Flag]]="Price Variance", 1, 0)</f>
        <v>0</v>
      </c>
      <c r="AB675" s="5">
        <f>IF(po_master[[#This Row],[Late Delivery Flag]]="Late Delivery", 1, 0)</f>
        <v>0</v>
      </c>
      <c r="AC675" s="5">
        <f>IF(po_master[[#This Row],[Duplicate Invoice Flag]]="Duplicate Invoice", 1, 0)</f>
        <v>0</v>
      </c>
      <c r="AD675" s="5" t="str">
        <f>TEXT(po_master[[#This Row],[Order Date]],"YYYY-MM")</f>
        <v>2026-04</v>
      </c>
    </row>
    <row r="676" spans="1:30" x14ac:dyDescent="0.25">
      <c r="A676" t="s">
        <v>597</v>
      </c>
      <c r="B676" t="s">
        <v>1493</v>
      </c>
      <c r="C676" s="1">
        <v>46080</v>
      </c>
      <c r="D676">
        <v>93</v>
      </c>
      <c r="E676">
        <v>93</v>
      </c>
      <c r="F676" t="s">
        <v>1459</v>
      </c>
      <c r="G676" s="1">
        <v>46094</v>
      </c>
      <c r="H676">
        <v>85</v>
      </c>
      <c r="I676" s="1">
        <v>46094</v>
      </c>
      <c r="J676" t="s">
        <v>1380</v>
      </c>
      <c r="K676">
        <v>93</v>
      </c>
      <c r="L676">
        <v>93</v>
      </c>
      <c r="M676" s="1">
        <v>46102</v>
      </c>
      <c r="N676" t="str">
        <f>IF(po_master[[#This Row],[Approved By]]="", "Missing Approval", "OK")</f>
        <v>Missing Approval</v>
      </c>
      <c r="O676" t="str">
        <f>IF(ISBLANK(po_master[[#This Row],[GR Quantity]]), "No GR - Not received", "OK")</f>
        <v>OK</v>
      </c>
      <c r="P676" t="str">
        <f>IF(po_master[[#This Row],[Promised Delivey Date]]&lt;po_master[[#This Row],[Order Date]], "Invalid", "OK")</f>
        <v>OK</v>
      </c>
      <c r="Q676" t="str">
        <f>IF(ISBLANK(po_master[[#This Row],[Invoice Number]]), "No Invoice", "OK")</f>
        <v>OK</v>
      </c>
      <c r="R676" t="str">
        <f>IF(AND(NOT(ISBLANK(po_master[[#This Row],[GR Quantity]])), po_master[[#This Row],[GR Quantity]]&lt;&gt;po_master[[#This Row],[PO Quantity]]), "Qty Variance", "OK")</f>
        <v>Qty Variance</v>
      </c>
      <c r="S676" t="str">
        <f>IF(po_master[[#This Row],[Invoice Unit Price]]&gt;po_master[[#This Row],[PO Unit Price]]*1.01, "Price Variance", "OK")</f>
        <v>OK</v>
      </c>
      <c r="T676" t="str">
        <f>IF(po_master[[#This Row],[Actual Delivery Date]]&gt;po_master[[#This Row],[Promised Delivey Date]], "Late Delivery", "OK")</f>
        <v>OK</v>
      </c>
      <c r="U676" t="str">
        <f>IF(COUNTIF(po_master[PO Number],po_master[[#This Row],[PO Number]])&gt;1, "Duplicate Invoice", "OK")</f>
        <v>OK</v>
      </c>
      <c r="V676" s="5">
        <f>IF(po_master[[#This Row],[Missing Approval]]="Missing Approval", 1, 0)</f>
        <v>1</v>
      </c>
      <c r="W676" s="5">
        <f>IF(po_master[[#This Row],[GR Receipt Status]]="No GR - Not Received", 1, 0)</f>
        <v>0</v>
      </c>
      <c r="X676" s="5">
        <f>IF(po_master[[#This Row],[No invoice]]="No Invoice", 1, 0)</f>
        <v>0</v>
      </c>
      <c r="Y676" s="5">
        <f>IF(po_master[[#This Row],[Date Check]]="Invalid Date", 1, 0)</f>
        <v>0</v>
      </c>
      <c r="Z676" s="5">
        <f>IF(po_master[[#This Row],[Qty Variance Flag]]="Qty Variance", 1, 0)</f>
        <v>1</v>
      </c>
      <c r="AA676" s="5">
        <f>IF(po_master[[#This Row],[Price Variance Flag]]="Price Variance", 1, 0)</f>
        <v>0</v>
      </c>
      <c r="AB676" s="5">
        <f>IF(po_master[[#This Row],[Late Delivery Flag]]="Late Delivery", 1, 0)</f>
        <v>0</v>
      </c>
      <c r="AC676" s="5">
        <f>IF(po_master[[#This Row],[Duplicate Invoice Flag]]="Duplicate Invoice", 1, 0)</f>
        <v>0</v>
      </c>
      <c r="AD676" s="5" t="str">
        <f>TEXT(po_master[[#This Row],[Order Date]],"YYYY-MM")</f>
        <v>2026-02</v>
      </c>
    </row>
    <row r="677" spans="1:30" x14ac:dyDescent="0.25">
      <c r="A677" t="s">
        <v>598</v>
      </c>
      <c r="B677" t="s">
        <v>1473</v>
      </c>
      <c r="C677" s="1">
        <v>46104</v>
      </c>
      <c r="D677">
        <v>143</v>
      </c>
      <c r="E677">
        <v>190.57</v>
      </c>
      <c r="F677" t="s">
        <v>1476</v>
      </c>
      <c r="G677" s="1">
        <v>46119</v>
      </c>
      <c r="H677">
        <v>143</v>
      </c>
      <c r="I677" s="1">
        <v>46119</v>
      </c>
      <c r="J677" t="s">
        <v>1381</v>
      </c>
      <c r="K677">
        <v>143</v>
      </c>
      <c r="L677">
        <v>190.57</v>
      </c>
      <c r="M677" s="1">
        <v>46122</v>
      </c>
      <c r="N677" t="str">
        <f>IF(po_master[[#This Row],[Approved By]]="", "Missing Approval", "OK")</f>
        <v>OK</v>
      </c>
      <c r="O677" t="str">
        <f>IF(ISBLANK(po_master[[#This Row],[GR Quantity]]), "No GR - Not received", "OK")</f>
        <v>OK</v>
      </c>
      <c r="P677" t="str">
        <f>IF(po_master[[#This Row],[Promised Delivey Date]]&lt;po_master[[#This Row],[Order Date]], "Invalid", "OK")</f>
        <v>OK</v>
      </c>
      <c r="Q677" t="str">
        <f>IF(ISBLANK(po_master[[#This Row],[Invoice Number]]), "No Invoice", "OK")</f>
        <v>OK</v>
      </c>
      <c r="R677" t="str">
        <f>IF(AND(NOT(ISBLANK(po_master[[#This Row],[GR Quantity]])), po_master[[#This Row],[GR Quantity]]&lt;&gt;po_master[[#This Row],[PO Quantity]]), "Qty Variance", "OK")</f>
        <v>OK</v>
      </c>
      <c r="S677" t="str">
        <f>IF(po_master[[#This Row],[Invoice Unit Price]]&gt;po_master[[#This Row],[PO Unit Price]]*1.01, "Price Variance", "OK")</f>
        <v>OK</v>
      </c>
      <c r="T677" t="str">
        <f>IF(po_master[[#This Row],[Actual Delivery Date]]&gt;po_master[[#This Row],[Promised Delivey Date]], "Late Delivery", "OK")</f>
        <v>OK</v>
      </c>
      <c r="U677" t="str">
        <f>IF(COUNTIF(po_master[PO Number],po_master[[#This Row],[PO Number]])&gt;1, "Duplicate Invoice", "OK")</f>
        <v>OK</v>
      </c>
      <c r="V677" s="5">
        <f>IF(po_master[[#This Row],[Missing Approval]]="Missing Approval", 1, 0)</f>
        <v>0</v>
      </c>
      <c r="W677" s="5">
        <f>IF(po_master[[#This Row],[GR Receipt Status]]="No GR - Not Received", 1, 0)</f>
        <v>0</v>
      </c>
      <c r="X677" s="5">
        <f>IF(po_master[[#This Row],[No invoice]]="No Invoice", 1, 0)</f>
        <v>0</v>
      </c>
      <c r="Y677" s="5">
        <f>IF(po_master[[#This Row],[Date Check]]="Invalid Date", 1, 0)</f>
        <v>0</v>
      </c>
      <c r="Z677" s="5">
        <f>IF(po_master[[#This Row],[Qty Variance Flag]]="Qty Variance", 1, 0)</f>
        <v>0</v>
      </c>
      <c r="AA677" s="5">
        <f>IF(po_master[[#This Row],[Price Variance Flag]]="Price Variance", 1, 0)</f>
        <v>0</v>
      </c>
      <c r="AB677" s="5">
        <f>IF(po_master[[#This Row],[Late Delivery Flag]]="Late Delivery", 1, 0)</f>
        <v>0</v>
      </c>
      <c r="AC677" s="5">
        <f>IF(po_master[[#This Row],[Duplicate Invoice Flag]]="Duplicate Invoice", 1, 0)</f>
        <v>0</v>
      </c>
      <c r="AD677" s="5" t="str">
        <f>TEXT(po_master[[#This Row],[Order Date]],"YYYY-MM")</f>
        <v>2026-03</v>
      </c>
    </row>
    <row r="678" spans="1:30" x14ac:dyDescent="0.25">
      <c r="A678" t="s">
        <v>599</v>
      </c>
      <c r="B678" t="s">
        <v>1460</v>
      </c>
      <c r="C678" s="1">
        <v>46119</v>
      </c>
      <c r="D678">
        <v>92</v>
      </c>
      <c r="E678">
        <v>147.74</v>
      </c>
      <c r="F678" t="s">
        <v>1442</v>
      </c>
      <c r="G678" s="1">
        <v>46126</v>
      </c>
      <c r="H678">
        <v>92</v>
      </c>
      <c r="I678" s="1">
        <v>46125</v>
      </c>
      <c r="J678" t="s">
        <v>1382</v>
      </c>
      <c r="K678">
        <v>92</v>
      </c>
      <c r="L678">
        <v>147.74</v>
      </c>
      <c r="M678" s="1">
        <v>46127</v>
      </c>
      <c r="N678" t="str">
        <f>IF(po_master[[#This Row],[Approved By]]="", "Missing Approval", "OK")</f>
        <v>OK</v>
      </c>
      <c r="O678" t="str">
        <f>IF(ISBLANK(po_master[[#This Row],[GR Quantity]]), "No GR - Not received", "OK")</f>
        <v>OK</v>
      </c>
      <c r="P678" t="str">
        <f>IF(po_master[[#This Row],[Promised Delivey Date]]&lt;po_master[[#This Row],[Order Date]], "Invalid", "OK")</f>
        <v>OK</v>
      </c>
      <c r="Q678" t="str">
        <f>IF(ISBLANK(po_master[[#This Row],[Invoice Number]]), "No Invoice", "OK")</f>
        <v>OK</v>
      </c>
      <c r="R678" t="str">
        <f>IF(AND(NOT(ISBLANK(po_master[[#This Row],[GR Quantity]])), po_master[[#This Row],[GR Quantity]]&lt;&gt;po_master[[#This Row],[PO Quantity]]), "Qty Variance", "OK")</f>
        <v>OK</v>
      </c>
      <c r="S678" t="str">
        <f>IF(po_master[[#This Row],[Invoice Unit Price]]&gt;po_master[[#This Row],[PO Unit Price]]*1.01, "Price Variance", "OK")</f>
        <v>OK</v>
      </c>
      <c r="T678" t="str">
        <f>IF(po_master[[#This Row],[Actual Delivery Date]]&gt;po_master[[#This Row],[Promised Delivey Date]], "Late Delivery", "OK")</f>
        <v>OK</v>
      </c>
      <c r="U678" t="str">
        <f>IF(COUNTIF(po_master[PO Number],po_master[[#This Row],[PO Number]])&gt;1, "Duplicate Invoice", "OK")</f>
        <v>OK</v>
      </c>
      <c r="V678" s="5">
        <f>IF(po_master[[#This Row],[Missing Approval]]="Missing Approval", 1, 0)</f>
        <v>0</v>
      </c>
      <c r="W678" s="5">
        <f>IF(po_master[[#This Row],[GR Receipt Status]]="No GR - Not Received", 1, 0)</f>
        <v>0</v>
      </c>
      <c r="X678" s="5">
        <f>IF(po_master[[#This Row],[No invoice]]="No Invoice", 1, 0)</f>
        <v>0</v>
      </c>
      <c r="Y678" s="5">
        <f>IF(po_master[[#This Row],[Date Check]]="Invalid Date", 1, 0)</f>
        <v>0</v>
      </c>
      <c r="Z678" s="5">
        <f>IF(po_master[[#This Row],[Qty Variance Flag]]="Qty Variance", 1, 0)</f>
        <v>0</v>
      </c>
      <c r="AA678" s="5">
        <f>IF(po_master[[#This Row],[Price Variance Flag]]="Price Variance", 1, 0)</f>
        <v>0</v>
      </c>
      <c r="AB678" s="5">
        <f>IF(po_master[[#This Row],[Late Delivery Flag]]="Late Delivery", 1, 0)</f>
        <v>0</v>
      </c>
      <c r="AC678" s="5">
        <f>IF(po_master[[#This Row],[Duplicate Invoice Flag]]="Duplicate Invoice", 1, 0)</f>
        <v>0</v>
      </c>
      <c r="AD678" s="5" t="str">
        <f>TEXT(po_master[[#This Row],[Order Date]],"YYYY-MM")</f>
        <v>2026-04</v>
      </c>
    </row>
    <row r="679" spans="1:30" x14ac:dyDescent="0.25">
      <c r="A679" t="s">
        <v>600</v>
      </c>
      <c r="B679" t="s">
        <v>1479</v>
      </c>
      <c r="C679" s="1">
        <v>46146</v>
      </c>
      <c r="D679">
        <v>370</v>
      </c>
      <c r="E679">
        <v>11.04</v>
      </c>
      <c r="F679" t="s">
        <v>1446</v>
      </c>
      <c r="G679" s="1">
        <v>46156</v>
      </c>
      <c r="H679">
        <v>370</v>
      </c>
      <c r="I679" s="1">
        <v>46157</v>
      </c>
      <c r="J679" t="s">
        <v>1383</v>
      </c>
      <c r="K679">
        <v>370</v>
      </c>
      <c r="L679">
        <v>11.04</v>
      </c>
      <c r="M679" s="1">
        <v>46160</v>
      </c>
      <c r="N679" t="str">
        <f>IF(po_master[[#This Row],[Approved By]]="", "Missing Approval", "OK")</f>
        <v>OK</v>
      </c>
      <c r="O679" t="str">
        <f>IF(ISBLANK(po_master[[#This Row],[GR Quantity]]), "No GR - Not received", "OK")</f>
        <v>OK</v>
      </c>
      <c r="P679" t="str">
        <f>IF(po_master[[#This Row],[Promised Delivey Date]]&lt;po_master[[#This Row],[Order Date]], "Invalid", "OK")</f>
        <v>OK</v>
      </c>
      <c r="Q679" t="str">
        <f>IF(ISBLANK(po_master[[#This Row],[Invoice Number]]), "No Invoice", "OK")</f>
        <v>OK</v>
      </c>
      <c r="R679" t="str">
        <f>IF(AND(NOT(ISBLANK(po_master[[#This Row],[GR Quantity]])), po_master[[#This Row],[GR Quantity]]&lt;&gt;po_master[[#This Row],[PO Quantity]]), "Qty Variance", "OK")</f>
        <v>OK</v>
      </c>
      <c r="S679" t="str">
        <f>IF(po_master[[#This Row],[Invoice Unit Price]]&gt;po_master[[#This Row],[PO Unit Price]]*1.01, "Price Variance", "OK")</f>
        <v>OK</v>
      </c>
      <c r="T679" t="str">
        <f>IF(po_master[[#This Row],[Actual Delivery Date]]&gt;po_master[[#This Row],[Promised Delivey Date]], "Late Delivery", "OK")</f>
        <v>Late Delivery</v>
      </c>
      <c r="U679" t="str">
        <f>IF(COUNTIF(po_master[PO Number],po_master[[#This Row],[PO Number]])&gt;1, "Duplicate Invoice", "OK")</f>
        <v>OK</v>
      </c>
      <c r="V679" s="5">
        <f>IF(po_master[[#This Row],[Missing Approval]]="Missing Approval", 1, 0)</f>
        <v>0</v>
      </c>
      <c r="W679" s="5">
        <f>IF(po_master[[#This Row],[GR Receipt Status]]="No GR - Not Received", 1, 0)</f>
        <v>0</v>
      </c>
      <c r="X679" s="5">
        <f>IF(po_master[[#This Row],[No invoice]]="No Invoice", 1, 0)</f>
        <v>0</v>
      </c>
      <c r="Y679" s="5">
        <f>IF(po_master[[#This Row],[Date Check]]="Invalid Date", 1, 0)</f>
        <v>0</v>
      </c>
      <c r="Z679" s="5">
        <f>IF(po_master[[#This Row],[Qty Variance Flag]]="Qty Variance", 1, 0)</f>
        <v>0</v>
      </c>
      <c r="AA679" s="5">
        <f>IF(po_master[[#This Row],[Price Variance Flag]]="Price Variance", 1, 0)</f>
        <v>0</v>
      </c>
      <c r="AB679" s="5">
        <f>IF(po_master[[#This Row],[Late Delivery Flag]]="Late Delivery", 1, 0)</f>
        <v>1</v>
      </c>
      <c r="AC679" s="5">
        <f>IF(po_master[[#This Row],[Duplicate Invoice Flag]]="Duplicate Invoice", 1, 0)</f>
        <v>0</v>
      </c>
      <c r="AD679" s="5" t="str">
        <f>TEXT(po_master[[#This Row],[Order Date]],"YYYY-MM")</f>
        <v>2026-05</v>
      </c>
    </row>
    <row r="680" spans="1:30" x14ac:dyDescent="0.25">
      <c r="A680" t="s">
        <v>601</v>
      </c>
      <c r="B680" t="s">
        <v>1468</v>
      </c>
      <c r="C680" s="1">
        <v>46134</v>
      </c>
      <c r="D680">
        <v>90</v>
      </c>
      <c r="E680">
        <v>15.44</v>
      </c>
      <c r="F680" t="s">
        <v>1472</v>
      </c>
      <c r="G680" s="1">
        <v>46145</v>
      </c>
      <c r="H680">
        <v>90</v>
      </c>
      <c r="I680" s="1">
        <v>46144</v>
      </c>
      <c r="J680" t="s">
        <v>1384</v>
      </c>
      <c r="K680">
        <v>90</v>
      </c>
      <c r="L680">
        <v>15.44</v>
      </c>
      <c r="M680" s="1">
        <v>46151</v>
      </c>
      <c r="N680" t="str">
        <f>IF(po_master[[#This Row],[Approved By]]="", "Missing Approval", "OK")</f>
        <v>OK</v>
      </c>
      <c r="O680" t="str">
        <f>IF(ISBLANK(po_master[[#This Row],[GR Quantity]]), "No GR - Not received", "OK")</f>
        <v>OK</v>
      </c>
      <c r="P680" t="str">
        <f>IF(po_master[[#This Row],[Promised Delivey Date]]&lt;po_master[[#This Row],[Order Date]], "Invalid", "OK")</f>
        <v>OK</v>
      </c>
      <c r="Q680" t="str">
        <f>IF(ISBLANK(po_master[[#This Row],[Invoice Number]]), "No Invoice", "OK")</f>
        <v>OK</v>
      </c>
      <c r="R680" t="str">
        <f>IF(AND(NOT(ISBLANK(po_master[[#This Row],[GR Quantity]])), po_master[[#This Row],[GR Quantity]]&lt;&gt;po_master[[#This Row],[PO Quantity]]), "Qty Variance", "OK")</f>
        <v>OK</v>
      </c>
      <c r="S680" t="str">
        <f>IF(po_master[[#This Row],[Invoice Unit Price]]&gt;po_master[[#This Row],[PO Unit Price]]*1.01, "Price Variance", "OK")</f>
        <v>OK</v>
      </c>
      <c r="T680" t="str">
        <f>IF(po_master[[#This Row],[Actual Delivery Date]]&gt;po_master[[#This Row],[Promised Delivey Date]], "Late Delivery", "OK")</f>
        <v>OK</v>
      </c>
      <c r="U680" t="str">
        <f>IF(COUNTIF(po_master[PO Number],po_master[[#This Row],[PO Number]])&gt;1, "Duplicate Invoice", "OK")</f>
        <v>OK</v>
      </c>
      <c r="V680" s="5">
        <f>IF(po_master[[#This Row],[Missing Approval]]="Missing Approval", 1, 0)</f>
        <v>0</v>
      </c>
      <c r="W680" s="5">
        <f>IF(po_master[[#This Row],[GR Receipt Status]]="No GR - Not Received", 1, 0)</f>
        <v>0</v>
      </c>
      <c r="X680" s="5">
        <f>IF(po_master[[#This Row],[No invoice]]="No Invoice", 1, 0)</f>
        <v>0</v>
      </c>
      <c r="Y680" s="5">
        <f>IF(po_master[[#This Row],[Date Check]]="Invalid Date", 1, 0)</f>
        <v>0</v>
      </c>
      <c r="Z680" s="5">
        <f>IF(po_master[[#This Row],[Qty Variance Flag]]="Qty Variance", 1, 0)</f>
        <v>0</v>
      </c>
      <c r="AA680" s="5">
        <f>IF(po_master[[#This Row],[Price Variance Flag]]="Price Variance", 1, 0)</f>
        <v>0</v>
      </c>
      <c r="AB680" s="5">
        <f>IF(po_master[[#This Row],[Late Delivery Flag]]="Late Delivery", 1, 0)</f>
        <v>0</v>
      </c>
      <c r="AC680" s="5">
        <f>IF(po_master[[#This Row],[Duplicate Invoice Flag]]="Duplicate Invoice", 1, 0)</f>
        <v>0</v>
      </c>
      <c r="AD680" s="5" t="str">
        <f>TEXT(po_master[[#This Row],[Order Date]],"YYYY-MM")</f>
        <v>2026-04</v>
      </c>
    </row>
    <row r="681" spans="1:30" x14ac:dyDescent="0.25">
      <c r="A681" t="s">
        <v>602</v>
      </c>
      <c r="B681" t="s">
        <v>1505</v>
      </c>
      <c r="C681" s="1">
        <v>46127</v>
      </c>
      <c r="D681">
        <v>366</v>
      </c>
      <c r="E681">
        <v>113.05</v>
      </c>
      <c r="F681" t="s">
        <v>1490</v>
      </c>
      <c r="G681" s="1">
        <v>46140</v>
      </c>
      <c r="H681">
        <v>366</v>
      </c>
      <c r="I681" s="1">
        <v>46141</v>
      </c>
      <c r="J681" t="s">
        <v>1385</v>
      </c>
      <c r="K681">
        <v>366</v>
      </c>
      <c r="L681">
        <v>113.05</v>
      </c>
      <c r="M681" s="1">
        <v>46145</v>
      </c>
      <c r="N681" t="str">
        <f>IF(po_master[[#This Row],[Approved By]]="", "Missing Approval", "OK")</f>
        <v>OK</v>
      </c>
      <c r="O681" t="str">
        <f>IF(ISBLANK(po_master[[#This Row],[GR Quantity]]), "No GR - Not received", "OK")</f>
        <v>OK</v>
      </c>
      <c r="P681" t="str">
        <f>IF(po_master[[#This Row],[Promised Delivey Date]]&lt;po_master[[#This Row],[Order Date]], "Invalid", "OK")</f>
        <v>OK</v>
      </c>
      <c r="Q681" t="str">
        <f>IF(ISBLANK(po_master[[#This Row],[Invoice Number]]), "No Invoice", "OK")</f>
        <v>OK</v>
      </c>
      <c r="R681" t="str">
        <f>IF(AND(NOT(ISBLANK(po_master[[#This Row],[GR Quantity]])), po_master[[#This Row],[GR Quantity]]&lt;&gt;po_master[[#This Row],[PO Quantity]]), "Qty Variance", "OK")</f>
        <v>OK</v>
      </c>
      <c r="S681" t="str">
        <f>IF(po_master[[#This Row],[Invoice Unit Price]]&gt;po_master[[#This Row],[PO Unit Price]]*1.01, "Price Variance", "OK")</f>
        <v>OK</v>
      </c>
      <c r="T681" t="str">
        <f>IF(po_master[[#This Row],[Actual Delivery Date]]&gt;po_master[[#This Row],[Promised Delivey Date]], "Late Delivery", "OK")</f>
        <v>Late Delivery</v>
      </c>
      <c r="U681" t="str">
        <f>IF(COUNTIF(po_master[PO Number],po_master[[#This Row],[PO Number]])&gt;1, "Duplicate Invoice", "OK")</f>
        <v>OK</v>
      </c>
      <c r="V681" s="5">
        <f>IF(po_master[[#This Row],[Missing Approval]]="Missing Approval", 1, 0)</f>
        <v>0</v>
      </c>
      <c r="W681" s="5">
        <f>IF(po_master[[#This Row],[GR Receipt Status]]="No GR - Not Received", 1, 0)</f>
        <v>0</v>
      </c>
      <c r="X681" s="5">
        <f>IF(po_master[[#This Row],[No invoice]]="No Invoice", 1, 0)</f>
        <v>0</v>
      </c>
      <c r="Y681" s="5">
        <f>IF(po_master[[#This Row],[Date Check]]="Invalid Date", 1, 0)</f>
        <v>0</v>
      </c>
      <c r="Z681" s="5">
        <f>IF(po_master[[#This Row],[Qty Variance Flag]]="Qty Variance", 1, 0)</f>
        <v>0</v>
      </c>
      <c r="AA681" s="5">
        <f>IF(po_master[[#This Row],[Price Variance Flag]]="Price Variance", 1, 0)</f>
        <v>0</v>
      </c>
      <c r="AB681" s="5">
        <f>IF(po_master[[#This Row],[Late Delivery Flag]]="Late Delivery", 1, 0)</f>
        <v>1</v>
      </c>
      <c r="AC681" s="5">
        <f>IF(po_master[[#This Row],[Duplicate Invoice Flag]]="Duplicate Invoice", 1, 0)</f>
        <v>0</v>
      </c>
      <c r="AD681" s="5" t="str">
        <f>TEXT(po_master[[#This Row],[Order Date]],"YYYY-MM")</f>
        <v>2026-04</v>
      </c>
    </row>
    <row r="682" spans="1:30" x14ac:dyDescent="0.25">
      <c r="A682" t="s">
        <v>603</v>
      </c>
      <c r="B682" t="s">
        <v>1484</v>
      </c>
      <c r="C682" s="1">
        <v>46095</v>
      </c>
      <c r="D682">
        <v>162</v>
      </c>
      <c r="E682">
        <v>51.32</v>
      </c>
      <c r="F682" t="s">
        <v>1462</v>
      </c>
      <c r="G682" s="1">
        <v>46112</v>
      </c>
      <c r="H682">
        <v>162</v>
      </c>
      <c r="I682" s="1">
        <v>46113</v>
      </c>
      <c r="J682" t="s">
        <v>1386</v>
      </c>
      <c r="K682">
        <v>162</v>
      </c>
      <c r="L682">
        <v>51.32</v>
      </c>
      <c r="M682" s="1">
        <v>46120</v>
      </c>
      <c r="N682" t="str">
        <f>IF(po_master[[#This Row],[Approved By]]="", "Missing Approval", "OK")</f>
        <v>OK</v>
      </c>
      <c r="O682" t="str">
        <f>IF(ISBLANK(po_master[[#This Row],[GR Quantity]]), "No GR - Not received", "OK")</f>
        <v>OK</v>
      </c>
      <c r="P682" t="str">
        <f>IF(po_master[[#This Row],[Promised Delivey Date]]&lt;po_master[[#This Row],[Order Date]], "Invalid", "OK")</f>
        <v>OK</v>
      </c>
      <c r="Q682" t="str">
        <f>IF(ISBLANK(po_master[[#This Row],[Invoice Number]]), "No Invoice", "OK")</f>
        <v>OK</v>
      </c>
      <c r="R682" t="str">
        <f>IF(AND(NOT(ISBLANK(po_master[[#This Row],[GR Quantity]])), po_master[[#This Row],[GR Quantity]]&lt;&gt;po_master[[#This Row],[PO Quantity]]), "Qty Variance", "OK")</f>
        <v>OK</v>
      </c>
      <c r="S682" t="str">
        <f>IF(po_master[[#This Row],[Invoice Unit Price]]&gt;po_master[[#This Row],[PO Unit Price]]*1.01, "Price Variance", "OK")</f>
        <v>OK</v>
      </c>
      <c r="T682" t="str">
        <f>IF(po_master[[#This Row],[Actual Delivery Date]]&gt;po_master[[#This Row],[Promised Delivey Date]], "Late Delivery", "OK")</f>
        <v>Late Delivery</v>
      </c>
      <c r="U682" t="str">
        <f>IF(COUNTIF(po_master[PO Number],po_master[[#This Row],[PO Number]])&gt;1, "Duplicate Invoice", "OK")</f>
        <v>OK</v>
      </c>
      <c r="V682" s="5">
        <f>IF(po_master[[#This Row],[Missing Approval]]="Missing Approval", 1, 0)</f>
        <v>0</v>
      </c>
      <c r="W682" s="5">
        <f>IF(po_master[[#This Row],[GR Receipt Status]]="No GR - Not Received", 1, 0)</f>
        <v>0</v>
      </c>
      <c r="X682" s="5">
        <f>IF(po_master[[#This Row],[No invoice]]="No Invoice", 1, 0)</f>
        <v>0</v>
      </c>
      <c r="Y682" s="5">
        <f>IF(po_master[[#This Row],[Date Check]]="Invalid Date", 1, 0)</f>
        <v>0</v>
      </c>
      <c r="Z682" s="5">
        <f>IF(po_master[[#This Row],[Qty Variance Flag]]="Qty Variance", 1, 0)</f>
        <v>0</v>
      </c>
      <c r="AA682" s="5">
        <f>IF(po_master[[#This Row],[Price Variance Flag]]="Price Variance", 1, 0)</f>
        <v>0</v>
      </c>
      <c r="AB682" s="5">
        <f>IF(po_master[[#This Row],[Late Delivery Flag]]="Late Delivery", 1, 0)</f>
        <v>1</v>
      </c>
      <c r="AC682" s="5">
        <f>IF(po_master[[#This Row],[Duplicate Invoice Flag]]="Duplicate Invoice", 1, 0)</f>
        <v>0</v>
      </c>
      <c r="AD682" s="5" t="str">
        <f>TEXT(po_master[[#This Row],[Order Date]],"YYYY-MM")</f>
        <v>2026-03</v>
      </c>
    </row>
    <row r="683" spans="1:30" x14ac:dyDescent="0.25">
      <c r="A683" t="s">
        <v>604</v>
      </c>
      <c r="B683" t="s">
        <v>1493</v>
      </c>
      <c r="C683" s="1">
        <v>46163</v>
      </c>
      <c r="D683">
        <v>440</v>
      </c>
      <c r="E683">
        <v>100.73</v>
      </c>
      <c r="F683" t="s">
        <v>1462</v>
      </c>
      <c r="G683" s="1">
        <v>46179</v>
      </c>
      <c r="H683">
        <v>440</v>
      </c>
      <c r="I683" s="1">
        <v>46180</v>
      </c>
      <c r="J683" t="s">
        <v>1387</v>
      </c>
      <c r="K683">
        <v>440</v>
      </c>
      <c r="L683">
        <v>100.73</v>
      </c>
      <c r="M683" s="1">
        <v>46186</v>
      </c>
      <c r="N683" t="str">
        <f>IF(po_master[[#This Row],[Approved By]]="", "Missing Approval", "OK")</f>
        <v>OK</v>
      </c>
      <c r="O683" t="str">
        <f>IF(ISBLANK(po_master[[#This Row],[GR Quantity]]), "No GR - Not received", "OK")</f>
        <v>OK</v>
      </c>
      <c r="P683" t="str">
        <f>IF(po_master[[#This Row],[Promised Delivey Date]]&lt;po_master[[#This Row],[Order Date]], "Invalid", "OK")</f>
        <v>OK</v>
      </c>
      <c r="Q683" t="str">
        <f>IF(ISBLANK(po_master[[#This Row],[Invoice Number]]), "No Invoice", "OK")</f>
        <v>OK</v>
      </c>
      <c r="R683" t="str">
        <f>IF(AND(NOT(ISBLANK(po_master[[#This Row],[GR Quantity]])), po_master[[#This Row],[GR Quantity]]&lt;&gt;po_master[[#This Row],[PO Quantity]]), "Qty Variance", "OK")</f>
        <v>OK</v>
      </c>
      <c r="S683" t="str">
        <f>IF(po_master[[#This Row],[Invoice Unit Price]]&gt;po_master[[#This Row],[PO Unit Price]]*1.01, "Price Variance", "OK")</f>
        <v>OK</v>
      </c>
      <c r="T683" t="str">
        <f>IF(po_master[[#This Row],[Actual Delivery Date]]&gt;po_master[[#This Row],[Promised Delivey Date]], "Late Delivery", "OK")</f>
        <v>Late Delivery</v>
      </c>
      <c r="U683" t="str">
        <f>IF(COUNTIF(po_master[PO Number],po_master[[#This Row],[PO Number]])&gt;1, "Duplicate Invoice", "OK")</f>
        <v>Duplicate Invoice</v>
      </c>
      <c r="V683" s="5">
        <f>IF(po_master[[#This Row],[Missing Approval]]="Missing Approval", 1, 0)</f>
        <v>0</v>
      </c>
      <c r="W683" s="5">
        <f>IF(po_master[[#This Row],[GR Receipt Status]]="No GR - Not Received", 1, 0)</f>
        <v>0</v>
      </c>
      <c r="X683" s="5">
        <f>IF(po_master[[#This Row],[No invoice]]="No Invoice", 1, 0)</f>
        <v>0</v>
      </c>
      <c r="Y683" s="5">
        <f>IF(po_master[[#This Row],[Date Check]]="Invalid Date", 1, 0)</f>
        <v>0</v>
      </c>
      <c r="Z683" s="5">
        <f>IF(po_master[[#This Row],[Qty Variance Flag]]="Qty Variance", 1, 0)</f>
        <v>0</v>
      </c>
      <c r="AA683" s="5">
        <f>IF(po_master[[#This Row],[Price Variance Flag]]="Price Variance", 1, 0)</f>
        <v>0</v>
      </c>
      <c r="AB683" s="5">
        <f>IF(po_master[[#This Row],[Late Delivery Flag]]="Late Delivery", 1, 0)</f>
        <v>1</v>
      </c>
      <c r="AC683" s="5">
        <f>IF(po_master[[#This Row],[Duplicate Invoice Flag]]="Duplicate Invoice", 1, 0)</f>
        <v>1</v>
      </c>
      <c r="AD683" s="5" t="str">
        <f>TEXT(po_master[[#This Row],[Order Date]],"YYYY-MM")</f>
        <v>2026-05</v>
      </c>
    </row>
    <row r="684" spans="1:30" x14ac:dyDescent="0.25">
      <c r="A684" t="s">
        <v>604</v>
      </c>
      <c r="B684" t="s">
        <v>1493</v>
      </c>
      <c r="C684" s="1">
        <v>46163</v>
      </c>
      <c r="D684">
        <v>440</v>
      </c>
      <c r="E684">
        <v>100.73</v>
      </c>
      <c r="F684" t="s">
        <v>1462</v>
      </c>
      <c r="G684" s="1">
        <v>46179</v>
      </c>
      <c r="H684">
        <v>440</v>
      </c>
      <c r="I684" s="1">
        <v>46180</v>
      </c>
      <c r="J684" t="s">
        <v>1388</v>
      </c>
      <c r="K684">
        <v>440</v>
      </c>
      <c r="L684">
        <v>100.73</v>
      </c>
      <c r="M684" s="1">
        <v>46188</v>
      </c>
      <c r="N684" t="str">
        <f>IF(po_master[[#This Row],[Approved By]]="", "Missing Approval", "OK")</f>
        <v>OK</v>
      </c>
      <c r="O684" t="str">
        <f>IF(ISBLANK(po_master[[#This Row],[GR Quantity]]), "No GR - Not received", "OK")</f>
        <v>OK</v>
      </c>
      <c r="P684" t="str">
        <f>IF(po_master[[#This Row],[Promised Delivey Date]]&lt;po_master[[#This Row],[Order Date]], "Invalid", "OK")</f>
        <v>OK</v>
      </c>
      <c r="Q684" t="str">
        <f>IF(ISBLANK(po_master[[#This Row],[Invoice Number]]), "No Invoice", "OK")</f>
        <v>OK</v>
      </c>
      <c r="R684" t="str">
        <f>IF(AND(NOT(ISBLANK(po_master[[#This Row],[GR Quantity]])), po_master[[#This Row],[GR Quantity]]&lt;&gt;po_master[[#This Row],[PO Quantity]]), "Qty Variance", "OK")</f>
        <v>OK</v>
      </c>
      <c r="S684" t="str">
        <f>IF(po_master[[#This Row],[Invoice Unit Price]]&gt;po_master[[#This Row],[PO Unit Price]]*1.01, "Price Variance", "OK")</f>
        <v>OK</v>
      </c>
      <c r="T684" t="str">
        <f>IF(po_master[[#This Row],[Actual Delivery Date]]&gt;po_master[[#This Row],[Promised Delivey Date]], "Late Delivery", "OK")</f>
        <v>Late Delivery</v>
      </c>
      <c r="U684" t="str">
        <f>IF(COUNTIF(po_master[PO Number],po_master[[#This Row],[PO Number]])&gt;1, "Duplicate Invoice", "OK")</f>
        <v>Duplicate Invoice</v>
      </c>
      <c r="V684" s="5">
        <f>IF(po_master[[#This Row],[Missing Approval]]="Missing Approval", 1, 0)</f>
        <v>0</v>
      </c>
      <c r="W684" s="5">
        <f>IF(po_master[[#This Row],[GR Receipt Status]]="No GR - Not Received", 1, 0)</f>
        <v>0</v>
      </c>
      <c r="X684" s="5">
        <f>IF(po_master[[#This Row],[No invoice]]="No Invoice", 1, 0)</f>
        <v>0</v>
      </c>
      <c r="Y684" s="5">
        <f>IF(po_master[[#This Row],[Date Check]]="Invalid Date", 1, 0)</f>
        <v>0</v>
      </c>
      <c r="Z684" s="5">
        <f>IF(po_master[[#This Row],[Qty Variance Flag]]="Qty Variance", 1, 0)</f>
        <v>0</v>
      </c>
      <c r="AA684" s="5">
        <f>IF(po_master[[#This Row],[Price Variance Flag]]="Price Variance", 1, 0)</f>
        <v>0</v>
      </c>
      <c r="AB684" s="5">
        <f>IF(po_master[[#This Row],[Late Delivery Flag]]="Late Delivery", 1, 0)</f>
        <v>1</v>
      </c>
      <c r="AC684" s="5">
        <f>IF(po_master[[#This Row],[Duplicate Invoice Flag]]="Duplicate Invoice", 1, 0)</f>
        <v>1</v>
      </c>
      <c r="AD684" s="5" t="str">
        <f>TEXT(po_master[[#This Row],[Order Date]],"YYYY-MM")</f>
        <v>2026-05</v>
      </c>
    </row>
    <row r="685" spans="1:30" x14ac:dyDescent="0.25">
      <c r="A685" t="s">
        <v>605</v>
      </c>
      <c r="B685" t="s">
        <v>1481</v>
      </c>
      <c r="C685" s="1">
        <v>46132</v>
      </c>
      <c r="D685">
        <v>54</v>
      </c>
      <c r="E685">
        <v>62.44</v>
      </c>
      <c r="F685" t="s">
        <v>1467</v>
      </c>
      <c r="G685" s="1">
        <v>46152</v>
      </c>
      <c r="H685">
        <v>54</v>
      </c>
      <c r="I685" s="1">
        <v>46153</v>
      </c>
      <c r="J685" t="s">
        <v>1389</v>
      </c>
      <c r="K685">
        <v>54</v>
      </c>
      <c r="L685">
        <v>62.44</v>
      </c>
      <c r="M685" s="1">
        <v>46157</v>
      </c>
      <c r="N685" t="str">
        <f>IF(po_master[[#This Row],[Approved By]]="", "Missing Approval", "OK")</f>
        <v>OK</v>
      </c>
      <c r="O685" t="str">
        <f>IF(ISBLANK(po_master[[#This Row],[GR Quantity]]), "No GR - Not received", "OK")</f>
        <v>OK</v>
      </c>
      <c r="P685" t="str">
        <f>IF(po_master[[#This Row],[Promised Delivey Date]]&lt;po_master[[#This Row],[Order Date]], "Invalid", "OK")</f>
        <v>OK</v>
      </c>
      <c r="Q685" t="str">
        <f>IF(ISBLANK(po_master[[#This Row],[Invoice Number]]), "No Invoice", "OK")</f>
        <v>OK</v>
      </c>
      <c r="R685" t="str">
        <f>IF(AND(NOT(ISBLANK(po_master[[#This Row],[GR Quantity]])), po_master[[#This Row],[GR Quantity]]&lt;&gt;po_master[[#This Row],[PO Quantity]]), "Qty Variance", "OK")</f>
        <v>OK</v>
      </c>
      <c r="S685" t="str">
        <f>IF(po_master[[#This Row],[Invoice Unit Price]]&gt;po_master[[#This Row],[PO Unit Price]]*1.01, "Price Variance", "OK")</f>
        <v>OK</v>
      </c>
      <c r="T685" t="str">
        <f>IF(po_master[[#This Row],[Actual Delivery Date]]&gt;po_master[[#This Row],[Promised Delivey Date]], "Late Delivery", "OK")</f>
        <v>Late Delivery</v>
      </c>
      <c r="U685" t="str">
        <f>IF(COUNTIF(po_master[PO Number],po_master[[#This Row],[PO Number]])&gt;1, "Duplicate Invoice", "OK")</f>
        <v>OK</v>
      </c>
      <c r="V685" s="5">
        <f>IF(po_master[[#This Row],[Missing Approval]]="Missing Approval", 1, 0)</f>
        <v>0</v>
      </c>
      <c r="W685" s="5">
        <f>IF(po_master[[#This Row],[GR Receipt Status]]="No GR - Not Received", 1, 0)</f>
        <v>0</v>
      </c>
      <c r="X685" s="5">
        <f>IF(po_master[[#This Row],[No invoice]]="No Invoice", 1, 0)</f>
        <v>0</v>
      </c>
      <c r="Y685" s="5">
        <f>IF(po_master[[#This Row],[Date Check]]="Invalid Date", 1, 0)</f>
        <v>0</v>
      </c>
      <c r="Z685" s="5">
        <f>IF(po_master[[#This Row],[Qty Variance Flag]]="Qty Variance", 1, 0)</f>
        <v>0</v>
      </c>
      <c r="AA685" s="5">
        <f>IF(po_master[[#This Row],[Price Variance Flag]]="Price Variance", 1, 0)</f>
        <v>0</v>
      </c>
      <c r="AB685" s="5">
        <f>IF(po_master[[#This Row],[Late Delivery Flag]]="Late Delivery", 1, 0)</f>
        <v>1</v>
      </c>
      <c r="AC685" s="5">
        <f>IF(po_master[[#This Row],[Duplicate Invoice Flag]]="Duplicate Invoice", 1, 0)</f>
        <v>0</v>
      </c>
      <c r="AD685" s="5" t="str">
        <f>TEXT(po_master[[#This Row],[Order Date]],"YYYY-MM")</f>
        <v>2026-04</v>
      </c>
    </row>
    <row r="686" spans="1:30" x14ac:dyDescent="0.25">
      <c r="A686" t="s">
        <v>606</v>
      </c>
      <c r="B686" t="s">
        <v>1505</v>
      </c>
      <c r="C686" s="1">
        <v>46047</v>
      </c>
      <c r="D686">
        <v>23</v>
      </c>
      <c r="E686">
        <v>45.36</v>
      </c>
      <c r="F686" t="s">
        <v>1446</v>
      </c>
      <c r="G686" s="1">
        <v>46061</v>
      </c>
      <c r="H686">
        <v>23</v>
      </c>
      <c r="I686" s="1">
        <v>46061</v>
      </c>
      <c r="J686" t="s">
        <v>1390</v>
      </c>
      <c r="K686">
        <v>23</v>
      </c>
      <c r="L686">
        <v>45.36</v>
      </c>
      <c r="M686" s="1">
        <v>46067</v>
      </c>
      <c r="N686" t="str">
        <f>IF(po_master[[#This Row],[Approved By]]="", "Missing Approval", "OK")</f>
        <v>OK</v>
      </c>
      <c r="O686" t="str">
        <f>IF(ISBLANK(po_master[[#This Row],[GR Quantity]]), "No GR - Not received", "OK")</f>
        <v>OK</v>
      </c>
      <c r="P686" t="str">
        <f>IF(po_master[[#This Row],[Promised Delivey Date]]&lt;po_master[[#This Row],[Order Date]], "Invalid", "OK")</f>
        <v>OK</v>
      </c>
      <c r="Q686" t="str">
        <f>IF(ISBLANK(po_master[[#This Row],[Invoice Number]]), "No Invoice", "OK")</f>
        <v>OK</v>
      </c>
      <c r="R686" t="str">
        <f>IF(AND(NOT(ISBLANK(po_master[[#This Row],[GR Quantity]])), po_master[[#This Row],[GR Quantity]]&lt;&gt;po_master[[#This Row],[PO Quantity]]), "Qty Variance", "OK")</f>
        <v>OK</v>
      </c>
      <c r="S686" t="str">
        <f>IF(po_master[[#This Row],[Invoice Unit Price]]&gt;po_master[[#This Row],[PO Unit Price]]*1.01, "Price Variance", "OK")</f>
        <v>OK</v>
      </c>
      <c r="T686" t="str">
        <f>IF(po_master[[#This Row],[Actual Delivery Date]]&gt;po_master[[#This Row],[Promised Delivey Date]], "Late Delivery", "OK")</f>
        <v>OK</v>
      </c>
      <c r="U686" t="str">
        <f>IF(COUNTIF(po_master[PO Number],po_master[[#This Row],[PO Number]])&gt;1, "Duplicate Invoice", "OK")</f>
        <v>OK</v>
      </c>
      <c r="V686" s="5">
        <f>IF(po_master[[#This Row],[Missing Approval]]="Missing Approval", 1, 0)</f>
        <v>0</v>
      </c>
      <c r="W686" s="5">
        <f>IF(po_master[[#This Row],[GR Receipt Status]]="No GR - Not Received", 1, 0)</f>
        <v>0</v>
      </c>
      <c r="X686" s="5">
        <f>IF(po_master[[#This Row],[No invoice]]="No Invoice", 1, 0)</f>
        <v>0</v>
      </c>
      <c r="Y686" s="5">
        <f>IF(po_master[[#This Row],[Date Check]]="Invalid Date", 1, 0)</f>
        <v>0</v>
      </c>
      <c r="Z686" s="5">
        <f>IF(po_master[[#This Row],[Qty Variance Flag]]="Qty Variance", 1, 0)</f>
        <v>0</v>
      </c>
      <c r="AA686" s="5">
        <f>IF(po_master[[#This Row],[Price Variance Flag]]="Price Variance", 1, 0)</f>
        <v>0</v>
      </c>
      <c r="AB686" s="5">
        <f>IF(po_master[[#This Row],[Late Delivery Flag]]="Late Delivery", 1, 0)</f>
        <v>0</v>
      </c>
      <c r="AC686" s="5">
        <f>IF(po_master[[#This Row],[Duplicate Invoice Flag]]="Duplicate Invoice", 1, 0)</f>
        <v>0</v>
      </c>
      <c r="AD686" s="5" t="str">
        <f>TEXT(po_master[[#This Row],[Order Date]],"YYYY-MM")</f>
        <v>2026-01</v>
      </c>
    </row>
    <row r="687" spans="1:30" x14ac:dyDescent="0.25">
      <c r="A687" t="s">
        <v>607</v>
      </c>
      <c r="B687" t="s">
        <v>1457</v>
      </c>
      <c r="C687" s="1">
        <v>46144</v>
      </c>
      <c r="D687">
        <v>442</v>
      </c>
      <c r="E687">
        <v>27.52</v>
      </c>
      <c r="F687" t="s">
        <v>1453</v>
      </c>
      <c r="G687" s="1">
        <v>46164</v>
      </c>
      <c r="H687">
        <v>442</v>
      </c>
      <c r="I687" s="1">
        <v>46166</v>
      </c>
      <c r="J687" t="s">
        <v>1391</v>
      </c>
      <c r="K687">
        <v>442</v>
      </c>
      <c r="L687">
        <v>27.52</v>
      </c>
      <c r="M687" s="1">
        <v>46168</v>
      </c>
      <c r="N687" t="str">
        <f>IF(po_master[[#This Row],[Approved By]]="", "Missing Approval", "OK")</f>
        <v>OK</v>
      </c>
      <c r="O687" t="str">
        <f>IF(ISBLANK(po_master[[#This Row],[GR Quantity]]), "No GR - Not received", "OK")</f>
        <v>OK</v>
      </c>
      <c r="P687" t="str">
        <f>IF(po_master[[#This Row],[Promised Delivey Date]]&lt;po_master[[#This Row],[Order Date]], "Invalid", "OK")</f>
        <v>OK</v>
      </c>
      <c r="Q687" t="str">
        <f>IF(ISBLANK(po_master[[#This Row],[Invoice Number]]), "No Invoice", "OK")</f>
        <v>OK</v>
      </c>
      <c r="R687" t="str">
        <f>IF(AND(NOT(ISBLANK(po_master[[#This Row],[GR Quantity]])), po_master[[#This Row],[GR Quantity]]&lt;&gt;po_master[[#This Row],[PO Quantity]]), "Qty Variance", "OK")</f>
        <v>OK</v>
      </c>
      <c r="S687" t="str">
        <f>IF(po_master[[#This Row],[Invoice Unit Price]]&gt;po_master[[#This Row],[PO Unit Price]]*1.01, "Price Variance", "OK")</f>
        <v>OK</v>
      </c>
      <c r="T687" t="str">
        <f>IF(po_master[[#This Row],[Actual Delivery Date]]&gt;po_master[[#This Row],[Promised Delivey Date]], "Late Delivery", "OK")</f>
        <v>Late Delivery</v>
      </c>
      <c r="U687" t="str">
        <f>IF(COUNTIF(po_master[PO Number],po_master[[#This Row],[PO Number]])&gt;1, "Duplicate Invoice", "OK")</f>
        <v>OK</v>
      </c>
      <c r="V687" s="5">
        <f>IF(po_master[[#This Row],[Missing Approval]]="Missing Approval", 1, 0)</f>
        <v>0</v>
      </c>
      <c r="W687" s="5">
        <f>IF(po_master[[#This Row],[GR Receipt Status]]="No GR - Not Received", 1, 0)</f>
        <v>0</v>
      </c>
      <c r="X687" s="5">
        <f>IF(po_master[[#This Row],[No invoice]]="No Invoice", 1, 0)</f>
        <v>0</v>
      </c>
      <c r="Y687" s="5">
        <f>IF(po_master[[#This Row],[Date Check]]="Invalid Date", 1, 0)</f>
        <v>0</v>
      </c>
      <c r="Z687" s="5">
        <f>IF(po_master[[#This Row],[Qty Variance Flag]]="Qty Variance", 1, 0)</f>
        <v>0</v>
      </c>
      <c r="AA687" s="5">
        <f>IF(po_master[[#This Row],[Price Variance Flag]]="Price Variance", 1, 0)</f>
        <v>0</v>
      </c>
      <c r="AB687" s="5">
        <f>IF(po_master[[#This Row],[Late Delivery Flag]]="Late Delivery", 1, 0)</f>
        <v>1</v>
      </c>
      <c r="AC687" s="5">
        <f>IF(po_master[[#This Row],[Duplicate Invoice Flag]]="Duplicate Invoice", 1, 0)</f>
        <v>0</v>
      </c>
      <c r="AD687" s="5" t="str">
        <f>TEXT(po_master[[#This Row],[Order Date]],"YYYY-MM")</f>
        <v>2026-05</v>
      </c>
    </row>
    <row r="688" spans="1:30" x14ac:dyDescent="0.25">
      <c r="A688" t="s">
        <v>608</v>
      </c>
      <c r="B688" t="s">
        <v>1498</v>
      </c>
      <c r="C688" s="1">
        <v>46090</v>
      </c>
      <c r="D688">
        <v>56</v>
      </c>
      <c r="E688">
        <v>130.16</v>
      </c>
      <c r="F688" t="s">
        <v>1453</v>
      </c>
      <c r="G688" s="1">
        <v>46100</v>
      </c>
      <c r="H688">
        <v>50</v>
      </c>
      <c r="I688" s="1">
        <v>46101</v>
      </c>
      <c r="J688" t="s">
        <v>1392</v>
      </c>
      <c r="K688">
        <v>56</v>
      </c>
      <c r="L688">
        <v>130.16</v>
      </c>
      <c r="M688" s="1">
        <v>46105</v>
      </c>
      <c r="N688" t="str">
        <f>IF(po_master[[#This Row],[Approved By]]="", "Missing Approval", "OK")</f>
        <v>OK</v>
      </c>
      <c r="O688" t="str">
        <f>IF(ISBLANK(po_master[[#This Row],[GR Quantity]]), "No GR - Not received", "OK")</f>
        <v>OK</v>
      </c>
      <c r="P688" t="str">
        <f>IF(po_master[[#This Row],[Promised Delivey Date]]&lt;po_master[[#This Row],[Order Date]], "Invalid", "OK")</f>
        <v>OK</v>
      </c>
      <c r="Q688" t="str">
        <f>IF(ISBLANK(po_master[[#This Row],[Invoice Number]]), "No Invoice", "OK")</f>
        <v>OK</v>
      </c>
      <c r="R688" t="str">
        <f>IF(AND(NOT(ISBLANK(po_master[[#This Row],[GR Quantity]])), po_master[[#This Row],[GR Quantity]]&lt;&gt;po_master[[#This Row],[PO Quantity]]), "Qty Variance", "OK")</f>
        <v>Qty Variance</v>
      </c>
      <c r="S688" t="str">
        <f>IF(po_master[[#This Row],[Invoice Unit Price]]&gt;po_master[[#This Row],[PO Unit Price]]*1.01, "Price Variance", "OK")</f>
        <v>OK</v>
      </c>
      <c r="T688" t="str">
        <f>IF(po_master[[#This Row],[Actual Delivery Date]]&gt;po_master[[#This Row],[Promised Delivey Date]], "Late Delivery", "OK")</f>
        <v>Late Delivery</v>
      </c>
      <c r="U688" t="str">
        <f>IF(COUNTIF(po_master[PO Number],po_master[[#This Row],[PO Number]])&gt;1, "Duplicate Invoice", "OK")</f>
        <v>OK</v>
      </c>
      <c r="V688" s="5">
        <f>IF(po_master[[#This Row],[Missing Approval]]="Missing Approval", 1, 0)</f>
        <v>0</v>
      </c>
      <c r="W688" s="5">
        <f>IF(po_master[[#This Row],[GR Receipt Status]]="No GR - Not Received", 1, 0)</f>
        <v>0</v>
      </c>
      <c r="X688" s="5">
        <f>IF(po_master[[#This Row],[No invoice]]="No Invoice", 1, 0)</f>
        <v>0</v>
      </c>
      <c r="Y688" s="5">
        <f>IF(po_master[[#This Row],[Date Check]]="Invalid Date", 1, 0)</f>
        <v>0</v>
      </c>
      <c r="Z688" s="5">
        <f>IF(po_master[[#This Row],[Qty Variance Flag]]="Qty Variance", 1, 0)</f>
        <v>1</v>
      </c>
      <c r="AA688" s="5">
        <f>IF(po_master[[#This Row],[Price Variance Flag]]="Price Variance", 1, 0)</f>
        <v>0</v>
      </c>
      <c r="AB688" s="5">
        <f>IF(po_master[[#This Row],[Late Delivery Flag]]="Late Delivery", 1, 0)</f>
        <v>1</v>
      </c>
      <c r="AC688" s="5">
        <f>IF(po_master[[#This Row],[Duplicate Invoice Flag]]="Duplicate Invoice", 1, 0)</f>
        <v>0</v>
      </c>
      <c r="AD688" s="5" t="str">
        <f>TEXT(po_master[[#This Row],[Order Date]],"YYYY-MM")</f>
        <v>2026-03</v>
      </c>
    </row>
    <row r="689" spans="1:30" x14ac:dyDescent="0.25">
      <c r="A689" t="s">
        <v>609</v>
      </c>
      <c r="B689" t="s">
        <v>1496</v>
      </c>
      <c r="C689" s="1">
        <v>46120</v>
      </c>
      <c r="D689">
        <v>199</v>
      </c>
      <c r="E689">
        <v>41.38</v>
      </c>
      <c r="F689" t="s">
        <v>1462</v>
      </c>
      <c r="G689" s="1">
        <v>46133</v>
      </c>
      <c r="H689">
        <v>199</v>
      </c>
      <c r="I689" s="1">
        <v>46133</v>
      </c>
      <c r="J689" t="s">
        <v>1393</v>
      </c>
      <c r="K689">
        <v>199</v>
      </c>
      <c r="L689">
        <v>41.38</v>
      </c>
      <c r="M689" s="1">
        <v>46141</v>
      </c>
      <c r="N689" t="str">
        <f>IF(po_master[[#This Row],[Approved By]]="", "Missing Approval", "OK")</f>
        <v>OK</v>
      </c>
      <c r="O689" t="str">
        <f>IF(ISBLANK(po_master[[#This Row],[GR Quantity]]), "No GR - Not received", "OK")</f>
        <v>OK</v>
      </c>
      <c r="P689" t="str">
        <f>IF(po_master[[#This Row],[Promised Delivey Date]]&lt;po_master[[#This Row],[Order Date]], "Invalid", "OK")</f>
        <v>OK</v>
      </c>
      <c r="Q689" t="str">
        <f>IF(ISBLANK(po_master[[#This Row],[Invoice Number]]), "No Invoice", "OK")</f>
        <v>OK</v>
      </c>
      <c r="R689" t="str">
        <f>IF(AND(NOT(ISBLANK(po_master[[#This Row],[GR Quantity]])), po_master[[#This Row],[GR Quantity]]&lt;&gt;po_master[[#This Row],[PO Quantity]]), "Qty Variance", "OK")</f>
        <v>OK</v>
      </c>
      <c r="S689" t="str">
        <f>IF(po_master[[#This Row],[Invoice Unit Price]]&gt;po_master[[#This Row],[PO Unit Price]]*1.01, "Price Variance", "OK")</f>
        <v>OK</v>
      </c>
      <c r="T689" t="str">
        <f>IF(po_master[[#This Row],[Actual Delivery Date]]&gt;po_master[[#This Row],[Promised Delivey Date]], "Late Delivery", "OK")</f>
        <v>OK</v>
      </c>
      <c r="U689" t="str">
        <f>IF(COUNTIF(po_master[PO Number],po_master[[#This Row],[PO Number]])&gt;1, "Duplicate Invoice", "OK")</f>
        <v>OK</v>
      </c>
      <c r="V689" s="5">
        <f>IF(po_master[[#This Row],[Missing Approval]]="Missing Approval", 1, 0)</f>
        <v>0</v>
      </c>
      <c r="W689" s="5">
        <f>IF(po_master[[#This Row],[GR Receipt Status]]="No GR - Not Received", 1, 0)</f>
        <v>0</v>
      </c>
      <c r="X689" s="5">
        <f>IF(po_master[[#This Row],[No invoice]]="No Invoice", 1, 0)</f>
        <v>0</v>
      </c>
      <c r="Y689" s="5">
        <f>IF(po_master[[#This Row],[Date Check]]="Invalid Date", 1, 0)</f>
        <v>0</v>
      </c>
      <c r="Z689" s="5">
        <f>IF(po_master[[#This Row],[Qty Variance Flag]]="Qty Variance", 1, 0)</f>
        <v>0</v>
      </c>
      <c r="AA689" s="5">
        <f>IF(po_master[[#This Row],[Price Variance Flag]]="Price Variance", 1, 0)</f>
        <v>0</v>
      </c>
      <c r="AB689" s="5">
        <f>IF(po_master[[#This Row],[Late Delivery Flag]]="Late Delivery", 1, 0)</f>
        <v>0</v>
      </c>
      <c r="AC689" s="5">
        <f>IF(po_master[[#This Row],[Duplicate Invoice Flag]]="Duplicate Invoice", 1, 0)</f>
        <v>0</v>
      </c>
      <c r="AD689" s="5" t="str">
        <f>TEXT(po_master[[#This Row],[Order Date]],"YYYY-MM")</f>
        <v>2026-04</v>
      </c>
    </row>
    <row r="690" spans="1:30" x14ac:dyDescent="0.25">
      <c r="A690" t="s">
        <v>610</v>
      </c>
      <c r="B690" t="s">
        <v>1478</v>
      </c>
      <c r="C690" s="1">
        <v>46142</v>
      </c>
      <c r="D690">
        <v>144</v>
      </c>
      <c r="E690">
        <v>49.12</v>
      </c>
      <c r="F690" t="s">
        <v>1458</v>
      </c>
      <c r="G690" s="1">
        <v>46148</v>
      </c>
      <c r="H690">
        <v>144</v>
      </c>
      <c r="I690" s="1">
        <v>46150</v>
      </c>
      <c r="J690" t="s">
        <v>1394</v>
      </c>
      <c r="K690">
        <v>144</v>
      </c>
      <c r="L690">
        <v>49.12</v>
      </c>
      <c r="M690" s="1">
        <v>46154</v>
      </c>
      <c r="N690" t="str">
        <f>IF(po_master[[#This Row],[Approved By]]="", "Missing Approval", "OK")</f>
        <v>OK</v>
      </c>
      <c r="O690" t="str">
        <f>IF(ISBLANK(po_master[[#This Row],[GR Quantity]]), "No GR - Not received", "OK")</f>
        <v>OK</v>
      </c>
      <c r="P690" t="str">
        <f>IF(po_master[[#This Row],[Promised Delivey Date]]&lt;po_master[[#This Row],[Order Date]], "Invalid", "OK")</f>
        <v>OK</v>
      </c>
      <c r="Q690" t="str">
        <f>IF(ISBLANK(po_master[[#This Row],[Invoice Number]]), "No Invoice", "OK")</f>
        <v>OK</v>
      </c>
      <c r="R690" t="str">
        <f>IF(AND(NOT(ISBLANK(po_master[[#This Row],[GR Quantity]])), po_master[[#This Row],[GR Quantity]]&lt;&gt;po_master[[#This Row],[PO Quantity]]), "Qty Variance", "OK")</f>
        <v>OK</v>
      </c>
      <c r="S690" t="str">
        <f>IF(po_master[[#This Row],[Invoice Unit Price]]&gt;po_master[[#This Row],[PO Unit Price]]*1.01, "Price Variance", "OK")</f>
        <v>OK</v>
      </c>
      <c r="T690" t="str">
        <f>IF(po_master[[#This Row],[Actual Delivery Date]]&gt;po_master[[#This Row],[Promised Delivey Date]], "Late Delivery", "OK")</f>
        <v>Late Delivery</v>
      </c>
      <c r="U690" t="str">
        <f>IF(COUNTIF(po_master[PO Number],po_master[[#This Row],[PO Number]])&gt;1, "Duplicate Invoice", "OK")</f>
        <v>OK</v>
      </c>
      <c r="V690" s="5">
        <f>IF(po_master[[#This Row],[Missing Approval]]="Missing Approval", 1, 0)</f>
        <v>0</v>
      </c>
      <c r="W690" s="5">
        <f>IF(po_master[[#This Row],[GR Receipt Status]]="No GR - Not Received", 1, 0)</f>
        <v>0</v>
      </c>
      <c r="X690" s="5">
        <f>IF(po_master[[#This Row],[No invoice]]="No Invoice", 1, 0)</f>
        <v>0</v>
      </c>
      <c r="Y690" s="5">
        <f>IF(po_master[[#This Row],[Date Check]]="Invalid Date", 1, 0)</f>
        <v>0</v>
      </c>
      <c r="Z690" s="5">
        <f>IF(po_master[[#This Row],[Qty Variance Flag]]="Qty Variance", 1, 0)</f>
        <v>0</v>
      </c>
      <c r="AA690" s="5">
        <f>IF(po_master[[#This Row],[Price Variance Flag]]="Price Variance", 1, 0)</f>
        <v>0</v>
      </c>
      <c r="AB690" s="5">
        <f>IF(po_master[[#This Row],[Late Delivery Flag]]="Late Delivery", 1, 0)</f>
        <v>1</v>
      </c>
      <c r="AC690" s="5">
        <f>IF(po_master[[#This Row],[Duplicate Invoice Flag]]="Duplicate Invoice", 1, 0)</f>
        <v>0</v>
      </c>
      <c r="AD690" s="5" t="str">
        <f>TEXT(po_master[[#This Row],[Order Date]],"YYYY-MM")</f>
        <v>2026-04</v>
      </c>
    </row>
    <row r="691" spans="1:30" x14ac:dyDescent="0.25">
      <c r="A691" t="s">
        <v>611</v>
      </c>
      <c r="B691" t="s">
        <v>1464</v>
      </c>
      <c r="C691" s="1">
        <v>46047</v>
      </c>
      <c r="D691">
        <v>53</v>
      </c>
      <c r="E691">
        <v>135.29</v>
      </c>
      <c r="F691" t="s">
        <v>1459</v>
      </c>
      <c r="G691" s="1">
        <v>46065</v>
      </c>
      <c r="H691">
        <v>53</v>
      </c>
      <c r="I691" s="1">
        <v>46064</v>
      </c>
      <c r="J691" t="s">
        <v>1395</v>
      </c>
      <c r="K691">
        <v>53</v>
      </c>
      <c r="L691">
        <v>135.29</v>
      </c>
      <c r="M691" s="1">
        <v>46072</v>
      </c>
      <c r="N691" t="str">
        <f>IF(po_master[[#This Row],[Approved By]]="", "Missing Approval", "OK")</f>
        <v>Missing Approval</v>
      </c>
      <c r="O691" t="str">
        <f>IF(ISBLANK(po_master[[#This Row],[GR Quantity]]), "No GR - Not received", "OK")</f>
        <v>OK</v>
      </c>
      <c r="P691" t="str">
        <f>IF(po_master[[#This Row],[Promised Delivey Date]]&lt;po_master[[#This Row],[Order Date]], "Invalid", "OK")</f>
        <v>OK</v>
      </c>
      <c r="Q691" t="str">
        <f>IF(ISBLANK(po_master[[#This Row],[Invoice Number]]), "No Invoice", "OK")</f>
        <v>OK</v>
      </c>
      <c r="R691" t="str">
        <f>IF(AND(NOT(ISBLANK(po_master[[#This Row],[GR Quantity]])), po_master[[#This Row],[GR Quantity]]&lt;&gt;po_master[[#This Row],[PO Quantity]]), "Qty Variance", "OK")</f>
        <v>OK</v>
      </c>
      <c r="S691" t="str">
        <f>IF(po_master[[#This Row],[Invoice Unit Price]]&gt;po_master[[#This Row],[PO Unit Price]]*1.01, "Price Variance", "OK")</f>
        <v>OK</v>
      </c>
      <c r="T691" t="str">
        <f>IF(po_master[[#This Row],[Actual Delivery Date]]&gt;po_master[[#This Row],[Promised Delivey Date]], "Late Delivery", "OK")</f>
        <v>OK</v>
      </c>
      <c r="U691" t="str">
        <f>IF(COUNTIF(po_master[PO Number],po_master[[#This Row],[PO Number]])&gt;1, "Duplicate Invoice", "OK")</f>
        <v>OK</v>
      </c>
      <c r="V691" s="5">
        <f>IF(po_master[[#This Row],[Missing Approval]]="Missing Approval", 1, 0)</f>
        <v>1</v>
      </c>
      <c r="W691" s="5">
        <f>IF(po_master[[#This Row],[GR Receipt Status]]="No GR - Not Received", 1, 0)</f>
        <v>0</v>
      </c>
      <c r="X691" s="5">
        <f>IF(po_master[[#This Row],[No invoice]]="No Invoice", 1, 0)</f>
        <v>0</v>
      </c>
      <c r="Y691" s="5">
        <f>IF(po_master[[#This Row],[Date Check]]="Invalid Date", 1, 0)</f>
        <v>0</v>
      </c>
      <c r="Z691" s="5">
        <f>IF(po_master[[#This Row],[Qty Variance Flag]]="Qty Variance", 1, 0)</f>
        <v>0</v>
      </c>
      <c r="AA691" s="5">
        <f>IF(po_master[[#This Row],[Price Variance Flag]]="Price Variance", 1, 0)</f>
        <v>0</v>
      </c>
      <c r="AB691" s="5">
        <f>IF(po_master[[#This Row],[Late Delivery Flag]]="Late Delivery", 1, 0)</f>
        <v>0</v>
      </c>
      <c r="AC691" s="5">
        <f>IF(po_master[[#This Row],[Duplicate Invoice Flag]]="Duplicate Invoice", 1, 0)</f>
        <v>0</v>
      </c>
      <c r="AD691" s="5" t="str">
        <f>TEXT(po_master[[#This Row],[Order Date]],"YYYY-MM")</f>
        <v>2026-01</v>
      </c>
    </row>
    <row r="692" spans="1:30" x14ac:dyDescent="0.25">
      <c r="A692" t="s">
        <v>612</v>
      </c>
      <c r="B692" t="s">
        <v>1443</v>
      </c>
      <c r="C692" s="1">
        <v>46081</v>
      </c>
      <c r="D692">
        <v>293</v>
      </c>
      <c r="E692">
        <v>16.89</v>
      </c>
      <c r="F692" t="s">
        <v>1453</v>
      </c>
      <c r="G692" s="1">
        <v>46102</v>
      </c>
      <c r="H692">
        <v>293</v>
      </c>
      <c r="I692" s="1">
        <v>46102</v>
      </c>
      <c r="J692" t="s">
        <v>1396</v>
      </c>
      <c r="K692">
        <v>293</v>
      </c>
      <c r="L692">
        <v>16.89</v>
      </c>
      <c r="M692" s="1">
        <v>46109</v>
      </c>
      <c r="N692" t="str">
        <f>IF(po_master[[#This Row],[Approved By]]="", "Missing Approval", "OK")</f>
        <v>OK</v>
      </c>
      <c r="O692" t="str">
        <f>IF(ISBLANK(po_master[[#This Row],[GR Quantity]]), "No GR - Not received", "OK")</f>
        <v>OK</v>
      </c>
      <c r="P692" t="str">
        <f>IF(po_master[[#This Row],[Promised Delivey Date]]&lt;po_master[[#This Row],[Order Date]], "Invalid", "OK")</f>
        <v>OK</v>
      </c>
      <c r="Q692" t="str">
        <f>IF(ISBLANK(po_master[[#This Row],[Invoice Number]]), "No Invoice", "OK")</f>
        <v>OK</v>
      </c>
      <c r="R692" t="str">
        <f>IF(AND(NOT(ISBLANK(po_master[[#This Row],[GR Quantity]])), po_master[[#This Row],[GR Quantity]]&lt;&gt;po_master[[#This Row],[PO Quantity]]), "Qty Variance", "OK")</f>
        <v>OK</v>
      </c>
      <c r="S692" t="str">
        <f>IF(po_master[[#This Row],[Invoice Unit Price]]&gt;po_master[[#This Row],[PO Unit Price]]*1.01, "Price Variance", "OK")</f>
        <v>OK</v>
      </c>
      <c r="T692" t="str">
        <f>IF(po_master[[#This Row],[Actual Delivery Date]]&gt;po_master[[#This Row],[Promised Delivey Date]], "Late Delivery", "OK")</f>
        <v>OK</v>
      </c>
      <c r="U692" t="str">
        <f>IF(COUNTIF(po_master[PO Number],po_master[[#This Row],[PO Number]])&gt;1, "Duplicate Invoice", "OK")</f>
        <v>OK</v>
      </c>
      <c r="V692" s="5">
        <f>IF(po_master[[#This Row],[Missing Approval]]="Missing Approval", 1, 0)</f>
        <v>0</v>
      </c>
      <c r="W692" s="5">
        <f>IF(po_master[[#This Row],[GR Receipt Status]]="No GR - Not Received", 1, 0)</f>
        <v>0</v>
      </c>
      <c r="X692" s="5">
        <f>IF(po_master[[#This Row],[No invoice]]="No Invoice", 1, 0)</f>
        <v>0</v>
      </c>
      <c r="Y692" s="5">
        <f>IF(po_master[[#This Row],[Date Check]]="Invalid Date", 1, 0)</f>
        <v>0</v>
      </c>
      <c r="Z692" s="5">
        <f>IF(po_master[[#This Row],[Qty Variance Flag]]="Qty Variance", 1, 0)</f>
        <v>0</v>
      </c>
      <c r="AA692" s="5">
        <f>IF(po_master[[#This Row],[Price Variance Flag]]="Price Variance", 1, 0)</f>
        <v>0</v>
      </c>
      <c r="AB692" s="5">
        <f>IF(po_master[[#This Row],[Late Delivery Flag]]="Late Delivery", 1, 0)</f>
        <v>0</v>
      </c>
      <c r="AC692" s="5">
        <f>IF(po_master[[#This Row],[Duplicate Invoice Flag]]="Duplicate Invoice", 1, 0)</f>
        <v>0</v>
      </c>
      <c r="AD692" s="5" t="str">
        <f>TEXT(po_master[[#This Row],[Order Date]],"YYYY-MM")</f>
        <v>2026-02</v>
      </c>
    </row>
    <row r="693" spans="1:30" x14ac:dyDescent="0.25">
      <c r="A693" t="s">
        <v>613</v>
      </c>
      <c r="B693" t="s">
        <v>1495</v>
      </c>
      <c r="C693" s="1">
        <v>46160</v>
      </c>
      <c r="D693">
        <v>361</v>
      </c>
      <c r="E693">
        <v>174.04</v>
      </c>
      <c r="F693" t="s">
        <v>1487</v>
      </c>
      <c r="G693" s="1">
        <v>46172</v>
      </c>
      <c r="H693">
        <v>361</v>
      </c>
      <c r="I693" s="1">
        <v>46171</v>
      </c>
      <c r="J693" t="s">
        <v>1397</v>
      </c>
      <c r="K693">
        <v>361</v>
      </c>
      <c r="L693">
        <v>174.04</v>
      </c>
      <c r="M693" s="1">
        <v>46173</v>
      </c>
      <c r="N693" t="str">
        <f>IF(po_master[[#This Row],[Approved By]]="", "Missing Approval", "OK")</f>
        <v>OK</v>
      </c>
      <c r="O693" t="str">
        <f>IF(ISBLANK(po_master[[#This Row],[GR Quantity]]), "No GR - Not received", "OK")</f>
        <v>OK</v>
      </c>
      <c r="P693" t="str">
        <f>IF(po_master[[#This Row],[Promised Delivey Date]]&lt;po_master[[#This Row],[Order Date]], "Invalid", "OK")</f>
        <v>OK</v>
      </c>
      <c r="Q693" t="str">
        <f>IF(ISBLANK(po_master[[#This Row],[Invoice Number]]), "No Invoice", "OK")</f>
        <v>OK</v>
      </c>
      <c r="R693" t="str">
        <f>IF(AND(NOT(ISBLANK(po_master[[#This Row],[GR Quantity]])), po_master[[#This Row],[GR Quantity]]&lt;&gt;po_master[[#This Row],[PO Quantity]]), "Qty Variance", "OK")</f>
        <v>OK</v>
      </c>
      <c r="S693" t="str">
        <f>IF(po_master[[#This Row],[Invoice Unit Price]]&gt;po_master[[#This Row],[PO Unit Price]]*1.01, "Price Variance", "OK")</f>
        <v>OK</v>
      </c>
      <c r="T693" t="str">
        <f>IF(po_master[[#This Row],[Actual Delivery Date]]&gt;po_master[[#This Row],[Promised Delivey Date]], "Late Delivery", "OK")</f>
        <v>OK</v>
      </c>
      <c r="U693" t="str">
        <f>IF(COUNTIF(po_master[PO Number],po_master[[#This Row],[PO Number]])&gt;1, "Duplicate Invoice", "OK")</f>
        <v>OK</v>
      </c>
      <c r="V693" s="5">
        <f>IF(po_master[[#This Row],[Missing Approval]]="Missing Approval", 1, 0)</f>
        <v>0</v>
      </c>
      <c r="W693" s="5">
        <f>IF(po_master[[#This Row],[GR Receipt Status]]="No GR - Not Received", 1, 0)</f>
        <v>0</v>
      </c>
      <c r="X693" s="5">
        <f>IF(po_master[[#This Row],[No invoice]]="No Invoice", 1, 0)</f>
        <v>0</v>
      </c>
      <c r="Y693" s="5">
        <f>IF(po_master[[#This Row],[Date Check]]="Invalid Date", 1, 0)</f>
        <v>0</v>
      </c>
      <c r="Z693" s="5">
        <f>IF(po_master[[#This Row],[Qty Variance Flag]]="Qty Variance", 1, 0)</f>
        <v>0</v>
      </c>
      <c r="AA693" s="5">
        <f>IF(po_master[[#This Row],[Price Variance Flag]]="Price Variance", 1, 0)</f>
        <v>0</v>
      </c>
      <c r="AB693" s="5">
        <f>IF(po_master[[#This Row],[Late Delivery Flag]]="Late Delivery", 1, 0)</f>
        <v>0</v>
      </c>
      <c r="AC693" s="5">
        <f>IF(po_master[[#This Row],[Duplicate Invoice Flag]]="Duplicate Invoice", 1, 0)</f>
        <v>0</v>
      </c>
      <c r="AD693" s="5" t="str">
        <f>TEXT(po_master[[#This Row],[Order Date]],"YYYY-MM")</f>
        <v>2026-05</v>
      </c>
    </row>
    <row r="694" spans="1:30" x14ac:dyDescent="0.25">
      <c r="A694" t="s">
        <v>614</v>
      </c>
      <c r="B694" t="s">
        <v>1510</v>
      </c>
      <c r="C694" s="1">
        <v>46099</v>
      </c>
      <c r="D694">
        <v>50</v>
      </c>
      <c r="E694">
        <v>81.99</v>
      </c>
      <c r="F694" t="s">
        <v>1499</v>
      </c>
      <c r="G694" s="1">
        <v>46105</v>
      </c>
      <c r="H694">
        <v>50</v>
      </c>
      <c r="I694" s="1">
        <v>46121</v>
      </c>
      <c r="J694" t="s">
        <v>1398</v>
      </c>
      <c r="K694">
        <v>50</v>
      </c>
      <c r="L694">
        <v>81.99</v>
      </c>
      <c r="M694" s="1">
        <v>46106</v>
      </c>
      <c r="N694" t="str">
        <f>IF(po_master[[#This Row],[Approved By]]="", "Missing Approval", "OK")</f>
        <v>OK</v>
      </c>
      <c r="O694" t="str">
        <f>IF(ISBLANK(po_master[[#This Row],[GR Quantity]]), "No GR - Not received", "OK")</f>
        <v>OK</v>
      </c>
      <c r="P694" t="str">
        <f>IF(po_master[[#This Row],[Promised Delivey Date]]&lt;po_master[[#This Row],[Order Date]], "Invalid", "OK")</f>
        <v>OK</v>
      </c>
      <c r="Q694" t="str">
        <f>IF(ISBLANK(po_master[[#This Row],[Invoice Number]]), "No Invoice", "OK")</f>
        <v>OK</v>
      </c>
      <c r="R694" t="str">
        <f>IF(AND(NOT(ISBLANK(po_master[[#This Row],[GR Quantity]])), po_master[[#This Row],[GR Quantity]]&lt;&gt;po_master[[#This Row],[PO Quantity]]), "Qty Variance", "OK")</f>
        <v>OK</v>
      </c>
      <c r="S694" t="str">
        <f>IF(po_master[[#This Row],[Invoice Unit Price]]&gt;po_master[[#This Row],[PO Unit Price]]*1.01, "Price Variance", "OK")</f>
        <v>OK</v>
      </c>
      <c r="T694" t="str">
        <f>IF(po_master[[#This Row],[Actual Delivery Date]]&gt;po_master[[#This Row],[Promised Delivey Date]], "Late Delivery", "OK")</f>
        <v>Late Delivery</v>
      </c>
      <c r="U694" t="str">
        <f>IF(COUNTIF(po_master[PO Number],po_master[[#This Row],[PO Number]])&gt;1, "Duplicate Invoice", "OK")</f>
        <v>OK</v>
      </c>
      <c r="V694" s="5">
        <f>IF(po_master[[#This Row],[Missing Approval]]="Missing Approval", 1, 0)</f>
        <v>0</v>
      </c>
      <c r="W694" s="5">
        <f>IF(po_master[[#This Row],[GR Receipt Status]]="No GR - Not Received", 1, 0)</f>
        <v>0</v>
      </c>
      <c r="X694" s="5">
        <f>IF(po_master[[#This Row],[No invoice]]="No Invoice", 1, 0)</f>
        <v>0</v>
      </c>
      <c r="Y694" s="5">
        <f>IF(po_master[[#This Row],[Date Check]]="Invalid Date", 1, 0)</f>
        <v>0</v>
      </c>
      <c r="Z694" s="5">
        <f>IF(po_master[[#This Row],[Qty Variance Flag]]="Qty Variance", 1, 0)</f>
        <v>0</v>
      </c>
      <c r="AA694" s="5">
        <f>IF(po_master[[#This Row],[Price Variance Flag]]="Price Variance", 1, 0)</f>
        <v>0</v>
      </c>
      <c r="AB694" s="5">
        <f>IF(po_master[[#This Row],[Late Delivery Flag]]="Late Delivery", 1, 0)</f>
        <v>1</v>
      </c>
      <c r="AC694" s="5">
        <f>IF(po_master[[#This Row],[Duplicate Invoice Flag]]="Duplicate Invoice", 1, 0)</f>
        <v>0</v>
      </c>
      <c r="AD694" s="5" t="str">
        <f>TEXT(po_master[[#This Row],[Order Date]],"YYYY-MM")</f>
        <v>2026-03</v>
      </c>
    </row>
    <row r="695" spans="1:30" x14ac:dyDescent="0.25">
      <c r="A695" t="s">
        <v>615</v>
      </c>
      <c r="B695" t="s">
        <v>1445</v>
      </c>
      <c r="C695" s="1">
        <v>46169</v>
      </c>
      <c r="D695">
        <v>471</v>
      </c>
      <c r="E695">
        <v>105.78</v>
      </c>
      <c r="F695" t="s">
        <v>1480</v>
      </c>
      <c r="G695" s="1">
        <v>46178</v>
      </c>
      <c r="H695">
        <v>471</v>
      </c>
      <c r="I695" s="1">
        <v>46180</v>
      </c>
      <c r="J695" t="s">
        <v>1399</v>
      </c>
      <c r="K695">
        <v>471</v>
      </c>
      <c r="L695">
        <v>105.78</v>
      </c>
      <c r="M695" s="1">
        <v>46184</v>
      </c>
      <c r="N695" t="str">
        <f>IF(po_master[[#This Row],[Approved By]]="", "Missing Approval", "OK")</f>
        <v>OK</v>
      </c>
      <c r="O695" t="str">
        <f>IF(ISBLANK(po_master[[#This Row],[GR Quantity]]), "No GR - Not received", "OK")</f>
        <v>OK</v>
      </c>
      <c r="P695" t="str">
        <f>IF(po_master[[#This Row],[Promised Delivey Date]]&lt;po_master[[#This Row],[Order Date]], "Invalid", "OK")</f>
        <v>OK</v>
      </c>
      <c r="Q695" t="str">
        <f>IF(ISBLANK(po_master[[#This Row],[Invoice Number]]), "No Invoice", "OK")</f>
        <v>OK</v>
      </c>
      <c r="R695" t="str">
        <f>IF(AND(NOT(ISBLANK(po_master[[#This Row],[GR Quantity]])), po_master[[#This Row],[GR Quantity]]&lt;&gt;po_master[[#This Row],[PO Quantity]]), "Qty Variance", "OK")</f>
        <v>OK</v>
      </c>
      <c r="S695" t="str">
        <f>IF(po_master[[#This Row],[Invoice Unit Price]]&gt;po_master[[#This Row],[PO Unit Price]]*1.01, "Price Variance", "OK")</f>
        <v>OK</v>
      </c>
      <c r="T695" t="str">
        <f>IF(po_master[[#This Row],[Actual Delivery Date]]&gt;po_master[[#This Row],[Promised Delivey Date]], "Late Delivery", "OK")</f>
        <v>Late Delivery</v>
      </c>
      <c r="U695" t="str">
        <f>IF(COUNTIF(po_master[PO Number],po_master[[#This Row],[PO Number]])&gt;1, "Duplicate Invoice", "OK")</f>
        <v>OK</v>
      </c>
      <c r="V695" s="5">
        <f>IF(po_master[[#This Row],[Missing Approval]]="Missing Approval", 1, 0)</f>
        <v>0</v>
      </c>
      <c r="W695" s="5">
        <f>IF(po_master[[#This Row],[GR Receipt Status]]="No GR - Not Received", 1, 0)</f>
        <v>0</v>
      </c>
      <c r="X695" s="5">
        <f>IF(po_master[[#This Row],[No invoice]]="No Invoice", 1, 0)</f>
        <v>0</v>
      </c>
      <c r="Y695" s="5">
        <f>IF(po_master[[#This Row],[Date Check]]="Invalid Date", 1, 0)</f>
        <v>0</v>
      </c>
      <c r="Z695" s="5">
        <f>IF(po_master[[#This Row],[Qty Variance Flag]]="Qty Variance", 1, 0)</f>
        <v>0</v>
      </c>
      <c r="AA695" s="5">
        <f>IF(po_master[[#This Row],[Price Variance Flag]]="Price Variance", 1, 0)</f>
        <v>0</v>
      </c>
      <c r="AB695" s="5">
        <f>IF(po_master[[#This Row],[Late Delivery Flag]]="Late Delivery", 1, 0)</f>
        <v>1</v>
      </c>
      <c r="AC695" s="5">
        <f>IF(po_master[[#This Row],[Duplicate Invoice Flag]]="Duplicate Invoice", 1, 0)</f>
        <v>0</v>
      </c>
      <c r="AD695" s="5" t="str">
        <f>TEXT(po_master[[#This Row],[Order Date]],"YYYY-MM")</f>
        <v>2026-05</v>
      </c>
    </row>
    <row r="696" spans="1:30" x14ac:dyDescent="0.25">
      <c r="A696" t="s">
        <v>616</v>
      </c>
      <c r="B696" t="s">
        <v>1466</v>
      </c>
      <c r="C696" s="1">
        <v>46137</v>
      </c>
      <c r="D696">
        <v>98</v>
      </c>
      <c r="E696">
        <v>190.07</v>
      </c>
      <c r="F696" t="s">
        <v>1501</v>
      </c>
      <c r="G696" s="1">
        <v>46148</v>
      </c>
      <c r="H696">
        <v>98</v>
      </c>
      <c r="I696" s="1">
        <v>46150</v>
      </c>
      <c r="J696" t="s">
        <v>1400</v>
      </c>
      <c r="K696">
        <v>98</v>
      </c>
      <c r="L696">
        <v>190.07</v>
      </c>
      <c r="M696" s="1">
        <v>46149</v>
      </c>
      <c r="N696" t="str">
        <f>IF(po_master[[#This Row],[Approved By]]="", "Missing Approval", "OK")</f>
        <v>OK</v>
      </c>
      <c r="O696" t="str">
        <f>IF(ISBLANK(po_master[[#This Row],[GR Quantity]]), "No GR - Not received", "OK")</f>
        <v>OK</v>
      </c>
      <c r="P696" t="str">
        <f>IF(po_master[[#This Row],[Promised Delivey Date]]&lt;po_master[[#This Row],[Order Date]], "Invalid", "OK")</f>
        <v>OK</v>
      </c>
      <c r="Q696" t="str">
        <f>IF(ISBLANK(po_master[[#This Row],[Invoice Number]]), "No Invoice", "OK")</f>
        <v>OK</v>
      </c>
      <c r="R696" t="str">
        <f>IF(AND(NOT(ISBLANK(po_master[[#This Row],[GR Quantity]])), po_master[[#This Row],[GR Quantity]]&lt;&gt;po_master[[#This Row],[PO Quantity]]), "Qty Variance", "OK")</f>
        <v>OK</v>
      </c>
      <c r="S696" t="str">
        <f>IF(po_master[[#This Row],[Invoice Unit Price]]&gt;po_master[[#This Row],[PO Unit Price]]*1.01, "Price Variance", "OK")</f>
        <v>OK</v>
      </c>
      <c r="T696" t="str">
        <f>IF(po_master[[#This Row],[Actual Delivery Date]]&gt;po_master[[#This Row],[Promised Delivey Date]], "Late Delivery", "OK")</f>
        <v>Late Delivery</v>
      </c>
      <c r="U696" t="str">
        <f>IF(COUNTIF(po_master[PO Number],po_master[[#This Row],[PO Number]])&gt;1, "Duplicate Invoice", "OK")</f>
        <v>OK</v>
      </c>
      <c r="V696" s="5">
        <f>IF(po_master[[#This Row],[Missing Approval]]="Missing Approval", 1, 0)</f>
        <v>0</v>
      </c>
      <c r="W696" s="5">
        <f>IF(po_master[[#This Row],[GR Receipt Status]]="No GR - Not Received", 1, 0)</f>
        <v>0</v>
      </c>
      <c r="X696" s="5">
        <f>IF(po_master[[#This Row],[No invoice]]="No Invoice", 1, 0)</f>
        <v>0</v>
      </c>
      <c r="Y696" s="5">
        <f>IF(po_master[[#This Row],[Date Check]]="Invalid Date", 1, 0)</f>
        <v>0</v>
      </c>
      <c r="Z696" s="5">
        <f>IF(po_master[[#This Row],[Qty Variance Flag]]="Qty Variance", 1, 0)</f>
        <v>0</v>
      </c>
      <c r="AA696" s="5">
        <f>IF(po_master[[#This Row],[Price Variance Flag]]="Price Variance", 1, 0)</f>
        <v>0</v>
      </c>
      <c r="AB696" s="5">
        <f>IF(po_master[[#This Row],[Late Delivery Flag]]="Late Delivery", 1, 0)</f>
        <v>1</v>
      </c>
      <c r="AC696" s="5">
        <f>IF(po_master[[#This Row],[Duplicate Invoice Flag]]="Duplicate Invoice", 1, 0)</f>
        <v>0</v>
      </c>
      <c r="AD696" s="5" t="str">
        <f>TEXT(po_master[[#This Row],[Order Date]],"YYYY-MM")</f>
        <v>2026-04</v>
      </c>
    </row>
    <row r="697" spans="1:30" x14ac:dyDescent="0.25">
      <c r="A697" t="s">
        <v>617</v>
      </c>
      <c r="B697" t="s">
        <v>1505</v>
      </c>
      <c r="C697" s="1">
        <v>46055</v>
      </c>
      <c r="D697">
        <v>31</v>
      </c>
      <c r="E697">
        <v>87.56</v>
      </c>
      <c r="F697" t="s">
        <v>1467</v>
      </c>
      <c r="G697" s="1">
        <v>46073</v>
      </c>
      <c r="H697">
        <v>31</v>
      </c>
      <c r="I697" s="1">
        <v>46072</v>
      </c>
      <c r="J697" t="s">
        <v>1401</v>
      </c>
      <c r="K697">
        <v>31</v>
      </c>
      <c r="L697">
        <v>87.56</v>
      </c>
      <c r="M697" s="1">
        <v>46081</v>
      </c>
      <c r="N697" t="str">
        <f>IF(po_master[[#This Row],[Approved By]]="", "Missing Approval", "OK")</f>
        <v>OK</v>
      </c>
      <c r="O697" t="str">
        <f>IF(ISBLANK(po_master[[#This Row],[GR Quantity]]), "No GR - Not received", "OK")</f>
        <v>OK</v>
      </c>
      <c r="P697" t="str">
        <f>IF(po_master[[#This Row],[Promised Delivey Date]]&lt;po_master[[#This Row],[Order Date]], "Invalid", "OK")</f>
        <v>OK</v>
      </c>
      <c r="Q697" t="str">
        <f>IF(ISBLANK(po_master[[#This Row],[Invoice Number]]), "No Invoice", "OK")</f>
        <v>OK</v>
      </c>
      <c r="R697" t="str">
        <f>IF(AND(NOT(ISBLANK(po_master[[#This Row],[GR Quantity]])), po_master[[#This Row],[GR Quantity]]&lt;&gt;po_master[[#This Row],[PO Quantity]]), "Qty Variance", "OK")</f>
        <v>OK</v>
      </c>
      <c r="S697" t="str">
        <f>IF(po_master[[#This Row],[Invoice Unit Price]]&gt;po_master[[#This Row],[PO Unit Price]]*1.01, "Price Variance", "OK")</f>
        <v>OK</v>
      </c>
      <c r="T697" t="str">
        <f>IF(po_master[[#This Row],[Actual Delivery Date]]&gt;po_master[[#This Row],[Promised Delivey Date]], "Late Delivery", "OK")</f>
        <v>OK</v>
      </c>
      <c r="U697" t="str">
        <f>IF(COUNTIF(po_master[PO Number],po_master[[#This Row],[PO Number]])&gt;1, "Duplicate Invoice", "OK")</f>
        <v>OK</v>
      </c>
      <c r="V697" s="5">
        <f>IF(po_master[[#This Row],[Missing Approval]]="Missing Approval", 1, 0)</f>
        <v>0</v>
      </c>
      <c r="W697" s="5">
        <f>IF(po_master[[#This Row],[GR Receipt Status]]="No GR - Not Received", 1, 0)</f>
        <v>0</v>
      </c>
      <c r="X697" s="5">
        <f>IF(po_master[[#This Row],[No invoice]]="No Invoice", 1, 0)</f>
        <v>0</v>
      </c>
      <c r="Y697" s="5">
        <f>IF(po_master[[#This Row],[Date Check]]="Invalid Date", 1, 0)</f>
        <v>0</v>
      </c>
      <c r="Z697" s="5">
        <f>IF(po_master[[#This Row],[Qty Variance Flag]]="Qty Variance", 1, 0)</f>
        <v>0</v>
      </c>
      <c r="AA697" s="5">
        <f>IF(po_master[[#This Row],[Price Variance Flag]]="Price Variance", 1, 0)</f>
        <v>0</v>
      </c>
      <c r="AB697" s="5">
        <f>IF(po_master[[#This Row],[Late Delivery Flag]]="Late Delivery", 1, 0)</f>
        <v>0</v>
      </c>
      <c r="AC697" s="5">
        <f>IF(po_master[[#This Row],[Duplicate Invoice Flag]]="Duplicate Invoice", 1, 0)</f>
        <v>0</v>
      </c>
      <c r="AD697" s="5" t="str">
        <f>TEXT(po_master[[#This Row],[Order Date]],"YYYY-MM")</f>
        <v>2026-02</v>
      </c>
    </row>
    <row r="698" spans="1:30" x14ac:dyDescent="0.25">
      <c r="A698" t="s">
        <v>618</v>
      </c>
      <c r="B698" t="s">
        <v>1505</v>
      </c>
      <c r="C698" s="1">
        <v>46060</v>
      </c>
      <c r="D698">
        <v>437</v>
      </c>
      <c r="E698">
        <v>121.03</v>
      </c>
      <c r="F698" t="s">
        <v>1472</v>
      </c>
      <c r="G698" s="1">
        <v>46067</v>
      </c>
      <c r="H698">
        <v>457</v>
      </c>
      <c r="I698" s="1">
        <v>46083</v>
      </c>
      <c r="J698" t="s">
        <v>1402</v>
      </c>
      <c r="K698">
        <v>437</v>
      </c>
      <c r="L698">
        <v>121.03</v>
      </c>
      <c r="M698" s="1">
        <v>46077</v>
      </c>
      <c r="N698" t="str">
        <f>IF(po_master[[#This Row],[Approved By]]="", "Missing Approval", "OK")</f>
        <v>OK</v>
      </c>
      <c r="O698" t="str">
        <f>IF(ISBLANK(po_master[[#This Row],[GR Quantity]]), "No GR - Not received", "OK")</f>
        <v>OK</v>
      </c>
      <c r="P698" t="str">
        <f>IF(po_master[[#This Row],[Promised Delivey Date]]&lt;po_master[[#This Row],[Order Date]], "Invalid", "OK")</f>
        <v>OK</v>
      </c>
      <c r="Q698" t="str">
        <f>IF(ISBLANK(po_master[[#This Row],[Invoice Number]]), "No Invoice", "OK")</f>
        <v>OK</v>
      </c>
      <c r="R698" t="str">
        <f>IF(AND(NOT(ISBLANK(po_master[[#This Row],[GR Quantity]])), po_master[[#This Row],[GR Quantity]]&lt;&gt;po_master[[#This Row],[PO Quantity]]), "Qty Variance", "OK")</f>
        <v>Qty Variance</v>
      </c>
      <c r="S698" t="str">
        <f>IF(po_master[[#This Row],[Invoice Unit Price]]&gt;po_master[[#This Row],[PO Unit Price]]*1.01, "Price Variance", "OK")</f>
        <v>OK</v>
      </c>
      <c r="T698" t="str">
        <f>IF(po_master[[#This Row],[Actual Delivery Date]]&gt;po_master[[#This Row],[Promised Delivey Date]], "Late Delivery", "OK")</f>
        <v>Late Delivery</v>
      </c>
      <c r="U698" t="str">
        <f>IF(COUNTIF(po_master[PO Number],po_master[[#This Row],[PO Number]])&gt;1, "Duplicate Invoice", "OK")</f>
        <v>OK</v>
      </c>
      <c r="V698" s="5">
        <f>IF(po_master[[#This Row],[Missing Approval]]="Missing Approval", 1, 0)</f>
        <v>0</v>
      </c>
      <c r="W698" s="5">
        <f>IF(po_master[[#This Row],[GR Receipt Status]]="No GR - Not Received", 1, 0)</f>
        <v>0</v>
      </c>
      <c r="X698" s="5">
        <f>IF(po_master[[#This Row],[No invoice]]="No Invoice", 1, 0)</f>
        <v>0</v>
      </c>
      <c r="Y698" s="5">
        <f>IF(po_master[[#This Row],[Date Check]]="Invalid Date", 1, 0)</f>
        <v>0</v>
      </c>
      <c r="Z698" s="5">
        <f>IF(po_master[[#This Row],[Qty Variance Flag]]="Qty Variance", 1, 0)</f>
        <v>1</v>
      </c>
      <c r="AA698" s="5">
        <f>IF(po_master[[#This Row],[Price Variance Flag]]="Price Variance", 1, 0)</f>
        <v>0</v>
      </c>
      <c r="AB698" s="5">
        <f>IF(po_master[[#This Row],[Late Delivery Flag]]="Late Delivery", 1, 0)</f>
        <v>1</v>
      </c>
      <c r="AC698" s="5">
        <f>IF(po_master[[#This Row],[Duplicate Invoice Flag]]="Duplicate Invoice", 1, 0)</f>
        <v>0</v>
      </c>
      <c r="AD698" s="5" t="str">
        <f>TEXT(po_master[[#This Row],[Order Date]],"YYYY-MM")</f>
        <v>2026-02</v>
      </c>
    </row>
    <row r="699" spans="1:30" x14ac:dyDescent="0.25">
      <c r="A699" t="s">
        <v>619</v>
      </c>
      <c r="B699" t="s">
        <v>1457</v>
      </c>
      <c r="C699" s="1">
        <v>46122</v>
      </c>
      <c r="D699">
        <v>294</v>
      </c>
      <c r="E699">
        <v>82.48</v>
      </c>
      <c r="F699" t="s">
        <v>1472</v>
      </c>
      <c r="G699" s="1">
        <v>46135</v>
      </c>
      <c r="H699">
        <v>294</v>
      </c>
      <c r="I699" s="1">
        <v>46133</v>
      </c>
      <c r="J699" t="s">
        <v>1403</v>
      </c>
      <c r="K699">
        <v>294</v>
      </c>
      <c r="L699">
        <v>82.48</v>
      </c>
      <c r="M699" s="1">
        <v>46139</v>
      </c>
      <c r="N699" t="str">
        <f>IF(po_master[[#This Row],[Approved By]]="", "Missing Approval", "OK")</f>
        <v>OK</v>
      </c>
      <c r="O699" t="str">
        <f>IF(ISBLANK(po_master[[#This Row],[GR Quantity]]), "No GR - Not received", "OK")</f>
        <v>OK</v>
      </c>
      <c r="P699" t="str">
        <f>IF(po_master[[#This Row],[Promised Delivey Date]]&lt;po_master[[#This Row],[Order Date]], "Invalid", "OK")</f>
        <v>OK</v>
      </c>
      <c r="Q699" t="str">
        <f>IF(ISBLANK(po_master[[#This Row],[Invoice Number]]), "No Invoice", "OK")</f>
        <v>OK</v>
      </c>
      <c r="R699" t="str">
        <f>IF(AND(NOT(ISBLANK(po_master[[#This Row],[GR Quantity]])), po_master[[#This Row],[GR Quantity]]&lt;&gt;po_master[[#This Row],[PO Quantity]]), "Qty Variance", "OK")</f>
        <v>OK</v>
      </c>
      <c r="S699" t="str">
        <f>IF(po_master[[#This Row],[Invoice Unit Price]]&gt;po_master[[#This Row],[PO Unit Price]]*1.01, "Price Variance", "OK")</f>
        <v>OK</v>
      </c>
      <c r="T699" t="str">
        <f>IF(po_master[[#This Row],[Actual Delivery Date]]&gt;po_master[[#This Row],[Promised Delivey Date]], "Late Delivery", "OK")</f>
        <v>OK</v>
      </c>
      <c r="U699" t="str">
        <f>IF(COUNTIF(po_master[PO Number],po_master[[#This Row],[PO Number]])&gt;1, "Duplicate Invoice", "OK")</f>
        <v>OK</v>
      </c>
      <c r="V699" s="5">
        <f>IF(po_master[[#This Row],[Missing Approval]]="Missing Approval", 1, 0)</f>
        <v>0</v>
      </c>
      <c r="W699" s="5">
        <f>IF(po_master[[#This Row],[GR Receipt Status]]="No GR - Not Received", 1, 0)</f>
        <v>0</v>
      </c>
      <c r="X699" s="5">
        <f>IF(po_master[[#This Row],[No invoice]]="No Invoice", 1, 0)</f>
        <v>0</v>
      </c>
      <c r="Y699" s="5">
        <f>IF(po_master[[#This Row],[Date Check]]="Invalid Date", 1, 0)</f>
        <v>0</v>
      </c>
      <c r="Z699" s="5">
        <f>IF(po_master[[#This Row],[Qty Variance Flag]]="Qty Variance", 1, 0)</f>
        <v>0</v>
      </c>
      <c r="AA699" s="5">
        <f>IF(po_master[[#This Row],[Price Variance Flag]]="Price Variance", 1, 0)</f>
        <v>0</v>
      </c>
      <c r="AB699" s="5">
        <f>IF(po_master[[#This Row],[Late Delivery Flag]]="Late Delivery", 1, 0)</f>
        <v>0</v>
      </c>
      <c r="AC699" s="5">
        <f>IF(po_master[[#This Row],[Duplicate Invoice Flag]]="Duplicate Invoice", 1, 0)</f>
        <v>0</v>
      </c>
      <c r="AD699" s="5" t="str">
        <f>TEXT(po_master[[#This Row],[Order Date]],"YYYY-MM")</f>
        <v>2026-04</v>
      </c>
    </row>
    <row r="700" spans="1:30" x14ac:dyDescent="0.25">
      <c r="A700" t="s">
        <v>620</v>
      </c>
      <c r="B700" t="s">
        <v>1491</v>
      </c>
      <c r="C700" s="1">
        <v>46140</v>
      </c>
      <c r="D700">
        <v>479</v>
      </c>
      <c r="E700">
        <v>175.33</v>
      </c>
      <c r="F700" t="s">
        <v>1499</v>
      </c>
      <c r="G700" s="1">
        <v>46161</v>
      </c>
      <c r="H700">
        <v>479</v>
      </c>
      <c r="I700" s="1">
        <v>46162</v>
      </c>
      <c r="J700" t="s">
        <v>1404</v>
      </c>
      <c r="K700">
        <v>479</v>
      </c>
      <c r="L700">
        <v>175.33</v>
      </c>
      <c r="M700" s="1">
        <v>46166</v>
      </c>
      <c r="N700" t="str">
        <f>IF(po_master[[#This Row],[Approved By]]="", "Missing Approval", "OK")</f>
        <v>OK</v>
      </c>
      <c r="O700" t="str">
        <f>IF(ISBLANK(po_master[[#This Row],[GR Quantity]]), "No GR - Not received", "OK")</f>
        <v>OK</v>
      </c>
      <c r="P700" t="str">
        <f>IF(po_master[[#This Row],[Promised Delivey Date]]&lt;po_master[[#This Row],[Order Date]], "Invalid", "OK")</f>
        <v>OK</v>
      </c>
      <c r="Q700" t="str">
        <f>IF(ISBLANK(po_master[[#This Row],[Invoice Number]]), "No Invoice", "OK")</f>
        <v>OK</v>
      </c>
      <c r="R700" t="str">
        <f>IF(AND(NOT(ISBLANK(po_master[[#This Row],[GR Quantity]])), po_master[[#This Row],[GR Quantity]]&lt;&gt;po_master[[#This Row],[PO Quantity]]), "Qty Variance", "OK")</f>
        <v>OK</v>
      </c>
      <c r="S700" t="str">
        <f>IF(po_master[[#This Row],[Invoice Unit Price]]&gt;po_master[[#This Row],[PO Unit Price]]*1.01, "Price Variance", "OK")</f>
        <v>OK</v>
      </c>
      <c r="T700" t="str">
        <f>IF(po_master[[#This Row],[Actual Delivery Date]]&gt;po_master[[#This Row],[Promised Delivey Date]], "Late Delivery", "OK")</f>
        <v>Late Delivery</v>
      </c>
      <c r="U700" t="str">
        <f>IF(COUNTIF(po_master[PO Number],po_master[[#This Row],[PO Number]])&gt;1, "Duplicate Invoice", "OK")</f>
        <v>OK</v>
      </c>
      <c r="V700" s="5">
        <f>IF(po_master[[#This Row],[Missing Approval]]="Missing Approval", 1, 0)</f>
        <v>0</v>
      </c>
      <c r="W700" s="5">
        <f>IF(po_master[[#This Row],[GR Receipt Status]]="No GR - Not Received", 1, 0)</f>
        <v>0</v>
      </c>
      <c r="X700" s="5">
        <f>IF(po_master[[#This Row],[No invoice]]="No Invoice", 1, 0)</f>
        <v>0</v>
      </c>
      <c r="Y700" s="5">
        <f>IF(po_master[[#This Row],[Date Check]]="Invalid Date", 1, 0)</f>
        <v>0</v>
      </c>
      <c r="Z700" s="5">
        <f>IF(po_master[[#This Row],[Qty Variance Flag]]="Qty Variance", 1, 0)</f>
        <v>0</v>
      </c>
      <c r="AA700" s="5">
        <f>IF(po_master[[#This Row],[Price Variance Flag]]="Price Variance", 1, 0)</f>
        <v>0</v>
      </c>
      <c r="AB700" s="5">
        <f>IF(po_master[[#This Row],[Late Delivery Flag]]="Late Delivery", 1, 0)</f>
        <v>1</v>
      </c>
      <c r="AC700" s="5">
        <f>IF(po_master[[#This Row],[Duplicate Invoice Flag]]="Duplicate Invoice", 1, 0)</f>
        <v>0</v>
      </c>
      <c r="AD700" s="5" t="str">
        <f>TEXT(po_master[[#This Row],[Order Date]],"YYYY-MM")</f>
        <v>2026-04</v>
      </c>
    </row>
    <row r="701" spans="1:30" x14ac:dyDescent="0.25">
      <c r="A701" t="s">
        <v>621</v>
      </c>
      <c r="B701" t="s">
        <v>1495</v>
      </c>
      <c r="C701" s="1">
        <v>46051</v>
      </c>
      <c r="D701">
        <v>222</v>
      </c>
      <c r="E701">
        <v>34.18</v>
      </c>
      <c r="F701" t="s">
        <v>1480</v>
      </c>
      <c r="G701" s="1">
        <v>46059</v>
      </c>
      <c r="H701">
        <v>222</v>
      </c>
      <c r="I701" s="1">
        <v>46058</v>
      </c>
      <c r="J701" t="s">
        <v>1405</v>
      </c>
      <c r="K701">
        <v>222</v>
      </c>
      <c r="L701">
        <v>34.18</v>
      </c>
      <c r="M701" s="1">
        <v>46066</v>
      </c>
      <c r="N701" t="str">
        <f>IF(po_master[[#This Row],[Approved By]]="", "Missing Approval", "OK")</f>
        <v>OK</v>
      </c>
      <c r="O701" t="str">
        <f>IF(ISBLANK(po_master[[#This Row],[GR Quantity]]), "No GR - Not received", "OK")</f>
        <v>OK</v>
      </c>
      <c r="P701" t="str">
        <f>IF(po_master[[#This Row],[Promised Delivey Date]]&lt;po_master[[#This Row],[Order Date]], "Invalid", "OK")</f>
        <v>OK</v>
      </c>
      <c r="Q701" t="str">
        <f>IF(ISBLANK(po_master[[#This Row],[Invoice Number]]), "No Invoice", "OK")</f>
        <v>OK</v>
      </c>
      <c r="R701" t="str">
        <f>IF(AND(NOT(ISBLANK(po_master[[#This Row],[GR Quantity]])), po_master[[#This Row],[GR Quantity]]&lt;&gt;po_master[[#This Row],[PO Quantity]]), "Qty Variance", "OK")</f>
        <v>OK</v>
      </c>
      <c r="S701" t="str">
        <f>IF(po_master[[#This Row],[Invoice Unit Price]]&gt;po_master[[#This Row],[PO Unit Price]]*1.01, "Price Variance", "OK")</f>
        <v>OK</v>
      </c>
      <c r="T701" t="str">
        <f>IF(po_master[[#This Row],[Actual Delivery Date]]&gt;po_master[[#This Row],[Promised Delivey Date]], "Late Delivery", "OK")</f>
        <v>OK</v>
      </c>
      <c r="U701" t="str">
        <f>IF(COUNTIF(po_master[PO Number],po_master[[#This Row],[PO Number]])&gt;1, "Duplicate Invoice", "OK")</f>
        <v>OK</v>
      </c>
      <c r="V701" s="5">
        <f>IF(po_master[[#This Row],[Missing Approval]]="Missing Approval", 1, 0)</f>
        <v>0</v>
      </c>
      <c r="W701" s="5">
        <f>IF(po_master[[#This Row],[GR Receipt Status]]="No GR - Not Received", 1, 0)</f>
        <v>0</v>
      </c>
      <c r="X701" s="5">
        <f>IF(po_master[[#This Row],[No invoice]]="No Invoice", 1, 0)</f>
        <v>0</v>
      </c>
      <c r="Y701" s="5">
        <f>IF(po_master[[#This Row],[Date Check]]="Invalid Date", 1, 0)</f>
        <v>0</v>
      </c>
      <c r="Z701" s="5">
        <f>IF(po_master[[#This Row],[Qty Variance Flag]]="Qty Variance", 1, 0)</f>
        <v>0</v>
      </c>
      <c r="AA701" s="5">
        <f>IF(po_master[[#This Row],[Price Variance Flag]]="Price Variance", 1, 0)</f>
        <v>0</v>
      </c>
      <c r="AB701" s="5">
        <f>IF(po_master[[#This Row],[Late Delivery Flag]]="Late Delivery", 1, 0)</f>
        <v>0</v>
      </c>
      <c r="AC701" s="5">
        <f>IF(po_master[[#This Row],[Duplicate Invoice Flag]]="Duplicate Invoice", 1, 0)</f>
        <v>0</v>
      </c>
      <c r="AD701" s="5" t="str">
        <f>TEXT(po_master[[#This Row],[Order Date]],"YYYY-MM")</f>
        <v>2026-01</v>
      </c>
    </row>
    <row r="702" spans="1:30" x14ac:dyDescent="0.25">
      <c r="A702" t="s">
        <v>622</v>
      </c>
      <c r="B702" t="s">
        <v>1450</v>
      </c>
      <c r="C702" s="1">
        <v>46167</v>
      </c>
      <c r="D702">
        <v>409</v>
      </c>
      <c r="E702">
        <v>24.69</v>
      </c>
      <c r="F702" t="s">
        <v>1459</v>
      </c>
      <c r="G702" s="1">
        <v>46183</v>
      </c>
      <c r="H702">
        <v>409</v>
      </c>
      <c r="I702" s="1">
        <v>46183</v>
      </c>
      <c r="J702" t="s">
        <v>1406</v>
      </c>
      <c r="K702">
        <v>409</v>
      </c>
      <c r="L702">
        <v>24.69</v>
      </c>
      <c r="M702" s="1">
        <v>46185</v>
      </c>
      <c r="N702" t="str">
        <f>IF(po_master[[#This Row],[Approved By]]="", "Missing Approval", "OK")</f>
        <v>Missing Approval</v>
      </c>
      <c r="O702" t="str">
        <f>IF(ISBLANK(po_master[[#This Row],[GR Quantity]]), "No GR - Not received", "OK")</f>
        <v>OK</v>
      </c>
      <c r="P702" t="str">
        <f>IF(po_master[[#This Row],[Promised Delivey Date]]&lt;po_master[[#This Row],[Order Date]], "Invalid", "OK")</f>
        <v>OK</v>
      </c>
      <c r="Q702" t="str">
        <f>IF(ISBLANK(po_master[[#This Row],[Invoice Number]]), "No Invoice", "OK")</f>
        <v>OK</v>
      </c>
      <c r="R702" t="str">
        <f>IF(AND(NOT(ISBLANK(po_master[[#This Row],[GR Quantity]])), po_master[[#This Row],[GR Quantity]]&lt;&gt;po_master[[#This Row],[PO Quantity]]), "Qty Variance", "OK")</f>
        <v>OK</v>
      </c>
      <c r="S702" t="str">
        <f>IF(po_master[[#This Row],[Invoice Unit Price]]&gt;po_master[[#This Row],[PO Unit Price]]*1.01, "Price Variance", "OK")</f>
        <v>OK</v>
      </c>
      <c r="T702" t="str">
        <f>IF(po_master[[#This Row],[Actual Delivery Date]]&gt;po_master[[#This Row],[Promised Delivey Date]], "Late Delivery", "OK")</f>
        <v>OK</v>
      </c>
      <c r="U702" t="str">
        <f>IF(COUNTIF(po_master[PO Number],po_master[[#This Row],[PO Number]])&gt;1, "Duplicate Invoice", "OK")</f>
        <v>OK</v>
      </c>
      <c r="V702" s="5">
        <f>IF(po_master[[#This Row],[Missing Approval]]="Missing Approval", 1, 0)</f>
        <v>1</v>
      </c>
      <c r="W702" s="5">
        <f>IF(po_master[[#This Row],[GR Receipt Status]]="No GR - Not Received", 1, 0)</f>
        <v>0</v>
      </c>
      <c r="X702" s="5">
        <f>IF(po_master[[#This Row],[No invoice]]="No Invoice", 1, 0)</f>
        <v>0</v>
      </c>
      <c r="Y702" s="5">
        <f>IF(po_master[[#This Row],[Date Check]]="Invalid Date", 1, 0)</f>
        <v>0</v>
      </c>
      <c r="Z702" s="5">
        <f>IF(po_master[[#This Row],[Qty Variance Flag]]="Qty Variance", 1, 0)</f>
        <v>0</v>
      </c>
      <c r="AA702" s="5">
        <f>IF(po_master[[#This Row],[Price Variance Flag]]="Price Variance", 1, 0)</f>
        <v>0</v>
      </c>
      <c r="AB702" s="5">
        <f>IF(po_master[[#This Row],[Late Delivery Flag]]="Late Delivery", 1, 0)</f>
        <v>0</v>
      </c>
      <c r="AC702" s="5">
        <f>IF(po_master[[#This Row],[Duplicate Invoice Flag]]="Duplicate Invoice", 1, 0)</f>
        <v>0</v>
      </c>
      <c r="AD702" s="5" t="str">
        <f>TEXT(po_master[[#This Row],[Order Date]],"YYYY-MM")</f>
        <v>2026-05</v>
      </c>
    </row>
    <row r="703" spans="1:30" x14ac:dyDescent="0.25">
      <c r="A703" t="s">
        <v>623</v>
      </c>
      <c r="B703" t="s">
        <v>1495</v>
      </c>
      <c r="C703" s="1">
        <v>46090</v>
      </c>
      <c r="D703">
        <v>206</v>
      </c>
      <c r="E703">
        <v>132.68</v>
      </c>
      <c r="F703" t="s">
        <v>1480</v>
      </c>
      <c r="G703" s="1">
        <v>46110</v>
      </c>
      <c r="H703">
        <v>206</v>
      </c>
      <c r="I703" s="1">
        <v>46109</v>
      </c>
      <c r="J703" t="s">
        <v>1407</v>
      </c>
      <c r="K703">
        <v>206</v>
      </c>
      <c r="L703">
        <v>132.68</v>
      </c>
      <c r="M703" s="1">
        <v>46113</v>
      </c>
      <c r="N703" t="str">
        <f>IF(po_master[[#This Row],[Approved By]]="", "Missing Approval", "OK")</f>
        <v>OK</v>
      </c>
      <c r="O703" t="str">
        <f>IF(ISBLANK(po_master[[#This Row],[GR Quantity]]), "No GR - Not received", "OK")</f>
        <v>OK</v>
      </c>
      <c r="P703" t="str">
        <f>IF(po_master[[#This Row],[Promised Delivey Date]]&lt;po_master[[#This Row],[Order Date]], "Invalid", "OK")</f>
        <v>OK</v>
      </c>
      <c r="Q703" t="str">
        <f>IF(ISBLANK(po_master[[#This Row],[Invoice Number]]), "No Invoice", "OK")</f>
        <v>OK</v>
      </c>
      <c r="R703" t="str">
        <f>IF(AND(NOT(ISBLANK(po_master[[#This Row],[GR Quantity]])), po_master[[#This Row],[GR Quantity]]&lt;&gt;po_master[[#This Row],[PO Quantity]]), "Qty Variance", "OK")</f>
        <v>OK</v>
      </c>
      <c r="S703" t="str">
        <f>IF(po_master[[#This Row],[Invoice Unit Price]]&gt;po_master[[#This Row],[PO Unit Price]]*1.01, "Price Variance", "OK")</f>
        <v>OK</v>
      </c>
      <c r="T703" t="str">
        <f>IF(po_master[[#This Row],[Actual Delivery Date]]&gt;po_master[[#This Row],[Promised Delivey Date]], "Late Delivery", "OK")</f>
        <v>OK</v>
      </c>
      <c r="U703" t="str">
        <f>IF(COUNTIF(po_master[PO Number],po_master[[#This Row],[PO Number]])&gt;1, "Duplicate Invoice", "OK")</f>
        <v>OK</v>
      </c>
      <c r="V703" s="5">
        <f>IF(po_master[[#This Row],[Missing Approval]]="Missing Approval", 1, 0)</f>
        <v>0</v>
      </c>
      <c r="W703" s="5">
        <f>IF(po_master[[#This Row],[GR Receipt Status]]="No GR - Not Received", 1, 0)</f>
        <v>0</v>
      </c>
      <c r="X703" s="5">
        <f>IF(po_master[[#This Row],[No invoice]]="No Invoice", 1, 0)</f>
        <v>0</v>
      </c>
      <c r="Y703" s="5">
        <f>IF(po_master[[#This Row],[Date Check]]="Invalid Date", 1, 0)</f>
        <v>0</v>
      </c>
      <c r="Z703" s="5">
        <f>IF(po_master[[#This Row],[Qty Variance Flag]]="Qty Variance", 1, 0)</f>
        <v>0</v>
      </c>
      <c r="AA703" s="5">
        <f>IF(po_master[[#This Row],[Price Variance Flag]]="Price Variance", 1, 0)</f>
        <v>0</v>
      </c>
      <c r="AB703" s="5">
        <f>IF(po_master[[#This Row],[Late Delivery Flag]]="Late Delivery", 1, 0)</f>
        <v>0</v>
      </c>
      <c r="AC703" s="5">
        <f>IF(po_master[[#This Row],[Duplicate Invoice Flag]]="Duplicate Invoice", 1, 0)</f>
        <v>0</v>
      </c>
      <c r="AD703" s="5" t="str">
        <f>TEXT(po_master[[#This Row],[Order Date]],"YYYY-MM")</f>
        <v>2026-03</v>
      </c>
    </row>
    <row r="704" spans="1:30" x14ac:dyDescent="0.25">
      <c r="A704" t="s">
        <v>624</v>
      </c>
      <c r="B704" t="s">
        <v>1452</v>
      </c>
      <c r="C704" s="1">
        <v>46067</v>
      </c>
      <c r="D704">
        <v>151</v>
      </c>
      <c r="E704">
        <v>83.58</v>
      </c>
      <c r="F704" t="s">
        <v>1494</v>
      </c>
      <c r="G704" s="1">
        <v>46084</v>
      </c>
      <c r="H704">
        <v>151</v>
      </c>
      <c r="I704" s="1">
        <v>46083</v>
      </c>
      <c r="J704" t="s">
        <v>1408</v>
      </c>
      <c r="K704">
        <v>151</v>
      </c>
      <c r="L704">
        <v>83.58</v>
      </c>
      <c r="M704" s="1">
        <v>46087</v>
      </c>
      <c r="N704" t="str">
        <f>IF(po_master[[#This Row],[Approved By]]="", "Missing Approval", "OK")</f>
        <v>OK</v>
      </c>
      <c r="O704" t="str">
        <f>IF(ISBLANK(po_master[[#This Row],[GR Quantity]]), "No GR - Not received", "OK")</f>
        <v>OK</v>
      </c>
      <c r="P704" t="str">
        <f>IF(po_master[[#This Row],[Promised Delivey Date]]&lt;po_master[[#This Row],[Order Date]], "Invalid", "OK")</f>
        <v>OK</v>
      </c>
      <c r="Q704" t="str">
        <f>IF(ISBLANK(po_master[[#This Row],[Invoice Number]]), "No Invoice", "OK")</f>
        <v>OK</v>
      </c>
      <c r="R704" t="str">
        <f>IF(AND(NOT(ISBLANK(po_master[[#This Row],[GR Quantity]])), po_master[[#This Row],[GR Quantity]]&lt;&gt;po_master[[#This Row],[PO Quantity]]), "Qty Variance", "OK")</f>
        <v>OK</v>
      </c>
      <c r="S704" t="str">
        <f>IF(po_master[[#This Row],[Invoice Unit Price]]&gt;po_master[[#This Row],[PO Unit Price]]*1.01, "Price Variance", "OK")</f>
        <v>OK</v>
      </c>
      <c r="T704" t="str">
        <f>IF(po_master[[#This Row],[Actual Delivery Date]]&gt;po_master[[#This Row],[Promised Delivey Date]], "Late Delivery", "OK")</f>
        <v>OK</v>
      </c>
      <c r="U704" t="str">
        <f>IF(COUNTIF(po_master[PO Number],po_master[[#This Row],[PO Number]])&gt;1, "Duplicate Invoice", "OK")</f>
        <v>OK</v>
      </c>
      <c r="V704" s="5">
        <f>IF(po_master[[#This Row],[Missing Approval]]="Missing Approval", 1, 0)</f>
        <v>0</v>
      </c>
      <c r="W704" s="5">
        <f>IF(po_master[[#This Row],[GR Receipt Status]]="No GR - Not Received", 1, 0)</f>
        <v>0</v>
      </c>
      <c r="X704" s="5">
        <f>IF(po_master[[#This Row],[No invoice]]="No Invoice", 1, 0)</f>
        <v>0</v>
      </c>
      <c r="Y704" s="5">
        <f>IF(po_master[[#This Row],[Date Check]]="Invalid Date", 1, 0)</f>
        <v>0</v>
      </c>
      <c r="Z704" s="5">
        <f>IF(po_master[[#This Row],[Qty Variance Flag]]="Qty Variance", 1, 0)</f>
        <v>0</v>
      </c>
      <c r="AA704" s="5">
        <f>IF(po_master[[#This Row],[Price Variance Flag]]="Price Variance", 1, 0)</f>
        <v>0</v>
      </c>
      <c r="AB704" s="5">
        <f>IF(po_master[[#This Row],[Late Delivery Flag]]="Late Delivery", 1, 0)</f>
        <v>0</v>
      </c>
      <c r="AC704" s="5">
        <f>IF(po_master[[#This Row],[Duplicate Invoice Flag]]="Duplicate Invoice", 1, 0)</f>
        <v>0</v>
      </c>
      <c r="AD704" s="5" t="str">
        <f>TEXT(po_master[[#This Row],[Order Date]],"YYYY-MM")</f>
        <v>2026-02</v>
      </c>
    </row>
    <row r="705" spans="1:30" x14ac:dyDescent="0.25">
      <c r="A705" t="s">
        <v>625</v>
      </c>
      <c r="B705" t="s">
        <v>1452</v>
      </c>
      <c r="C705" s="1">
        <v>46124</v>
      </c>
      <c r="D705">
        <v>465</v>
      </c>
      <c r="E705">
        <v>176.4</v>
      </c>
      <c r="F705" t="s">
        <v>1499</v>
      </c>
      <c r="G705" s="1">
        <v>46136</v>
      </c>
      <c r="H705">
        <v>465</v>
      </c>
      <c r="I705" s="1">
        <v>46136</v>
      </c>
      <c r="J705" t="s">
        <v>1409</v>
      </c>
      <c r="K705">
        <v>465</v>
      </c>
      <c r="L705">
        <v>176.4</v>
      </c>
      <c r="M705" s="1">
        <v>46137</v>
      </c>
      <c r="N705" t="str">
        <f>IF(po_master[[#This Row],[Approved By]]="", "Missing Approval", "OK")</f>
        <v>OK</v>
      </c>
      <c r="O705" t="str">
        <f>IF(ISBLANK(po_master[[#This Row],[GR Quantity]]), "No GR - Not received", "OK")</f>
        <v>OK</v>
      </c>
      <c r="P705" t="str">
        <f>IF(po_master[[#This Row],[Promised Delivey Date]]&lt;po_master[[#This Row],[Order Date]], "Invalid", "OK")</f>
        <v>OK</v>
      </c>
      <c r="Q705" t="str">
        <f>IF(ISBLANK(po_master[[#This Row],[Invoice Number]]), "No Invoice", "OK")</f>
        <v>OK</v>
      </c>
      <c r="R705" t="str">
        <f>IF(AND(NOT(ISBLANK(po_master[[#This Row],[GR Quantity]])), po_master[[#This Row],[GR Quantity]]&lt;&gt;po_master[[#This Row],[PO Quantity]]), "Qty Variance", "OK")</f>
        <v>OK</v>
      </c>
      <c r="S705" t="str">
        <f>IF(po_master[[#This Row],[Invoice Unit Price]]&gt;po_master[[#This Row],[PO Unit Price]]*1.01, "Price Variance", "OK")</f>
        <v>OK</v>
      </c>
      <c r="T705" t="str">
        <f>IF(po_master[[#This Row],[Actual Delivery Date]]&gt;po_master[[#This Row],[Promised Delivey Date]], "Late Delivery", "OK")</f>
        <v>OK</v>
      </c>
      <c r="U705" t="str">
        <f>IF(COUNTIF(po_master[PO Number],po_master[[#This Row],[PO Number]])&gt;1, "Duplicate Invoice", "OK")</f>
        <v>OK</v>
      </c>
      <c r="V705" s="5">
        <f>IF(po_master[[#This Row],[Missing Approval]]="Missing Approval", 1, 0)</f>
        <v>0</v>
      </c>
      <c r="W705" s="5">
        <f>IF(po_master[[#This Row],[GR Receipt Status]]="No GR - Not Received", 1, 0)</f>
        <v>0</v>
      </c>
      <c r="X705" s="5">
        <f>IF(po_master[[#This Row],[No invoice]]="No Invoice", 1, 0)</f>
        <v>0</v>
      </c>
      <c r="Y705" s="5">
        <f>IF(po_master[[#This Row],[Date Check]]="Invalid Date", 1, 0)</f>
        <v>0</v>
      </c>
      <c r="Z705" s="5">
        <f>IF(po_master[[#This Row],[Qty Variance Flag]]="Qty Variance", 1, 0)</f>
        <v>0</v>
      </c>
      <c r="AA705" s="5">
        <f>IF(po_master[[#This Row],[Price Variance Flag]]="Price Variance", 1, 0)</f>
        <v>0</v>
      </c>
      <c r="AB705" s="5">
        <f>IF(po_master[[#This Row],[Late Delivery Flag]]="Late Delivery", 1, 0)</f>
        <v>0</v>
      </c>
      <c r="AC705" s="5">
        <f>IF(po_master[[#This Row],[Duplicate Invoice Flag]]="Duplicate Invoice", 1, 0)</f>
        <v>0</v>
      </c>
      <c r="AD705" s="5" t="str">
        <f>TEXT(po_master[[#This Row],[Order Date]],"YYYY-MM")</f>
        <v>2026-04</v>
      </c>
    </row>
    <row r="706" spans="1:30" x14ac:dyDescent="0.25">
      <c r="A706" t="s">
        <v>626</v>
      </c>
      <c r="B706" t="s">
        <v>1475</v>
      </c>
      <c r="C706" s="1">
        <v>46144</v>
      </c>
      <c r="D706">
        <v>481</v>
      </c>
      <c r="E706">
        <v>57.37</v>
      </c>
      <c r="F706" t="s">
        <v>1451</v>
      </c>
      <c r="G706" s="1">
        <v>46149</v>
      </c>
      <c r="H706">
        <v>481</v>
      </c>
      <c r="I706" s="1">
        <v>46148</v>
      </c>
      <c r="J706" t="s">
        <v>1410</v>
      </c>
      <c r="K706">
        <v>481</v>
      </c>
      <c r="L706">
        <v>57.37</v>
      </c>
      <c r="M706" s="1">
        <v>46152</v>
      </c>
      <c r="N706" t="str">
        <f>IF(po_master[[#This Row],[Approved By]]="", "Missing Approval", "OK")</f>
        <v>OK</v>
      </c>
      <c r="O706" t="str">
        <f>IF(ISBLANK(po_master[[#This Row],[GR Quantity]]), "No GR - Not received", "OK")</f>
        <v>OK</v>
      </c>
      <c r="P706" t="str">
        <f>IF(po_master[[#This Row],[Promised Delivey Date]]&lt;po_master[[#This Row],[Order Date]], "Invalid", "OK")</f>
        <v>OK</v>
      </c>
      <c r="Q706" t="str">
        <f>IF(ISBLANK(po_master[[#This Row],[Invoice Number]]), "No Invoice", "OK")</f>
        <v>OK</v>
      </c>
      <c r="R706" t="str">
        <f>IF(AND(NOT(ISBLANK(po_master[[#This Row],[GR Quantity]])), po_master[[#This Row],[GR Quantity]]&lt;&gt;po_master[[#This Row],[PO Quantity]]), "Qty Variance", "OK")</f>
        <v>OK</v>
      </c>
      <c r="S706" t="str">
        <f>IF(po_master[[#This Row],[Invoice Unit Price]]&gt;po_master[[#This Row],[PO Unit Price]]*1.01, "Price Variance", "OK")</f>
        <v>OK</v>
      </c>
      <c r="T706" t="str">
        <f>IF(po_master[[#This Row],[Actual Delivery Date]]&gt;po_master[[#This Row],[Promised Delivey Date]], "Late Delivery", "OK")</f>
        <v>OK</v>
      </c>
      <c r="U706" t="str">
        <f>IF(COUNTIF(po_master[PO Number],po_master[[#This Row],[PO Number]])&gt;1, "Duplicate Invoice", "OK")</f>
        <v>OK</v>
      </c>
      <c r="V706" s="5">
        <f>IF(po_master[[#This Row],[Missing Approval]]="Missing Approval", 1, 0)</f>
        <v>0</v>
      </c>
      <c r="W706" s="5">
        <f>IF(po_master[[#This Row],[GR Receipt Status]]="No GR - Not Received", 1, 0)</f>
        <v>0</v>
      </c>
      <c r="X706" s="5">
        <f>IF(po_master[[#This Row],[No invoice]]="No Invoice", 1, 0)</f>
        <v>0</v>
      </c>
      <c r="Y706" s="5">
        <f>IF(po_master[[#This Row],[Date Check]]="Invalid Date", 1, 0)</f>
        <v>0</v>
      </c>
      <c r="Z706" s="5">
        <f>IF(po_master[[#This Row],[Qty Variance Flag]]="Qty Variance", 1, 0)</f>
        <v>0</v>
      </c>
      <c r="AA706" s="5">
        <f>IF(po_master[[#This Row],[Price Variance Flag]]="Price Variance", 1, 0)</f>
        <v>0</v>
      </c>
      <c r="AB706" s="5">
        <f>IF(po_master[[#This Row],[Late Delivery Flag]]="Late Delivery", 1, 0)</f>
        <v>0</v>
      </c>
      <c r="AC706" s="5">
        <f>IF(po_master[[#This Row],[Duplicate Invoice Flag]]="Duplicate Invoice", 1, 0)</f>
        <v>0</v>
      </c>
      <c r="AD706" s="5" t="str">
        <f>TEXT(po_master[[#This Row],[Order Date]],"YYYY-MM")</f>
        <v>2026-05</v>
      </c>
    </row>
    <row r="707" spans="1:30" x14ac:dyDescent="0.25">
      <c r="A707" t="s">
        <v>627</v>
      </c>
      <c r="B707" t="s">
        <v>1479</v>
      </c>
      <c r="C707" s="1">
        <v>46100</v>
      </c>
      <c r="D707">
        <v>169</v>
      </c>
      <c r="E707">
        <v>59.67</v>
      </c>
      <c r="F707" t="s">
        <v>1487</v>
      </c>
      <c r="G707" s="1">
        <v>46108</v>
      </c>
      <c r="H707">
        <v>169</v>
      </c>
      <c r="I707" s="1">
        <v>46106</v>
      </c>
      <c r="J707" t="s">
        <v>1411</v>
      </c>
      <c r="K707">
        <v>169</v>
      </c>
      <c r="L707">
        <v>59.67</v>
      </c>
      <c r="M707" s="1">
        <v>46110</v>
      </c>
      <c r="N707" t="str">
        <f>IF(po_master[[#This Row],[Approved By]]="", "Missing Approval", "OK")</f>
        <v>OK</v>
      </c>
      <c r="O707" t="str">
        <f>IF(ISBLANK(po_master[[#This Row],[GR Quantity]]), "No GR - Not received", "OK")</f>
        <v>OK</v>
      </c>
      <c r="P707" t="str">
        <f>IF(po_master[[#This Row],[Promised Delivey Date]]&lt;po_master[[#This Row],[Order Date]], "Invalid", "OK")</f>
        <v>OK</v>
      </c>
      <c r="Q707" t="str">
        <f>IF(ISBLANK(po_master[[#This Row],[Invoice Number]]), "No Invoice", "OK")</f>
        <v>OK</v>
      </c>
      <c r="R707" t="str">
        <f>IF(AND(NOT(ISBLANK(po_master[[#This Row],[GR Quantity]])), po_master[[#This Row],[GR Quantity]]&lt;&gt;po_master[[#This Row],[PO Quantity]]), "Qty Variance", "OK")</f>
        <v>OK</v>
      </c>
      <c r="S707" t="str">
        <f>IF(po_master[[#This Row],[Invoice Unit Price]]&gt;po_master[[#This Row],[PO Unit Price]]*1.01, "Price Variance", "OK")</f>
        <v>OK</v>
      </c>
      <c r="T707" t="str">
        <f>IF(po_master[[#This Row],[Actual Delivery Date]]&gt;po_master[[#This Row],[Promised Delivey Date]], "Late Delivery", "OK")</f>
        <v>OK</v>
      </c>
      <c r="U707" t="str">
        <f>IF(COUNTIF(po_master[PO Number],po_master[[#This Row],[PO Number]])&gt;1, "Duplicate Invoice", "OK")</f>
        <v>OK</v>
      </c>
      <c r="V707" s="5">
        <f>IF(po_master[[#This Row],[Missing Approval]]="Missing Approval", 1, 0)</f>
        <v>0</v>
      </c>
      <c r="W707" s="5">
        <f>IF(po_master[[#This Row],[GR Receipt Status]]="No GR - Not Received", 1, 0)</f>
        <v>0</v>
      </c>
      <c r="X707" s="5">
        <f>IF(po_master[[#This Row],[No invoice]]="No Invoice", 1, 0)</f>
        <v>0</v>
      </c>
      <c r="Y707" s="5">
        <f>IF(po_master[[#This Row],[Date Check]]="Invalid Date", 1, 0)</f>
        <v>0</v>
      </c>
      <c r="Z707" s="5">
        <f>IF(po_master[[#This Row],[Qty Variance Flag]]="Qty Variance", 1, 0)</f>
        <v>0</v>
      </c>
      <c r="AA707" s="5">
        <f>IF(po_master[[#This Row],[Price Variance Flag]]="Price Variance", 1, 0)</f>
        <v>0</v>
      </c>
      <c r="AB707" s="5">
        <f>IF(po_master[[#This Row],[Late Delivery Flag]]="Late Delivery", 1, 0)</f>
        <v>0</v>
      </c>
      <c r="AC707" s="5">
        <f>IF(po_master[[#This Row],[Duplicate Invoice Flag]]="Duplicate Invoice", 1, 0)</f>
        <v>0</v>
      </c>
      <c r="AD707" s="5" t="str">
        <f>TEXT(po_master[[#This Row],[Order Date]],"YYYY-MM")</f>
        <v>2026-03</v>
      </c>
    </row>
    <row r="708" spans="1:30" x14ac:dyDescent="0.25">
      <c r="A708" t="s">
        <v>628</v>
      </c>
      <c r="B708" t="s">
        <v>1447</v>
      </c>
      <c r="C708" s="1">
        <v>46057</v>
      </c>
      <c r="D708">
        <v>163</v>
      </c>
      <c r="E708">
        <v>194.97</v>
      </c>
      <c r="F708" t="s">
        <v>1469</v>
      </c>
      <c r="G708" s="1">
        <v>46072</v>
      </c>
      <c r="H708">
        <v>163</v>
      </c>
      <c r="I708" s="1">
        <v>46073</v>
      </c>
      <c r="J708" t="s">
        <v>1412</v>
      </c>
      <c r="K708">
        <v>163</v>
      </c>
      <c r="L708">
        <v>194.97</v>
      </c>
      <c r="M708" s="1">
        <v>46081</v>
      </c>
      <c r="N708" t="str">
        <f>IF(po_master[[#This Row],[Approved By]]="", "Missing Approval", "OK")</f>
        <v>OK</v>
      </c>
      <c r="O708" t="str">
        <f>IF(ISBLANK(po_master[[#This Row],[GR Quantity]]), "No GR - Not received", "OK")</f>
        <v>OK</v>
      </c>
      <c r="P708" t="str">
        <f>IF(po_master[[#This Row],[Promised Delivey Date]]&lt;po_master[[#This Row],[Order Date]], "Invalid", "OK")</f>
        <v>OK</v>
      </c>
      <c r="Q708" t="str">
        <f>IF(ISBLANK(po_master[[#This Row],[Invoice Number]]), "No Invoice", "OK")</f>
        <v>OK</v>
      </c>
      <c r="R708" t="str">
        <f>IF(AND(NOT(ISBLANK(po_master[[#This Row],[GR Quantity]])), po_master[[#This Row],[GR Quantity]]&lt;&gt;po_master[[#This Row],[PO Quantity]]), "Qty Variance", "OK")</f>
        <v>OK</v>
      </c>
      <c r="S708" t="str">
        <f>IF(po_master[[#This Row],[Invoice Unit Price]]&gt;po_master[[#This Row],[PO Unit Price]]*1.01, "Price Variance", "OK")</f>
        <v>OK</v>
      </c>
      <c r="T708" t="str">
        <f>IF(po_master[[#This Row],[Actual Delivery Date]]&gt;po_master[[#This Row],[Promised Delivey Date]], "Late Delivery", "OK")</f>
        <v>Late Delivery</v>
      </c>
      <c r="U708" t="str">
        <f>IF(COUNTIF(po_master[PO Number],po_master[[#This Row],[PO Number]])&gt;1, "Duplicate Invoice", "OK")</f>
        <v>OK</v>
      </c>
      <c r="V708" s="5">
        <f>IF(po_master[[#This Row],[Missing Approval]]="Missing Approval", 1, 0)</f>
        <v>0</v>
      </c>
      <c r="W708" s="5">
        <f>IF(po_master[[#This Row],[GR Receipt Status]]="No GR - Not Received", 1, 0)</f>
        <v>0</v>
      </c>
      <c r="X708" s="5">
        <f>IF(po_master[[#This Row],[No invoice]]="No Invoice", 1, 0)</f>
        <v>0</v>
      </c>
      <c r="Y708" s="5">
        <f>IF(po_master[[#This Row],[Date Check]]="Invalid Date", 1, 0)</f>
        <v>0</v>
      </c>
      <c r="Z708" s="5">
        <f>IF(po_master[[#This Row],[Qty Variance Flag]]="Qty Variance", 1, 0)</f>
        <v>0</v>
      </c>
      <c r="AA708" s="5">
        <f>IF(po_master[[#This Row],[Price Variance Flag]]="Price Variance", 1, 0)</f>
        <v>0</v>
      </c>
      <c r="AB708" s="5">
        <f>IF(po_master[[#This Row],[Late Delivery Flag]]="Late Delivery", 1, 0)</f>
        <v>1</v>
      </c>
      <c r="AC708" s="5">
        <f>IF(po_master[[#This Row],[Duplicate Invoice Flag]]="Duplicate Invoice", 1, 0)</f>
        <v>0</v>
      </c>
      <c r="AD708" s="5" t="str">
        <f>TEXT(po_master[[#This Row],[Order Date]],"YYYY-MM")</f>
        <v>2026-02</v>
      </c>
    </row>
    <row r="709" spans="1:30" x14ac:dyDescent="0.25">
      <c r="A709" t="s">
        <v>629</v>
      </c>
      <c r="B709" t="s">
        <v>1511</v>
      </c>
      <c r="C709" s="1">
        <v>46129</v>
      </c>
      <c r="D709">
        <v>319</v>
      </c>
      <c r="E709">
        <v>130.88</v>
      </c>
      <c r="F709" t="s">
        <v>1444</v>
      </c>
      <c r="G709" s="1">
        <v>46148</v>
      </c>
      <c r="H709">
        <v>319</v>
      </c>
      <c r="I709" s="1">
        <v>46150</v>
      </c>
      <c r="J709" t="s">
        <v>1413</v>
      </c>
      <c r="K709">
        <v>319</v>
      </c>
      <c r="L709">
        <v>130.88</v>
      </c>
      <c r="M709" s="1">
        <v>46152</v>
      </c>
      <c r="N709" t="str">
        <f>IF(po_master[[#This Row],[Approved By]]="", "Missing Approval", "OK")</f>
        <v>OK</v>
      </c>
      <c r="O709" t="str">
        <f>IF(ISBLANK(po_master[[#This Row],[GR Quantity]]), "No GR - Not received", "OK")</f>
        <v>OK</v>
      </c>
      <c r="P709" t="str">
        <f>IF(po_master[[#This Row],[Promised Delivey Date]]&lt;po_master[[#This Row],[Order Date]], "Invalid", "OK")</f>
        <v>OK</v>
      </c>
      <c r="Q709" t="str">
        <f>IF(ISBLANK(po_master[[#This Row],[Invoice Number]]), "No Invoice", "OK")</f>
        <v>OK</v>
      </c>
      <c r="R709" t="str">
        <f>IF(AND(NOT(ISBLANK(po_master[[#This Row],[GR Quantity]])), po_master[[#This Row],[GR Quantity]]&lt;&gt;po_master[[#This Row],[PO Quantity]]), "Qty Variance", "OK")</f>
        <v>OK</v>
      </c>
      <c r="S709" t="str">
        <f>IF(po_master[[#This Row],[Invoice Unit Price]]&gt;po_master[[#This Row],[PO Unit Price]]*1.01, "Price Variance", "OK")</f>
        <v>OK</v>
      </c>
      <c r="T709" t="str">
        <f>IF(po_master[[#This Row],[Actual Delivery Date]]&gt;po_master[[#This Row],[Promised Delivey Date]], "Late Delivery", "OK")</f>
        <v>Late Delivery</v>
      </c>
      <c r="U709" t="str">
        <f>IF(COUNTIF(po_master[PO Number],po_master[[#This Row],[PO Number]])&gt;1, "Duplicate Invoice", "OK")</f>
        <v>OK</v>
      </c>
      <c r="V709" s="5">
        <f>IF(po_master[[#This Row],[Missing Approval]]="Missing Approval", 1, 0)</f>
        <v>0</v>
      </c>
      <c r="W709" s="5">
        <f>IF(po_master[[#This Row],[GR Receipt Status]]="No GR - Not Received", 1, 0)</f>
        <v>0</v>
      </c>
      <c r="X709" s="5">
        <f>IF(po_master[[#This Row],[No invoice]]="No Invoice", 1, 0)</f>
        <v>0</v>
      </c>
      <c r="Y709" s="5">
        <f>IF(po_master[[#This Row],[Date Check]]="Invalid Date", 1, 0)</f>
        <v>0</v>
      </c>
      <c r="Z709" s="5">
        <f>IF(po_master[[#This Row],[Qty Variance Flag]]="Qty Variance", 1, 0)</f>
        <v>0</v>
      </c>
      <c r="AA709" s="5">
        <f>IF(po_master[[#This Row],[Price Variance Flag]]="Price Variance", 1, 0)</f>
        <v>0</v>
      </c>
      <c r="AB709" s="5">
        <f>IF(po_master[[#This Row],[Late Delivery Flag]]="Late Delivery", 1, 0)</f>
        <v>1</v>
      </c>
      <c r="AC709" s="5">
        <f>IF(po_master[[#This Row],[Duplicate Invoice Flag]]="Duplicate Invoice", 1, 0)</f>
        <v>0</v>
      </c>
      <c r="AD709" s="5" t="str">
        <f>TEXT(po_master[[#This Row],[Order Date]],"YYYY-MM")</f>
        <v>2026-04</v>
      </c>
    </row>
    <row r="710" spans="1:30" x14ac:dyDescent="0.25">
      <c r="A710" t="s">
        <v>630</v>
      </c>
      <c r="B710" t="s">
        <v>1463</v>
      </c>
      <c r="C710" s="1">
        <v>46127</v>
      </c>
      <c r="D710">
        <v>389</v>
      </c>
      <c r="E710">
        <v>99.47</v>
      </c>
      <c r="F710" t="s">
        <v>1504</v>
      </c>
      <c r="G710" s="1">
        <v>46143</v>
      </c>
      <c r="H710">
        <v>397</v>
      </c>
      <c r="I710" s="1">
        <v>46144</v>
      </c>
      <c r="J710" t="s">
        <v>1414</v>
      </c>
      <c r="K710">
        <v>389</v>
      </c>
      <c r="L710">
        <v>99.47</v>
      </c>
      <c r="M710" s="1">
        <v>46144</v>
      </c>
      <c r="N710" t="str">
        <f>IF(po_master[[#This Row],[Approved By]]="", "Missing Approval", "OK")</f>
        <v>OK</v>
      </c>
      <c r="O710" t="str">
        <f>IF(ISBLANK(po_master[[#This Row],[GR Quantity]]), "No GR - Not received", "OK")</f>
        <v>OK</v>
      </c>
      <c r="P710" t="str">
        <f>IF(po_master[[#This Row],[Promised Delivey Date]]&lt;po_master[[#This Row],[Order Date]], "Invalid", "OK")</f>
        <v>OK</v>
      </c>
      <c r="Q710" t="str">
        <f>IF(ISBLANK(po_master[[#This Row],[Invoice Number]]), "No Invoice", "OK")</f>
        <v>OK</v>
      </c>
      <c r="R710" t="str">
        <f>IF(AND(NOT(ISBLANK(po_master[[#This Row],[GR Quantity]])), po_master[[#This Row],[GR Quantity]]&lt;&gt;po_master[[#This Row],[PO Quantity]]), "Qty Variance", "OK")</f>
        <v>Qty Variance</v>
      </c>
      <c r="S710" t="str">
        <f>IF(po_master[[#This Row],[Invoice Unit Price]]&gt;po_master[[#This Row],[PO Unit Price]]*1.01, "Price Variance", "OK")</f>
        <v>OK</v>
      </c>
      <c r="T710" t="str">
        <f>IF(po_master[[#This Row],[Actual Delivery Date]]&gt;po_master[[#This Row],[Promised Delivey Date]], "Late Delivery", "OK")</f>
        <v>Late Delivery</v>
      </c>
      <c r="U710" t="str">
        <f>IF(COUNTIF(po_master[PO Number],po_master[[#This Row],[PO Number]])&gt;1, "Duplicate Invoice", "OK")</f>
        <v>OK</v>
      </c>
      <c r="V710" s="5">
        <f>IF(po_master[[#This Row],[Missing Approval]]="Missing Approval", 1, 0)</f>
        <v>0</v>
      </c>
      <c r="W710" s="5">
        <f>IF(po_master[[#This Row],[GR Receipt Status]]="No GR - Not Received", 1, 0)</f>
        <v>0</v>
      </c>
      <c r="X710" s="5">
        <f>IF(po_master[[#This Row],[No invoice]]="No Invoice", 1, 0)</f>
        <v>0</v>
      </c>
      <c r="Y710" s="5">
        <f>IF(po_master[[#This Row],[Date Check]]="Invalid Date", 1, 0)</f>
        <v>0</v>
      </c>
      <c r="Z710" s="5">
        <f>IF(po_master[[#This Row],[Qty Variance Flag]]="Qty Variance", 1, 0)</f>
        <v>1</v>
      </c>
      <c r="AA710" s="5">
        <f>IF(po_master[[#This Row],[Price Variance Flag]]="Price Variance", 1, 0)</f>
        <v>0</v>
      </c>
      <c r="AB710" s="5">
        <f>IF(po_master[[#This Row],[Late Delivery Flag]]="Late Delivery", 1, 0)</f>
        <v>1</v>
      </c>
      <c r="AC710" s="5">
        <f>IF(po_master[[#This Row],[Duplicate Invoice Flag]]="Duplicate Invoice", 1, 0)</f>
        <v>0</v>
      </c>
      <c r="AD710" s="5" t="str">
        <f>TEXT(po_master[[#This Row],[Order Date]],"YYYY-MM")</f>
        <v>2026-04</v>
      </c>
    </row>
    <row r="711" spans="1:30" x14ac:dyDescent="0.25">
      <c r="A711" t="s">
        <v>631</v>
      </c>
      <c r="B711" t="s">
        <v>1475</v>
      </c>
      <c r="C711" s="1">
        <v>46154</v>
      </c>
      <c r="D711">
        <v>415</v>
      </c>
      <c r="E711">
        <v>36</v>
      </c>
      <c r="F711" t="s">
        <v>1474</v>
      </c>
      <c r="G711" s="1">
        <v>46175</v>
      </c>
      <c r="H711">
        <v>415</v>
      </c>
      <c r="I711" s="1">
        <v>46177</v>
      </c>
      <c r="J711" t="s">
        <v>1415</v>
      </c>
      <c r="K711">
        <v>415</v>
      </c>
      <c r="L711">
        <v>36</v>
      </c>
      <c r="M711" s="1">
        <v>46180</v>
      </c>
      <c r="N711" t="str">
        <f>IF(po_master[[#This Row],[Approved By]]="", "Missing Approval", "OK")</f>
        <v>OK</v>
      </c>
      <c r="O711" t="str">
        <f>IF(ISBLANK(po_master[[#This Row],[GR Quantity]]), "No GR - Not received", "OK")</f>
        <v>OK</v>
      </c>
      <c r="P711" t="str">
        <f>IF(po_master[[#This Row],[Promised Delivey Date]]&lt;po_master[[#This Row],[Order Date]], "Invalid", "OK")</f>
        <v>OK</v>
      </c>
      <c r="Q711" t="str">
        <f>IF(ISBLANK(po_master[[#This Row],[Invoice Number]]), "No Invoice", "OK")</f>
        <v>OK</v>
      </c>
      <c r="R711" t="str">
        <f>IF(AND(NOT(ISBLANK(po_master[[#This Row],[GR Quantity]])), po_master[[#This Row],[GR Quantity]]&lt;&gt;po_master[[#This Row],[PO Quantity]]), "Qty Variance", "OK")</f>
        <v>OK</v>
      </c>
      <c r="S711" t="str">
        <f>IF(po_master[[#This Row],[Invoice Unit Price]]&gt;po_master[[#This Row],[PO Unit Price]]*1.01, "Price Variance", "OK")</f>
        <v>OK</v>
      </c>
      <c r="T711" t="str">
        <f>IF(po_master[[#This Row],[Actual Delivery Date]]&gt;po_master[[#This Row],[Promised Delivey Date]], "Late Delivery", "OK")</f>
        <v>Late Delivery</v>
      </c>
      <c r="U711" t="str">
        <f>IF(COUNTIF(po_master[PO Number],po_master[[#This Row],[PO Number]])&gt;1, "Duplicate Invoice", "OK")</f>
        <v>OK</v>
      </c>
      <c r="V711" s="5">
        <f>IF(po_master[[#This Row],[Missing Approval]]="Missing Approval", 1, 0)</f>
        <v>0</v>
      </c>
      <c r="W711" s="5">
        <f>IF(po_master[[#This Row],[GR Receipt Status]]="No GR - Not Received", 1, 0)</f>
        <v>0</v>
      </c>
      <c r="X711" s="5">
        <f>IF(po_master[[#This Row],[No invoice]]="No Invoice", 1, 0)</f>
        <v>0</v>
      </c>
      <c r="Y711" s="5">
        <f>IF(po_master[[#This Row],[Date Check]]="Invalid Date", 1, 0)</f>
        <v>0</v>
      </c>
      <c r="Z711" s="5">
        <f>IF(po_master[[#This Row],[Qty Variance Flag]]="Qty Variance", 1, 0)</f>
        <v>0</v>
      </c>
      <c r="AA711" s="5">
        <f>IF(po_master[[#This Row],[Price Variance Flag]]="Price Variance", 1, 0)</f>
        <v>0</v>
      </c>
      <c r="AB711" s="5">
        <f>IF(po_master[[#This Row],[Late Delivery Flag]]="Late Delivery", 1, 0)</f>
        <v>1</v>
      </c>
      <c r="AC711" s="5">
        <f>IF(po_master[[#This Row],[Duplicate Invoice Flag]]="Duplicate Invoice", 1, 0)</f>
        <v>0</v>
      </c>
      <c r="AD711" s="5" t="str">
        <f>TEXT(po_master[[#This Row],[Order Date]],"YYYY-MM")</f>
        <v>2026-05</v>
      </c>
    </row>
    <row r="712" spans="1:30" x14ac:dyDescent="0.25">
      <c r="A712" t="s">
        <v>632</v>
      </c>
      <c r="B712" t="s">
        <v>1488</v>
      </c>
      <c r="C712" s="1">
        <v>46057</v>
      </c>
      <c r="D712">
        <v>409</v>
      </c>
      <c r="E712">
        <v>171</v>
      </c>
      <c r="F712" t="s">
        <v>1480</v>
      </c>
      <c r="G712" s="1">
        <v>46062</v>
      </c>
      <c r="H712">
        <v>419</v>
      </c>
      <c r="I712" s="1">
        <v>46063</v>
      </c>
      <c r="J712" t="s">
        <v>1416</v>
      </c>
      <c r="K712">
        <v>409</v>
      </c>
      <c r="L712">
        <v>171</v>
      </c>
      <c r="M712" s="1">
        <v>46068</v>
      </c>
      <c r="N712" t="str">
        <f>IF(po_master[[#This Row],[Approved By]]="", "Missing Approval", "OK")</f>
        <v>OK</v>
      </c>
      <c r="O712" t="str">
        <f>IF(ISBLANK(po_master[[#This Row],[GR Quantity]]), "No GR - Not received", "OK")</f>
        <v>OK</v>
      </c>
      <c r="P712" t="str">
        <f>IF(po_master[[#This Row],[Promised Delivey Date]]&lt;po_master[[#This Row],[Order Date]], "Invalid", "OK")</f>
        <v>OK</v>
      </c>
      <c r="Q712" t="str">
        <f>IF(ISBLANK(po_master[[#This Row],[Invoice Number]]), "No Invoice", "OK")</f>
        <v>OK</v>
      </c>
      <c r="R712" t="str">
        <f>IF(AND(NOT(ISBLANK(po_master[[#This Row],[GR Quantity]])), po_master[[#This Row],[GR Quantity]]&lt;&gt;po_master[[#This Row],[PO Quantity]]), "Qty Variance", "OK")</f>
        <v>Qty Variance</v>
      </c>
      <c r="S712" t="str">
        <f>IF(po_master[[#This Row],[Invoice Unit Price]]&gt;po_master[[#This Row],[PO Unit Price]]*1.01, "Price Variance", "OK")</f>
        <v>OK</v>
      </c>
      <c r="T712" t="str">
        <f>IF(po_master[[#This Row],[Actual Delivery Date]]&gt;po_master[[#This Row],[Promised Delivey Date]], "Late Delivery", "OK")</f>
        <v>Late Delivery</v>
      </c>
      <c r="U712" t="str">
        <f>IF(COUNTIF(po_master[PO Number],po_master[[#This Row],[PO Number]])&gt;1, "Duplicate Invoice", "OK")</f>
        <v>OK</v>
      </c>
      <c r="V712" s="5">
        <f>IF(po_master[[#This Row],[Missing Approval]]="Missing Approval", 1, 0)</f>
        <v>0</v>
      </c>
      <c r="W712" s="5">
        <f>IF(po_master[[#This Row],[GR Receipt Status]]="No GR - Not Received", 1, 0)</f>
        <v>0</v>
      </c>
      <c r="X712" s="5">
        <f>IF(po_master[[#This Row],[No invoice]]="No Invoice", 1, 0)</f>
        <v>0</v>
      </c>
      <c r="Y712" s="5">
        <f>IF(po_master[[#This Row],[Date Check]]="Invalid Date", 1, 0)</f>
        <v>0</v>
      </c>
      <c r="Z712" s="5">
        <f>IF(po_master[[#This Row],[Qty Variance Flag]]="Qty Variance", 1, 0)</f>
        <v>1</v>
      </c>
      <c r="AA712" s="5">
        <f>IF(po_master[[#This Row],[Price Variance Flag]]="Price Variance", 1, 0)</f>
        <v>0</v>
      </c>
      <c r="AB712" s="5">
        <f>IF(po_master[[#This Row],[Late Delivery Flag]]="Late Delivery", 1, 0)</f>
        <v>1</v>
      </c>
      <c r="AC712" s="5">
        <f>IF(po_master[[#This Row],[Duplicate Invoice Flag]]="Duplicate Invoice", 1, 0)</f>
        <v>0</v>
      </c>
      <c r="AD712" s="5" t="str">
        <f>TEXT(po_master[[#This Row],[Order Date]],"YYYY-MM")</f>
        <v>2026-02</v>
      </c>
    </row>
    <row r="713" spans="1:30" x14ac:dyDescent="0.25">
      <c r="A713" t="s">
        <v>633</v>
      </c>
      <c r="B713" t="s">
        <v>1486</v>
      </c>
      <c r="C713" s="1">
        <v>46072</v>
      </c>
      <c r="D713">
        <v>458</v>
      </c>
      <c r="E713">
        <v>167.42</v>
      </c>
      <c r="F713" t="s">
        <v>1462</v>
      </c>
      <c r="G713" s="1">
        <v>46084</v>
      </c>
      <c r="H713">
        <v>458</v>
      </c>
      <c r="I713" s="1">
        <v>46082</v>
      </c>
      <c r="J713" t="s">
        <v>1417</v>
      </c>
      <c r="K713">
        <v>458</v>
      </c>
      <c r="L713">
        <v>167.42</v>
      </c>
      <c r="M713" s="1">
        <v>46085</v>
      </c>
      <c r="N713" t="str">
        <f>IF(po_master[[#This Row],[Approved By]]="", "Missing Approval", "OK")</f>
        <v>OK</v>
      </c>
      <c r="O713" t="str">
        <f>IF(ISBLANK(po_master[[#This Row],[GR Quantity]]), "No GR - Not received", "OK")</f>
        <v>OK</v>
      </c>
      <c r="P713" t="str">
        <f>IF(po_master[[#This Row],[Promised Delivey Date]]&lt;po_master[[#This Row],[Order Date]], "Invalid", "OK")</f>
        <v>OK</v>
      </c>
      <c r="Q713" t="str">
        <f>IF(ISBLANK(po_master[[#This Row],[Invoice Number]]), "No Invoice", "OK")</f>
        <v>OK</v>
      </c>
      <c r="R713" t="str">
        <f>IF(AND(NOT(ISBLANK(po_master[[#This Row],[GR Quantity]])), po_master[[#This Row],[GR Quantity]]&lt;&gt;po_master[[#This Row],[PO Quantity]]), "Qty Variance", "OK")</f>
        <v>OK</v>
      </c>
      <c r="S713" t="str">
        <f>IF(po_master[[#This Row],[Invoice Unit Price]]&gt;po_master[[#This Row],[PO Unit Price]]*1.01, "Price Variance", "OK")</f>
        <v>OK</v>
      </c>
      <c r="T713" t="str">
        <f>IF(po_master[[#This Row],[Actual Delivery Date]]&gt;po_master[[#This Row],[Promised Delivey Date]], "Late Delivery", "OK")</f>
        <v>OK</v>
      </c>
      <c r="U713" t="str">
        <f>IF(COUNTIF(po_master[PO Number],po_master[[#This Row],[PO Number]])&gt;1, "Duplicate Invoice", "OK")</f>
        <v>OK</v>
      </c>
      <c r="V713" s="5">
        <f>IF(po_master[[#This Row],[Missing Approval]]="Missing Approval", 1, 0)</f>
        <v>0</v>
      </c>
      <c r="W713" s="5">
        <f>IF(po_master[[#This Row],[GR Receipt Status]]="No GR - Not Received", 1, 0)</f>
        <v>0</v>
      </c>
      <c r="X713" s="5">
        <f>IF(po_master[[#This Row],[No invoice]]="No Invoice", 1, 0)</f>
        <v>0</v>
      </c>
      <c r="Y713" s="5">
        <f>IF(po_master[[#This Row],[Date Check]]="Invalid Date", 1, 0)</f>
        <v>0</v>
      </c>
      <c r="Z713" s="5">
        <f>IF(po_master[[#This Row],[Qty Variance Flag]]="Qty Variance", 1, 0)</f>
        <v>0</v>
      </c>
      <c r="AA713" s="5">
        <f>IF(po_master[[#This Row],[Price Variance Flag]]="Price Variance", 1, 0)</f>
        <v>0</v>
      </c>
      <c r="AB713" s="5">
        <f>IF(po_master[[#This Row],[Late Delivery Flag]]="Late Delivery", 1, 0)</f>
        <v>0</v>
      </c>
      <c r="AC713" s="5">
        <f>IF(po_master[[#This Row],[Duplicate Invoice Flag]]="Duplicate Invoice", 1, 0)</f>
        <v>0</v>
      </c>
      <c r="AD713" s="5" t="str">
        <f>TEXT(po_master[[#This Row],[Order Date]],"YYYY-MM")</f>
        <v>2026-02</v>
      </c>
    </row>
    <row r="714" spans="1:30" x14ac:dyDescent="0.25">
      <c r="A714" t="s">
        <v>634</v>
      </c>
      <c r="B714" t="s">
        <v>1452</v>
      </c>
      <c r="C714" s="1">
        <v>46139</v>
      </c>
      <c r="D714">
        <v>35</v>
      </c>
      <c r="E714">
        <v>184.02</v>
      </c>
      <c r="F714" t="s">
        <v>1499</v>
      </c>
      <c r="G714" s="1">
        <v>46150</v>
      </c>
      <c r="H714">
        <v>35</v>
      </c>
      <c r="I714" s="1">
        <v>46150</v>
      </c>
      <c r="J714" t="s">
        <v>1418</v>
      </c>
      <c r="K714">
        <v>35</v>
      </c>
      <c r="L714">
        <v>211.45</v>
      </c>
      <c r="M714" s="1">
        <v>46156</v>
      </c>
      <c r="N714" t="str">
        <f>IF(po_master[[#This Row],[Approved By]]="", "Missing Approval", "OK")</f>
        <v>OK</v>
      </c>
      <c r="O714" t="str">
        <f>IF(ISBLANK(po_master[[#This Row],[GR Quantity]]), "No GR - Not received", "OK")</f>
        <v>OK</v>
      </c>
      <c r="P714" t="str">
        <f>IF(po_master[[#This Row],[Promised Delivey Date]]&lt;po_master[[#This Row],[Order Date]], "Invalid", "OK")</f>
        <v>OK</v>
      </c>
      <c r="Q714" t="str">
        <f>IF(ISBLANK(po_master[[#This Row],[Invoice Number]]), "No Invoice", "OK")</f>
        <v>OK</v>
      </c>
      <c r="R714" t="str">
        <f>IF(AND(NOT(ISBLANK(po_master[[#This Row],[GR Quantity]])), po_master[[#This Row],[GR Quantity]]&lt;&gt;po_master[[#This Row],[PO Quantity]]), "Qty Variance", "OK")</f>
        <v>OK</v>
      </c>
      <c r="S714" t="str">
        <f>IF(po_master[[#This Row],[Invoice Unit Price]]&gt;po_master[[#This Row],[PO Unit Price]]*1.01, "Price Variance", "OK")</f>
        <v>Price Variance</v>
      </c>
      <c r="T714" t="str">
        <f>IF(po_master[[#This Row],[Actual Delivery Date]]&gt;po_master[[#This Row],[Promised Delivey Date]], "Late Delivery", "OK")</f>
        <v>OK</v>
      </c>
      <c r="U714" t="str">
        <f>IF(COUNTIF(po_master[PO Number],po_master[[#This Row],[PO Number]])&gt;1, "Duplicate Invoice", "OK")</f>
        <v>OK</v>
      </c>
      <c r="V714" s="5">
        <f>IF(po_master[[#This Row],[Missing Approval]]="Missing Approval", 1, 0)</f>
        <v>0</v>
      </c>
      <c r="W714" s="5">
        <f>IF(po_master[[#This Row],[GR Receipt Status]]="No GR - Not Received", 1, 0)</f>
        <v>0</v>
      </c>
      <c r="X714" s="5">
        <f>IF(po_master[[#This Row],[No invoice]]="No Invoice", 1, 0)</f>
        <v>0</v>
      </c>
      <c r="Y714" s="5">
        <f>IF(po_master[[#This Row],[Date Check]]="Invalid Date", 1, 0)</f>
        <v>0</v>
      </c>
      <c r="Z714" s="5">
        <f>IF(po_master[[#This Row],[Qty Variance Flag]]="Qty Variance", 1, 0)</f>
        <v>0</v>
      </c>
      <c r="AA714" s="5">
        <f>IF(po_master[[#This Row],[Price Variance Flag]]="Price Variance", 1, 0)</f>
        <v>1</v>
      </c>
      <c r="AB714" s="5">
        <f>IF(po_master[[#This Row],[Late Delivery Flag]]="Late Delivery", 1, 0)</f>
        <v>0</v>
      </c>
      <c r="AC714" s="5">
        <f>IF(po_master[[#This Row],[Duplicate Invoice Flag]]="Duplicate Invoice", 1, 0)</f>
        <v>0</v>
      </c>
      <c r="AD714" s="5" t="str">
        <f>TEXT(po_master[[#This Row],[Order Date]],"YYYY-MM")</f>
        <v>2026-04</v>
      </c>
    </row>
    <row r="715" spans="1:30" x14ac:dyDescent="0.25">
      <c r="A715" t="s">
        <v>635</v>
      </c>
      <c r="B715" t="s">
        <v>1511</v>
      </c>
      <c r="C715" s="1">
        <v>46117</v>
      </c>
      <c r="D715">
        <v>431</v>
      </c>
      <c r="E715">
        <v>95.52</v>
      </c>
      <c r="F715" t="s">
        <v>1453</v>
      </c>
      <c r="G715" s="1">
        <v>46125</v>
      </c>
      <c r="H715">
        <v>431</v>
      </c>
      <c r="I715" s="1">
        <v>46127</v>
      </c>
      <c r="J715" t="s">
        <v>1419</v>
      </c>
      <c r="K715">
        <v>431</v>
      </c>
      <c r="L715">
        <v>95.52</v>
      </c>
      <c r="M715" s="1">
        <v>46135</v>
      </c>
      <c r="N715" t="str">
        <f>IF(po_master[[#This Row],[Approved By]]="", "Missing Approval", "OK")</f>
        <v>OK</v>
      </c>
      <c r="O715" t="str">
        <f>IF(ISBLANK(po_master[[#This Row],[GR Quantity]]), "No GR - Not received", "OK")</f>
        <v>OK</v>
      </c>
      <c r="P715" t="str">
        <f>IF(po_master[[#This Row],[Promised Delivey Date]]&lt;po_master[[#This Row],[Order Date]], "Invalid", "OK")</f>
        <v>OK</v>
      </c>
      <c r="Q715" t="str">
        <f>IF(ISBLANK(po_master[[#This Row],[Invoice Number]]), "No Invoice", "OK")</f>
        <v>OK</v>
      </c>
      <c r="R715" t="str">
        <f>IF(AND(NOT(ISBLANK(po_master[[#This Row],[GR Quantity]])), po_master[[#This Row],[GR Quantity]]&lt;&gt;po_master[[#This Row],[PO Quantity]]), "Qty Variance", "OK")</f>
        <v>OK</v>
      </c>
      <c r="S715" t="str">
        <f>IF(po_master[[#This Row],[Invoice Unit Price]]&gt;po_master[[#This Row],[PO Unit Price]]*1.01, "Price Variance", "OK")</f>
        <v>OK</v>
      </c>
      <c r="T715" t="str">
        <f>IF(po_master[[#This Row],[Actual Delivery Date]]&gt;po_master[[#This Row],[Promised Delivey Date]], "Late Delivery", "OK")</f>
        <v>Late Delivery</v>
      </c>
      <c r="U715" t="str">
        <f>IF(COUNTIF(po_master[PO Number],po_master[[#This Row],[PO Number]])&gt;1, "Duplicate Invoice", "OK")</f>
        <v>OK</v>
      </c>
      <c r="V715" s="5">
        <f>IF(po_master[[#This Row],[Missing Approval]]="Missing Approval", 1, 0)</f>
        <v>0</v>
      </c>
      <c r="W715" s="5">
        <f>IF(po_master[[#This Row],[GR Receipt Status]]="No GR - Not Received", 1, 0)</f>
        <v>0</v>
      </c>
      <c r="X715" s="5">
        <f>IF(po_master[[#This Row],[No invoice]]="No Invoice", 1, 0)</f>
        <v>0</v>
      </c>
      <c r="Y715" s="5">
        <f>IF(po_master[[#This Row],[Date Check]]="Invalid Date", 1, 0)</f>
        <v>0</v>
      </c>
      <c r="Z715" s="5">
        <f>IF(po_master[[#This Row],[Qty Variance Flag]]="Qty Variance", 1, 0)</f>
        <v>0</v>
      </c>
      <c r="AA715" s="5">
        <f>IF(po_master[[#This Row],[Price Variance Flag]]="Price Variance", 1, 0)</f>
        <v>0</v>
      </c>
      <c r="AB715" s="5">
        <f>IF(po_master[[#This Row],[Late Delivery Flag]]="Late Delivery", 1, 0)</f>
        <v>1</v>
      </c>
      <c r="AC715" s="5">
        <f>IF(po_master[[#This Row],[Duplicate Invoice Flag]]="Duplicate Invoice", 1, 0)</f>
        <v>0</v>
      </c>
      <c r="AD715" s="5" t="str">
        <f>TEXT(po_master[[#This Row],[Order Date]],"YYYY-MM")</f>
        <v>2026-04</v>
      </c>
    </row>
    <row r="716" spans="1:30" x14ac:dyDescent="0.25">
      <c r="A716" t="s">
        <v>636</v>
      </c>
      <c r="B716" t="s">
        <v>1461</v>
      </c>
      <c r="C716" s="1">
        <v>46030</v>
      </c>
      <c r="D716">
        <v>133</v>
      </c>
      <c r="E716">
        <v>77.63</v>
      </c>
      <c r="F716" t="s">
        <v>1494</v>
      </c>
      <c r="G716" s="1">
        <v>46049</v>
      </c>
      <c r="H716">
        <v>133</v>
      </c>
      <c r="I716" s="1">
        <v>46048</v>
      </c>
      <c r="J716" t="s">
        <v>1420</v>
      </c>
      <c r="K716">
        <v>133</v>
      </c>
      <c r="L716">
        <v>77.63</v>
      </c>
      <c r="M716" s="1">
        <v>46057</v>
      </c>
      <c r="N716" t="str">
        <f>IF(po_master[[#This Row],[Approved By]]="", "Missing Approval", "OK")</f>
        <v>OK</v>
      </c>
      <c r="O716" t="str">
        <f>IF(ISBLANK(po_master[[#This Row],[GR Quantity]]), "No GR - Not received", "OK")</f>
        <v>OK</v>
      </c>
      <c r="P716" t="str">
        <f>IF(po_master[[#This Row],[Promised Delivey Date]]&lt;po_master[[#This Row],[Order Date]], "Invalid", "OK")</f>
        <v>OK</v>
      </c>
      <c r="Q716" t="str">
        <f>IF(ISBLANK(po_master[[#This Row],[Invoice Number]]), "No Invoice", "OK")</f>
        <v>OK</v>
      </c>
      <c r="R716" t="str">
        <f>IF(AND(NOT(ISBLANK(po_master[[#This Row],[GR Quantity]])), po_master[[#This Row],[GR Quantity]]&lt;&gt;po_master[[#This Row],[PO Quantity]]), "Qty Variance", "OK")</f>
        <v>OK</v>
      </c>
      <c r="S716" t="str">
        <f>IF(po_master[[#This Row],[Invoice Unit Price]]&gt;po_master[[#This Row],[PO Unit Price]]*1.01, "Price Variance", "OK")</f>
        <v>OK</v>
      </c>
      <c r="T716" t="str">
        <f>IF(po_master[[#This Row],[Actual Delivery Date]]&gt;po_master[[#This Row],[Promised Delivey Date]], "Late Delivery", "OK")</f>
        <v>OK</v>
      </c>
      <c r="U716" t="str">
        <f>IF(COUNTIF(po_master[PO Number],po_master[[#This Row],[PO Number]])&gt;1, "Duplicate Invoice", "OK")</f>
        <v>OK</v>
      </c>
      <c r="V716" s="5">
        <f>IF(po_master[[#This Row],[Missing Approval]]="Missing Approval", 1, 0)</f>
        <v>0</v>
      </c>
      <c r="W716" s="5">
        <f>IF(po_master[[#This Row],[GR Receipt Status]]="No GR - Not Received", 1, 0)</f>
        <v>0</v>
      </c>
      <c r="X716" s="5">
        <f>IF(po_master[[#This Row],[No invoice]]="No Invoice", 1, 0)</f>
        <v>0</v>
      </c>
      <c r="Y716" s="5">
        <f>IF(po_master[[#This Row],[Date Check]]="Invalid Date", 1, 0)</f>
        <v>0</v>
      </c>
      <c r="Z716" s="5">
        <f>IF(po_master[[#This Row],[Qty Variance Flag]]="Qty Variance", 1, 0)</f>
        <v>0</v>
      </c>
      <c r="AA716" s="5">
        <f>IF(po_master[[#This Row],[Price Variance Flag]]="Price Variance", 1, 0)</f>
        <v>0</v>
      </c>
      <c r="AB716" s="5">
        <f>IF(po_master[[#This Row],[Late Delivery Flag]]="Late Delivery", 1, 0)</f>
        <v>0</v>
      </c>
      <c r="AC716" s="5">
        <f>IF(po_master[[#This Row],[Duplicate Invoice Flag]]="Duplicate Invoice", 1, 0)</f>
        <v>0</v>
      </c>
      <c r="AD716" s="5" t="str">
        <f>TEXT(po_master[[#This Row],[Order Date]],"YYYY-MM")</f>
        <v>2026-01</v>
      </c>
    </row>
    <row r="717" spans="1:30" x14ac:dyDescent="0.25">
      <c r="A717" t="s">
        <v>637</v>
      </c>
      <c r="B717" t="s">
        <v>1486</v>
      </c>
      <c r="C717" s="1">
        <v>46144</v>
      </c>
      <c r="D717">
        <v>310</v>
      </c>
      <c r="E717">
        <v>112.51</v>
      </c>
      <c r="F717" t="s">
        <v>1451</v>
      </c>
      <c r="G717" s="1">
        <v>46154</v>
      </c>
      <c r="H717">
        <v>310</v>
      </c>
      <c r="I717" s="1">
        <v>46154</v>
      </c>
      <c r="J717" t="s">
        <v>1421</v>
      </c>
      <c r="K717">
        <v>310</v>
      </c>
      <c r="L717">
        <v>112.51</v>
      </c>
      <c r="M717" s="1">
        <v>46156</v>
      </c>
      <c r="N717" t="str">
        <f>IF(po_master[[#This Row],[Approved By]]="", "Missing Approval", "OK")</f>
        <v>OK</v>
      </c>
      <c r="O717" t="str">
        <f>IF(ISBLANK(po_master[[#This Row],[GR Quantity]]), "No GR - Not received", "OK")</f>
        <v>OK</v>
      </c>
      <c r="P717" t="str">
        <f>IF(po_master[[#This Row],[Promised Delivey Date]]&lt;po_master[[#This Row],[Order Date]], "Invalid", "OK")</f>
        <v>OK</v>
      </c>
      <c r="Q717" t="str">
        <f>IF(ISBLANK(po_master[[#This Row],[Invoice Number]]), "No Invoice", "OK")</f>
        <v>OK</v>
      </c>
      <c r="R717" t="str">
        <f>IF(AND(NOT(ISBLANK(po_master[[#This Row],[GR Quantity]])), po_master[[#This Row],[GR Quantity]]&lt;&gt;po_master[[#This Row],[PO Quantity]]), "Qty Variance", "OK")</f>
        <v>OK</v>
      </c>
      <c r="S717" t="str">
        <f>IF(po_master[[#This Row],[Invoice Unit Price]]&gt;po_master[[#This Row],[PO Unit Price]]*1.01, "Price Variance", "OK")</f>
        <v>OK</v>
      </c>
      <c r="T717" t="str">
        <f>IF(po_master[[#This Row],[Actual Delivery Date]]&gt;po_master[[#This Row],[Promised Delivey Date]], "Late Delivery", "OK")</f>
        <v>OK</v>
      </c>
      <c r="U717" t="str">
        <f>IF(COUNTIF(po_master[PO Number],po_master[[#This Row],[PO Number]])&gt;1, "Duplicate Invoice", "OK")</f>
        <v>OK</v>
      </c>
      <c r="V717" s="5">
        <f>IF(po_master[[#This Row],[Missing Approval]]="Missing Approval", 1, 0)</f>
        <v>0</v>
      </c>
      <c r="W717" s="5">
        <f>IF(po_master[[#This Row],[GR Receipt Status]]="No GR - Not Received", 1, 0)</f>
        <v>0</v>
      </c>
      <c r="X717" s="5">
        <f>IF(po_master[[#This Row],[No invoice]]="No Invoice", 1, 0)</f>
        <v>0</v>
      </c>
      <c r="Y717" s="5">
        <f>IF(po_master[[#This Row],[Date Check]]="Invalid Date", 1, 0)</f>
        <v>0</v>
      </c>
      <c r="Z717" s="5">
        <f>IF(po_master[[#This Row],[Qty Variance Flag]]="Qty Variance", 1, 0)</f>
        <v>0</v>
      </c>
      <c r="AA717" s="5">
        <f>IF(po_master[[#This Row],[Price Variance Flag]]="Price Variance", 1, 0)</f>
        <v>0</v>
      </c>
      <c r="AB717" s="5">
        <f>IF(po_master[[#This Row],[Late Delivery Flag]]="Late Delivery", 1, 0)</f>
        <v>0</v>
      </c>
      <c r="AC717" s="5">
        <f>IF(po_master[[#This Row],[Duplicate Invoice Flag]]="Duplicate Invoice", 1, 0)</f>
        <v>0</v>
      </c>
      <c r="AD717" s="5" t="str">
        <f>TEXT(po_master[[#This Row],[Order Date]],"YYYY-MM")</f>
        <v>2026-05</v>
      </c>
    </row>
    <row r="718" spans="1:30" x14ac:dyDescent="0.25">
      <c r="A718" t="s">
        <v>638</v>
      </c>
      <c r="B718" t="s">
        <v>1470</v>
      </c>
      <c r="C718" s="1">
        <v>46046</v>
      </c>
      <c r="D718">
        <v>155</v>
      </c>
      <c r="E718">
        <v>10.35</v>
      </c>
      <c r="F718" t="s">
        <v>1462</v>
      </c>
      <c r="G718" s="1">
        <v>46056</v>
      </c>
      <c r="H718">
        <v>155</v>
      </c>
      <c r="I718" s="1">
        <v>46058</v>
      </c>
      <c r="J718" t="s">
        <v>1422</v>
      </c>
      <c r="K718">
        <v>155</v>
      </c>
      <c r="L718">
        <v>10.35</v>
      </c>
      <c r="M718" s="1">
        <v>46059</v>
      </c>
      <c r="N718" t="str">
        <f>IF(po_master[[#This Row],[Approved By]]="", "Missing Approval", "OK")</f>
        <v>OK</v>
      </c>
      <c r="O718" t="str">
        <f>IF(ISBLANK(po_master[[#This Row],[GR Quantity]]), "No GR - Not received", "OK")</f>
        <v>OK</v>
      </c>
      <c r="P718" t="str">
        <f>IF(po_master[[#This Row],[Promised Delivey Date]]&lt;po_master[[#This Row],[Order Date]], "Invalid", "OK")</f>
        <v>OK</v>
      </c>
      <c r="Q718" t="str">
        <f>IF(ISBLANK(po_master[[#This Row],[Invoice Number]]), "No Invoice", "OK")</f>
        <v>OK</v>
      </c>
      <c r="R718" t="str">
        <f>IF(AND(NOT(ISBLANK(po_master[[#This Row],[GR Quantity]])), po_master[[#This Row],[GR Quantity]]&lt;&gt;po_master[[#This Row],[PO Quantity]]), "Qty Variance", "OK")</f>
        <v>OK</v>
      </c>
      <c r="S718" t="str">
        <f>IF(po_master[[#This Row],[Invoice Unit Price]]&gt;po_master[[#This Row],[PO Unit Price]]*1.01, "Price Variance", "OK")</f>
        <v>OK</v>
      </c>
      <c r="T718" t="str">
        <f>IF(po_master[[#This Row],[Actual Delivery Date]]&gt;po_master[[#This Row],[Promised Delivey Date]], "Late Delivery", "OK")</f>
        <v>Late Delivery</v>
      </c>
      <c r="U718" t="str">
        <f>IF(COUNTIF(po_master[PO Number],po_master[[#This Row],[PO Number]])&gt;1, "Duplicate Invoice", "OK")</f>
        <v>OK</v>
      </c>
      <c r="V718" s="5">
        <f>IF(po_master[[#This Row],[Missing Approval]]="Missing Approval", 1, 0)</f>
        <v>0</v>
      </c>
      <c r="W718" s="5">
        <f>IF(po_master[[#This Row],[GR Receipt Status]]="No GR - Not Received", 1, 0)</f>
        <v>0</v>
      </c>
      <c r="X718" s="5">
        <f>IF(po_master[[#This Row],[No invoice]]="No Invoice", 1, 0)</f>
        <v>0</v>
      </c>
      <c r="Y718" s="5">
        <f>IF(po_master[[#This Row],[Date Check]]="Invalid Date", 1, 0)</f>
        <v>0</v>
      </c>
      <c r="Z718" s="5">
        <f>IF(po_master[[#This Row],[Qty Variance Flag]]="Qty Variance", 1, 0)</f>
        <v>0</v>
      </c>
      <c r="AA718" s="5">
        <f>IF(po_master[[#This Row],[Price Variance Flag]]="Price Variance", 1, 0)</f>
        <v>0</v>
      </c>
      <c r="AB718" s="5">
        <f>IF(po_master[[#This Row],[Late Delivery Flag]]="Late Delivery", 1, 0)</f>
        <v>1</v>
      </c>
      <c r="AC718" s="5">
        <f>IF(po_master[[#This Row],[Duplicate Invoice Flag]]="Duplicate Invoice", 1, 0)</f>
        <v>0</v>
      </c>
      <c r="AD718" s="5" t="str">
        <f>TEXT(po_master[[#This Row],[Order Date]],"YYYY-MM")</f>
        <v>2026-01</v>
      </c>
    </row>
    <row r="719" spans="1:30" x14ac:dyDescent="0.25">
      <c r="A719" t="s">
        <v>639</v>
      </c>
      <c r="B719" t="s">
        <v>1493</v>
      </c>
      <c r="C719" s="1">
        <v>46077</v>
      </c>
      <c r="D719">
        <v>448</v>
      </c>
      <c r="E719">
        <v>48.16</v>
      </c>
      <c r="F719" t="s">
        <v>1440</v>
      </c>
      <c r="G719" s="1">
        <v>46088</v>
      </c>
      <c r="H719">
        <v>448</v>
      </c>
      <c r="I719" s="1">
        <v>46089</v>
      </c>
      <c r="J719" t="s">
        <v>1423</v>
      </c>
      <c r="K719">
        <v>448</v>
      </c>
      <c r="L719">
        <v>48.16</v>
      </c>
      <c r="M719" s="1">
        <v>46094</v>
      </c>
      <c r="N719" t="str">
        <f>IF(po_master[[#This Row],[Approved By]]="", "Missing Approval", "OK")</f>
        <v>OK</v>
      </c>
      <c r="O719" t="str">
        <f>IF(ISBLANK(po_master[[#This Row],[GR Quantity]]), "No GR - Not received", "OK")</f>
        <v>OK</v>
      </c>
      <c r="P719" t="str">
        <f>IF(po_master[[#This Row],[Promised Delivey Date]]&lt;po_master[[#This Row],[Order Date]], "Invalid", "OK")</f>
        <v>OK</v>
      </c>
      <c r="Q719" t="str">
        <f>IF(ISBLANK(po_master[[#This Row],[Invoice Number]]), "No Invoice", "OK")</f>
        <v>OK</v>
      </c>
      <c r="R719" t="str">
        <f>IF(AND(NOT(ISBLANK(po_master[[#This Row],[GR Quantity]])), po_master[[#This Row],[GR Quantity]]&lt;&gt;po_master[[#This Row],[PO Quantity]]), "Qty Variance", "OK")</f>
        <v>OK</v>
      </c>
      <c r="S719" t="str">
        <f>IF(po_master[[#This Row],[Invoice Unit Price]]&gt;po_master[[#This Row],[PO Unit Price]]*1.01, "Price Variance", "OK")</f>
        <v>OK</v>
      </c>
      <c r="T719" t="str">
        <f>IF(po_master[[#This Row],[Actual Delivery Date]]&gt;po_master[[#This Row],[Promised Delivey Date]], "Late Delivery", "OK")</f>
        <v>Late Delivery</v>
      </c>
      <c r="U719" t="str">
        <f>IF(COUNTIF(po_master[PO Number],po_master[[#This Row],[PO Number]])&gt;1, "Duplicate Invoice", "OK")</f>
        <v>OK</v>
      </c>
      <c r="V719" s="5">
        <f>IF(po_master[[#This Row],[Missing Approval]]="Missing Approval", 1, 0)</f>
        <v>0</v>
      </c>
      <c r="W719" s="5">
        <f>IF(po_master[[#This Row],[GR Receipt Status]]="No GR - Not Received", 1, 0)</f>
        <v>0</v>
      </c>
      <c r="X719" s="5">
        <f>IF(po_master[[#This Row],[No invoice]]="No Invoice", 1, 0)</f>
        <v>0</v>
      </c>
      <c r="Y719" s="5">
        <f>IF(po_master[[#This Row],[Date Check]]="Invalid Date", 1, 0)</f>
        <v>0</v>
      </c>
      <c r="Z719" s="5">
        <f>IF(po_master[[#This Row],[Qty Variance Flag]]="Qty Variance", 1, 0)</f>
        <v>0</v>
      </c>
      <c r="AA719" s="5">
        <f>IF(po_master[[#This Row],[Price Variance Flag]]="Price Variance", 1, 0)</f>
        <v>0</v>
      </c>
      <c r="AB719" s="5">
        <f>IF(po_master[[#This Row],[Late Delivery Flag]]="Late Delivery", 1, 0)</f>
        <v>1</v>
      </c>
      <c r="AC719" s="5">
        <f>IF(po_master[[#This Row],[Duplicate Invoice Flag]]="Duplicate Invoice", 1, 0)</f>
        <v>0</v>
      </c>
      <c r="AD719" s="5" t="str">
        <f>TEXT(po_master[[#This Row],[Order Date]],"YYYY-MM")</f>
        <v>2026-02</v>
      </c>
    </row>
    <row r="720" spans="1:30" x14ac:dyDescent="0.25">
      <c r="A720" t="s">
        <v>640</v>
      </c>
      <c r="B720" t="s">
        <v>1511</v>
      </c>
      <c r="C720" s="1">
        <v>46127</v>
      </c>
      <c r="D720">
        <v>272</v>
      </c>
      <c r="E720">
        <v>8.91</v>
      </c>
      <c r="F720" t="s">
        <v>1456</v>
      </c>
      <c r="G720" s="1">
        <v>46132</v>
      </c>
      <c r="H720">
        <v>272</v>
      </c>
      <c r="I720" s="1">
        <v>46131</v>
      </c>
      <c r="J720" t="s">
        <v>1424</v>
      </c>
      <c r="K720">
        <v>272</v>
      </c>
      <c r="L720">
        <v>8.91</v>
      </c>
      <c r="M720" s="1">
        <v>46142</v>
      </c>
      <c r="N720" t="str">
        <f>IF(po_master[[#This Row],[Approved By]]="", "Missing Approval", "OK")</f>
        <v>OK</v>
      </c>
      <c r="O720" t="str">
        <f>IF(ISBLANK(po_master[[#This Row],[GR Quantity]]), "No GR - Not received", "OK")</f>
        <v>OK</v>
      </c>
      <c r="P720" t="str">
        <f>IF(po_master[[#This Row],[Promised Delivey Date]]&lt;po_master[[#This Row],[Order Date]], "Invalid", "OK")</f>
        <v>OK</v>
      </c>
      <c r="Q720" t="str">
        <f>IF(ISBLANK(po_master[[#This Row],[Invoice Number]]), "No Invoice", "OK")</f>
        <v>OK</v>
      </c>
      <c r="R720" t="str">
        <f>IF(AND(NOT(ISBLANK(po_master[[#This Row],[GR Quantity]])), po_master[[#This Row],[GR Quantity]]&lt;&gt;po_master[[#This Row],[PO Quantity]]), "Qty Variance", "OK")</f>
        <v>OK</v>
      </c>
      <c r="S720" t="str">
        <f>IF(po_master[[#This Row],[Invoice Unit Price]]&gt;po_master[[#This Row],[PO Unit Price]]*1.01, "Price Variance", "OK")</f>
        <v>OK</v>
      </c>
      <c r="T720" t="str">
        <f>IF(po_master[[#This Row],[Actual Delivery Date]]&gt;po_master[[#This Row],[Promised Delivey Date]], "Late Delivery", "OK")</f>
        <v>OK</v>
      </c>
      <c r="U720" t="str">
        <f>IF(COUNTIF(po_master[PO Number],po_master[[#This Row],[PO Number]])&gt;1, "Duplicate Invoice", "OK")</f>
        <v>OK</v>
      </c>
      <c r="V720" s="5">
        <f>IF(po_master[[#This Row],[Missing Approval]]="Missing Approval", 1, 0)</f>
        <v>0</v>
      </c>
      <c r="W720" s="5">
        <f>IF(po_master[[#This Row],[GR Receipt Status]]="No GR - Not Received", 1, 0)</f>
        <v>0</v>
      </c>
      <c r="X720" s="5">
        <f>IF(po_master[[#This Row],[No invoice]]="No Invoice", 1, 0)</f>
        <v>0</v>
      </c>
      <c r="Y720" s="5">
        <f>IF(po_master[[#This Row],[Date Check]]="Invalid Date", 1, 0)</f>
        <v>0</v>
      </c>
      <c r="Z720" s="5">
        <f>IF(po_master[[#This Row],[Qty Variance Flag]]="Qty Variance", 1, 0)</f>
        <v>0</v>
      </c>
      <c r="AA720" s="5">
        <f>IF(po_master[[#This Row],[Price Variance Flag]]="Price Variance", 1, 0)</f>
        <v>0</v>
      </c>
      <c r="AB720" s="5">
        <f>IF(po_master[[#This Row],[Late Delivery Flag]]="Late Delivery", 1, 0)</f>
        <v>0</v>
      </c>
      <c r="AC720" s="5">
        <f>IF(po_master[[#This Row],[Duplicate Invoice Flag]]="Duplicate Invoice", 1, 0)</f>
        <v>0</v>
      </c>
      <c r="AD720" s="5" t="str">
        <f>TEXT(po_master[[#This Row],[Order Date]],"YYYY-MM")</f>
        <v>2026-04</v>
      </c>
    </row>
    <row r="721" spans="1:30" x14ac:dyDescent="0.25">
      <c r="A721" t="s">
        <v>641</v>
      </c>
      <c r="B721" t="s">
        <v>1510</v>
      </c>
      <c r="C721" s="1">
        <v>46056</v>
      </c>
      <c r="D721">
        <v>341</v>
      </c>
      <c r="E721">
        <v>38.770000000000003</v>
      </c>
      <c r="F721" t="s">
        <v>1448</v>
      </c>
      <c r="G721" s="1">
        <v>46068</v>
      </c>
      <c r="H721">
        <v>341</v>
      </c>
      <c r="I721" s="1">
        <v>46077</v>
      </c>
      <c r="J721" t="s">
        <v>1425</v>
      </c>
      <c r="K721">
        <v>341</v>
      </c>
      <c r="L721">
        <v>38.770000000000003</v>
      </c>
      <c r="M721" s="1">
        <v>46072</v>
      </c>
      <c r="N721" t="str">
        <f>IF(po_master[[#This Row],[Approved By]]="", "Missing Approval", "OK")</f>
        <v>OK</v>
      </c>
      <c r="O721" t="str">
        <f>IF(ISBLANK(po_master[[#This Row],[GR Quantity]]), "No GR - Not received", "OK")</f>
        <v>OK</v>
      </c>
      <c r="P721" t="str">
        <f>IF(po_master[[#This Row],[Promised Delivey Date]]&lt;po_master[[#This Row],[Order Date]], "Invalid", "OK")</f>
        <v>OK</v>
      </c>
      <c r="Q721" t="str">
        <f>IF(ISBLANK(po_master[[#This Row],[Invoice Number]]), "No Invoice", "OK")</f>
        <v>OK</v>
      </c>
      <c r="R721" t="str">
        <f>IF(AND(NOT(ISBLANK(po_master[[#This Row],[GR Quantity]])), po_master[[#This Row],[GR Quantity]]&lt;&gt;po_master[[#This Row],[PO Quantity]]), "Qty Variance", "OK")</f>
        <v>OK</v>
      </c>
      <c r="S721" t="str">
        <f>IF(po_master[[#This Row],[Invoice Unit Price]]&gt;po_master[[#This Row],[PO Unit Price]]*1.01, "Price Variance", "OK")</f>
        <v>OK</v>
      </c>
      <c r="T721" t="str">
        <f>IF(po_master[[#This Row],[Actual Delivery Date]]&gt;po_master[[#This Row],[Promised Delivey Date]], "Late Delivery", "OK")</f>
        <v>Late Delivery</v>
      </c>
      <c r="U721" t="str">
        <f>IF(COUNTIF(po_master[PO Number],po_master[[#This Row],[PO Number]])&gt;1, "Duplicate Invoice", "OK")</f>
        <v>OK</v>
      </c>
      <c r="V721" s="5">
        <f>IF(po_master[[#This Row],[Missing Approval]]="Missing Approval", 1, 0)</f>
        <v>0</v>
      </c>
      <c r="W721" s="5">
        <f>IF(po_master[[#This Row],[GR Receipt Status]]="No GR - Not Received", 1, 0)</f>
        <v>0</v>
      </c>
      <c r="X721" s="5">
        <f>IF(po_master[[#This Row],[No invoice]]="No Invoice", 1, 0)</f>
        <v>0</v>
      </c>
      <c r="Y721" s="5">
        <f>IF(po_master[[#This Row],[Date Check]]="Invalid Date", 1, 0)</f>
        <v>0</v>
      </c>
      <c r="Z721" s="5">
        <f>IF(po_master[[#This Row],[Qty Variance Flag]]="Qty Variance", 1, 0)</f>
        <v>0</v>
      </c>
      <c r="AA721" s="5">
        <f>IF(po_master[[#This Row],[Price Variance Flag]]="Price Variance", 1, 0)</f>
        <v>0</v>
      </c>
      <c r="AB721" s="5">
        <f>IF(po_master[[#This Row],[Late Delivery Flag]]="Late Delivery", 1, 0)</f>
        <v>1</v>
      </c>
      <c r="AC721" s="5">
        <f>IF(po_master[[#This Row],[Duplicate Invoice Flag]]="Duplicate Invoice", 1, 0)</f>
        <v>0</v>
      </c>
      <c r="AD721" s="5" t="str">
        <f>TEXT(po_master[[#This Row],[Order Date]],"YYYY-MM")</f>
        <v>2026-02</v>
      </c>
    </row>
    <row r="722" spans="1:30" x14ac:dyDescent="0.25">
      <c r="A722" t="s">
        <v>1426</v>
      </c>
      <c r="B722" t="s">
        <v>1470</v>
      </c>
      <c r="C722" s="1">
        <v>46101</v>
      </c>
      <c r="D722">
        <v>374</v>
      </c>
      <c r="E722">
        <v>193.57</v>
      </c>
      <c r="F722" t="s">
        <v>1446</v>
      </c>
      <c r="G722" s="1">
        <v>46114</v>
      </c>
      <c r="I722" s="1"/>
      <c r="J722" t="s">
        <v>1427</v>
      </c>
      <c r="K722">
        <v>374</v>
      </c>
      <c r="L722">
        <v>206.34</v>
      </c>
      <c r="M722" s="1">
        <v>46124</v>
      </c>
      <c r="N722" t="str">
        <f>IF(po_master[[#This Row],[Approved By]]="", "Missing Approval", "OK")</f>
        <v>OK</v>
      </c>
      <c r="O722" t="str">
        <f>IF(ISBLANK(po_master[[#This Row],[GR Quantity]]), "No GR - Not received", "OK")</f>
        <v>No GR - Not received</v>
      </c>
      <c r="P722" t="str">
        <f>IF(po_master[[#This Row],[Promised Delivey Date]]&lt;po_master[[#This Row],[Order Date]], "Invalid", "OK")</f>
        <v>OK</v>
      </c>
      <c r="Q722" t="str">
        <f>IF(ISBLANK(po_master[[#This Row],[Invoice Number]]), "No Invoice", "OK")</f>
        <v>OK</v>
      </c>
      <c r="R722" t="str">
        <f>IF(AND(NOT(ISBLANK(po_master[[#This Row],[GR Quantity]])), po_master[[#This Row],[GR Quantity]]&lt;&gt;po_master[[#This Row],[PO Quantity]]), "Qty Variance", "OK")</f>
        <v>OK</v>
      </c>
      <c r="S722" t="str">
        <f>IF(po_master[[#This Row],[Invoice Unit Price]]&gt;po_master[[#This Row],[PO Unit Price]]*1.01, "Price Variance", "OK")</f>
        <v>Price Variance</v>
      </c>
      <c r="T722" t="str">
        <f>IF(po_master[[#This Row],[Actual Delivery Date]]&gt;po_master[[#This Row],[Promised Delivey Date]], "Late Delivery", "OK")</f>
        <v>OK</v>
      </c>
      <c r="U722" t="str">
        <f>IF(COUNTIF(po_master[PO Number],po_master[[#This Row],[PO Number]])&gt;1, "Duplicate Invoice", "OK")</f>
        <v>OK</v>
      </c>
      <c r="V722" s="5">
        <f>IF(po_master[[#This Row],[Missing Approval]]="Missing Approval", 1, 0)</f>
        <v>0</v>
      </c>
      <c r="W722" s="5">
        <f>IF(po_master[[#This Row],[GR Receipt Status]]="No GR - Not Received", 1, 0)</f>
        <v>1</v>
      </c>
      <c r="X722" s="5">
        <f>IF(po_master[[#This Row],[No invoice]]="No Invoice", 1, 0)</f>
        <v>0</v>
      </c>
      <c r="Y722" s="5">
        <f>IF(po_master[[#This Row],[Date Check]]="Invalid Date", 1, 0)</f>
        <v>0</v>
      </c>
      <c r="Z722" s="5">
        <f>IF(po_master[[#This Row],[Qty Variance Flag]]="Qty Variance", 1, 0)</f>
        <v>0</v>
      </c>
      <c r="AA722" s="5">
        <f>IF(po_master[[#This Row],[Price Variance Flag]]="Price Variance", 1, 0)</f>
        <v>1</v>
      </c>
      <c r="AB722" s="5">
        <f>IF(po_master[[#This Row],[Late Delivery Flag]]="Late Delivery", 1, 0)</f>
        <v>0</v>
      </c>
      <c r="AC722" s="5">
        <f>IF(po_master[[#This Row],[Duplicate Invoice Flag]]="Duplicate Invoice", 1, 0)</f>
        <v>0</v>
      </c>
      <c r="AD722" s="5" t="str">
        <f>TEXT(po_master[[#This Row],[Order Date]],"YYYY-MM")</f>
        <v>2026-03</v>
      </c>
    </row>
    <row r="723" spans="1:30" x14ac:dyDescent="0.25">
      <c r="A723" t="s">
        <v>642</v>
      </c>
      <c r="B723" t="s">
        <v>1500</v>
      </c>
      <c r="C723" s="1">
        <v>46119</v>
      </c>
      <c r="D723">
        <v>446</v>
      </c>
      <c r="E723">
        <v>73</v>
      </c>
      <c r="F723" t="s">
        <v>1458</v>
      </c>
      <c r="G723" s="1">
        <v>46130</v>
      </c>
      <c r="H723">
        <v>446</v>
      </c>
      <c r="I723" s="1">
        <v>46129</v>
      </c>
      <c r="J723" t="s">
        <v>1428</v>
      </c>
      <c r="K723">
        <v>446</v>
      </c>
      <c r="L723">
        <v>73</v>
      </c>
      <c r="M723" s="1">
        <v>46134</v>
      </c>
      <c r="N723" t="str">
        <f>IF(po_master[[#This Row],[Approved By]]="", "Missing Approval", "OK")</f>
        <v>OK</v>
      </c>
      <c r="O723" t="str">
        <f>IF(ISBLANK(po_master[[#This Row],[GR Quantity]]), "No GR - Not received", "OK")</f>
        <v>OK</v>
      </c>
      <c r="P723" t="str">
        <f>IF(po_master[[#This Row],[Promised Delivey Date]]&lt;po_master[[#This Row],[Order Date]], "Invalid", "OK")</f>
        <v>OK</v>
      </c>
      <c r="Q723" t="str">
        <f>IF(ISBLANK(po_master[[#This Row],[Invoice Number]]), "No Invoice", "OK")</f>
        <v>OK</v>
      </c>
      <c r="R723" t="str">
        <f>IF(AND(NOT(ISBLANK(po_master[[#This Row],[GR Quantity]])), po_master[[#This Row],[GR Quantity]]&lt;&gt;po_master[[#This Row],[PO Quantity]]), "Qty Variance", "OK")</f>
        <v>OK</v>
      </c>
      <c r="S723" t="str">
        <f>IF(po_master[[#This Row],[Invoice Unit Price]]&gt;po_master[[#This Row],[PO Unit Price]]*1.01, "Price Variance", "OK")</f>
        <v>OK</v>
      </c>
      <c r="T723" t="str">
        <f>IF(po_master[[#This Row],[Actual Delivery Date]]&gt;po_master[[#This Row],[Promised Delivey Date]], "Late Delivery", "OK")</f>
        <v>OK</v>
      </c>
      <c r="U723" t="str">
        <f>IF(COUNTIF(po_master[PO Number],po_master[[#This Row],[PO Number]])&gt;1, "Duplicate Invoice", "OK")</f>
        <v>OK</v>
      </c>
      <c r="V723" s="5">
        <f>IF(po_master[[#This Row],[Missing Approval]]="Missing Approval", 1, 0)</f>
        <v>0</v>
      </c>
      <c r="W723" s="5">
        <f>IF(po_master[[#This Row],[GR Receipt Status]]="No GR - Not Received", 1, 0)</f>
        <v>0</v>
      </c>
      <c r="X723" s="5">
        <f>IF(po_master[[#This Row],[No invoice]]="No Invoice", 1, 0)</f>
        <v>0</v>
      </c>
      <c r="Y723" s="5">
        <f>IF(po_master[[#This Row],[Date Check]]="Invalid Date", 1, 0)</f>
        <v>0</v>
      </c>
      <c r="Z723" s="5">
        <f>IF(po_master[[#This Row],[Qty Variance Flag]]="Qty Variance", 1, 0)</f>
        <v>0</v>
      </c>
      <c r="AA723" s="5">
        <f>IF(po_master[[#This Row],[Price Variance Flag]]="Price Variance", 1, 0)</f>
        <v>0</v>
      </c>
      <c r="AB723" s="5">
        <f>IF(po_master[[#This Row],[Late Delivery Flag]]="Late Delivery", 1, 0)</f>
        <v>0</v>
      </c>
      <c r="AC723" s="5">
        <f>IF(po_master[[#This Row],[Duplicate Invoice Flag]]="Duplicate Invoice", 1, 0)</f>
        <v>0</v>
      </c>
      <c r="AD723" s="5" t="str">
        <f>TEXT(po_master[[#This Row],[Order Date]],"YYYY-MM")</f>
        <v>2026-04</v>
      </c>
    </row>
    <row r="724" spans="1:30" x14ac:dyDescent="0.25">
      <c r="A724" t="s">
        <v>643</v>
      </c>
      <c r="B724" t="s">
        <v>1489</v>
      </c>
      <c r="C724" s="1">
        <v>46100</v>
      </c>
      <c r="D724">
        <v>356</v>
      </c>
      <c r="E724">
        <v>106.52</v>
      </c>
      <c r="F724" t="s">
        <v>1459</v>
      </c>
      <c r="G724" s="1">
        <v>46117</v>
      </c>
      <c r="H724">
        <v>356</v>
      </c>
      <c r="I724" s="1">
        <v>46133</v>
      </c>
      <c r="J724" t="s">
        <v>1429</v>
      </c>
      <c r="K724">
        <v>356</v>
      </c>
      <c r="L724">
        <v>106.52</v>
      </c>
      <c r="M724" s="1">
        <v>46119</v>
      </c>
      <c r="N724" t="str">
        <f>IF(po_master[[#This Row],[Approved By]]="", "Missing Approval", "OK")</f>
        <v>Missing Approval</v>
      </c>
      <c r="O724" t="str">
        <f>IF(ISBLANK(po_master[[#This Row],[GR Quantity]]), "No GR - Not received", "OK")</f>
        <v>OK</v>
      </c>
      <c r="P724" t="str">
        <f>IF(po_master[[#This Row],[Promised Delivey Date]]&lt;po_master[[#This Row],[Order Date]], "Invalid", "OK")</f>
        <v>OK</v>
      </c>
      <c r="Q724" t="str">
        <f>IF(ISBLANK(po_master[[#This Row],[Invoice Number]]), "No Invoice", "OK")</f>
        <v>OK</v>
      </c>
      <c r="R724" t="str">
        <f>IF(AND(NOT(ISBLANK(po_master[[#This Row],[GR Quantity]])), po_master[[#This Row],[GR Quantity]]&lt;&gt;po_master[[#This Row],[PO Quantity]]), "Qty Variance", "OK")</f>
        <v>OK</v>
      </c>
      <c r="S724" t="str">
        <f>IF(po_master[[#This Row],[Invoice Unit Price]]&gt;po_master[[#This Row],[PO Unit Price]]*1.01, "Price Variance", "OK")</f>
        <v>OK</v>
      </c>
      <c r="T724" t="str">
        <f>IF(po_master[[#This Row],[Actual Delivery Date]]&gt;po_master[[#This Row],[Promised Delivey Date]], "Late Delivery", "OK")</f>
        <v>Late Delivery</v>
      </c>
      <c r="U724" t="str">
        <f>IF(COUNTIF(po_master[PO Number],po_master[[#This Row],[PO Number]])&gt;1, "Duplicate Invoice", "OK")</f>
        <v>OK</v>
      </c>
      <c r="V724" s="5">
        <f>IF(po_master[[#This Row],[Missing Approval]]="Missing Approval", 1, 0)</f>
        <v>1</v>
      </c>
      <c r="W724" s="5">
        <f>IF(po_master[[#This Row],[GR Receipt Status]]="No GR - Not Received", 1, 0)</f>
        <v>0</v>
      </c>
      <c r="X724" s="5">
        <f>IF(po_master[[#This Row],[No invoice]]="No Invoice", 1, 0)</f>
        <v>0</v>
      </c>
      <c r="Y724" s="5">
        <f>IF(po_master[[#This Row],[Date Check]]="Invalid Date", 1, 0)</f>
        <v>0</v>
      </c>
      <c r="Z724" s="5">
        <f>IF(po_master[[#This Row],[Qty Variance Flag]]="Qty Variance", 1, 0)</f>
        <v>0</v>
      </c>
      <c r="AA724" s="5">
        <f>IF(po_master[[#This Row],[Price Variance Flag]]="Price Variance", 1, 0)</f>
        <v>0</v>
      </c>
      <c r="AB724" s="5">
        <f>IF(po_master[[#This Row],[Late Delivery Flag]]="Late Delivery", 1, 0)</f>
        <v>1</v>
      </c>
      <c r="AC724" s="5">
        <f>IF(po_master[[#This Row],[Duplicate Invoice Flag]]="Duplicate Invoice", 1, 0)</f>
        <v>0</v>
      </c>
      <c r="AD724" s="5" t="str">
        <f>TEXT(po_master[[#This Row],[Order Date]],"YYYY-MM")</f>
        <v>2026-03</v>
      </c>
    </row>
    <row r="725" spans="1:30" x14ac:dyDescent="0.25">
      <c r="A725" t="s">
        <v>644</v>
      </c>
      <c r="B725" t="s">
        <v>1443</v>
      </c>
      <c r="C725" s="1">
        <v>46049</v>
      </c>
      <c r="D725">
        <v>13</v>
      </c>
      <c r="E725">
        <v>104.75</v>
      </c>
      <c r="F725" t="s">
        <v>1467</v>
      </c>
      <c r="G725" s="1">
        <v>46065</v>
      </c>
      <c r="H725">
        <v>13</v>
      </c>
      <c r="I725" s="1">
        <v>46066</v>
      </c>
      <c r="J725" t="s">
        <v>1430</v>
      </c>
      <c r="K725">
        <v>13</v>
      </c>
      <c r="L725">
        <v>104.75</v>
      </c>
      <c r="M725" s="1">
        <v>46071</v>
      </c>
      <c r="N725" t="str">
        <f>IF(po_master[[#This Row],[Approved By]]="", "Missing Approval", "OK")</f>
        <v>OK</v>
      </c>
      <c r="O725" t="str">
        <f>IF(ISBLANK(po_master[[#This Row],[GR Quantity]]), "No GR - Not received", "OK")</f>
        <v>OK</v>
      </c>
      <c r="P725" t="str">
        <f>IF(po_master[[#This Row],[Promised Delivey Date]]&lt;po_master[[#This Row],[Order Date]], "Invalid", "OK")</f>
        <v>OK</v>
      </c>
      <c r="Q725" t="str">
        <f>IF(ISBLANK(po_master[[#This Row],[Invoice Number]]), "No Invoice", "OK")</f>
        <v>OK</v>
      </c>
      <c r="R725" t="str">
        <f>IF(AND(NOT(ISBLANK(po_master[[#This Row],[GR Quantity]])), po_master[[#This Row],[GR Quantity]]&lt;&gt;po_master[[#This Row],[PO Quantity]]), "Qty Variance", "OK")</f>
        <v>OK</v>
      </c>
      <c r="S725" t="str">
        <f>IF(po_master[[#This Row],[Invoice Unit Price]]&gt;po_master[[#This Row],[PO Unit Price]]*1.01, "Price Variance", "OK")</f>
        <v>OK</v>
      </c>
      <c r="T725" t="str">
        <f>IF(po_master[[#This Row],[Actual Delivery Date]]&gt;po_master[[#This Row],[Promised Delivey Date]], "Late Delivery", "OK")</f>
        <v>Late Delivery</v>
      </c>
      <c r="U725" t="str">
        <f>IF(COUNTIF(po_master[PO Number],po_master[[#This Row],[PO Number]])&gt;1, "Duplicate Invoice", "OK")</f>
        <v>OK</v>
      </c>
      <c r="V725" s="5">
        <f>IF(po_master[[#This Row],[Missing Approval]]="Missing Approval", 1, 0)</f>
        <v>0</v>
      </c>
      <c r="W725" s="5">
        <f>IF(po_master[[#This Row],[GR Receipt Status]]="No GR - Not Received", 1, 0)</f>
        <v>0</v>
      </c>
      <c r="X725" s="5">
        <f>IF(po_master[[#This Row],[No invoice]]="No Invoice", 1, 0)</f>
        <v>0</v>
      </c>
      <c r="Y725" s="5">
        <f>IF(po_master[[#This Row],[Date Check]]="Invalid Date", 1, 0)</f>
        <v>0</v>
      </c>
      <c r="Z725" s="5">
        <f>IF(po_master[[#This Row],[Qty Variance Flag]]="Qty Variance", 1, 0)</f>
        <v>0</v>
      </c>
      <c r="AA725" s="5">
        <f>IF(po_master[[#This Row],[Price Variance Flag]]="Price Variance", 1, 0)</f>
        <v>0</v>
      </c>
      <c r="AB725" s="5">
        <f>IF(po_master[[#This Row],[Late Delivery Flag]]="Late Delivery", 1, 0)</f>
        <v>1</v>
      </c>
      <c r="AC725" s="5">
        <f>IF(po_master[[#This Row],[Duplicate Invoice Flag]]="Duplicate Invoice", 1, 0)</f>
        <v>0</v>
      </c>
      <c r="AD725" s="5" t="str">
        <f>TEXT(po_master[[#This Row],[Order Date]],"YYYY-MM")</f>
        <v>2026-01</v>
      </c>
    </row>
    <row r="726" spans="1:30" x14ac:dyDescent="0.25">
      <c r="A726" t="s">
        <v>645</v>
      </c>
      <c r="B726" t="s">
        <v>1454</v>
      </c>
      <c r="C726" s="1">
        <v>46095</v>
      </c>
      <c r="D726">
        <v>162</v>
      </c>
      <c r="E726">
        <v>138.46</v>
      </c>
      <c r="F726" t="s">
        <v>1487</v>
      </c>
      <c r="G726" s="1">
        <v>46102</v>
      </c>
      <c r="H726">
        <v>162</v>
      </c>
      <c r="I726" s="1">
        <v>46100</v>
      </c>
      <c r="J726" t="s">
        <v>1431</v>
      </c>
      <c r="K726">
        <v>162</v>
      </c>
      <c r="L726">
        <v>138.46</v>
      </c>
      <c r="M726" s="1">
        <v>46106</v>
      </c>
      <c r="N726" t="str">
        <f>IF(po_master[[#This Row],[Approved By]]="", "Missing Approval", "OK")</f>
        <v>OK</v>
      </c>
      <c r="O726" t="str">
        <f>IF(ISBLANK(po_master[[#This Row],[GR Quantity]]), "No GR - Not received", "OK")</f>
        <v>OK</v>
      </c>
      <c r="P726" t="str">
        <f>IF(po_master[[#This Row],[Promised Delivey Date]]&lt;po_master[[#This Row],[Order Date]], "Invalid", "OK")</f>
        <v>OK</v>
      </c>
      <c r="Q726" t="str">
        <f>IF(ISBLANK(po_master[[#This Row],[Invoice Number]]), "No Invoice", "OK")</f>
        <v>OK</v>
      </c>
      <c r="R726" t="str">
        <f>IF(AND(NOT(ISBLANK(po_master[[#This Row],[GR Quantity]])), po_master[[#This Row],[GR Quantity]]&lt;&gt;po_master[[#This Row],[PO Quantity]]), "Qty Variance", "OK")</f>
        <v>OK</v>
      </c>
      <c r="S726" t="str">
        <f>IF(po_master[[#This Row],[Invoice Unit Price]]&gt;po_master[[#This Row],[PO Unit Price]]*1.01, "Price Variance", "OK")</f>
        <v>OK</v>
      </c>
      <c r="T726" t="str">
        <f>IF(po_master[[#This Row],[Actual Delivery Date]]&gt;po_master[[#This Row],[Promised Delivey Date]], "Late Delivery", "OK")</f>
        <v>OK</v>
      </c>
      <c r="U726" t="str">
        <f>IF(COUNTIF(po_master[PO Number],po_master[[#This Row],[PO Number]])&gt;1, "Duplicate Invoice", "OK")</f>
        <v>OK</v>
      </c>
      <c r="V726" s="5">
        <f>IF(po_master[[#This Row],[Missing Approval]]="Missing Approval", 1, 0)</f>
        <v>0</v>
      </c>
      <c r="W726" s="5">
        <f>IF(po_master[[#This Row],[GR Receipt Status]]="No GR - Not Received", 1, 0)</f>
        <v>0</v>
      </c>
      <c r="X726" s="5">
        <f>IF(po_master[[#This Row],[No invoice]]="No Invoice", 1, 0)</f>
        <v>0</v>
      </c>
      <c r="Y726" s="5">
        <f>IF(po_master[[#This Row],[Date Check]]="Invalid Date", 1, 0)</f>
        <v>0</v>
      </c>
      <c r="Z726" s="5">
        <f>IF(po_master[[#This Row],[Qty Variance Flag]]="Qty Variance", 1, 0)</f>
        <v>0</v>
      </c>
      <c r="AA726" s="5">
        <f>IF(po_master[[#This Row],[Price Variance Flag]]="Price Variance", 1, 0)</f>
        <v>0</v>
      </c>
      <c r="AB726" s="5">
        <f>IF(po_master[[#This Row],[Late Delivery Flag]]="Late Delivery", 1, 0)</f>
        <v>0</v>
      </c>
      <c r="AC726" s="5">
        <f>IF(po_master[[#This Row],[Duplicate Invoice Flag]]="Duplicate Invoice", 1, 0)</f>
        <v>0</v>
      </c>
      <c r="AD726" s="5" t="str">
        <f>TEXT(po_master[[#This Row],[Order Date]],"YYYY-MM")</f>
        <v>2026-03</v>
      </c>
    </row>
    <row r="727" spans="1:30" x14ac:dyDescent="0.25">
      <c r="A727" t="s">
        <v>646</v>
      </c>
      <c r="B727" t="s">
        <v>1479</v>
      </c>
      <c r="C727" s="1">
        <v>46093</v>
      </c>
      <c r="D727">
        <v>337</v>
      </c>
      <c r="E727">
        <v>68.400000000000006</v>
      </c>
      <c r="F727" t="s">
        <v>1458</v>
      </c>
      <c r="G727" s="1">
        <v>46106</v>
      </c>
      <c r="H727">
        <v>337</v>
      </c>
      <c r="I727" s="1">
        <v>46105</v>
      </c>
      <c r="J727" t="s">
        <v>1432</v>
      </c>
      <c r="K727">
        <v>337</v>
      </c>
      <c r="L727">
        <v>68.400000000000006</v>
      </c>
      <c r="M727" s="1">
        <v>46109</v>
      </c>
      <c r="N727" t="str">
        <f>IF(po_master[[#This Row],[Approved By]]="", "Missing Approval", "OK")</f>
        <v>OK</v>
      </c>
      <c r="O727" t="str">
        <f>IF(ISBLANK(po_master[[#This Row],[GR Quantity]]), "No GR - Not received", "OK")</f>
        <v>OK</v>
      </c>
      <c r="P727" t="str">
        <f>IF(po_master[[#This Row],[Promised Delivey Date]]&lt;po_master[[#This Row],[Order Date]], "Invalid", "OK")</f>
        <v>OK</v>
      </c>
      <c r="Q727" t="str">
        <f>IF(ISBLANK(po_master[[#This Row],[Invoice Number]]), "No Invoice", "OK")</f>
        <v>OK</v>
      </c>
      <c r="R727" t="str">
        <f>IF(AND(NOT(ISBLANK(po_master[[#This Row],[GR Quantity]])), po_master[[#This Row],[GR Quantity]]&lt;&gt;po_master[[#This Row],[PO Quantity]]), "Qty Variance", "OK")</f>
        <v>OK</v>
      </c>
      <c r="S727" t="str">
        <f>IF(po_master[[#This Row],[Invoice Unit Price]]&gt;po_master[[#This Row],[PO Unit Price]]*1.01, "Price Variance", "OK")</f>
        <v>OK</v>
      </c>
      <c r="T727" t="str">
        <f>IF(po_master[[#This Row],[Actual Delivery Date]]&gt;po_master[[#This Row],[Promised Delivey Date]], "Late Delivery", "OK")</f>
        <v>OK</v>
      </c>
      <c r="U727" t="str">
        <f>IF(COUNTIF(po_master[PO Number],po_master[[#This Row],[PO Number]])&gt;1, "Duplicate Invoice", "OK")</f>
        <v>OK</v>
      </c>
      <c r="V727" s="5">
        <f>IF(po_master[[#This Row],[Missing Approval]]="Missing Approval", 1, 0)</f>
        <v>0</v>
      </c>
      <c r="W727" s="5">
        <f>IF(po_master[[#This Row],[GR Receipt Status]]="No GR - Not Received", 1, 0)</f>
        <v>0</v>
      </c>
      <c r="X727" s="5">
        <f>IF(po_master[[#This Row],[No invoice]]="No Invoice", 1, 0)</f>
        <v>0</v>
      </c>
      <c r="Y727" s="5">
        <f>IF(po_master[[#This Row],[Date Check]]="Invalid Date", 1, 0)</f>
        <v>0</v>
      </c>
      <c r="Z727" s="5">
        <f>IF(po_master[[#This Row],[Qty Variance Flag]]="Qty Variance", 1, 0)</f>
        <v>0</v>
      </c>
      <c r="AA727" s="5">
        <f>IF(po_master[[#This Row],[Price Variance Flag]]="Price Variance", 1, 0)</f>
        <v>0</v>
      </c>
      <c r="AB727" s="5">
        <f>IF(po_master[[#This Row],[Late Delivery Flag]]="Late Delivery", 1, 0)</f>
        <v>0</v>
      </c>
      <c r="AC727" s="5">
        <f>IF(po_master[[#This Row],[Duplicate Invoice Flag]]="Duplicate Invoice", 1, 0)</f>
        <v>0</v>
      </c>
      <c r="AD727" s="5" t="str">
        <f>TEXT(po_master[[#This Row],[Order Date]],"YYYY-MM")</f>
        <v>2026-03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FB26E-BEBB-4E34-A384-74DD0D041A87}">
  <dimension ref="A1:G701"/>
  <sheetViews>
    <sheetView workbookViewId="0"/>
  </sheetViews>
  <sheetFormatPr defaultRowHeight="15" x14ac:dyDescent="0.25"/>
  <cols>
    <col min="1" max="1" width="13.5703125" bestFit="1" customWidth="1"/>
    <col min="2" max="2" width="23.42578125" bestFit="1" customWidth="1"/>
    <col min="3" max="3" width="13.140625" bestFit="1" customWidth="1"/>
    <col min="4" max="4" width="14" bestFit="1" customWidth="1"/>
    <col min="5" max="5" width="15" bestFit="1" customWidth="1"/>
    <col min="6" max="6" width="17.85546875" bestFit="1" customWidth="1"/>
    <col min="7" max="7" width="24.28515625" bestFit="1" customWidth="1"/>
  </cols>
  <sheetData>
    <row r="1" spans="1:7" x14ac:dyDescent="0.25">
      <c r="A1" t="s">
        <v>0</v>
      </c>
      <c r="B1" t="s">
        <v>1433</v>
      </c>
      <c r="C1" t="s">
        <v>1434</v>
      </c>
      <c r="D1" t="s">
        <v>1435</v>
      </c>
      <c r="E1" t="s">
        <v>1436</v>
      </c>
      <c r="F1" t="s">
        <v>1437</v>
      </c>
      <c r="G1" t="s">
        <v>1438</v>
      </c>
    </row>
    <row r="2" spans="1:7" x14ac:dyDescent="0.25">
      <c r="A2" t="s">
        <v>3</v>
      </c>
      <c r="B2" t="s">
        <v>1439</v>
      </c>
      <c r="C2" s="1">
        <v>46051</v>
      </c>
      <c r="D2">
        <v>22</v>
      </c>
      <c r="E2">
        <v>149.6</v>
      </c>
      <c r="F2" t="s">
        <v>1440</v>
      </c>
      <c r="G2" s="1">
        <v>46063</v>
      </c>
    </row>
    <row r="3" spans="1:7" x14ac:dyDescent="0.25">
      <c r="A3" t="s">
        <v>4</v>
      </c>
      <c r="B3" t="s">
        <v>1441</v>
      </c>
      <c r="C3" s="1">
        <v>46049</v>
      </c>
      <c r="D3">
        <v>356</v>
      </c>
      <c r="E3">
        <v>149.43</v>
      </c>
      <c r="F3" t="s">
        <v>1442</v>
      </c>
      <c r="G3" s="1">
        <v>46056</v>
      </c>
    </row>
    <row r="4" spans="1:7" x14ac:dyDescent="0.25">
      <c r="A4" t="s">
        <v>5</v>
      </c>
      <c r="B4" t="s">
        <v>1443</v>
      </c>
      <c r="C4" s="1">
        <v>46131</v>
      </c>
      <c r="D4">
        <v>26</v>
      </c>
      <c r="E4">
        <v>10.81</v>
      </c>
      <c r="F4" t="s">
        <v>1444</v>
      </c>
      <c r="G4" s="1">
        <v>46143</v>
      </c>
    </row>
    <row r="5" spans="1:7" x14ac:dyDescent="0.25">
      <c r="A5" t="s">
        <v>6</v>
      </c>
      <c r="B5" t="s">
        <v>1445</v>
      </c>
      <c r="C5" s="1">
        <v>46029</v>
      </c>
      <c r="D5">
        <v>297</v>
      </c>
      <c r="E5">
        <v>43.77</v>
      </c>
      <c r="F5" t="s">
        <v>1446</v>
      </c>
      <c r="G5" s="1">
        <v>46047</v>
      </c>
    </row>
    <row r="6" spans="1:7" x14ac:dyDescent="0.25">
      <c r="A6" t="s">
        <v>7</v>
      </c>
      <c r="B6" t="s">
        <v>1447</v>
      </c>
      <c r="C6" s="1">
        <v>46137</v>
      </c>
      <c r="D6">
        <v>311</v>
      </c>
      <c r="E6">
        <v>59.25</v>
      </c>
      <c r="F6" t="s">
        <v>1448</v>
      </c>
      <c r="G6" s="1">
        <v>46147</v>
      </c>
    </row>
    <row r="7" spans="1:7" x14ac:dyDescent="0.25">
      <c r="A7" t="s">
        <v>8</v>
      </c>
      <c r="B7" t="s">
        <v>1449</v>
      </c>
      <c r="C7" s="1">
        <v>46131</v>
      </c>
      <c r="D7">
        <v>184</v>
      </c>
      <c r="E7">
        <v>59.18</v>
      </c>
      <c r="F7" t="s">
        <v>1444</v>
      </c>
      <c r="G7" s="1">
        <v>46146</v>
      </c>
    </row>
    <row r="8" spans="1:7" x14ac:dyDescent="0.25">
      <c r="A8" t="s">
        <v>9</v>
      </c>
      <c r="B8" t="s">
        <v>1450</v>
      </c>
      <c r="C8" s="1">
        <v>46046</v>
      </c>
      <c r="D8">
        <v>204</v>
      </c>
      <c r="E8">
        <v>23.86</v>
      </c>
      <c r="F8" t="s">
        <v>1451</v>
      </c>
      <c r="G8" s="1">
        <v>46059</v>
      </c>
    </row>
    <row r="9" spans="1:7" x14ac:dyDescent="0.25">
      <c r="A9" t="s">
        <v>10</v>
      </c>
      <c r="B9" t="s">
        <v>1452</v>
      </c>
      <c r="C9" s="1">
        <v>46140</v>
      </c>
      <c r="D9">
        <v>284</v>
      </c>
      <c r="E9">
        <v>29.34</v>
      </c>
      <c r="F9" t="s">
        <v>1453</v>
      </c>
      <c r="G9" s="1">
        <v>46147</v>
      </c>
    </row>
    <row r="10" spans="1:7" x14ac:dyDescent="0.25">
      <c r="A10" t="s">
        <v>11</v>
      </c>
      <c r="B10" t="s">
        <v>1454</v>
      </c>
      <c r="C10" s="1">
        <v>46098</v>
      </c>
      <c r="D10">
        <v>434</v>
      </c>
      <c r="E10">
        <v>127.58</v>
      </c>
      <c r="F10" t="s">
        <v>1451</v>
      </c>
      <c r="G10" s="1">
        <v>46109</v>
      </c>
    </row>
    <row r="11" spans="1:7" x14ac:dyDescent="0.25">
      <c r="A11" t="s">
        <v>12</v>
      </c>
      <c r="B11" t="s">
        <v>1455</v>
      </c>
      <c r="C11" s="1">
        <v>46040</v>
      </c>
      <c r="D11">
        <v>33</v>
      </c>
      <c r="E11">
        <v>133.94999999999999</v>
      </c>
      <c r="F11" t="s">
        <v>1456</v>
      </c>
      <c r="G11" s="1">
        <v>46054</v>
      </c>
    </row>
    <row r="12" spans="1:7" x14ac:dyDescent="0.25">
      <c r="A12" t="s">
        <v>13</v>
      </c>
      <c r="B12" t="s">
        <v>1457</v>
      </c>
      <c r="C12" s="1">
        <v>46082</v>
      </c>
      <c r="D12">
        <v>453</v>
      </c>
      <c r="E12">
        <v>24.7</v>
      </c>
      <c r="F12" t="s">
        <v>1458</v>
      </c>
      <c r="G12" s="1">
        <v>46101</v>
      </c>
    </row>
    <row r="13" spans="1:7" x14ac:dyDescent="0.25">
      <c r="A13" t="s">
        <v>14</v>
      </c>
      <c r="B13" t="s">
        <v>1439</v>
      </c>
      <c r="C13" s="1">
        <v>46116</v>
      </c>
      <c r="D13">
        <v>93</v>
      </c>
      <c r="E13">
        <v>77.19</v>
      </c>
      <c r="F13" t="s">
        <v>1444</v>
      </c>
      <c r="G13" s="1">
        <v>46129</v>
      </c>
    </row>
    <row r="14" spans="1:7" x14ac:dyDescent="0.25">
      <c r="A14" t="s">
        <v>15</v>
      </c>
      <c r="B14" t="s">
        <v>1449</v>
      </c>
      <c r="C14" s="1">
        <v>46041</v>
      </c>
      <c r="D14">
        <v>321</v>
      </c>
      <c r="E14">
        <v>128.82</v>
      </c>
      <c r="F14" t="s">
        <v>1459</v>
      </c>
      <c r="G14" s="1">
        <v>46053</v>
      </c>
    </row>
    <row r="15" spans="1:7" x14ac:dyDescent="0.25">
      <c r="A15" t="s">
        <v>16</v>
      </c>
      <c r="B15" t="s">
        <v>1460</v>
      </c>
      <c r="C15" s="1">
        <v>46141</v>
      </c>
      <c r="D15">
        <v>204</v>
      </c>
      <c r="E15">
        <v>57.64</v>
      </c>
      <c r="F15" t="s">
        <v>1446</v>
      </c>
      <c r="G15" s="1">
        <v>46153</v>
      </c>
    </row>
    <row r="16" spans="1:7" x14ac:dyDescent="0.25">
      <c r="A16" t="s">
        <v>17</v>
      </c>
      <c r="B16" t="s">
        <v>1461</v>
      </c>
      <c r="C16" s="1">
        <v>46106</v>
      </c>
      <c r="D16">
        <v>441</v>
      </c>
      <c r="E16">
        <v>154.82</v>
      </c>
      <c r="F16" t="s">
        <v>1462</v>
      </c>
      <c r="G16" s="1">
        <v>46118</v>
      </c>
    </row>
    <row r="17" spans="1:7" x14ac:dyDescent="0.25">
      <c r="A17" t="s">
        <v>18</v>
      </c>
      <c r="B17" t="s">
        <v>1452</v>
      </c>
      <c r="C17" s="1">
        <v>46103</v>
      </c>
      <c r="D17">
        <v>215</v>
      </c>
      <c r="E17">
        <v>57.21</v>
      </c>
      <c r="F17" t="s">
        <v>1444</v>
      </c>
      <c r="G17" s="1">
        <v>46118</v>
      </c>
    </row>
    <row r="18" spans="1:7" x14ac:dyDescent="0.25">
      <c r="A18" t="s">
        <v>19</v>
      </c>
      <c r="B18" t="s">
        <v>1463</v>
      </c>
      <c r="C18" s="1">
        <v>46150</v>
      </c>
      <c r="D18">
        <v>212</v>
      </c>
      <c r="E18">
        <v>177.51</v>
      </c>
      <c r="F18" t="s">
        <v>1446</v>
      </c>
      <c r="G18" s="1">
        <v>46169</v>
      </c>
    </row>
    <row r="19" spans="1:7" x14ac:dyDescent="0.25">
      <c r="A19" t="s">
        <v>20</v>
      </c>
      <c r="B19" t="s">
        <v>1464</v>
      </c>
      <c r="C19" s="1">
        <v>46090</v>
      </c>
      <c r="D19">
        <v>81</v>
      </c>
      <c r="E19">
        <v>53.09</v>
      </c>
      <c r="F19" t="s">
        <v>1442</v>
      </c>
      <c r="G19" s="1">
        <v>46103</v>
      </c>
    </row>
    <row r="20" spans="1:7" x14ac:dyDescent="0.25">
      <c r="A20" t="s">
        <v>21</v>
      </c>
      <c r="B20" t="s">
        <v>1465</v>
      </c>
      <c r="C20" s="1">
        <v>46172</v>
      </c>
      <c r="D20">
        <v>229</v>
      </c>
      <c r="E20">
        <v>180.08</v>
      </c>
      <c r="F20" t="s">
        <v>1453</v>
      </c>
      <c r="G20" s="1">
        <v>46188</v>
      </c>
    </row>
    <row r="21" spans="1:7" x14ac:dyDescent="0.25">
      <c r="A21" t="s">
        <v>22</v>
      </c>
      <c r="B21" t="s">
        <v>1447</v>
      </c>
      <c r="C21" s="1">
        <v>46058</v>
      </c>
      <c r="D21">
        <v>270</v>
      </c>
      <c r="E21">
        <v>101.24</v>
      </c>
      <c r="F21" t="s">
        <v>1456</v>
      </c>
      <c r="G21" s="1">
        <v>46064</v>
      </c>
    </row>
    <row r="22" spans="1:7" x14ac:dyDescent="0.25">
      <c r="A22" t="s">
        <v>23</v>
      </c>
      <c r="B22" t="s">
        <v>1466</v>
      </c>
      <c r="C22" s="1">
        <v>46062</v>
      </c>
      <c r="D22">
        <v>331</v>
      </c>
      <c r="E22">
        <v>36.200000000000003</v>
      </c>
      <c r="F22" t="s">
        <v>1467</v>
      </c>
      <c r="G22" s="1">
        <v>46080</v>
      </c>
    </row>
    <row r="23" spans="1:7" x14ac:dyDescent="0.25">
      <c r="A23" t="s">
        <v>24</v>
      </c>
      <c r="B23" t="s">
        <v>1468</v>
      </c>
      <c r="C23" s="1">
        <v>46039</v>
      </c>
      <c r="D23">
        <v>207</v>
      </c>
      <c r="E23">
        <v>79.42</v>
      </c>
      <c r="F23" t="s">
        <v>1469</v>
      </c>
      <c r="G23" s="1">
        <v>46060</v>
      </c>
    </row>
    <row r="24" spans="1:7" x14ac:dyDescent="0.25">
      <c r="A24" t="s">
        <v>25</v>
      </c>
      <c r="B24" t="s">
        <v>1470</v>
      </c>
      <c r="C24" s="1">
        <v>46164</v>
      </c>
      <c r="D24">
        <v>450</v>
      </c>
      <c r="E24">
        <v>188.77</v>
      </c>
      <c r="F24" t="s">
        <v>1467</v>
      </c>
      <c r="G24" s="1">
        <v>46172</v>
      </c>
    </row>
    <row r="25" spans="1:7" x14ac:dyDescent="0.25">
      <c r="A25" t="s">
        <v>26</v>
      </c>
      <c r="B25" t="s">
        <v>1461</v>
      </c>
      <c r="C25" s="1">
        <v>46160</v>
      </c>
      <c r="D25">
        <v>394</v>
      </c>
      <c r="E25">
        <v>57.03</v>
      </c>
      <c r="F25" t="s">
        <v>1446</v>
      </c>
      <c r="G25" s="1">
        <v>46175</v>
      </c>
    </row>
    <row r="26" spans="1:7" x14ac:dyDescent="0.25">
      <c r="A26" t="s">
        <v>27</v>
      </c>
      <c r="B26" t="s">
        <v>1466</v>
      </c>
      <c r="C26" s="1">
        <v>46098</v>
      </c>
      <c r="D26">
        <v>232</v>
      </c>
      <c r="E26">
        <v>35.840000000000003</v>
      </c>
      <c r="F26" t="s">
        <v>1448</v>
      </c>
      <c r="G26" s="1">
        <v>46111</v>
      </c>
    </row>
    <row r="27" spans="1:7" x14ac:dyDescent="0.25">
      <c r="A27" t="s">
        <v>28</v>
      </c>
      <c r="B27" t="s">
        <v>1445</v>
      </c>
      <c r="C27" s="1">
        <v>46068</v>
      </c>
      <c r="D27">
        <v>269</v>
      </c>
      <c r="E27">
        <v>182.96</v>
      </c>
      <c r="F27" t="s">
        <v>1446</v>
      </c>
      <c r="G27" s="1">
        <v>46082</v>
      </c>
    </row>
    <row r="28" spans="1:7" x14ac:dyDescent="0.25">
      <c r="A28" t="s">
        <v>29</v>
      </c>
      <c r="B28" t="s">
        <v>1439</v>
      </c>
      <c r="C28" s="1">
        <v>46152</v>
      </c>
      <c r="D28">
        <v>321</v>
      </c>
      <c r="E28">
        <v>43.79</v>
      </c>
      <c r="F28" t="s">
        <v>1451</v>
      </c>
      <c r="G28" s="1">
        <v>46162</v>
      </c>
    </row>
    <row r="29" spans="1:7" x14ac:dyDescent="0.25">
      <c r="A29" t="s">
        <v>30</v>
      </c>
      <c r="B29" t="s">
        <v>1471</v>
      </c>
      <c r="C29" s="1">
        <v>46158</v>
      </c>
      <c r="D29">
        <v>480</v>
      </c>
      <c r="E29">
        <v>5.1100000000000003</v>
      </c>
      <c r="F29" t="s">
        <v>1472</v>
      </c>
      <c r="G29" s="1">
        <v>46178</v>
      </c>
    </row>
    <row r="30" spans="1:7" x14ac:dyDescent="0.25">
      <c r="A30" t="s">
        <v>31</v>
      </c>
      <c r="B30" t="s">
        <v>1473</v>
      </c>
      <c r="C30" s="1">
        <v>46051</v>
      </c>
      <c r="D30">
        <v>485</v>
      </c>
      <c r="E30">
        <v>75.78</v>
      </c>
      <c r="F30" t="s">
        <v>1474</v>
      </c>
      <c r="G30" s="1">
        <v>46063</v>
      </c>
    </row>
    <row r="31" spans="1:7" x14ac:dyDescent="0.25">
      <c r="A31" t="s">
        <v>32</v>
      </c>
      <c r="B31" t="s">
        <v>1475</v>
      </c>
      <c r="C31" s="1">
        <v>46084</v>
      </c>
      <c r="D31">
        <v>459</v>
      </c>
      <c r="E31">
        <v>115.63</v>
      </c>
      <c r="F31" t="s">
        <v>1476</v>
      </c>
      <c r="G31" s="1">
        <v>46091</v>
      </c>
    </row>
    <row r="32" spans="1:7" x14ac:dyDescent="0.25">
      <c r="A32" t="s">
        <v>33</v>
      </c>
      <c r="B32" t="s">
        <v>1477</v>
      </c>
      <c r="C32" s="1">
        <v>46147</v>
      </c>
      <c r="D32">
        <v>427</v>
      </c>
      <c r="E32">
        <v>18.5</v>
      </c>
      <c r="F32" t="s">
        <v>1456</v>
      </c>
      <c r="G32" s="1">
        <v>46156</v>
      </c>
    </row>
    <row r="33" spans="1:7" x14ac:dyDescent="0.25">
      <c r="A33" t="s">
        <v>34</v>
      </c>
      <c r="B33" t="s">
        <v>1441</v>
      </c>
      <c r="C33" s="1">
        <v>46144</v>
      </c>
      <c r="D33">
        <v>494</v>
      </c>
      <c r="E33">
        <v>112.21</v>
      </c>
      <c r="F33" t="s">
        <v>1458</v>
      </c>
      <c r="G33" s="1">
        <v>46165</v>
      </c>
    </row>
    <row r="34" spans="1:7" x14ac:dyDescent="0.25">
      <c r="A34" t="s">
        <v>35</v>
      </c>
      <c r="B34" t="s">
        <v>1468</v>
      </c>
      <c r="C34" s="1">
        <v>46131</v>
      </c>
      <c r="D34">
        <v>118</v>
      </c>
      <c r="E34">
        <v>186.14</v>
      </c>
      <c r="F34" t="s">
        <v>1456</v>
      </c>
      <c r="G34" s="1">
        <v>46142</v>
      </c>
    </row>
    <row r="35" spans="1:7" x14ac:dyDescent="0.25">
      <c r="A35" t="s">
        <v>36</v>
      </c>
      <c r="B35" t="s">
        <v>1455</v>
      </c>
      <c r="C35" s="1">
        <v>46102</v>
      </c>
      <c r="D35">
        <v>214</v>
      </c>
      <c r="E35">
        <v>199.05</v>
      </c>
      <c r="F35" t="s">
        <v>1446</v>
      </c>
      <c r="G35" s="1">
        <v>46118</v>
      </c>
    </row>
    <row r="36" spans="1:7" x14ac:dyDescent="0.25">
      <c r="A36" t="s">
        <v>37</v>
      </c>
      <c r="B36" t="s">
        <v>1478</v>
      </c>
      <c r="C36" s="1">
        <v>46155</v>
      </c>
      <c r="D36">
        <v>241</v>
      </c>
      <c r="E36">
        <v>28.6</v>
      </c>
      <c r="F36" t="s">
        <v>1440</v>
      </c>
      <c r="G36" s="1">
        <v>46162</v>
      </c>
    </row>
    <row r="37" spans="1:7" x14ac:dyDescent="0.25">
      <c r="A37" t="s">
        <v>686</v>
      </c>
      <c r="B37" t="s">
        <v>1479</v>
      </c>
      <c r="C37" s="1">
        <v>46028</v>
      </c>
      <c r="D37">
        <v>311</v>
      </c>
      <c r="E37">
        <v>113.01</v>
      </c>
      <c r="F37" t="s">
        <v>1480</v>
      </c>
      <c r="G37" s="1">
        <v>46040</v>
      </c>
    </row>
    <row r="38" spans="1:7" x14ac:dyDescent="0.25">
      <c r="A38" t="s">
        <v>38</v>
      </c>
      <c r="B38" t="s">
        <v>1481</v>
      </c>
      <c r="C38" s="1">
        <v>46041</v>
      </c>
      <c r="D38">
        <v>372</v>
      </c>
      <c r="E38">
        <v>128.07</v>
      </c>
      <c r="F38" t="s">
        <v>1440</v>
      </c>
      <c r="G38" s="1">
        <v>46048</v>
      </c>
    </row>
    <row r="39" spans="1:7" x14ac:dyDescent="0.25">
      <c r="A39" t="s">
        <v>39</v>
      </c>
      <c r="B39" t="s">
        <v>1452</v>
      </c>
      <c r="C39" s="1">
        <v>46107</v>
      </c>
      <c r="D39">
        <v>46</v>
      </c>
      <c r="E39">
        <v>105.26</v>
      </c>
      <c r="F39" t="s">
        <v>1458</v>
      </c>
      <c r="G39" s="1">
        <v>46127</v>
      </c>
    </row>
    <row r="40" spans="1:7" x14ac:dyDescent="0.25">
      <c r="A40" t="s">
        <v>40</v>
      </c>
      <c r="B40" t="s">
        <v>1463</v>
      </c>
      <c r="C40" s="1">
        <v>46161</v>
      </c>
      <c r="D40">
        <v>77</v>
      </c>
      <c r="E40">
        <v>146.05000000000001</v>
      </c>
      <c r="F40" t="s">
        <v>1480</v>
      </c>
      <c r="G40" s="1">
        <v>46181</v>
      </c>
    </row>
    <row r="41" spans="1:7" x14ac:dyDescent="0.25">
      <c r="A41" t="s">
        <v>41</v>
      </c>
      <c r="B41" t="s">
        <v>1482</v>
      </c>
      <c r="C41" s="1">
        <v>46144</v>
      </c>
      <c r="D41">
        <v>423</v>
      </c>
      <c r="E41">
        <v>84.38</v>
      </c>
      <c r="F41" t="s">
        <v>1483</v>
      </c>
      <c r="G41" s="1">
        <v>46152</v>
      </c>
    </row>
    <row r="42" spans="1:7" x14ac:dyDescent="0.25">
      <c r="A42" t="s">
        <v>42</v>
      </c>
      <c r="B42" t="s">
        <v>1484</v>
      </c>
      <c r="C42" s="1">
        <v>46133</v>
      </c>
      <c r="D42">
        <v>191</v>
      </c>
      <c r="E42">
        <v>87.6</v>
      </c>
      <c r="F42" t="s">
        <v>1469</v>
      </c>
      <c r="G42" s="1">
        <v>46139</v>
      </c>
    </row>
    <row r="43" spans="1:7" x14ac:dyDescent="0.25">
      <c r="A43" t="s">
        <v>43</v>
      </c>
      <c r="B43" t="s">
        <v>1461</v>
      </c>
      <c r="C43" s="1">
        <v>46048</v>
      </c>
      <c r="D43">
        <v>41</v>
      </c>
      <c r="E43">
        <v>83.51</v>
      </c>
      <c r="F43" t="s">
        <v>1472</v>
      </c>
      <c r="G43" s="1">
        <v>46056</v>
      </c>
    </row>
    <row r="44" spans="1:7" x14ac:dyDescent="0.25">
      <c r="A44" t="s">
        <v>44</v>
      </c>
      <c r="B44" t="s">
        <v>1482</v>
      </c>
      <c r="C44" s="1">
        <v>46072</v>
      </c>
      <c r="D44">
        <v>107</v>
      </c>
      <c r="E44">
        <v>109.58</v>
      </c>
      <c r="F44" t="s">
        <v>1485</v>
      </c>
      <c r="G44" s="1">
        <v>46090</v>
      </c>
    </row>
    <row r="45" spans="1:7" x14ac:dyDescent="0.25">
      <c r="A45" t="s">
        <v>45</v>
      </c>
      <c r="B45" t="s">
        <v>1486</v>
      </c>
      <c r="C45" s="1">
        <v>46094</v>
      </c>
      <c r="D45">
        <v>246</v>
      </c>
      <c r="E45">
        <v>53.71</v>
      </c>
      <c r="F45" t="s">
        <v>1476</v>
      </c>
      <c r="G45" s="1">
        <v>46113</v>
      </c>
    </row>
    <row r="46" spans="1:7" x14ac:dyDescent="0.25">
      <c r="A46" t="s">
        <v>46</v>
      </c>
      <c r="B46" t="s">
        <v>1454</v>
      </c>
      <c r="C46" s="1">
        <v>46048</v>
      </c>
      <c r="D46">
        <v>35</v>
      </c>
      <c r="E46">
        <v>132.16999999999999</v>
      </c>
      <c r="F46" t="s">
        <v>1442</v>
      </c>
      <c r="G46" s="1">
        <v>46053</v>
      </c>
    </row>
    <row r="47" spans="1:7" x14ac:dyDescent="0.25">
      <c r="A47" t="s">
        <v>47</v>
      </c>
      <c r="B47" t="s">
        <v>1457</v>
      </c>
      <c r="C47" s="1">
        <v>46083</v>
      </c>
      <c r="D47">
        <v>95</v>
      </c>
      <c r="E47">
        <v>84.25</v>
      </c>
      <c r="F47" t="s">
        <v>1487</v>
      </c>
      <c r="G47" s="1">
        <v>46094</v>
      </c>
    </row>
    <row r="48" spans="1:7" x14ac:dyDescent="0.25">
      <c r="A48" t="s">
        <v>48</v>
      </c>
      <c r="B48" t="s">
        <v>1488</v>
      </c>
      <c r="C48" s="1">
        <v>46038</v>
      </c>
      <c r="D48">
        <v>94</v>
      </c>
      <c r="E48">
        <v>78.900000000000006</v>
      </c>
      <c r="F48" t="s">
        <v>1453</v>
      </c>
      <c r="G48" s="1">
        <v>46051</v>
      </c>
    </row>
    <row r="49" spans="1:7" x14ac:dyDescent="0.25">
      <c r="A49" t="s">
        <v>49</v>
      </c>
      <c r="B49" t="s">
        <v>1489</v>
      </c>
      <c r="C49" s="1">
        <v>46096</v>
      </c>
      <c r="D49">
        <v>226</v>
      </c>
      <c r="E49">
        <v>140.84</v>
      </c>
      <c r="F49" t="s">
        <v>1490</v>
      </c>
      <c r="G49" s="1">
        <v>46116</v>
      </c>
    </row>
    <row r="50" spans="1:7" x14ac:dyDescent="0.25">
      <c r="A50" t="s">
        <v>50</v>
      </c>
      <c r="B50" t="s">
        <v>1464</v>
      </c>
      <c r="C50" s="1">
        <v>46071</v>
      </c>
      <c r="D50">
        <v>161</v>
      </c>
      <c r="E50">
        <v>47.45</v>
      </c>
      <c r="F50" t="s">
        <v>1462</v>
      </c>
      <c r="G50" s="1">
        <v>46077</v>
      </c>
    </row>
    <row r="51" spans="1:7" x14ac:dyDescent="0.25">
      <c r="A51" t="s">
        <v>51</v>
      </c>
      <c r="B51" t="s">
        <v>1465</v>
      </c>
      <c r="C51" s="1">
        <v>46103</v>
      </c>
      <c r="D51">
        <v>39</v>
      </c>
      <c r="E51">
        <v>14.78</v>
      </c>
      <c r="F51" t="s">
        <v>1487</v>
      </c>
      <c r="G51" s="1">
        <v>46124</v>
      </c>
    </row>
    <row r="52" spans="1:7" x14ac:dyDescent="0.25">
      <c r="A52" t="s">
        <v>52</v>
      </c>
      <c r="B52" t="s">
        <v>1491</v>
      </c>
      <c r="C52" s="1">
        <v>46063</v>
      </c>
      <c r="D52">
        <v>39</v>
      </c>
      <c r="E52">
        <v>192.35</v>
      </c>
      <c r="F52" t="s">
        <v>1476</v>
      </c>
      <c r="G52" s="1">
        <v>46073</v>
      </c>
    </row>
    <row r="53" spans="1:7" x14ac:dyDescent="0.25">
      <c r="A53" t="s">
        <v>53</v>
      </c>
      <c r="B53" t="s">
        <v>1492</v>
      </c>
      <c r="C53" s="1">
        <v>46040</v>
      </c>
      <c r="D53">
        <v>355</v>
      </c>
      <c r="E53">
        <v>173.05</v>
      </c>
      <c r="F53" t="s">
        <v>1453</v>
      </c>
      <c r="G53" s="1">
        <v>46048</v>
      </c>
    </row>
    <row r="54" spans="1:7" x14ac:dyDescent="0.25">
      <c r="A54" t="s">
        <v>54</v>
      </c>
      <c r="B54" t="s">
        <v>1493</v>
      </c>
      <c r="C54" s="1">
        <v>46086</v>
      </c>
      <c r="D54">
        <v>306</v>
      </c>
      <c r="E54">
        <v>120.93</v>
      </c>
      <c r="F54" t="s">
        <v>1494</v>
      </c>
      <c r="G54" s="1">
        <v>46093</v>
      </c>
    </row>
    <row r="55" spans="1:7" x14ac:dyDescent="0.25">
      <c r="A55" t="s">
        <v>55</v>
      </c>
      <c r="B55" t="s">
        <v>1495</v>
      </c>
      <c r="C55" s="1">
        <v>46172</v>
      </c>
      <c r="D55">
        <v>299</v>
      </c>
      <c r="E55">
        <v>106.94</v>
      </c>
      <c r="F55" t="s">
        <v>1458</v>
      </c>
      <c r="G55" s="1">
        <v>46183</v>
      </c>
    </row>
    <row r="56" spans="1:7" x14ac:dyDescent="0.25">
      <c r="A56" t="s">
        <v>707</v>
      </c>
      <c r="B56" t="s">
        <v>1484</v>
      </c>
      <c r="C56" s="1">
        <v>46103</v>
      </c>
      <c r="D56">
        <v>132</v>
      </c>
      <c r="E56">
        <v>56.79</v>
      </c>
      <c r="F56" t="s">
        <v>1485</v>
      </c>
      <c r="G56" s="1">
        <v>46117</v>
      </c>
    </row>
    <row r="57" spans="1:7" x14ac:dyDescent="0.25">
      <c r="A57" t="s">
        <v>56</v>
      </c>
      <c r="B57" t="s">
        <v>1489</v>
      </c>
      <c r="C57" s="1">
        <v>46103</v>
      </c>
      <c r="D57">
        <v>485</v>
      </c>
      <c r="E57">
        <v>151.61000000000001</v>
      </c>
      <c r="F57" t="s">
        <v>1476</v>
      </c>
      <c r="G57" s="1">
        <v>46108</v>
      </c>
    </row>
    <row r="58" spans="1:7" x14ac:dyDescent="0.25">
      <c r="A58" t="s">
        <v>57</v>
      </c>
      <c r="B58" t="s">
        <v>1489</v>
      </c>
      <c r="C58" s="1">
        <v>46167</v>
      </c>
      <c r="D58">
        <v>61</v>
      </c>
      <c r="E58">
        <v>19.29</v>
      </c>
      <c r="F58" t="s">
        <v>1444</v>
      </c>
      <c r="G58" s="1">
        <v>46188</v>
      </c>
    </row>
    <row r="59" spans="1:7" x14ac:dyDescent="0.25">
      <c r="A59" t="s">
        <v>58</v>
      </c>
      <c r="B59" t="s">
        <v>1470</v>
      </c>
      <c r="C59" s="1">
        <v>46056</v>
      </c>
      <c r="D59">
        <v>487</v>
      </c>
      <c r="E59">
        <v>73.06</v>
      </c>
      <c r="F59" t="s">
        <v>1476</v>
      </c>
      <c r="G59" s="1">
        <v>46068</v>
      </c>
    </row>
    <row r="60" spans="1:7" x14ac:dyDescent="0.25">
      <c r="A60" t="s">
        <v>59</v>
      </c>
      <c r="B60" t="s">
        <v>1496</v>
      </c>
      <c r="C60" s="1">
        <v>46095</v>
      </c>
      <c r="D60">
        <v>90</v>
      </c>
      <c r="E60">
        <v>90.45</v>
      </c>
      <c r="F60" t="s">
        <v>1442</v>
      </c>
      <c r="G60" s="1">
        <v>46109</v>
      </c>
    </row>
    <row r="61" spans="1:7" x14ac:dyDescent="0.25">
      <c r="A61" t="s">
        <v>60</v>
      </c>
      <c r="B61" t="s">
        <v>1497</v>
      </c>
      <c r="C61" s="1">
        <v>46158</v>
      </c>
      <c r="D61">
        <v>14</v>
      </c>
      <c r="E61">
        <v>135.22999999999999</v>
      </c>
      <c r="F61" t="s">
        <v>1442</v>
      </c>
      <c r="G61" s="1">
        <v>46172</v>
      </c>
    </row>
    <row r="62" spans="1:7" x14ac:dyDescent="0.25">
      <c r="A62" t="s">
        <v>61</v>
      </c>
      <c r="B62" t="s">
        <v>1484</v>
      </c>
      <c r="C62" s="1">
        <v>46049</v>
      </c>
      <c r="D62">
        <v>490</v>
      </c>
      <c r="E62">
        <v>176.23</v>
      </c>
      <c r="F62" t="s">
        <v>1458</v>
      </c>
      <c r="G62" s="1">
        <v>46057</v>
      </c>
    </row>
    <row r="63" spans="1:7" x14ac:dyDescent="0.25">
      <c r="A63" t="s">
        <v>62</v>
      </c>
      <c r="B63" t="s">
        <v>1450</v>
      </c>
      <c r="C63" s="1">
        <v>46164</v>
      </c>
      <c r="D63">
        <v>89</v>
      </c>
      <c r="E63">
        <v>58.11</v>
      </c>
      <c r="F63" t="s">
        <v>1494</v>
      </c>
      <c r="G63" s="1">
        <v>46175</v>
      </c>
    </row>
    <row r="64" spans="1:7" x14ac:dyDescent="0.25">
      <c r="A64" t="s">
        <v>63</v>
      </c>
      <c r="B64" t="s">
        <v>1455</v>
      </c>
      <c r="C64" s="1">
        <v>46110</v>
      </c>
      <c r="D64">
        <v>114</v>
      </c>
      <c r="E64">
        <v>139.06</v>
      </c>
      <c r="F64" t="s">
        <v>1458</v>
      </c>
      <c r="G64" s="1">
        <v>46131</v>
      </c>
    </row>
    <row r="65" spans="1:7" x14ac:dyDescent="0.25">
      <c r="A65" t="s">
        <v>64</v>
      </c>
      <c r="B65" t="s">
        <v>1498</v>
      </c>
      <c r="C65" s="1">
        <v>46087</v>
      </c>
      <c r="D65">
        <v>473</v>
      </c>
      <c r="E65">
        <v>182.09</v>
      </c>
      <c r="F65" t="s">
        <v>1462</v>
      </c>
      <c r="G65" s="1">
        <v>46094</v>
      </c>
    </row>
    <row r="66" spans="1:7" x14ac:dyDescent="0.25">
      <c r="A66" t="s">
        <v>65</v>
      </c>
      <c r="B66" t="s">
        <v>1439</v>
      </c>
      <c r="C66" s="1">
        <v>46131</v>
      </c>
      <c r="D66">
        <v>434</v>
      </c>
      <c r="E66">
        <v>58.95</v>
      </c>
      <c r="F66" t="s">
        <v>1448</v>
      </c>
      <c r="G66" s="1">
        <v>46146</v>
      </c>
    </row>
    <row r="67" spans="1:7" x14ac:dyDescent="0.25">
      <c r="A67" t="s">
        <v>66</v>
      </c>
      <c r="B67" t="s">
        <v>1441</v>
      </c>
      <c r="C67" s="1">
        <v>46090</v>
      </c>
      <c r="D67">
        <v>92</v>
      </c>
      <c r="E67">
        <v>149.54</v>
      </c>
      <c r="F67" t="s">
        <v>1442</v>
      </c>
      <c r="G67" s="1">
        <v>46108</v>
      </c>
    </row>
    <row r="68" spans="1:7" x14ac:dyDescent="0.25">
      <c r="A68" t="s">
        <v>67</v>
      </c>
      <c r="B68" t="s">
        <v>1454</v>
      </c>
      <c r="C68" s="1">
        <v>46025</v>
      </c>
      <c r="D68">
        <v>67</v>
      </c>
      <c r="E68">
        <v>19.670000000000002</v>
      </c>
      <c r="F68" t="s">
        <v>1499</v>
      </c>
      <c r="G68" s="1">
        <v>46034</v>
      </c>
    </row>
    <row r="69" spans="1:7" x14ac:dyDescent="0.25">
      <c r="A69" t="s">
        <v>68</v>
      </c>
      <c r="B69" t="s">
        <v>1471</v>
      </c>
      <c r="C69" s="1">
        <v>46032</v>
      </c>
      <c r="D69">
        <v>437</v>
      </c>
      <c r="E69">
        <v>77</v>
      </c>
      <c r="F69" t="s">
        <v>1442</v>
      </c>
      <c r="G69" s="1">
        <v>46041</v>
      </c>
    </row>
    <row r="70" spans="1:7" x14ac:dyDescent="0.25">
      <c r="A70" t="s">
        <v>69</v>
      </c>
      <c r="B70" t="s">
        <v>1500</v>
      </c>
      <c r="C70" s="1">
        <v>46055</v>
      </c>
      <c r="D70">
        <v>31</v>
      </c>
      <c r="E70">
        <v>65.11</v>
      </c>
      <c r="F70" t="s">
        <v>1462</v>
      </c>
      <c r="G70" s="1">
        <v>46071</v>
      </c>
    </row>
    <row r="71" spans="1:7" x14ac:dyDescent="0.25">
      <c r="A71" t="s">
        <v>70</v>
      </c>
      <c r="B71" t="s">
        <v>1463</v>
      </c>
      <c r="C71" s="1">
        <v>46086</v>
      </c>
      <c r="D71">
        <v>351</v>
      </c>
      <c r="E71">
        <v>25.04</v>
      </c>
      <c r="F71" t="s">
        <v>1456</v>
      </c>
      <c r="G71" s="1">
        <v>46104</v>
      </c>
    </row>
    <row r="72" spans="1:7" x14ac:dyDescent="0.25">
      <c r="A72" t="s">
        <v>71</v>
      </c>
      <c r="B72" t="s">
        <v>1497</v>
      </c>
      <c r="C72" s="1">
        <v>46062</v>
      </c>
      <c r="D72">
        <v>483</v>
      </c>
      <c r="E72">
        <v>186.33</v>
      </c>
      <c r="F72" t="s">
        <v>1501</v>
      </c>
      <c r="G72" s="1">
        <v>46072</v>
      </c>
    </row>
    <row r="73" spans="1:7" x14ac:dyDescent="0.25">
      <c r="A73" t="s">
        <v>72</v>
      </c>
      <c r="B73" t="s">
        <v>1495</v>
      </c>
      <c r="C73" s="1">
        <v>46029</v>
      </c>
      <c r="D73">
        <v>101</v>
      </c>
      <c r="E73">
        <v>148.63</v>
      </c>
      <c r="F73" t="s">
        <v>1472</v>
      </c>
      <c r="G73" s="1">
        <v>46047</v>
      </c>
    </row>
    <row r="74" spans="1:7" x14ac:dyDescent="0.25">
      <c r="A74" t="s">
        <v>73</v>
      </c>
      <c r="B74" t="s">
        <v>1484</v>
      </c>
      <c r="C74" s="1">
        <v>46086</v>
      </c>
      <c r="D74">
        <v>146</v>
      </c>
      <c r="E74">
        <v>36.04</v>
      </c>
      <c r="F74" t="s">
        <v>1499</v>
      </c>
      <c r="G74" s="1">
        <v>46094</v>
      </c>
    </row>
    <row r="75" spans="1:7" x14ac:dyDescent="0.25">
      <c r="A75" t="s">
        <v>74</v>
      </c>
      <c r="B75" t="s">
        <v>1502</v>
      </c>
      <c r="C75" s="1">
        <v>46032</v>
      </c>
      <c r="D75">
        <v>449</v>
      </c>
      <c r="E75">
        <v>96.78</v>
      </c>
      <c r="F75" t="s">
        <v>1444</v>
      </c>
      <c r="G75" s="1">
        <v>46051</v>
      </c>
    </row>
    <row r="76" spans="1:7" x14ac:dyDescent="0.25">
      <c r="A76" t="s">
        <v>75</v>
      </c>
      <c r="B76" t="s">
        <v>1503</v>
      </c>
      <c r="C76" s="1">
        <v>46101</v>
      </c>
      <c r="D76">
        <v>430</v>
      </c>
      <c r="E76">
        <v>160.09</v>
      </c>
      <c r="F76" t="s">
        <v>1440</v>
      </c>
      <c r="G76" s="1">
        <v>46113</v>
      </c>
    </row>
    <row r="77" spans="1:7" x14ac:dyDescent="0.25">
      <c r="A77" t="s">
        <v>76</v>
      </c>
      <c r="B77" t="s">
        <v>1473</v>
      </c>
      <c r="C77" s="1">
        <v>46072</v>
      </c>
      <c r="D77">
        <v>214</v>
      </c>
      <c r="E77">
        <v>69.010000000000005</v>
      </c>
      <c r="F77" t="s">
        <v>1476</v>
      </c>
      <c r="G77" s="1">
        <v>46085</v>
      </c>
    </row>
    <row r="78" spans="1:7" x14ac:dyDescent="0.25">
      <c r="A78" t="s">
        <v>77</v>
      </c>
      <c r="B78" t="s">
        <v>1503</v>
      </c>
      <c r="C78" s="1">
        <v>46153</v>
      </c>
      <c r="D78">
        <v>214</v>
      </c>
      <c r="E78">
        <v>137.51</v>
      </c>
      <c r="F78" t="s">
        <v>1442</v>
      </c>
      <c r="G78" s="1">
        <v>46168</v>
      </c>
    </row>
    <row r="79" spans="1:7" x14ac:dyDescent="0.25">
      <c r="A79" t="s">
        <v>733</v>
      </c>
      <c r="B79" t="s">
        <v>1473</v>
      </c>
      <c r="C79" s="1">
        <v>46052</v>
      </c>
      <c r="D79">
        <v>459</v>
      </c>
      <c r="E79">
        <v>194.23</v>
      </c>
      <c r="F79" t="s">
        <v>1501</v>
      </c>
      <c r="G79" s="1">
        <v>46065</v>
      </c>
    </row>
    <row r="80" spans="1:7" x14ac:dyDescent="0.25">
      <c r="A80" t="s">
        <v>78</v>
      </c>
      <c r="B80" t="s">
        <v>1452</v>
      </c>
      <c r="C80" s="1">
        <v>46050</v>
      </c>
      <c r="D80">
        <v>315</v>
      </c>
      <c r="E80">
        <v>89.74</v>
      </c>
      <c r="F80" t="s">
        <v>1490</v>
      </c>
      <c r="G80" s="1">
        <v>46065</v>
      </c>
    </row>
    <row r="81" spans="1:7" x14ac:dyDescent="0.25">
      <c r="A81" t="s">
        <v>79</v>
      </c>
      <c r="B81" t="s">
        <v>1500</v>
      </c>
      <c r="C81" s="1">
        <v>46153</v>
      </c>
      <c r="D81">
        <v>69</v>
      </c>
      <c r="E81">
        <v>80.11</v>
      </c>
      <c r="F81" t="s">
        <v>1480</v>
      </c>
      <c r="G81" s="1">
        <v>46164</v>
      </c>
    </row>
    <row r="82" spans="1:7" x14ac:dyDescent="0.25">
      <c r="A82" t="s">
        <v>80</v>
      </c>
      <c r="B82" t="s">
        <v>1470</v>
      </c>
      <c r="C82" s="1">
        <v>46034</v>
      </c>
      <c r="D82">
        <v>372</v>
      </c>
      <c r="E82">
        <v>90.03</v>
      </c>
      <c r="F82" t="s">
        <v>1504</v>
      </c>
      <c r="G82" s="1">
        <v>46045</v>
      </c>
    </row>
    <row r="83" spans="1:7" x14ac:dyDescent="0.25">
      <c r="A83" t="s">
        <v>81</v>
      </c>
      <c r="B83" t="s">
        <v>1496</v>
      </c>
      <c r="C83" s="1">
        <v>46133</v>
      </c>
      <c r="D83">
        <v>45</v>
      </c>
      <c r="E83">
        <v>190.03</v>
      </c>
      <c r="F83" t="s">
        <v>1472</v>
      </c>
      <c r="G83" s="1">
        <v>46148</v>
      </c>
    </row>
    <row r="84" spans="1:7" x14ac:dyDescent="0.25">
      <c r="A84" t="s">
        <v>82</v>
      </c>
      <c r="B84" t="s">
        <v>1484</v>
      </c>
      <c r="C84" s="1">
        <v>46054</v>
      </c>
      <c r="D84">
        <v>378</v>
      </c>
      <c r="E84">
        <v>180.51</v>
      </c>
      <c r="F84" t="s">
        <v>1504</v>
      </c>
      <c r="G84" s="1">
        <v>46068</v>
      </c>
    </row>
    <row r="85" spans="1:7" x14ac:dyDescent="0.25">
      <c r="A85" t="s">
        <v>83</v>
      </c>
      <c r="B85" t="s">
        <v>1484</v>
      </c>
      <c r="C85" s="1">
        <v>46127</v>
      </c>
      <c r="D85">
        <v>177</v>
      </c>
      <c r="E85">
        <v>83.47</v>
      </c>
      <c r="F85" t="s">
        <v>1474</v>
      </c>
      <c r="G85" s="1">
        <v>46136</v>
      </c>
    </row>
    <row r="86" spans="1:7" x14ac:dyDescent="0.25">
      <c r="A86" t="s">
        <v>84</v>
      </c>
      <c r="B86" t="s">
        <v>1505</v>
      </c>
      <c r="C86" s="1">
        <v>46130</v>
      </c>
      <c r="D86">
        <v>350</v>
      </c>
      <c r="E86">
        <v>188.37</v>
      </c>
      <c r="F86" t="s">
        <v>1467</v>
      </c>
      <c r="G86" s="1">
        <v>46140</v>
      </c>
    </row>
    <row r="87" spans="1:7" x14ac:dyDescent="0.25">
      <c r="A87" t="s">
        <v>85</v>
      </c>
      <c r="B87" t="s">
        <v>1497</v>
      </c>
      <c r="C87" s="1">
        <v>46168</v>
      </c>
      <c r="D87">
        <v>164</v>
      </c>
      <c r="E87">
        <v>84.18</v>
      </c>
      <c r="F87" t="s">
        <v>1448</v>
      </c>
      <c r="G87" s="1">
        <v>46182</v>
      </c>
    </row>
    <row r="88" spans="1:7" x14ac:dyDescent="0.25">
      <c r="A88" t="s">
        <v>86</v>
      </c>
      <c r="B88" t="s">
        <v>1506</v>
      </c>
      <c r="C88" s="1">
        <v>46076</v>
      </c>
      <c r="D88">
        <v>230</v>
      </c>
      <c r="E88">
        <v>158.22</v>
      </c>
      <c r="F88" t="s">
        <v>1494</v>
      </c>
      <c r="G88" s="1">
        <v>46091</v>
      </c>
    </row>
    <row r="89" spans="1:7" x14ac:dyDescent="0.25">
      <c r="A89" t="s">
        <v>87</v>
      </c>
      <c r="B89" t="s">
        <v>1489</v>
      </c>
      <c r="C89" s="1">
        <v>46136</v>
      </c>
      <c r="D89">
        <v>236</v>
      </c>
      <c r="E89">
        <v>136.75</v>
      </c>
      <c r="F89" t="s">
        <v>1459</v>
      </c>
      <c r="G89" s="1">
        <v>46156</v>
      </c>
    </row>
    <row r="90" spans="1:7" x14ac:dyDescent="0.25">
      <c r="A90" t="s">
        <v>88</v>
      </c>
      <c r="B90" t="s">
        <v>1465</v>
      </c>
      <c r="C90" s="1">
        <v>46066</v>
      </c>
      <c r="D90">
        <v>347</v>
      </c>
      <c r="E90">
        <v>21.54</v>
      </c>
      <c r="F90" t="s">
        <v>1504</v>
      </c>
      <c r="G90" s="1">
        <v>46081</v>
      </c>
    </row>
    <row r="91" spans="1:7" x14ac:dyDescent="0.25">
      <c r="A91" t="s">
        <v>89</v>
      </c>
      <c r="B91" t="s">
        <v>1457</v>
      </c>
      <c r="C91" s="1">
        <v>46083</v>
      </c>
      <c r="D91">
        <v>354</v>
      </c>
      <c r="E91">
        <v>65.53</v>
      </c>
      <c r="F91" t="s">
        <v>1444</v>
      </c>
      <c r="G91" s="1">
        <v>46092</v>
      </c>
    </row>
    <row r="92" spans="1:7" x14ac:dyDescent="0.25">
      <c r="A92" t="s">
        <v>90</v>
      </c>
      <c r="B92" t="s">
        <v>1473</v>
      </c>
      <c r="C92" s="1">
        <v>46034</v>
      </c>
      <c r="D92">
        <v>135</v>
      </c>
      <c r="E92">
        <v>196.87</v>
      </c>
      <c r="F92" t="s">
        <v>1494</v>
      </c>
      <c r="G92" s="1">
        <v>46041</v>
      </c>
    </row>
    <row r="93" spans="1:7" x14ac:dyDescent="0.25">
      <c r="A93" t="s">
        <v>91</v>
      </c>
      <c r="B93" t="s">
        <v>1489</v>
      </c>
      <c r="C93" s="1">
        <v>46129</v>
      </c>
      <c r="D93">
        <v>463</v>
      </c>
      <c r="E93">
        <v>127.8</v>
      </c>
      <c r="F93" t="s">
        <v>1444</v>
      </c>
      <c r="G93" s="1">
        <v>46146</v>
      </c>
    </row>
    <row r="94" spans="1:7" x14ac:dyDescent="0.25">
      <c r="A94" t="s">
        <v>92</v>
      </c>
      <c r="B94" t="s">
        <v>1498</v>
      </c>
      <c r="C94" s="1">
        <v>46125</v>
      </c>
      <c r="D94">
        <v>134</v>
      </c>
      <c r="E94">
        <v>33.78</v>
      </c>
      <c r="F94" t="s">
        <v>1499</v>
      </c>
      <c r="G94" s="1">
        <v>46130</v>
      </c>
    </row>
    <row r="95" spans="1:7" x14ac:dyDescent="0.25">
      <c r="A95" t="s">
        <v>751</v>
      </c>
      <c r="B95" t="s">
        <v>1450</v>
      </c>
      <c r="C95" s="1">
        <v>46131</v>
      </c>
      <c r="D95">
        <v>122</v>
      </c>
      <c r="E95">
        <v>39.299999999999997</v>
      </c>
      <c r="F95" t="s">
        <v>1499</v>
      </c>
      <c r="G95" s="1">
        <v>46152</v>
      </c>
    </row>
    <row r="96" spans="1:7" x14ac:dyDescent="0.25">
      <c r="A96" t="s">
        <v>93</v>
      </c>
      <c r="B96" t="s">
        <v>1489</v>
      </c>
      <c r="C96" s="1">
        <v>46035</v>
      </c>
      <c r="D96">
        <v>295</v>
      </c>
      <c r="E96">
        <v>53.59</v>
      </c>
      <c r="F96" t="s">
        <v>1459</v>
      </c>
      <c r="G96" s="1">
        <v>46054</v>
      </c>
    </row>
    <row r="97" spans="1:7" x14ac:dyDescent="0.25">
      <c r="A97" t="s">
        <v>94</v>
      </c>
      <c r="B97" t="s">
        <v>1441</v>
      </c>
      <c r="C97" s="1">
        <v>46141</v>
      </c>
      <c r="D97">
        <v>351</v>
      </c>
      <c r="E97">
        <v>108.57</v>
      </c>
      <c r="F97" t="s">
        <v>1459</v>
      </c>
      <c r="G97" s="1">
        <v>46156</v>
      </c>
    </row>
    <row r="98" spans="1:7" x14ac:dyDescent="0.25">
      <c r="A98" t="s">
        <v>755</v>
      </c>
      <c r="B98" t="s">
        <v>1478</v>
      </c>
      <c r="C98" s="1">
        <v>46152</v>
      </c>
      <c r="D98">
        <v>228</v>
      </c>
      <c r="E98">
        <v>166.96</v>
      </c>
      <c r="F98" t="s">
        <v>1442</v>
      </c>
      <c r="G98" s="1">
        <v>46171</v>
      </c>
    </row>
    <row r="99" spans="1:7" x14ac:dyDescent="0.25">
      <c r="A99" t="s">
        <v>95</v>
      </c>
      <c r="B99" t="s">
        <v>1460</v>
      </c>
      <c r="C99" s="1">
        <v>46144</v>
      </c>
      <c r="D99">
        <v>240</v>
      </c>
      <c r="E99">
        <v>55.54</v>
      </c>
      <c r="F99" t="s">
        <v>1440</v>
      </c>
      <c r="G99" s="1">
        <v>46157</v>
      </c>
    </row>
    <row r="100" spans="1:7" x14ac:dyDescent="0.25">
      <c r="A100" t="s">
        <v>96</v>
      </c>
      <c r="B100" t="s">
        <v>1491</v>
      </c>
      <c r="C100" s="1">
        <v>46147</v>
      </c>
      <c r="D100">
        <v>330</v>
      </c>
      <c r="E100">
        <v>51.65</v>
      </c>
      <c r="F100" t="s">
        <v>1469</v>
      </c>
      <c r="G100" s="1">
        <v>46154</v>
      </c>
    </row>
    <row r="101" spans="1:7" x14ac:dyDescent="0.25">
      <c r="A101" t="s">
        <v>97</v>
      </c>
      <c r="B101" t="s">
        <v>1455</v>
      </c>
      <c r="C101" s="1">
        <v>46096</v>
      </c>
      <c r="D101">
        <v>130</v>
      </c>
      <c r="E101">
        <v>57.98</v>
      </c>
      <c r="F101" t="s">
        <v>1472</v>
      </c>
      <c r="G101" s="1">
        <v>46103</v>
      </c>
    </row>
    <row r="102" spans="1:7" x14ac:dyDescent="0.25">
      <c r="A102" t="s">
        <v>760</v>
      </c>
      <c r="B102" t="s">
        <v>1441</v>
      </c>
      <c r="C102" s="1">
        <v>46061</v>
      </c>
      <c r="D102">
        <v>128</v>
      </c>
      <c r="E102">
        <v>79.69</v>
      </c>
      <c r="F102" t="s">
        <v>1485</v>
      </c>
      <c r="G102" s="1">
        <v>46072</v>
      </c>
    </row>
    <row r="103" spans="1:7" x14ac:dyDescent="0.25">
      <c r="A103" t="s">
        <v>98</v>
      </c>
      <c r="B103" t="s">
        <v>1492</v>
      </c>
      <c r="C103" s="1">
        <v>46129</v>
      </c>
      <c r="D103">
        <v>218</v>
      </c>
      <c r="E103">
        <v>69.52</v>
      </c>
      <c r="F103" t="s">
        <v>1469</v>
      </c>
      <c r="G103" s="1">
        <v>46147</v>
      </c>
    </row>
    <row r="104" spans="1:7" x14ac:dyDescent="0.25">
      <c r="A104" t="s">
        <v>99</v>
      </c>
      <c r="B104" t="s">
        <v>1475</v>
      </c>
      <c r="C104" s="1">
        <v>46075</v>
      </c>
      <c r="D104">
        <v>436</v>
      </c>
      <c r="E104">
        <v>86.93</v>
      </c>
      <c r="F104" t="s">
        <v>1456</v>
      </c>
      <c r="G104" s="1">
        <v>46080</v>
      </c>
    </row>
    <row r="105" spans="1:7" x14ac:dyDescent="0.25">
      <c r="A105" t="s">
        <v>100</v>
      </c>
      <c r="B105" t="s">
        <v>1493</v>
      </c>
      <c r="C105" s="1">
        <v>46120</v>
      </c>
      <c r="D105">
        <v>254</v>
      </c>
      <c r="E105">
        <v>6.15</v>
      </c>
      <c r="F105" t="s">
        <v>1451</v>
      </c>
      <c r="G105" s="1">
        <v>46134</v>
      </c>
    </row>
    <row r="106" spans="1:7" x14ac:dyDescent="0.25">
      <c r="A106" t="s">
        <v>101</v>
      </c>
      <c r="B106" t="s">
        <v>1502</v>
      </c>
      <c r="C106" s="1">
        <v>46130</v>
      </c>
      <c r="D106">
        <v>285</v>
      </c>
      <c r="E106">
        <v>150.77000000000001</v>
      </c>
      <c r="F106" t="s">
        <v>1459</v>
      </c>
      <c r="G106" s="1">
        <v>46142</v>
      </c>
    </row>
    <row r="107" spans="1:7" x14ac:dyDescent="0.25">
      <c r="A107" t="s">
        <v>102</v>
      </c>
      <c r="B107" t="s">
        <v>1498</v>
      </c>
      <c r="C107" s="1">
        <v>46079</v>
      </c>
      <c r="D107">
        <v>149</v>
      </c>
      <c r="E107">
        <v>89.99</v>
      </c>
      <c r="F107" t="s">
        <v>1448</v>
      </c>
      <c r="G107" s="1">
        <v>46096</v>
      </c>
    </row>
    <row r="108" spans="1:7" x14ac:dyDescent="0.25">
      <c r="A108" t="s">
        <v>103</v>
      </c>
      <c r="B108" t="s">
        <v>1479</v>
      </c>
      <c r="C108" s="1">
        <v>46126</v>
      </c>
      <c r="D108">
        <v>380</v>
      </c>
      <c r="E108">
        <v>37.18</v>
      </c>
      <c r="F108" t="s">
        <v>1469</v>
      </c>
      <c r="G108" s="1">
        <v>46135</v>
      </c>
    </row>
    <row r="109" spans="1:7" x14ac:dyDescent="0.25">
      <c r="A109" t="s">
        <v>104</v>
      </c>
      <c r="B109" t="s">
        <v>1497</v>
      </c>
      <c r="C109" s="1">
        <v>46159</v>
      </c>
      <c r="D109">
        <v>23</v>
      </c>
      <c r="E109">
        <v>181.85</v>
      </c>
      <c r="F109" t="s">
        <v>1480</v>
      </c>
      <c r="G109" s="1">
        <v>46164</v>
      </c>
    </row>
    <row r="110" spans="1:7" x14ac:dyDescent="0.25">
      <c r="A110" t="s">
        <v>105</v>
      </c>
      <c r="B110" t="s">
        <v>1457</v>
      </c>
      <c r="C110" s="1">
        <v>46132</v>
      </c>
      <c r="D110">
        <v>79</v>
      </c>
      <c r="E110">
        <v>174.04</v>
      </c>
      <c r="F110" t="s">
        <v>1501</v>
      </c>
      <c r="G110" s="1">
        <v>46138</v>
      </c>
    </row>
    <row r="111" spans="1:7" x14ac:dyDescent="0.25">
      <c r="A111" t="s">
        <v>770</v>
      </c>
      <c r="B111" t="s">
        <v>1470</v>
      </c>
      <c r="C111" s="1">
        <v>46120</v>
      </c>
      <c r="D111">
        <v>177</v>
      </c>
      <c r="E111">
        <v>46.27</v>
      </c>
      <c r="F111" t="s">
        <v>1472</v>
      </c>
      <c r="G111" s="1">
        <v>46135</v>
      </c>
    </row>
    <row r="112" spans="1:7" x14ac:dyDescent="0.25">
      <c r="A112" t="s">
        <v>106</v>
      </c>
      <c r="B112" t="s">
        <v>1502</v>
      </c>
      <c r="C112" s="1">
        <v>46094</v>
      </c>
      <c r="D112">
        <v>395</v>
      </c>
      <c r="E112">
        <v>190.48</v>
      </c>
      <c r="F112" t="s">
        <v>1507</v>
      </c>
      <c r="G112" s="1">
        <v>46107</v>
      </c>
    </row>
    <row r="113" spans="1:7" x14ac:dyDescent="0.25">
      <c r="A113" t="s">
        <v>107</v>
      </c>
      <c r="B113" t="s">
        <v>1457</v>
      </c>
      <c r="C113" s="1">
        <v>46143</v>
      </c>
      <c r="D113">
        <v>19</v>
      </c>
      <c r="E113">
        <v>151.06</v>
      </c>
      <c r="F113" t="s">
        <v>1462</v>
      </c>
      <c r="G113" s="1">
        <v>46159</v>
      </c>
    </row>
    <row r="114" spans="1:7" x14ac:dyDescent="0.25">
      <c r="A114" t="s">
        <v>774</v>
      </c>
      <c r="B114" t="s">
        <v>1447</v>
      </c>
      <c r="C114" s="1">
        <v>46040</v>
      </c>
      <c r="D114">
        <v>409</v>
      </c>
      <c r="E114">
        <v>191.67</v>
      </c>
      <c r="F114" t="s">
        <v>1462</v>
      </c>
      <c r="G114" s="1">
        <v>46045</v>
      </c>
    </row>
    <row r="115" spans="1:7" x14ac:dyDescent="0.25">
      <c r="A115" t="s">
        <v>108</v>
      </c>
      <c r="B115" t="s">
        <v>1482</v>
      </c>
      <c r="C115" s="1">
        <v>46074</v>
      </c>
      <c r="D115">
        <v>439</v>
      </c>
      <c r="E115">
        <v>8.9700000000000006</v>
      </c>
      <c r="F115" t="s">
        <v>1485</v>
      </c>
      <c r="G115" s="1">
        <v>46086</v>
      </c>
    </row>
    <row r="116" spans="1:7" x14ac:dyDescent="0.25">
      <c r="A116" t="s">
        <v>109</v>
      </c>
      <c r="B116" t="s">
        <v>1441</v>
      </c>
      <c r="C116" s="1">
        <v>46144</v>
      </c>
      <c r="D116">
        <v>352</v>
      </c>
      <c r="E116">
        <v>27.31</v>
      </c>
      <c r="F116" t="s">
        <v>1444</v>
      </c>
      <c r="G116" s="1">
        <v>46163</v>
      </c>
    </row>
    <row r="117" spans="1:7" x14ac:dyDescent="0.25">
      <c r="A117" t="s">
        <v>110</v>
      </c>
      <c r="B117" t="s">
        <v>1449</v>
      </c>
      <c r="C117" s="1">
        <v>46088</v>
      </c>
      <c r="D117">
        <v>402</v>
      </c>
      <c r="E117">
        <v>76.930000000000007</v>
      </c>
      <c r="F117" t="s">
        <v>1494</v>
      </c>
      <c r="G117" s="1">
        <v>46096</v>
      </c>
    </row>
    <row r="118" spans="1:7" x14ac:dyDescent="0.25">
      <c r="A118" t="s">
        <v>111</v>
      </c>
      <c r="B118" t="s">
        <v>1460</v>
      </c>
      <c r="C118" s="1">
        <v>46102</v>
      </c>
      <c r="D118">
        <v>65</v>
      </c>
      <c r="E118">
        <v>117.84</v>
      </c>
      <c r="F118" t="s">
        <v>1474</v>
      </c>
      <c r="G118" s="1">
        <v>46119</v>
      </c>
    </row>
    <row r="119" spans="1:7" x14ac:dyDescent="0.25">
      <c r="A119" t="s">
        <v>112</v>
      </c>
      <c r="B119" t="s">
        <v>1488</v>
      </c>
      <c r="C119" s="1">
        <v>46073</v>
      </c>
      <c r="D119">
        <v>48</v>
      </c>
      <c r="E119">
        <v>120.46</v>
      </c>
      <c r="F119" t="s">
        <v>1446</v>
      </c>
      <c r="G119" s="1">
        <v>46085</v>
      </c>
    </row>
    <row r="120" spans="1:7" x14ac:dyDescent="0.25">
      <c r="A120" t="s">
        <v>113</v>
      </c>
      <c r="B120" t="s">
        <v>1450</v>
      </c>
      <c r="C120" s="1">
        <v>46100</v>
      </c>
      <c r="D120">
        <v>445</v>
      </c>
      <c r="E120">
        <v>138.43</v>
      </c>
      <c r="F120" t="s">
        <v>1459</v>
      </c>
      <c r="G120" s="1">
        <v>46106</v>
      </c>
    </row>
    <row r="121" spans="1:7" x14ac:dyDescent="0.25">
      <c r="A121" t="s">
        <v>114</v>
      </c>
      <c r="B121" t="s">
        <v>1503</v>
      </c>
      <c r="C121" s="1">
        <v>46159</v>
      </c>
      <c r="D121">
        <v>229</v>
      </c>
      <c r="E121">
        <v>134</v>
      </c>
      <c r="F121" t="s">
        <v>1476</v>
      </c>
      <c r="G121" s="1">
        <v>46180</v>
      </c>
    </row>
    <row r="122" spans="1:7" x14ac:dyDescent="0.25">
      <c r="A122" t="s">
        <v>115</v>
      </c>
      <c r="B122" t="s">
        <v>1508</v>
      </c>
      <c r="C122" s="1">
        <v>46110</v>
      </c>
      <c r="D122">
        <v>16</v>
      </c>
      <c r="E122">
        <v>170.67</v>
      </c>
      <c r="F122" t="s">
        <v>1487</v>
      </c>
      <c r="G122" s="1">
        <v>46118</v>
      </c>
    </row>
    <row r="123" spans="1:7" x14ac:dyDescent="0.25">
      <c r="A123" t="s">
        <v>116</v>
      </c>
      <c r="B123" t="s">
        <v>1500</v>
      </c>
      <c r="C123" s="1">
        <v>46115</v>
      </c>
      <c r="D123">
        <v>335</v>
      </c>
      <c r="E123">
        <v>178.86</v>
      </c>
      <c r="F123" t="s">
        <v>1469</v>
      </c>
      <c r="G123" s="1">
        <v>46124</v>
      </c>
    </row>
    <row r="124" spans="1:7" x14ac:dyDescent="0.25">
      <c r="A124" t="s">
        <v>117</v>
      </c>
      <c r="B124" t="s">
        <v>1500</v>
      </c>
      <c r="C124" s="1">
        <v>46068</v>
      </c>
      <c r="D124">
        <v>385</v>
      </c>
      <c r="E124">
        <v>106.74</v>
      </c>
      <c r="F124" t="s">
        <v>1459</v>
      </c>
      <c r="G124" s="1">
        <v>46081</v>
      </c>
    </row>
    <row r="125" spans="1:7" x14ac:dyDescent="0.25">
      <c r="A125" t="s">
        <v>118</v>
      </c>
      <c r="B125" t="s">
        <v>1497</v>
      </c>
      <c r="C125" s="1">
        <v>46160</v>
      </c>
      <c r="D125">
        <v>406</v>
      </c>
      <c r="E125">
        <v>99.28</v>
      </c>
      <c r="F125" t="s">
        <v>1507</v>
      </c>
      <c r="G125" s="1">
        <v>46173</v>
      </c>
    </row>
    <row r="126" spans="1:7" x14ac:dyDescent="0.25">
      <c r="A126" t="s">
        <v>789</v>
      </c>
      <c r="B126" t="s">
        <v>1509</v>
      </c>
      <c r="C126" s="1">
        <v>46085</v>
      </c>
      <c r="D126">
        <v>435</v>
      </c>
      <c r="E126">
        <v>187.25</v>
      </c>
      <c r="F126" t="s">
        <v>1458</v>
      </c>
      <c r="G126" s="1">
        <v>46104</v>
      </c>
    </row>
    <row r="127" spans="1:7" x14ac:dyDescent="0.25">
      <c r="A127" t="s">
        <v>119</v>
      </c>
      <c r="B127" t="s">
        <v>1482</v>
      </c>
      <c r="C127" s="1">
        <v>46141</v>
      </c>
      <c r="D127">
        <v>301</v>
      </c>
      <c r="E127">
        <v>124.01</v>
      </c>
      <c r="F127" t="s">
        <v>1453</v>
      </c>
      <c r="G127" s="1">
        <v>46156</v>
      </c>
    </row>
    <row r="128" spans="1:7" x14ac:dyDescent="0.25">
      <c r="A128" t="s">
        <v>120</v>
      </c>
      <c r="B128" t="s">
        <v>1473</v>
      </c>
      <c r="C128" s="1">
        <v>46149</v>
      </c>
      <c r="D128">
        <v>445</v>
      </c>
      <c r="E128">
        <v>68.38</v>
      </c>
      <c r="F128" t="s">
        <v>1487</v>
      </c>
      <c r="G128" s="1">
        <v>46160</v>
      </c>
    </row>
    <row r="129" spans="1:7" x14ac:dyDescent="0.25">
      <c r="A129" t="s">
        <v>121</v>
      </c>
      <c r="B129" t="s">
        <v>1503</v>
      </c>
      <c r="C129" s="1">
        <v>46089</v>
      </c>
      <c r="D129">
        <v>184</v>
      </c>
      <c r="E129">
        <v>59.53</v>
      </c>
      <c r="F129" t="s">
        <v>1494</v>
      </c>
      <c r="G129" s="1">
        <v>46102</v>
      </c>
    </row>
    <row r="130" spans="1:7" x14ac:dyDescent="0.25">
      <c r="A130" t="s">
        <v>794</v>
      </c>
      <c r="B130" t="s">
        <v>1454</v>
      </c>
      <c r="C130" s="1">
        <v>46025</v>
      </c>
      <c r="D130">
        <v>274</v>
      </c>
      <c r="E130">
        <v>189.87</v>
      </c>
      <c r="F130" t="s">
        <v>1476</v>
      </c>
      <c r="G130" s="1">
        <v>46037</v>
      </c>
    </row>
    <row r="131" spans="1:7" x14ac:dyDescent="0.25">
      <c r="A131" t="s">
        <v>122</v>
      </c>
      <c r="B131" t="s">
        <v>1477</v>
      </c>
      <c r="C131" s="1">
        <v>46127</v>
      </c>
      <c r="D131">
        <v>260</v>
      </c>
      <c r="E131">
        <v>113.26</v>
      </c>
      <c r="F131" t="s">
        <v>1440</v>
      </c>
      <c r="G131" s="1">
        <v>46147</v>
      </c>
    </row>
    <row r="132" spans="1:7" x14ac:dyDescent="0.25">
      <c r="A132" t="s">
        <v>123</v>
      </c>
      <c r="B132" t="s">
        <v>1508</v>
      </c>
      <c r="C132" s="1">
        <v>46148</v>
      </c>
      <c r="D132">
        <v>239</v>
      </c>
      <c r="E132">
        <v>159.62</v>
      </c>
      <c r="F132" t="s">
        <v>1476</v>
      </c>
      <c r="G132" s="1">
        <v>46162</v>
      </c>
    </row>
    <row r="133" spans="1:7" x14ac:dyDescent="0.25">
      <c r="A133" t="s">
        <v>124</v>
      </c>
      <c r="B133" t="s">
        <v>1447</v>
      </c>
      <c r="C133" s="1">
        <v>46126</v>
      </c>
      <c r="D133">
        <v>364</v>
      </c>
      <c r="E133">
        <v>52.44</v>
      </c>
      <c r="F133" t="s">
        <v>1467</v>
      </c>
      <c r="G133" s="1">
        <v>46142</v>
      </c>
    </row>
    <row r="134" spans="1:7" x14ac:dyDescent="0.25">
      <c r="A134" t="s">
        <v>125</v>
      </c>
      <c r="B134" t="s">
        <v>1510</v>
      </c>
      <c r="C134" s="1">
        <v>46164</v>
      </c>
      <c r="D134">
        <v>281</v>
      </c>
      <c r="E134">
        <v>72.03</v>
      </c>
      <c r="F134" t="s">
        <v>1459</v>
      </c>
      <c r="G134" s="1">
        <v>46179</v>
      </c>
    </row>
    <row r="135" spans="1:7" x14ac:dyDescent="0.25">
      <c r="A135" t="s">
        <v>800</v>
      </c>
      <c r="B135" t="s">
        <v>1503</v>
      </c>
      <c r="C135" s="1">
        <v>46139</v>
      </c>
      <c r="D135">
        <v>148</v>
      </c>
      <c r="E135">
        <v>64.790000000000006</v>
      </c>
      <c r="F135" t="s">
        <v>1440</v>
      </c>
      <c r="G135" s="1">
        <v>46147</v>
      </c>
    </row>
    <row r="136" spans="1:7" x14ac:dyDescent="0.25">
      <c r="A136" t="s">
        <v>126</v>
      </c>
      <c r="B136" t="s">
        <v>1477</v>
      </c>
      <c r="C136" s="1">
        <v>46072</v>
      </c>
      <c r="D136">
        <v>171</v>
      </c>
      <c r="E136">
        <v>28.31</v>
      </c>
      <c r="F136" t="s">
        <v>1442</v>
      </c>
      <c r="G136" s="1">
        <v>46082</v>
      </c>
    </row>
    <row r="137" spans="1:7" x14ac:dyDescent="0.25">
      <c r="A137" t="s">
        <v>127</v>
      </c>
      <c r="B137" t="s">
        <v>1505</v>
      </c>
      <c r="C137" s="1">
        <v>46078</v>
      </c>
      <c r="D137">
        <v>388</v>
      </c>
      <c r="E137">
        <v>99.42</v>
      </c>
      <c r="F137" t="s">
        <v>1459</v>
      </c>
      <c r="G137" s="1">
        <v>46099</v>
      </c>
    </row>
    <row r="138" spans="1:7" x14ac:dyDescent="0.25">
      <c r="A138" t="s">
        <v>128</v>
      </c>
      <c r="B138" t="s">
        <v>1468</v>
      </c>
      <c r="C138" s="1">
        <v>46095</v>
      </c>
      <c r="D138">
        <v>61</v>
      </c>
      <c r="E138">
        <v>167.36</v>
      </c>
      <c r="F138" t="s">
        <v>1474</v>
      </c>
      <c r="G138" s="1">
        <v>46107</v>
      </c>
    </row>
    <row r="139" spans="1:7" x14ac:dyDescent="0.25">
      <c r="A139" t="s">
        <v>129</v>
      </c>
      <c r="B139" t="s">
        <v>1496</v>
      </c>
      <c r="C139" s="1">
        <v>46068</v>
      </c>
      <c r="D139">
        <v>164</v>
      </c>
      <c r="E139">
        <v>7.76</v>
      </c>
      <c r="F139" t="s">
        <v>1442</v>
      </c>
      <c r="G139" s="1">
        <v>46077</v>
      </c>
    </row>
    <row r="140" spans="1:7" x14ac:dyDescent="0.25">
      <c r="A140" t="s">
        <v>130</v>
      </c>
      <c r="B140" t="s">
        <v>1511</v>
      </c>
      <c r="C140" s="1">
        <v>46034</v>
      </c>
      <c r="D140">
        <v>37</v>
      </c>
      <c r="E140">
        <v>112.9</v>
      </c>
      <c r="F140" t="s">
        <v>1499</v>
      </c>
      <c r="G140" s="1">
        <v>46043</v>
      </c>
    </row>
    <row r="141" spans="1:7" x14ac:dyDescent="0.25">
      <c r="A141" t="s">
        <v>131</v>
      </c>
      <c r="B141" t="s">
        <v>1439</v>
      </c>
      <c r="C141" s="1">
        <v>46148</v>
      </c>
      <c r="D141">
        <v>62</v>
      </c>
      <c r="E141">
        <v>175.18</v>
      </c>
      <c r="F141" t="s">
        <v>1480</v>
      </c>
      <c r="G141" s="1">
        <v>46162</v>
      </c>
    </row>
    <row r="142" spans="1:7" x14ac:dyDescent="0.25">
      <c r="A142" t="s">
        <v>132</v>
      </c>
      <c r="B142" t="s">
        <v>1510</v>
      </c>
      <c r="C142" s="1">
        <v>46145</v>
      </c>
      <c r="D142">
        <v>235</v>
      </c>
      <c r="E142">
        <v>71.44</v>
      </c>
      <c r="F142" t="s">
        <v>1462</v>
      </c>
      <c r="G142" s="1">
        <v>46158</v>
      </c>
    </row>
    <row r="143" spans="1:7" x14ac:dyDescent="0.25">
      <c r="A143" t="s">
        <v>133</v>
      </c>
      <c r="B143" t="s">
        <v>1510</v>
      </c>
      <c r="C143" s="1">
        <v>46052</v>
      </c>
      <c r="D143">
        <v>430</v>
      </c>
      <c r="E143">
        <v>17.739999999999998</v>
      </c>
      <c r="F143" t="s">
        <v>1487</v>
      </c>
      <c r="G143" s="1">
        <v>46059</v>
      </c>
    </row>
    <row r="144" spans="1:7" x14ac:dyDescent="0.25">
      <c r="A144" t="s">
        <v>134</v>
      </c>
      <c r="B144" t="s">
        <v>1493</v>
      </c>
      <c r="C144" s="1">
        <v>46036</v>
      </c>
      <c r="D144">
        <v>87</v>
      </c>
      <c r="E144">
        <v>34.090000000000003</v>
      </c>
      <c r="F144" t="s">
        <v>1480</v>
      </c>
      <c r="G144" s="1">
        <v>46050</v>
      </c>
    </row>
    <row r="145" spans="1:7" x14ac:dyDescent="0.25">
      <c r="A145" t="s">
        <v>135</v>
      </c>
      <c r="B145" t="s">
        <v>1457</v>
      </c>
      <c r="C145" s="1">
        <v>46086</v>
      </c>
      <c r="D145">
        <v>70</v>
      </c>
      <c r="E145">
        <v>113.82</v>
      </c>
      <c r="F145" t="s">
        <v>1459</v>
      </c>
      <c r="G145" s="1">
        <v>46098</v>
      </c>
    </row>
    <row r="146" spans="1:7" x14ac:dyDescent="0.25">
      <c r="A146" t="s">
        <v>136</v>
      </c>
      <c r="B146" t="s">
        <v>1491</v>
      </c>
      <c r="C146" s="1">
        <v>46120</v>
      </c>
      <c r="D146">
        <v>240</v>
      </c>
      <c r="E146">
        <v>182.16</v>
      </c>
      <c r="F146" t="s">
        <v>1474</v>
      </c>
      <c r="G146" s="1">
        <v>46138</v>
      </c>
    </row>
    <row r="147" spans="1:7" x14ac:dyDescent="0.25">
      <c r="A147" t="s">
        <v>137</v>
      </c>
      <c r="B147" t="s">
        <v>1512</v>
      </c>
      <c r="C147" s="1">
        <v>46168</v>
      </c>
      <c r="D147">
        <v>327</v>
      </c>
      <c r="E147">
        <v>16.739999999999998</v>
      </c>
      <c r="F147" t="s">
        <v>1490</v>
      </c>
      <c r="G147" s="1">
        <v>46176</v>
      </c>
    </row>
    <row r="148" spans="1:7" x14ac:dyDescent="0.25">
      <c r="A148" t="s">
        <v>138</v>
      </c>
      <c r="B148" t="s">
        <v>1463</v>
      </c>
      <c r="C148" s="1">
        <v>46077</v>
      </c>
      <c r="D148">
        <v>145</v>
      </c>
      <c r="E148">
        <v>133.78</v>
      </c>
      <c r="F148" t="s">
        <v>1501</v>
      </c>
      <c r="G148" s="1">
        <v>46089</v>
      </c>
    </row>
    <row r="149" spans="1:7" x14ac:dyDescent="0.25">
      <c r="A149" t="s">
        <v>139</v>
      </c>
      <c r="B149" t="s">
        <v>1486</v>
      </c>
      <c r="C149" s="1">
        <v>46164</v>
      </c>
      <c r="D149">
        <v>48</v>
      </c>
      <c r="E149">
        <v>35.520000000000003</v>
      </c>
      <c r="F149" t="s">
        <v>1507</v>
      </c>
      <c r="G149" s="1">
        <v>46183</v>
      </c>
    </row>
    <row r="150" spans="1:7" x14ac:dyDescent="0.25">
      <c r="A150" t="s">
        <v>140</v>
      </c>
      <c r="B150" t="s">
        <v>1449</v>
      </c>
      <c r="C150" s="1">
        <v>46143</v>
      </c>
      <c r="D150">
        <v>159</v>
      </c>
      <c r="E150">
        <v>11.36</v>
      </c>
      <c r="F150" t="s">
        <v>1474</v>
      </c>
      <c r="G150" s="1">
        <v>46157</v>
      </c>
    </row>
    <row r="151" spans="1:7" x14ac:dyDescent="0.25">
      <c r="A151" t="s">
        <v>141</v>
      </c>
      <c r="B151" t="s">
        <v>1449</v>
      </c>
      <c r="C151" s="1">
        <v>46139</v>
      </c>
      <c r="D151">
        <v>46</v>
      </c>
      <c r="E151">
        <v>139.04</v>
      </c>
      <c r="F151" t="s">
        <v>1458</v>
      </c>
      <c r="G151" s="1">
        <v>46150</v>
      </c>
    </row>
    <row r="152" spans="1:7" x14ac:dyDescent="0.25">
      <c r="A152" t="s">
        <v>819</v>
      </c>
      <c r="B152" t="s">
        <v>1500</v>
      </c>
      <c r="C152" s="1">
        <v>46052</v>
      </c>
      <c r="D152">
        <v>288</v>
      </c>
      <c r="E152">
        <v>48.84</v>
      </c>
      <c r="F152" t="s">
        <v>1485</v>
      </c>
      <c r="G152" s="1">
        <v>46065</v>
      </c>
    </row>
    <row r="153" spans="1:7" x14ac:dyDescent="0.25">
      <c r="A153" t="s">
        <v>142</v>
      </c>
      <c r="B153" t="s">
        <v>1464</v>
      </c>
      <c r="C153" s="1">
        <v>46041</v>
      </c>
      <c r="D153">
        <v>40</v>
      </c>
      <c r="E153">
        <v>37.35</v>
      </c>
      <c r="F153" t="s">
        <v>1474</v>
      </c>
      <c r="G153" s="1">
        <v>46055</v>
      </c>
    </row>
    <row r="154" spans="1:7" x14ac:dyDescent="0.25">
      <c r="A154" t="s">
        <v>143</v>
      </c>
      <c r="B154" t="s">
        <v>1478</v>
      </c>
      <c r="C154" s="1">
        <v>46054</v>
      </c>
      <c r="D154">
        <v>249</v>
      </c>
      <c r="E154">
        <v>139.29</v>
      </c>
      <c r="F154" t="s">
        <v>1499</v>
      </c>
      <c r="G154" s="1">
        <v>46071</v>
      </c>
    </row>
    <row r="155" spans="1:7" x14ac:dyDescent="0.25">
      <c r="A155" t="s">
        <v>144</v>
      </c>
      <c r="B155" t="s">
        <v>1511</v>
      </c>
      <c r="C155" s="1">
        <v>46151</v>
      </c>
      <c r="D155">
        <v>286</v>
      </c>
      <c r="E155">
        <v>101.29</v>
      </c>
      <c r="F155" t="s">
        <v>1476</v>
      </c>
      <c r="G155" s="1">
        <v>46157</v>
      </c>
    </row>
    <row r="156" spans="1:7" x14ac:dyDescent="0.25">
      <c r="A156" t="s">
        <v>824</v>
      </c>
      <c r="B156" t="s">
        <v>1500</v>
      </c>
      <c r="C156" s="1">
        <v>46105</v>
      </c>
      <c r="D156">
        <v>319</v>
      </c>
      <c r="E156">
        <v>53.82</v>
      </c>
      <c r="F156" t="s">
        <v>1476</v>
      </c>
      <c r="G156" s="1">
        <v>46117</v>
      </c>
    </row>
    <row r="157" spans="1:7" x14ac:dyDescent="0.25">
      <c r="A157" t="s">
        <v>145</v>
      </c>
      <c r="B157" t="s">
        <v>1461</v>
      </c>
      <c r="C157" s="1">
        <v>46170</v>
      </c>
      <c r="D157">
        <v>310</v>
      </c>
      <c r="E157">
        <v>190.4</v>
      </c>
      <c r="F157" t="s">
        <v>1456</v>
      </c>
      <c r="G157" s="1">
        <v>46183</v>
      </c>
    </row>
    <row r="158" spans="1:7" x14ac:dyDescent="0.25">
      <c r="A158" t="s">
        <v>146</v>
      </c>
      <c r="B158" t="s">
        <v>1493</v>
      </c>
      <c r="C158" s="1">
        <v>46033</v>
      </c>
      <c r="D158">
        <v>400</v>
      </c>
      <c r="E158">
        <v>152.47</v>
      </c>
      <c r="F158" t="s">
        <v>1487</v>
      </c>
      <c r="G158" s="1">
        <v>46054</v>
      </c>
    </row>
    <row r="159" spans="1:7" x14ac:dyDescent="0.25">
      <c r="A159" t="s">
        <v>147</v>
      </c>
      <c r="B159" t="s">
        <v>1508</v>
      </c>
      <c r="C159" s="1">
        <v>46136</v>
      </c>
      <c r="D159">
        <v>479</v>
      </c>
      <c r="E159">
        <v>59.24</v>
      </c>
      <c r="F159" t="s">
        <v>1480</v>
      </c>
      <c r="G159" s="1">
        <v>46154</v>
      </c>
    </row>
    <row r="160" spans="1:7" x14ac:dyDescent="0.25">
      <c r="A160" t="s">
        <v>148</v>
      </c>
      <c r="B160" t="s">
        <v>1439</v>
      </c>
      <c r="C160" s="1">
        <v>46148</v>
      </c>
      <c r="D160">
        <v>56</v>
      </c>
      <c r="E160">
        <v>96.65</v>
      </c>
      <c r="F160" t="s">
        <v>1507</v>
      </c>
      <c r="G160" s="1">
        <v>46163</v>
      </c>
    </row>
    <row r="161" spans="1:7" x14ac:dyDescent="0.25">
      <c r="A161" t="s">
        <v>830</v>
      </c>
      <c r="B161" t="s">
        <v>1509</v>
      </c>
      <c r="C161" s="1">
        <v>46049</v>
      </c>
      <c r="D161">
        <v>449</v>
      </c>
      <c r="E161">
        <v>36.36</v>
      </c>
      <c r="F161" t="s">
        <v>1507</v>
      </c>
      <c r="G161" s="1">
        <v>46069</v>
      </c>
    </row>
    <row r="162" spans="1:7" x14ac:dyDescent="0.25">
      <c r="A162" t="s">
        <v>149</v>
      </c>
      <c r="B162" t="s">
        <v>1506</v>
      </c>
      <c r="C162" s="1">
        <v>46125</v>
      </c>
      <c r="D162">
        <v>426</v>
      </c>
      <c r="E162">
        <v>153.30000000000001</v>
      </c>
      <c r="F162" t="s">
        <v>1462</v>
      </c>
      <c r="G162" s="1">
        <v>46144</v>
      </c>
    </row>
    <row r="163" spans="1:7" x14ac:dyDescent="0.25">
      <c r="A163" t="s">
        <v>150</v>
      </c>
      <c r="B163" t="s">
        <v>1457</v>
      </c>
      <c r="C163" s="1">
        <v>46103</v>
      </c>
      <c r="D163">
        <v>139</v>
      </c>
      <c r="E163">
        <v>68.040000000000006</v>
      </c>
      <c r="F163" t="s">
        <v>1456</v>
      </c>
      <c r="G163" s="1">
        <v>46120</v>
      </c>
    </row>
    <row r="164" spans="1:7" x14ac:dyDescent="0.25">
      <c r="A164" t="s">
        <v>151</v>
      </c>
      <c r="B164" t="s">
        <v>1445</v>
      </c>
      <c r="C164" s="1">
        <v>46023</v>
      </c>
      <c r="D164">
        <v>346</v>
      </c>
      <c r="E164">
        <v>174.53</v>
      </c>
      <c r="F164" t="s">
        <v>1469</v>
      </c>
      <c r="G164" s="1">
        <v>46041</v>
      </c>
    </row>
    <row r="165" spans="1:7" x14ac:dyDescent="0.25">
      <c r="A165" t="s">
        <v>152</v>
      </c>
      <c r="B165" t="s">
        <v>1475</v>
      </c>
      <c r="C165" s="1">
        <v>46071</v>
      </c>
      <c r="D165">
        <v>275</v>
      </c>
      <c r="E165">
        <v>75.55</v>
      </c>
      <c r="F165" t="s">
        <v>1456</v>
      </c>
      <c r="G165" s="1">
        <v>46091</v>
      </c>
    </row>
    <row r="166" spans="1:7" x14ac:dyDescent="0.25">
      <c r="A166" t="s">
        <v>153</v>
      </c>
      <c r="B166" t="s">
        <v>1439</v>
      </c>
      <c r="C166" s="1">
        <v>46136</v>
      </c>
      <c r="D166">
        <v>399</v>
      </c>
      <c r="E166">
        <v>15.06</v>
      </c>
      <c r="F166" t="s">
        <v>1458</v>
      </c>
      <c r="G166" s="1">
        <v>46145</v>
      </c>
    </row>
    <row r="167" spans="1:7" x14ac:dyDescent="0.25">
      <c r="A167" t="s">
        <v>154</v>
      </c>
      <c r="B167" t="s">
        <v>1506</v>
      </c>
      <c r="C167" s="1">
        <v>46135</v>
      </c>
      <c r="D167">
        <v>460</v>
      </c>
      <c r="E167">
        <v>141.16</v>
      </c>
      <c r="F167" t="s">
        <v>1483</v>
      </c>
      <c r="G167" s="1">
        <v>46140</v>
      </c>
    </row>
    <row r="168" spans="1:7" x14ac:dyDescent="0.25">
      <c r="A168" t="s">
        <v>155</v>
      </c>
      <c r="B168" t="s">
        <v>1439</v>
      </c>
      <c r="C168" s="1">
        <v>46084</v>
      </c>
      <c r="D168">
        <v>373</v>
      </c>
      <c r="E168">
        <v>35.880000000000003</v>
      </c>
      <c r="F168" t="s">
        <v>1442</v>
      </c>
      <c r="G168" s="1">
        <v>46089</v>
      </c>
    </row>
    <row r="169" spans="1:7" x14ac:dyDescent="0.25">
      <c r="A169" t="s">
        <v>156</v>
      </c>
      <c r="B169" t="s">
        <v>1454</v>
      </c>
      <c r="C169" s="1">
        <v>46127</v>
      </c>
      <c r="D169">
        <v>57</v>
      </c>
      <c r="E169">
        <v>48.82</v>
      </c>
      <c r="F169" t="s">
        <v>1483</v>
      </c>
      <c r="G169" s="1">
        <v>46146</v>
      </c>
    </row>
    <row r="170" spans="1:7" x14ac:dyDescent="0.25">
      <c r="A170" t="s">
        <v>157</v>
      </c>
      <c r="B170" t="s">
        <v>1466</v>
      </c>
      <c r="C170" s="1">
        <v>46062</v>
      </c>
      <c r="D170">
        <v>265</v>
      </c>
      <c r="E170">
        <v>186.87</v>
      </c>
      <c r="F170" t="s">
        <v>1459</v>
      </c>
      <c r="G170" s="1">
        <v>46083</v>
      </c>
    </row>
    <row r="171" spans="1:7" x14ac:dyDescent="0.25">
      <c r="A171" t="s">
        <v>158</v>
      </c>
      <c r="B171" t="s">
        <v>1455</v>
      </c>
      <c r="C171" s="1">
        <v>46092</v>
      </c>
      <c r="D171">
        <v>222</v>
      </c>
      <c r="E171">
        <v>167.77</v>
      </c>
      <c r="F171" t="s">
        <v>1487</v>
      </c>
      <c r="G171" s="1">
        <v>46104</v>
      </c>
    </row>
    <row r="172" spans="1:7" x14ac:dyDescent="0.25">
      <c r="A172" t="s">
        <v>159</v>
      </c>
      <c r="B172" t="s">
        <v>1489</v>
      </c>
      <c r="C172" s="1">
        <v>46164</v>
      </c>
      <c r="D172">
        <v>84</v>
      </c>
      <c r="E172">
        <v>79.8</v>
      </c>
      <c r="F172" t="s">
        <v>1494</v>
      </c>
      <c r="G172" s="1">
        <v>46185</v>
      </c>
    </row>
    <row r="173" spans="1:7" x14ac:dyDescent="0.25">
      <c r="A173" t="s">
        <v>160</v>
      </c>
      <c r="B173" t="s">
        <v>1465</v>
      </c>
      <c r="C173" s="1">
        <v>46057</v>
      </c>
      <c r="D173">
        <v>452</v>
      </c>
      <c r="E173">
        <v>18.61</v>
      </c>
      <c r="F173" t="s">
        <v>1456</v>
      </c>
      <c r="G173" s="1">
        <v>46075</v>
      </c>
    </row>
    <row r="174" spans="1:7" x14ac:dyDescent="0.25">
      <c r="A174" t="s">
        <v>161</v>
      </c>
      <c r="B174" t="s">
        <v>1479</v>
      </c>
      <c r="C174" s="1">
        <v>46152</v>
      </c>
      <c r="D174">
        <v>146</v>
      </c>
      <c r="E174">
        <v>165.01</v>
      </c>
      <c r="F174" t="s">
        <v>1474</v>
      </c>
      <c r="G174" s="1">
        <v>46166</v>
      </c>
    </row>
    <row r="175" spans="1:7" x14ac:dyDescent="0.25">
      <c r="A175" t="s">
        <v>162</v>
      </c>
      <c r="B175" t="s">
        <v>1443</v>
      </c>
      <c r="C175" s="1">
        <v>46171</v>
      </c>
      <c r="D175">
        <v>347</v>
      </c>
      <c r="E175">
        <v>100.48</v>
      </c>
      <c r="F175" t="s">
        <v>1485</v>
      </c>
      <c r="G175" s="1">
        <v>46190</v>
      </c>
    </row>
    <row r="176" spans="1:7" x14ac:dyDescent="0.25">
      <c r="A176" t="s">
        <v>847</v>
      </c>
      <c r="B176" t="s">
        <v>1471</v>
      </c>
      <c r="C176" s="1">
        <v>46146</v>
      </c>
      <c r="D176">
        <v>186</v>
      </c>
      <c r="E176">
        <v>69.83</v>
      </c>
      <c r="F176" t="s">
        <v>1456</v>
      </c>
      <c r="G176" s="1">
        <v>46163</v>
      </c>
    </row>
    <row r="177" spans="1:7" x14ac:dyDescent="0.25">
      <c r="A177" t="s">
        <v>849</v>
      </c>
      <c r="B177" t="s">
        <v>1489</v>
      </c>
      <c r="C177" s="1">
        <v>46105</v>
      </c>
      <c r="D177">
        <v>455</v>
      </c>
      <c r="E177">
        <v>41.79</v>
      </c>
      <c r="F177" t="s">
        <v>1499</v>
      </c>
      <c r="G177" s="1">
        <v>46117</v>
      </c>
    </row>
    <row r="178" spans="1:7" x14ac:dyDescent="0.25">
      <c r="A178" t="s">
        <v>163</v>
      </c>
      <c r="B178" t="s">
        <v>1493</v>
      </c>
      <c r="C178" s="1">
        <v>46121</v>
      </c>
      <c r="D178">
        <v>129</v>
      </c>
      <c r="E178">
        <v>171.92</v>
      </c>
      <c r="F178" t="s">
        <v>1507</v>
      </c>
      <c r="G178" s="1">
        <v>46127</v>
      </c>
    </row>
    <row r="179" spans="1:7" x14ac:dyDescent="0.25">
      <c r="A179" t="s">
        <v>164</v>
      </c>
      <c r="B179" t="s">
        <v>1509</v>
      </c>
      <c r="C179" s="1">
        <v>46144</v>
      </c>
      <c r="D179">
        <v>371</v>
      </c>
      <c r="E179">
        <v>183.12</v>
      </c>
      <c r="F179" t="s">
        <v>1453</v>
      </c>
      <c r="G179" s="1">
        <v>46161</v>
      </c>
    </row>
    <row r="180" spans="1:7" x14ac:dyDescent="0.25">
      <c r="A180" t="s">
        <v>165</v>
      </c>
      <c r="B180" t="s">
        <v>1484</v>
      </c>
      <c r="C180" s="1">
        <v>46061</v>
      </c>
      <c r="D180">
        <v>263</v>
      </c>
      <c r="E180">
        <v>193.14</v>
      </c>
      <c r="F180" t="s">
        <v>1485</v>
      </c>
      <c r="G180" s="1">
        <v>46082</v>
      </c>
    </row>
    <row r="181" spans="1:7" x14ac:dyDescent="0.25">
      <c r="A181" t="s">
        <v>166</v>
      </c>
      <c r="B181" t="s">
        <v>1443</v>
      </c>
      <c r="C181" s="1">
        <v>46107</v>
      </c>
      <c r="D181">
        <v>455</v>
      </c>
      <c r="E181">
        <v>24.57</v>
      </c>
      <c r="F181" t="s">
        <v>1469</v>
      </c>
      <c r="G181" s="1">
        <v>46115</v>
      </c>
    </row>
    <row r="182" spans="1:7" x14ac:dyDescent="0.25">
      <c r="A182" t="s">
        <v>167</v>
      </c>
      <c r="B182" t="s">
        <v>1491</v>
      </c>
      <c r="C182" s="1">
        <v>46139</v>
      </c>
      <c r="D182">
        <v>17</v>
      </c>
      <c r="E182">
        <v>145.88</v>
      </c>
      <c r="F182" t="s">
        <v>1507</v>
      </c>
      <c r="G182" s="1">
        <v>46148</v>
      </c>
    </row>
    <row r="183" spans="1:7" x14ac:dyDescent="0.25">
      <c r="A183" t="s">
        <v>168</v>
      </c>
      <c r="B183" t="s">
        <v>1492</v>
      </c>
      <c r="C183" s="1">
        <v>46143</v>
      </c>
      <c r="D183">
        <v>410</v>
      </c>
      <c r="E183">
        <v>193.99</v>
      </c>
      <c r="F183" t="s">
        <v>1472</v>
      </c>
      <c r="G183" s="1">
        <v>46160</v>
      </c>
    </row>
    <row r="184" spans="1:7" x14ac:dyDescent="0.25">
      <c r="A184" t="s">
        <v>169</v>
      </c>
      <c r="B184" t="s">
        <v>1508</v>
      </c>
      <c r="C184" s="1">
        <v>46043</v>
      </c>
      <c r="D184">
        <v>446</v>
      </c>
      <c r="E184">
        <v>69.069999999999993</v>
      </c>
      <c r="F184" t="s">
        <v>1467</v>
      </c>
      <c r="G184" s="1">
        <v>46060</v>
      </c>
    </row>
    <row r="185" spans="1:7" x14ac:dyDescent="0.25">
      <c r="A185" t="s">
        <v>170</v>
      </c>
      <c r="B185" t="s">
        <v>1509</v>
      </c>
      <c r="C185" s="1">
        <v>46147</v>
      </c>
      <c r="D185">
        <v>456</v>
      </c>
      <c r="E185">
        <v>110.5</v>
      </c>
      <c r="F185" t="s">
        <v>1494</v>
      </c>
      <c r="G185" s="1">
        <v>46154</v>
      </c>
    </row>
    <row r="186" spans="1:7" x14ac:dyDescent="0.25">
      <c r="A186" t="s">
        <v>171</v>
      </c>
      <c r="B186" t="s">
        <v>1482</v>
      </c>
      <c r="C186" s="1">
        <v>46096</v>
      </c>
      <c r="D186">
        <v>126</v>
      </c>
      <c r="E186">
        <v>150.62</v>
      </c>
      <c r="F186" t="s">
        <v>1507</v>
      </c>
      <c r="G186" s="1">
        <v>46104</v>
      </c>
    </row>
    <row r="187" spans="1:7" x14ac:dyDescent="0.25">
      <c r="A187" t="s">
        <v>172</v>
      </c>
      <c r="B187" t="s">
        <v>1439</v>
      </c>
      <c r="C187" s="1">
        <v>46048</v>
      </c>
      <c r="D187">
        <v>237</v>
      </c>
      <c r="E187">
        <v>37.44</v>
      </c>
      <c r="F187" t="s">
        <v>1474</v>
      </c>
      <c r="G187" s="1">
        <v>46053</v>
      </c>
    </row>
    <row r="188" spans="1:7" x14ac:dyDescent="0.25">
      <c r="A188" t="s">
        <v>173</v>
      </c>
      <c r="B188" t="s">
        <v>1452</v>
      </c>
      <c r="C188" s="1">
        <v>46106</v>
      </c>
      <c r="D188">
        <v>417</v>
      </c>
      <c r="E188">
        <v>15.94</v>
      </c>
      <c r="F188" t="s">
        <v>1451</v>
      </c>
      <c r="G188" s="1">
        <v>46122</v>
      </c>
    </row>
    <row r="189" spans="1:7" x14ac:dyDescent="0.25">
      <c r="A189" t="s">
        <v>174</v>
      </c>
      <c r="B189" t="s">
        <v>1500</v>
      </c>
      <c r="C189" s="1">
        <v>46060</v>
      </c>
      <c r="D189">
        <v>135</v>
      </c>
      <c r="E189">
        <v>108.58</v>
      </c>
      <c r="F189" t="s">
        <v>1480</v>
      </c>
      <c r="G189" s="1">
        <v>46070</v>
      </c>
    </row>
    <row r="190" spans="1:7" x14ac:dyDescent="0.25">
      <c r="A190" t="s">
        <v>175</v>
      </c>
      <c r="B190" t="s">
        <v>1460</v>
      </c>
      <c r="C190" s="1">
        <v>46067</v>
      </c>
      <c r="D190">
        <v>50</v>
      </c>
      <c r="E190">
        <v>123.85</v>
      </c>
      <c r="F190" t="s">
        <v>1453</v>
      </c>
      <c r="G190" s="1">
        <v>46079</v>
      </c>
    </row>
    <row r="191" spans="1:7" x14ac:dyDescent="0.25">
      <c r="A191" t="s">
        <v>865</v>
      </c>
      <c r="B191" t="s">
        <v>1498</v>
      </c>
      <c r="C191" s="1">
        <v>46172</v>
      </c>
      <c r="D191">
        <v>83</v>
      </c>
      <c r="E191">
        <v>50.28</v>
      </c>
      <c r="F191" t="s">
        <v>1446</v>
      </c>
      <c r="G191" s="1">
        <v>46185</v>
      </c>
    </row>
    <row r="192" spans="1:7" x14ac:dyDescent="0.25">
      <c r="A192" t="s">
        <v>176</v>
      </c>
      <c r="B192" t="s">
        <v>1489</v>
      </c>
      <c r="C192" s="1">
        <v>46088</v>
      </c>
      <c r="D192">
        <v>351</v>
      </c>
      <c r="E192">
        <v>6.83</v>
      </c>
      <c r="F192" t="s">
        <v>1469</v>
      </c>
      <c r="G192" s="1">
        <v>46102</v>
      </c>
    </row>
    <row r="193" spans="1:7" x14ac:dyDescent="0.25">
      <c r="A193" t="s">
        <v>177</v>
      </c>
      <c r="B193" t="s">
        <v>1461</v>
      </c>
      <c r="C193" s="1">
        <v>46162</v>
      </c>
      <c r="D193">
        <v>90</v>
      </c>
      <c r="E193">
        <v>19.399999999999999</v>
      </c>
      <c r="F193" t="s">
        <v>1451</v>
      </c>
      <c r="G193" s="1">
        <v>46176</v>
      </c>
    </row>
    <row r="194" spans="1:7" x14ac:dyDescent="0.25">
      <c r="A194" t="s">
        <v>178</v>
      </c>
      <c r="B194" t="s">
        <v>1439</v>
      </c>
      <c r="C194" s="1">
        <v>46131</v>
      </c>
      <c r="D194">
        <v>363</v>
      </c>
      <c r="E194">
        <v>53.77</v>
      </c>
      <c r="F194" t="s">
        <v>1459</v>
      </c>
      <c r="G194" s="1">
        <v>46142</v>
      </c>
    </row>
    <row r="195" spans="1:7" x14ac:dyDescent="0.25">
      <c r="A195" t="s">
        <v>179</v>
      </c>
      <c r="B195" t="s">
        <v>1502</v>
      </c>
      <c r="C195" s="1">
        <v>46146</v>
      </c>
      <c r="D195">
        <v>64</v>
      </c>
      <c r="E195">
        <v>51.26</v>
      </c>
      <c r="F195" t="s">
        <v>1480</v>
      </c>
      <c r="G195" s="1">
        <v>46162</v>
      </c>
    </row>
    <row r="196" spans="1:7" x14ac:dyDescent="0.25">
      <c r="A196" t="s">
        <v>180</v>
      </c>
      <c r="B196" t="s">
        <v>1493</v>
      </c>
      <c r="C196" s="1">
        <v>46098</v>
      </c>
      <c r="D196">
        <v>368</v>
      </c>
      <c r="E196">
        <v>62.57</v>
      </c>
      <c r="F196" t="s">
        <v>1467</v>
      </c>
      <c r="G196" s="1">
        <v>46115</v>
      </c>
    </row>
    <row r="197" spans="1:7" x14ac:dyDescent="0.25">
      <c r="A197" t="s">
        <v>181</v>
      </c>
      <c r="B197" t="s">
        <v>1511</v>
      </c>
      <c r="C197" s="1">
        <v>46025</v>
      </c>
      <c r="D197">
        <v>299</v>
      </c>
      <c r="E197">
        <v>173.69</v>
      </c>
      <c r="F197" t="s">
        <v>1456</v>
      </c>
      <c r="G197" s="1">
        <v>46031</v>
      </c>
    </row>
    <row r="198" spans="1:7" x14ac:dyDescent="0.25">
      <c r="A198" t="s">
        <v>182</v>
      </c>
      <c r="B198" t="s">
        <v>1468</v>
      </c>
      <c r="C198" s="1">
        <v>46150</v>
      </c>
      <c r="D198">
        <v>436</v>
      </c>
      <c r="E198">
        <v>181.31</v>
      </c>
      <c r="F198" t="s">
        <v>1474</v>
      </c>
      <c r="G198" s="1">
        <v>46162</v>
      </c>
    </row>
    <row r="199" spans="1:7" x14ac:dyDescent="0.25">
      <c r="A199" t="s">
        <v>183</v>
      </c>
      <c r="B199" t="s">
        <v>1468</v>
      </c>
      <c r="C199" s="1">
        <v>46113</v>
      </c>
      <c r="D199">
        <v>122</v>
      </c>
      <c r="E199">
        <v>129.13999999999999</v>
      </c>
      <c r="F199" t="s">
        <v>1494</v>
      </c>
      <c r="G199" s="1">
        <v>46126</v>
      </c>
    </row>
    <row r="200" spans="1:7" x14ac:dyDescent="0.25">
      <c r="A200" t="s">
        <v>875</v>
      </c>
      <c r="B200" t="s">
        <v>1461</v>
      </c>
      <c r="C200" s="1">
        <v>46058</v>
      </c>
      <c r="D200">
        <v>331</v>
      </c>
      <c r="E200">
        <v>23.95</v>
      </c>
      <c r="F200" t="s">
        <v>1446</v>
      </c>
      <c r="G200" s="1">
        <v>46064</v>
      </c>
    </row>
    <row r="201" spans="1:7" x14ac:dyDescent="0.25">
      <c r="A201" t="s">
        <v>184</v>
      </c>
      <c r="B201" t="s">
        <v>1512</v>
      </c>
      <c r="C201" s="1">
        <v>46135</v>
      </c>
      <c r="D201">
        <v>27</v>
      </c>
      <c r="E201">
        <v>118.02</v>
      </c>
      <c r="F201" t="s">
        <v>1490</v>
      </c>
      <c r="G201" s="1">
        <v>46144</v>
      </c>
    </row>
    <row r="202" spans="1:7" x14ac:dyDescent="0.25">
      <c r="A202" t="s">
        <v>185</v>
      </c>
      <c r="B202" t="s">
        <v>1457</v>
      </c>
      <c r="C202" s="1">
        <v>46098</v>
      </c>
      <c r="D202">
        <v>177</v>
      </c>
      <c r="E202">
        <v>150.76</v>
      </c>
      <c r="F202" t="s">
        <v>1501</v>
      </c>
      <c r="G202" s="1">
        <v>46109</v>
      </c>
    </row>
    <row r="203" spans="1:7" x14ac:dyDescent="0.25">
      <c r="A203" t="s">
        <v>186</v>
      </c>
      <c r="B203" t="s">
        <v>1441</v>
      </c>
      <c r="C203" s="1">
        <v>46161</v>
      </c>
      <c r="D203">
        <v>458</v>
      </c>
      <c r="E203">
        <v>194.44</v>
      </c>
      <c r="F203" t="s">
        <v>1504</v>
      </c>
      <c r="G203" s="1">
        <v>46182</v>
      </c>
    </row>
    <row r="204" spans="1:7" x14ac:dyDescent="0.25">
      <c r="A204" t="s">
        <v>187</v>
      </c>
      <c r="B204" t="s">
        <v>1511</v>
      </c>
      <c r="C204" s="1">
        <v>46065</v>
      </c>
      <c r="D204">
        <v>141</v>
      </c>
      <c r="E204">
        <v>183.24</v>
      </c>
      <c r="F204" t="s">
        <v>1487</v>
      </c>
      <c r="G204" s="1">
        <v>46079</v>
      </c>
    </row>
    <row r="205" spans="1:7" x14ac:dyDescent="0.25">
      <c r="A205" t="s">
        <v>188</v>
      </c>
      <c r="B205" t="s">
        <v>1465</v>
      </c>
      <c r="C205" s="1">
        <v>46109</v>
      </c>
      <c r="D205">
        <v>421</v>
      </c>
      <c r="E205">
        <v>27.46</v>
      </c>
      <c r="F205" t="s">
        <v>1476</v>
      </c>
      <c r="G205" s="1">
        <v>46118</v>
      </c>
    </row>
    <row r="206" spans="1:7" x14ac:dyDescent="0.25">
      <c r="A206" t="s">
        <v>189</v>
      </c>
      <c r="B206" t="s">
        <v>1447</v>
      </c>
      <c r="C206" s="1">
        <v>46124</v>
      </c>
      <c r="D206">
        <v>443</v>
      </c>
      <c r="E206">
        <v>161.88999999999999</v>
      </c>
      <c r="F206" t="s">
        <v>1451</v>
      </c>
      <c r="G206" s="1">
        <v>46131</v>
      </c>
    </row>
    <row r="207" spans="1:7" x14ac:dyDescent="0.25">
      <c r="A207" t="s">
        <v>190</v>
      </c>
      <c r="B207" t="s">
        <v>1488</v>
      </c>
      <c r="C207" s="1">
        <v>46026</v>
      </c>
      <c r="D207">
        <v>145</v>
      </c>
      <c r="E207">
        <v>109.63</v>
      </c>
      <c r="F207" t="s">
        <v>1469</v>
      </c>
      <c r="G207" s="1">
        <v>46042</v>
      </c>
    </row>
    <row r="208" spans="1:7" x14ac:dyDescent="0.25">
      <c r="A208" t="s">
        <v>191</v>
      </c>
      <c r="B208" t="s">
        <v>1461</v>
      </c>
      <c r="C208" s="1">
        <v>46090</v>
      </c>
      <c r="D208">
        <v>309</v>
      </c>
      <c r="E208">
        <v>79.3</v>
      </c>
      <c r="F208" t="s">
        <v>1446</v>
      </c>
      <c r="G208" s="1">
        <v>46106</v>
      </c>
    </row>
    <row r="209" spans="1:7" x14ac:dyDescent="0.25">
      <c r="A209" t="s">
        <v>192</v>
      </c>
      <c r="B209" t="s">
        <v>1450</v>
      </c>
      <c r="C209" s="1">
        <v>46082</v>
      </c>
      <c r="D209">
        <v>251</v>
      </c>
      <c r="E209">
        <v>9.8800000000000008</v>
      </c>
      <c r="F209" t="s">
        <v>1442</v>
      </c>
      <c r="G209" s="1">
        <v>46097</v>
      </c>
    </row>
    <row r="210" spans="1:7" x14ac:dyDescent="0.25">
      <c r="A210" t="s">
        <v>193</v>
      </c>
      <c r="B210" t="s">
        <v>1497</v>
      </c>
      <c r="C210" s="1">
        <v>46079</v>
      </c>
      <c r="D210">
        <v>341</v>
      </c>
      <c r="E210">
        <v>17.329999999999998</v>
      </c>
      <c r="F210" t="s">
        <v>1469</v>
      </c>
      <c r="G210" s="1">
        <v>46093</v>
      </c>
    </row>
    <row r="211" spans="1:7" x14ac:dyDescent="0.25">
      <c r="A211" t="s">
        <v>194</v>
      </c>
      <c r="B211" t="s">
        <v>1508</v>
      </c>
      <c r="C211" s="1">
        <v>46127</v>
      </c>
      <c r="D211">
        <v>69</v>
      </c>
      <c r="E211">
        <v>32.26</v>
      </c>
      <c r="F211" t="s">
        <v>1462</v>
      </c>
      <c r="G211" s="1">
        <v>46141</v>
      </c>
    </row>
    <row r="212" spans="1:7" x14ac:dyDescent="0.25">
      <c r="A212" t="s">
        <v>195</v>
      </c>
      <c r="B212" t="s">
        <v>1498</v>
      </c>
      <c r="C212" s="1">
        <v>46052</v>
      </c>
      <c r="D212">
        <v>59</v>
      </c>
      <c r="E212">
        <v>50.79</v>
      </c>
      <c r="F212" t="s">
        <v>1442</v>
      </c>
      <c r="G212" s="1">
        <v>46061</v>
      </c>
    </row>
    <row r="213" spans="1:7" x14ac:dyDescent="0.25">
      <c r="A213" t="s">
        <v>196</v>
      </c>
      <c r="B213" t="s">
        <v>1502</v>
      </c>
      <c r="C213" s="1">
        <v>46139</v>
      </c>
      <c r="D213">
        <v>199</v>
      </c>
      <c r="E213">
        <v>135.74</v>
      </c>
      <c r="F213" t="s">
        <v>1490</v>
      </c>
      <c r="G213" s="1">
        <v>46157</v>
      </c>
    </row>
    <row r="214" spans="1:7" x14ac:dyDescent="0.25">
      <c r="A214" t="s">
        <v>197</v>
      </c>
      <c r="B214" t="s">
        <v>1443</v>
      </c>
      <c r="C214" s="1">
        <v>46062</v>
      </c>
      <c r="D214">
        <v>463</v>
      </c>
      <c r="E214">
        <v>85.9</v>
      </c>
      <c r="F214" t="s">
        <v>1483</v>
      </c>
      <c r="G214" s="1">
        <v>46082</v>
      </c>
    </row>
    <row r="215" spans="1:7" x14ac:dyDescent="0.25">
      <c r="A215" t="s">
        <v>198</v>
      </c>
      <c r="B215" t="s">
        <v>1497</v>
      </c>
      <c r="C215" s="1">
        <v>46127</v>
      </c>
      <c r="D215">
        <v>490</v>
      </c>
      <c r="E215">
        <v>190.55</v>
      </c>
      <c r="F215" t="s">
        <v>1462</v>
      </c>
      <c r="G215" s="1">
        <v>46143</v>
      </c>
    </row>
    <row r="216" spans="1:7" x14ac:dyDescent="0.25">
      <c r="A216" t="s">
        <v>892</v>
      </c>
      <c r="B216" t="s">
        <v>1463</v>
      </c>
      <c r="C216" s="1">
        <v>46136</v>
      </c>
      <c r="D216">
        <v>237</v>
      </c>
      <c r="E216">
        <v>190.36</v>
      </c>
      <c r="F216" t="s">
        <v>1451</v>
      </c>
      <c r="G216" s="1">
        <v>46144</v>
      </c>
    </row>
    <row r="217" spans="1:7" x14ac:dyDescent="0.25">
      <c r="A217" t="s">
        <v>199</v>
      </c>
      <c r="B217" t="s">
        <v>1461</v>
      </c>
      <c r="C217" s="1">
        <v>46117</v>
      </c>
      <c r="D217">
        <v>288</v>
      </c>
      <c r="E217">
        <v>180.83</v>
      </c>
      <c r="F217" t="s">
        <v>1446</v>
      </c>
      <c r="G217" s="1">
        <v>46133</v>
      </c>
    </row>
    <row r="218" spans="1:7" x14ac:dyDescent="0.25">
      <c r="A218" t="s">
        <v>200</v>
      </c>
      <c r="B218" t="s">
        <v>1475</v>
      </c>
      <c r="C218" s="1">
        <v>46124</v>
      </c>
      <c r="D218">
        <v>151</v>
      </c>
      <c r="E218">
        <v>42.01</v>
      </c>
      <c r="F218" t="s">
        <v>1483</v>
      </c>
      <c r="G218" s="1">
        <v>46143</v>
      </c>
    </row>
    <row r="219" spans="1:7" x14ac:dyDescent="0.25">
      <c r="A219" t="s">
        <v>201</v>
      </c>
      <c r="B219" t="s">
        <v>1457</v>
      </c>
      <c r="C219" s="1">
        <v>46077</v>
      </c>
      <c r="D219">
        <v>338</v>
      </c>
      <c r="E219">
        <v>129.69999999999999</v>
      </c>
      <c r="F219" t="s">
        <v>1448</v>
      </c>
      <c r="G219" s="1">
        <v>46083</v>
      </c>
    </row>
    <row r="220" spans="1:7" x14ac:dyDescent="0.25">
      <c r="A220" t="s">
        <v>202</v>
      </c>
      <c r="B220" t="s">
        <v>1479</v>
      </c>
      <c r="C220" s="1">
        <v>46085</v>
      </c>
      <c r="D220">
        <v>74</v>
      </c>
      <c r="E220">
        <v>158.46</v>
      </c>
      <c r="F220" t="s">
        <v>1444</v>
      </c>
      <c r="G220" s="1">
        <v>46092</v>
      </c>
    </row>
    <row r="221" spans="1:7" x14ac:dyDescent="0.25">
      <c r="A221" t="s">
        <v>203</v>
      </c>
      <c r="B221" t="s">
        <v>1454</v>
      </c>
      <c r="C221" s="1">
        <v>46076</v>
      </c>
      <c r="D221">
        <v>310</v>
      </c>
      <c r="E221">
        <v>47.11</v>
      </c>
      <c r="F221" t="s">
        <v>1440</v>
      </c>
      <c r="G221" s="1">
        <v>46091</v>
      </c>
    </row>
    <row r="222" spans="1:7" x14ac:dyDescent="0.25">
      <c r="A222" t="s">
        <v>204</v>
      </c>
      <c r="B222" t="s">
        <v>1464</v>
      </c>
      <c r="C222" s="1">
        <v>46023</v>
      </c>
      <c r="D222">
        <v>151</v>
      </c>
      <c r="E222">
        <v>172.39</v>
      </c>
      <c r="F222" t="s">
        <v>1485</v>
      </c>
      <c r="G222" s="1">
        <v>46032</v>
      </c>
    </row>
    <row r="223" spans="1:7" x14ac:dyDescent="0.25">
      <c r="A223" t="s">
        <v>900</v>
      </c>
      <c r="B223" t="s">
        <v>1471</v>
      </c>
      <c r="C223" s="1">
        <v>46087</v>
      </c>
      <c r="D223">
        <v>418</v>
      </c>
      <c r="E223">
        <v>39.03</v>
      </c>
      <c r="F223" t="s">
        <v>1467</v>
      </c>
      <c r="G223" s="1">
        <v>46092</v>
      </c>
    </row>
    <row r="224" spans="1:7" x14ac:dyDescent="0.25">
      <c r="A224" t="s">
        <v>205</v>
      </c>
      <c r="B224" t="s">
        <v>1441</v>
      </c>
      <c r="C224" s="1">
        <v>46026</v>
      </c>
      <c r="D224">
        <v>193</v>
      </c>
      <c r="E224">
        <v>159.05000000000001</v>
      </c>
      <c r="F224" t="s">
        <v>1440</v>
      </c>
      <c r="G224" s="1">
        <v>46041</v>
      </c>
    </row>
    <row r="225" spans="1:7" x14ac:dyDescent="0.25">
      <c r="A225" t="s">
        <v>206</v>
      </c>
      <c r="B225" t="s">
        <v>1473</v>
      </c>
      <c r="C225" s="1">
        <v>46067</v>
      </c>
      <c r="D225">
        <v>145</v>
      </c>
      <c r="E225">
        <v>15.22</v>
      </c>
      <c r="F225" t="s">
        <v>1490</v>
      </c>
      <c r="G225" s="1">
        <v>46085</v>
      </c>
    </row>
    <row r="226" spans="1:7" x14ac:dyDescent="0.25">
      <c r="A226" t="s">
        <v>207</v>
      </c>
      <c r="B226" t="s">
        <v>1491</v>
      </c>
      <c r="C226" s="1">
        <v>46052</v>
      </c>
      <c r="D226">
        <v>391</v>
      </c>
      <c r="E226">
        <v>17.39</v>
      </c>
      <c r="F226" t="s">
        <v>1469</v>
      </c>
      <c r="G226" s="1">
        <v>46068</v>
      </c>
    </row>
    <row r="227" spans="1:7" x14ac:dyDescent="0.25">
      <c r="A227" t="s">
        <v>208</v>
      </c>
      <c r="B227" t="s">
        <v>1445</v>
      </c>
      <c r="C227" s="1">
        <v>46050</v>
      </c>
      <c r="D227">
        <v>241</v>
      </c>
      <c r="E227">
        <v>103.25</v>
      </c>
      <c r="F227" t="s">
        <v>1494</v>
      </c>
      <c r="G227" s="1">
        <v>46056</v>
      </c>
    </row>
    <row r="228" spans="1:7" x14ac:dyDescent="0.25">
      <c r="A228" t="s">
        <v>209</v>
      </c>
      <c r="B228" t="s">
        <v>1477</v>
      </c>
      <c r="C228" s="1">
        <v>46156</v>
      </c>
      <c r="D228">
        <v>164</v>
      </c>
      <c r="E228">
        <v>94.32</v>
      </c>
      <c r="F228" t="s">
        <v>1448</v>
      </c>
      <c r="G228" s="1">
        <v>46162</v>
      </c>
    </row>
    <row r="229" spans="1:7" x14ac:dyDescent="0.25">
      <c r="A229" t="s">
        <v>210</v>
      </c>
      <c r="B229" t="s">
        <v>1510</v>
      </c>
      <c r="C229" s="1">
        <v>46125</v>
      </c>
      <c r="D229">
        <v>228</v>
      </c>
      <c r="E229">
        <v>138.79</v>
      </c>
      <c r="F229" t="s">
        <v>1487</v>
      </c>
      <c r="G229" s="1">
        <v>46144</v>
      </c>
    </row>
    <row r="230" spans="1:7" x14ac:dyDescent="0.25">
      <c r="A230" t="s">
        <v>211</v>
      </c>
      <c r="B230" t="s">
        <v>1492</v>
      </c>
      <c r="C230" s="1">
        <v>46043</v>
      </c>
      <c r="D230">
        <v>174</v>
      </c>
      <c r="E230">
        <v>123.62</v>
      </c>
      <c r="F230" t="s">
        <v>1476</v>
      </c>
      <c r="G230" s="1">
        <v>46052</v>
      </c>
    </row>
    <row r="231" spans="1:7" x14ac:dyDescent="0.25">
      <c r="A231" t="s">
        <v>212</v>
      </c>
      <c r="B231" t="s">
        <v>1511</v>
      </c>
      <c r="C231" s="1">
        <v>46172</v>
      </c>
      <c r="D231">
        <v>290</v>
      </c>
      <c r="E231">
        <v>143.87</v>
      </c>
      <c r="F231" t="s">
        <v>1453</v>
      </c>
      <c r="G231" s="1">
        <v>46193</v>
      </c>
    </row>
    <row r="232" spans="1:7" x14ac:dyDescent="0.25">
      <c r="A232" t="s">
        <v>213</v>
      </c>
      <c r="B232" t="s">
        <v>1506</v>
      </c>
      <c r="C232" s="1">
        <v>46139</v>
      </c>
      <c r="D232">
        <v>268</v>
      </c>
      <c r="E232">
        <v>123.06</v>
      </c>
      <c r="F232" t="s">
        <v>1483</v>
      </c>
      <c r="G232" s="1">
        <v>46147</v>
      </c>
    </row>
    <row r="233" spans="1:7" x14ac:dyDescent="0.25">
      <c r="A233" t="s">
        <v>214</v>
      </c>
      <c r="B233" t="s">
        <v>1508</v>
      </c>
      <c r="C233" s="1">
        <v>46164</v>
      </c>
      <c r="D233">
        <v>379</v>
      </c>
      <c r="E233">
        <v>173.77</v>
      </c>
      <c r="F233" t="s">
        <v>1507</v>
      </c>
      <c r="G233" s="1">
        <v>46183</v>
      </c>
    </row>
    <row r="234" spans="1:7" x14ac:dyDescent="0.25">
      <c r="A234" t="s">
        <v>215</v>
      </c>
      <c r="B234" t="s">
        <v>1447</v>
      </c>
      <c r="C234" s="1">
        <v>46128</v>
      </c>
      <c r="D234">
        <v>183</v>
      </c>
      <c r="E234">
        <v>166.35</v>
      </c>
      <c r="F234" t="s">
        <v>1453</v>
      </c>
      <c r="G234" s="1">
        <v>46146</v>
      </c>
    </row>
    <row r="235" spans="1:7" x14ac:dyDescent="0.25">
      <c r="A235" t="s">
        <v>216</v>
      </c>
      <c r="B235" t="s">
        <v>1477</v>
      </c>
      <c r="C235" s="1">
        <v>46047</v>
      </c>
      <c r="D235">
        <v>170</v>
      </c>
      <c r="E235">
        <v>88.22</v>
      </c>
      <c r="F235" t="s">
        <v>1459</v>
      </c>
      <c r="G235" s="1">
        <v>46060</v>
      </c>
    </row>
    <row r="236" spans="1:7" x14ac:dyDescent="0.25">
      <c r="A236" t="s">
        <v>217</v>
      </c>
      <c r="B236" t="s">
        <v>1496</v>
      </c>
      <c r="C236" s="1">
        <v>46062</v>
      </c>
      <c r="D236">
        <v>361</v>
      </c>
      <c r="E236">
        <v>184.98</v>
      </c>
      <c r="F236" t="s">
        <v>1476</v>
      </c>
      <c r="G236" s="1">
        <v>46069</v>
      </c>
    </row>
    <row r="237" spans="1:7" x14ac:dyDescent="0.25">
      <c r="A237" t="s">
        <v>218</v>
      </c>
      <c r="B237" t="s">
        <v>1457</v>
      </c>
      <c r="C237" s="1">
        <v>46046</v>
      </c>
      <c r="D237">
        <v>231</v>
      </c>
      <c r="E237">
        <v>23.83</v>
      </c>
      <c r="F237" t="s">
        <v>1490</v>
      </c>
      <c r="G237" s="1">
        <v>46062</v>
      </c>
    </row>
    <row r="238" spans="1:7" x14ac:dyDescent="0.25">
      <c r="A238" t="s">
        <v>219</v>
      </c>
      <c r="B238" t="s">
        <v>1441</v>
      </c>
      <c r="C238" s="1">
        <v>46165</v>
      </c>
      <c r="D238">
        <v>40</v>
      </c>
      <c r="E238">
        <v>119.36</v>
      </c>
      <c r="F238" t="s">
        <v>1442</v>
      </c>
      <c r="G238" s="1">
        <v>46180</v>
      </c>
    </row>
    <row r="239" spans="1:7" x14ac:dyDescent="0.25">
      <c r="A239" t="s">
        <v>220</v>
      </c>
      <c r="B239" t="s">
        <v>1484</v>
      </c>
      <c r="C239" s="1">
        <v>46054</v>
      </c>
      <c r="D239">
        <v>220</v>
      </c>
      <c r="E239">
        <v>73.95</v>
      </c>
      <c r="F239" t="s">
        <v>1467</v>
      </c>
      <c r="G239" s="1">
        <v>46072</v>
      </c>
    </row>
    <row r="240" spans="1:7" x14ac:dyDescent="0.25">
      <c r="A240" t="s">
        <v>221</v>
      </c>
      <c r="B240" t="s">
        <v>1477</v>
      </c>
      <c r="C240" s="1">
        <v>46036</v>
      </c>
      <c r="D240">
        <v>157</v>
      </c>
      <c r="E240">
        <v>122.08</v>
      </c>
      <c r="F240" t="s">
        <v>1451</v>
      </c>
      <c r="G240" s="1">
        <v>46044</v>
      </c>
    </row>
    <row r="241" spans="1:7" x14ac:dyDescent="0.25">
      <c r="A241" t="s">
        <v>222</v>
      </c>
      <c r="B241" t="s">
        <v>1493</v>
      </c>
      <c r="C241" s="1">
        <v>46152</v>
      </c>
      <c r="D241">
        <v>118</v>
      </c>
      <c r="E241">
        <v>35.17</v>
      </c>
      <c r="F241" t="s">
        <v>1487</v>
      </c>
      <c r="G241" s="1">
        <v>46164</v>
      </c>
    </row>
    <row r="242" spans="1:7" x14ac:dyDescent="0.25">
      <c r="A242" t="s">
        <v>223</v>
      </c>
      <c r="B242" t="s">
        <v>1450</v>
      </c>
      <c r="C242" s="1">
        <v>46112</v>
      </c>
      <c r="D242">
        <v>442</v>
      </c>
      <c r="E242">
        <v>113.47</v>
      </c>
      <c r="F242" t="s">
        <v>1483</v>
      </c>
      <c r="G242" s="1">
        <v>46125</v>
      </c>
    </row>
    <row r="243" spans="1:7" x14ac:dyDescent="0.25">
      <c r="A243" t="s">
        <v>224</v>
      </c>
      <c r="B243" t="s">
        <v>1493</v>
      </c>
      <c r="C243" s="1">
        <v>46080</v>
      </c>
      <c r="D243">
        <v>423</v>
      </c>
      <c r="E243">
        <v>88.68</v>
      </c>
      <c r="F243" t="s">
        <v>1442</v>
      </c>
      <c r="G243" s="1">
        <v>46085</v>
      </c>
    </row>
    <row r="244" spans="1:7" x14ac:dyDescent="0.25">
      <c r="A244" t="s">
        <v>225</v>
      </c>
      <c r="B244" t="s">
        <v>1468</v>
      </c>
      <c r="C244" s="1">
        <v>46091</v>
      </c>
      <c r="D244">
        <v>24</v>
      </c>
      <c r="E244">
        <v>40.18</v>
      </c>
      <c r="F244" t="s">
        <v>1499</v>
      </c>
      <c r="G244" s="1">
        <v>46105</v>
      </c>
    </row>
    <row r="245" spans="1:7" x14ac:dyDescent="0.25">
      <c r="A245" t="s">
        <v>926</v>
      </c>
      <c r="B245" t="s">
        <v>1479</v>
      </c>
      <c r="C245" s="1">
        <v>46112</v>
      </c>
      <c r="D245">
        <v>13</v>
      </c>
      <c r="E245">
        <v>40.369999999999997</v>
      </c>
      <c r="F245" t="s">
        <v>1485</v>
      </c>
      <c r="G245" s="1">
        <v>46129</v>
      </c>
    </row>
    <row r="246" spans="1:7" x14ac:dyDescent="0.25">
      <c r="A246" t="s">
        <v>226</v>
      </c>
      <c r="B246" t="s">
        <v>1492</v>
      </c>
      <c r="C246" s="1">
        <v>46059</v>
      </c>
      <c r="D246">
        <v>389</v>
      </c>
      <c r="E246">
        <v>128.47</v>
      </c>
      <c r="F246" t="s">
        <v>1448</v>
      </c>
      <c r="G246" s="1">
        <v>46066</v>
      </c>
    </row>
    <row r="247" spans="1:7" x14ac:dyDescent="0.25">
      <c r="A247" t="s">
        <v>227</v>
      </c>
      <c r="B247" t="s">
        <v>1465</v>
      </c>
      <c r="C247" s="1">
        <v>46158</v>
      </c>
      <c r="D247">
        <v>120</v>
      </c>
      <c r="E247">
        <v>78.36</v>
      </c>
      <c r="F247" t="s">
        <v>1469</v>
      </c>
      <c r="G247" s="1">
        <v>46173</v>
      </c>
    </row>
    <row r="248" spans="1:7" x14ac:dyDescent="0.25">
      <c r="A248" t="s">
        <v>228</v>
      </c>
      <c r="B248" t="s">
        <v>1460</v>
      </c>
      <c r="C248" s="1">
        <v>46117</v>
      </c>
      <c r="D248">
        <v>169</v>
      </c>
      <c r="E248">
        <v>145.71</v>
      </c>
      <c r="F248" t="s">
        <v>1456</v>
      </c>
      <c r="G248" s="1">
        <v>46124</v>
      </c>
    </row>
    <row r="249" spans="1:7" x14ac:dyDescent="0.25">
      <c r="A249" t="s">
        <v>229</v>
      </c>
      <c r="B249" t="s">
        <v>1475</v>
      </c>
      <c r="C249" s="1">
        <v>46062</v>
      </c>
      <c r="D249">
        <v>90</v>
      </c>
      <c r="E249">
        <v>152.11000000000001</v>
      </c>
      <c r="F249" t="s">
        <v>1462</v>
      </c>
      <c r="G249" s="1">
        <v>46069</v>
      </c>
    </row>
    <row r="250" spans="1:7" x14ac:dyDescent="0.25">
      <c r="A250" t="s">
        <v>230</v>
      </c>
      <c r="B250" t="s">
        <v>1511</v>
      </c>
      <c r="C250" s="1">
        <v>46136</v>
      </c>
      <c r="D250">
        <v>348</v>
      </c>
      <c r="E250">
        <v>87.68</v>
      </c>
      <c r="F250" t="s">
        <v>1494</v>
      </c>
      <c r="G250" s="1">
        <v>46155</v>
      </c>
    </row>
    <row r="251" spans="1:7" x14ac:dyDescent="0.25">
      <c r="A251" t="s">
        <v>231</v>
      </c>
      <c r="B251" t="s">
        <v>1495</v>
      </c>
      <c r="C251" s="1">
        <v>46092</v>
      </c>
      <c r="D251">
        <v>120</v>
      </c>
      <c r="E251">
        <v>152.21</v>
      </c>
      <c r="F251" t="s">
        <v>1483</v>
      </c>
      <c r="G251" s="1">
        <v>46108</v>
      </c>
    </row>
    <row r="252" spans="1:7" x14ac:dyDescent="0.25">
      <c r="A252" t="s">
        <v>232</v>
      </c>
      <c r="B252" t="s">
        <v>1500</v>
      </c>
      <c r="C252" s="1">
        <v>46051</v>
      </c>
      <c r="D252">
        <v>155</v>
      </c>
      <c r="E252">
        <v>137.25</v>
      </c>
      <c r="F252" t="s">
        <v>1480</v>
      </c>
      <c r="G252" s="1">
        <v>46071</v>
      </c>
    </row>
    <row r="253" spans="1:7" x14ac:dyDescent="0.25">
      <c r="A253" t="s">
        <v>233</v>
      </c>
      <c r="B253" t="s">
        <v>1491</v>
      </c>
      <c r="C253" s="1">
        <v>46101</v>
      </c>
      <c r="D253">
        <v>33</v>
      </c>
      <c r="E253">
        <v>48</v>
      </c>
      <c r="F253" t="s">
        <v>1494</v>
      </c>
      <c r="G253" s="1">
        <v>46107</v>
      </c>
    </row>
    <row r="254" spans="1:7" x14ac:dyDescent="0.25">
      <c r="A254" t="s">
        <v>234</v>
      </c>
      <c r="B254" t="s">
        <v>1481</v>
      </c>
      <c r="C254" s="1">
        <v>46075</v>
      </c>
      <c r="D254">
        <v>164</v>
      </c>
      <c r="E254">
        <v>189.34</v>
      </c>
      <c r="F254" t="s">
        <v>1456</v>
      </c>
      <c r="G254" s="1">
        <v>46084</v>
      </c>
    </row>
    <row r="255" spans="1:7" x14ac:dyDescent="0.25">
      <c r="A255" t="s">
        <v>235</v>
      </c>
      <c r="B255" t="s">
        <v>1470</v>
      </c>
      <c r="C255" s="1">
        <v>46097</v>
      </c>
      <c r="D255">
        <v>177</v>
      </c>
      <c r="E255">
        <v>28.4</v>
      </c>
      <c r="F255" t="s">
        <v>1459</v>
      </c>
      <c r="G255" s="1">
        <v>46115</v>
      </c>
    </row>
    <row r="256" spans="1:7" x14ac:dyDescent="0.25">
      <c r="A256" t="s">
        <v>236</v>
      </c>
      <c r="B256" t="s">
        <v>1486</v>
      </c>
      <c r="C256" s="1">
        <v>46056</v>
      </c>
      <c r="D256">
        <v>204</v>
      </c>
      <c r="E256">
        <v>108.85</v>
      </c>
      <c r="F256" t="s">
        <v>1440</v>
      </c>
      <c r="G256" s="1">
        <v>46077</v>
      </c>
    </row>
    <row r="257" spans="1:7" x14ac:dyDescent="0.25">
      <c r="A257" t="s">
        <v>237</v>
      </c>
      <c r="B257" t="s">
        <v>1454</v>
      </c>
      <c r="C257" s="1">
        <v>46113</v>
      </c>
      <c r="D257">
        <v>46</v>
      </c>
      <c r="E257">
        <v>82.43</v>
      </c>
      <c r="F257" t="s">
        <v>1490</v>
      </c>
      <c r="G257" s="1">
        <v>46119</v>
      </c>
    </row>
    <row r="258" spans="1:7" x14ac:dyDescent="0.25">
      <c r="A258" t="s">
        <v>238</v>
      </c>
      <c r="B258" t="s">
        <v>1500</v>
      </c>
      <c r="C258" s="1">
        <v>46027</v>
      </c>
      <c r="D258">
        <v>245</v>
      </c>
      <c r="E258">
        <v>184.63</v>
      </c>
      <c r="F258" t="s">
        <v>1472</v>
      </c>
      <c r="G258" s="1">
        <v>46045</v>
      </c>
    </row>
    <row r="259" spans="1:7" x14ac:dyDescent="0.25">
      <c r="A259" t="s">
        <v>239</v>
      </c>
      <c r="B259" t="s">
        <v>1493</v>
      </c>
      <c r="C259" s="1">
        <v>46126</v>
      </c>
      <c r="D259">
        <v>373</v>
      </c>
      <c r="E259">
        <v>129.83000000000001</v>
      </c>
      <c r="F259" t="s">
        <v>1474</v>
      </c>
      <c r="G259" s="1">
        <v>46134</v>
      </c>
    </row>
    <row r="260" spans="1:7" x14ac:dyDescent="0.25">
      <c r="A260" t="s">
        <v>240</v>
      </c>
      <c r="B260" t="s">
        <v>1488</v>
      </c>
      <c r="C260" s="1">
        <v>46028</v>
      </c>
      <c r="D260">
        <v>176</v>
      </c>
      <c r="E260">
        <v>38.520000000000003</v>
      </c>
      <c r="F260" t="s">
        <v>1494</v>
      </c>
      <c r="G260" s="1">
        <v>46047</v>
      </c>
    </row>
    <row r="261" spans="1:7" x14ac:dyDescent="0.25">
      <c r="A261" t="s">
        <v>241</v>
      </c>
      <c r="B261" t="s">
        <v>1449</v>
      </c>
      <c r="C261" s="1">
        <v>46115</v>
      </c>
      <c r="D261">
        <v>55</v>
      </c>
      <c r="E261">
        <v>90.16</v>
      </c>
      <c r="F261" t="s">
        <v>1483</v>
      </c>
      <c r="G261" s="1">
        <v>46127</v>
      </c>
    </row>
    <row r="262" spans="1:7" x14ac:dyDescent="0.25">
      <c r="A262" t="s">
        <v>242</v>
      </c>
      <c r="B262" t="s">
        <v>1500</v>
      </c>
      <c r="C262" s="1">
        <v>46173</v>
      </c>
      <c r="D262">
        <v>215</v>
      </c>
      <c r="E262">
        <v>107.17</v>
      </c>
      <c r="F262" t="s">
        <v>1453</v>
      </c>
      <c r="G262" s="1">
        <v>46187</v>
      </c>
    </row>
    <row r="263" spans="1:7" x14ac:dyDescent="0.25">
      <c r="A263" t="s">
        <v>243</v>
      </c>
      <c r="B263" t="s">
        <v>1465</v>
      </c>
      <c r="C263" s="1">
        <v>46109</v>
      </c>
      <c r="D263">
        <v>123</v>
      </c>
      <c r="E263">
        <v>69.95</v>
      </c>
      <c r="F263" t="s">
        <v>1501</v>
      </c>
      <c r="G263" s="1">
        <v>46116</v>
      </c>
    </row>
    <row r="264" spans="1:7" x14ac:dyDescent="0.25">
      <c r="A264" t="s">
        <v>244</v>
      </c>
      <c r="B264" t="s">
        <v>1445</v>
      </c>
      <c r="C264" s="1">
        <v>46052</v>
      </c>
      <c r="D264">
        <v>281</v>
      </c>
      <c r="E264">
        <v>104.44</v>
      </c>
      <c r="F264" t="s">
        <v>1456</v>
      </c>
      <c r="G264" s="1">
        <v>46068</v>
      </c>
    </row>
    <row r="265" spans="1:7" x14ac:dyDescent="0.25">
      <c r="A265" t="s">
        <v>245</v>
      </c>
      <c r="B265" t="s">
        <v>1503</v>
      </c>
      <c r="C265" s="1">
        <v>46060</v>
      </c>
      <c r="D265">
        <v>130</v>
      </c>
      <c r="E265">
        <v>25.05</v>
      </c>
      <c r="F265" t="s">
        <v>1458</v>
      </c>
      <c r="G265" s="1">
        <v>46071</v>
      </c>
    </row>
    <row r="266" spans="1:7" x14ac:dyDescent="0.25">
      <c r="A266" t="s">
        <v>246</v>
      </c>
      <c r="B266" t="s">
        <v>1486</v>
      </c>
      <c r="C266" s="1">
        <v>46062</v>
      </c>
      <c r="D266">
        <v>399</v>
      </c>
      <c r="E266">
        <v>153.03</v>
      </c>
      <c r="F266" t="s">
        <v>1476</v>
      </c>
      <c r="G266" s="1">
        <v>46072</v>
      </c>
    </row>
    <row r="267" spans="1:7" x14ac:dyDescent="0.25">
      <c r="A267" t="s">
        <v>950</v>
      </c>
      <c r="B267" t="s">
        <v>1439</v>
      </c>
      <c r="C267" s="1">
        <v>46149</v>
      </c>
      <c r="D267">
        <v>247</v>
      </c>
      <c r="E267">
        <v>152.12</v>
      </c>
      <c r="F267" t="s">
        <v>1456</v>
      </c>
      <c r="G267" s="1">
        <v>46168</v>
      </c>
    </row>
    <row r="268" spans="1:7" x14ac:dyDescent="0.25">
      <c r="A268" t="s">
        <v>247</v>
      </c>
      <c r="B268" t="s">
        <v>1461</v>
      </c>
      <c r="C268" s="1">
        <v>46167</v>
      </c>
      <c r="D268">
        <v>339</v>
      </c>
      <c r="E268">
        <v>128.88</v>
      </c>
      <c r="F268" t="s">
        <v>1494</v>
      </c>
      <c r="G268" s="1">
        <v>46182</v>
      </c>
    </row>
    <row r="269" spans="1:7" x14ac:dyDescent="0.25">
      <c r="A269" t="s">
        <v>248</v>
      </c>
      <c r="B269" t="s">
        <v>1439</v>
      </c>
      <c r="C269" s="1">
        <v>46103</v>
      </c>
      <c r="D269">
        <v>87</v>
      </c>
      <c r="E269">
        <v>90.75</v>
      </c>
      <c r="F269" t="s">
        <v>1487</v>
      </c>
      <c r="G269" s="1">
        <v>46122</v>
      </c>
    </row>
    <row r="270" spans="1:7" x14ac:dyDescent="0.25">
      <c r="A270" t="s">
        <v>249</v>
      </c>
      <c r="B270" t="s">
        <v>1439</v>
      </c>
      <c r="C270" s="1">
        <v>46100</v>
      </c>
      <c r="D270">
        <v>417</v>
      </c>
      <c r="E270">
        <v>58.56</v>
      </c>
      <c r="F270" t="s">
        <v>1462</v>
      </c>
      <c r="G270" s="1">
        <v>46116</v>
      </c>
    </row>
    <row r="271" spans="1:7" x14ac:dyDescent="0.25">
      <c r="A271" t="s">
        <v>250</v>
      </c>
      <c r="B271" t="s">
        <v>1445</v>
      </c>
      <c r="C271" s="1">
        <v>46041</v>
      </c>
      <c r="D271">
        <v>168</v>
      </c>
      <c r="E271">
        <v>95.04</v>
      </c>
      <c r="F271" t="s">
        <v>1462</v>
      </c>
      <c r="G271" s="1">
        <v>46047</v>
      </c>
    </row>
    <row r="272" spans="1:7" x14ac:dyDescent="0.25">
      <c r="A272" t="s">
        <v>251</v>
      </c>
      <c r="B272" t="s">
        <v>1496</v>
      </c>
      <c r="C272" s="1">
        <v>46096</v>
      </c>
      <c r="D272">
        <v>49</v>
      </c>
      <c r="E272">
        <v>130.71</v>
      </c>
      <c r="F272" t="s">
        <v>1476</v>
      </c>
      <c r="G272" s="1">
        <v>46117</v>
      </c>
    </row>
    <row r="273" spans="1:7" x14ac:dyDescent="0.25">
      <c r="A273" t="s">
        <v>957</v>
      </c>
      <c r="B273" t="s">
        <v>1502</v>
      </c>
      <c r="C273" s="1">
        <v>46141</v>
      </c>
      <c r="D273">
        <v>307</v>
      </c>
      <c r="E273">
        <v>113.09</v>
      </c>
      <c r="F273" t="s">
        <v>1490</v>
      </c>
      <c r="G273" s="1">
        <v>46147</v>
      </c>
    </row>
    <row r="274" spans="1:7" x14ac:dyDescent="0.25">
      <c r="A274" t="s">
        <v>252</v>
      </c>
      <c r="B274" t="s">
        <v>1478</v>
      </c>
      <c r="C274" s="1">
        <v>46169</v>
      </c>
      <c r="D274">
        <v>343</v>
      </c>
      <c r="E274">
        <v>41.71</v>
      </c>
      <c r="F274" t="s">
        <v>1494</v>
      </c>
      <c r="G274" s="1">
        <v>46189</v>
      </c>
    </row>
    <row r="275" spans="1:7" x14ac:dyDescent="0.25">
      <c r="A275" t="s">
        <v>253</v>
      </c>
      <c r="B275" t="s">
        <v>1445</v>
      </c>
      <c r="C275" s="1">
        <v>46061</v>
      </c>
      <c r="D275">
        <v>500</v>
      </c>
      <c r="E275">
        <v>17.07</v>
      </c>
      <c r="F275" t="s">
        <v>1483</v>
      </c>
      <c r="G275" s="1">
        <v>46076</v>
      </c>
    </row>
    <row r="276" spans="1:7" x14ac:dyDescent="0.25">
      <c r="A276" t="s">
        <v>254</v>
      </c>
      <c r="B276" t="s">
        <v>1455</v>
      </c>
      <c r="C276" s="1">
        <v>46044</v>
      </c>
      <c r="D276">
        <v>268</v>
      </c>
      <c r="E276">
        <v>130.99</v>
      </c>
      <c r="F276" t="s">
        <v>1462</v>
      </c>
      <c r="G276" s="1">
        <v>46056</v>
      </c>
    </row>
    <row r="277" spans="1:7" x14ac:dyDescent="0.25">
      <c r="A277" t="s">
        <v>255</v>
      </c>
      <c r="B277" t="s">
        <v>1455</v>
      </c>
      <c r="C277" s="1">
        <v>46135</v>
      </c>
      <c r="D277">
        <v>234</v>
      </c>
      <c r="E277">
        <v>107.19</v>
      </c>
      <c r="F277" t="s">
        <v>1459</v>
      </c>
      <c r="G277" s="1">
        <v>46145</v>
      </c>
    </row>
    <row r="278" spans="1:7" x14ac:dyDescent="0.25">
      <c r="A278" t="s">
        <v>963</v>
      </c>
      <c r="B278" t="s">
        <v>1496</v>
      </c>
      <c r="C278" s="1">
        <v>46118</v>
      </c>
      <c r="D278">
        <v>479</v>
      </c>
      <c r="E278">
        <v>60.16</v>
      </c>
      <c r="F278" t="s">
        <v>1507</v>
      </c>
      <c r="G278" s="1">
        <v>46133</v>
      </c>
    </row>
    <row r="279" spans="1:7" x14ac:dyDescent="0.25">
      <c r="A279" t="s">
        <v>256</v>
      </c>
      <c r="B279" t="s">
        <v>1461</v>
      </c>
      <c r="C279" s="1">
        <v>46036</v>
      </c>
      <c r="D279">
        <v>414</v>
      </c>
      <c r="E279">
        <v>128.02000000000001</v>
      </c>
      <c r="F279" t="s">
        <v>1459</v>
      </c>
      <c r="G279" s="1">
        <v>46043</v>
      </c>
    </row>
    <row r="280" spans="1:7" x14ac:dyDescent="0.25">
      <c r="A280" t="s">
        <v>257</v>
      </c>
      <c r="B280" t="s">
        <v>1479</v>
      </c>
      <c r="C280" s="1">
        <v>46047</v>
      </c>
      <c r="D280">
        <v>295</v>
      </c>
      <c r="E280">
        <v>137.28</v>
      </c>
      <c r="F280" t="s">
        <v>1474</v>
      </c>
      <c r="G280" s="1">
        <v>46060</v>
      </c>
    </row>
    <row r="281" spans="1:7" x14ac:dyDescent="0.25">
      <c r="A281" t="s">
        <v>258</v>
      </c>
      <c r="B281" t="s">
        <v>1477</v>
      </c>
      <c r="C281" s="1">
        <v>46061</v>
      </c>
      <c r="D281">
        <v>180</v>
      </c>
      <c r="E281">
        <v>20.89</v>
      </c>
      <c r="F281" t="s">
        <v>1467</v>
      </c>
      <c r="G281" s="1">
        <v>46070</v>
      </c>
    </row>
    <row r="282" spans="1:7" x14ac:dyDescent="0.25">
      <c r="A282" t="s">
        <v>259</v>
      </c>
      <c r="B282" t="s">
        <v>1503</v>
      </c>
      <c r="C282" s="1">
        <v>46102</v>
      </c>
      <c r="D282">
        <v>345</v>
      </c>
      <c r="E282">
        <v>141.19999999999999</v>
      </c>
      <c r="F282" t="s">
        <v>1453</v>
      </c>
      <c r="G282" s="1">
        <v>46111</v>
      </c>
    </row>
    <row r="283" spans="1:7" x14ac:dyDescent="0.25">
      <c r="A283" t="s">
        <v>260</v>
      </c>
      <c r="B283" t="s">
        <v>1468</v>
      </c>
      <c r="C283" s="1">
        <v>46044</v>
      </c>
      <c r="D283">
        <v>168</v>
      </c>
      <c r="E283">
        <v>113.99</v>
      </c>
      <c r="F283" t="s">
        <v>1446</v>
      </c>
      <c r="G283" s="1">
        <v>46059</v>
      </c>
    </row>
    <row r="284" spans="1:7" x14ac:dyDescent="0.25">
      <c r="A284" t="s">
        <v>261</v>
      </c>
      <c r="B284" t="s">
        <v>1441</v>
      </c>
      <c r="C284" s="1">
        <v>46157</v>
      </c>
      <c r="D284">
        <v>57</v>
      </c>
      <c r="E284">
        <v>130.97</v>
      </c>
      <c r="F284" t="s">
        <v>1507</v>
      </c>
      <c r="G284" s="1">
        <v>46178</v>
      </c>
    </row>
    <row r="285" spans="1:7" x14ac:dyDescent="0.25">
      <c r="A285" t="s">
        <v>262</v>
      </c>
      <c r="B285" t="s">
        <v>1496</v>
      </c>
      <c r="C285" s="1">
        <v>46027</v>
      </c>
      <c r="D285">
        <v>195</v>
      </c>
      <c r="E285">
        <v>65.23</v>
      </c>
      <c r="F285" t="s">
        <v>1444</v>
      </c>
      <c r="G285" s="1">
        <v>46042</v>
      </c>
    </row>
    <row r="286" spans="1:7" x14ac:dyDescent="0.25">
      <c r="A286" t="s">
        <v>263</v>
      </c>
      <c r="B286" t="s">
        <v>1498</v>
      </c>
      <c r="C286" s="1">
        <v>46072</v>
      </c>
      <c r="D286">
        <v>125</v>
      </c>
      <c r="E286">
        <v>200</v>
      </c>
      <c r="F286" t="s">
        <v>1485</v>
      </c>
      <c r="G286" s="1">
        <v>46079</v>
      </c>
    </row>
    <row r="287" spans="1:7" x14ac:dyDescent="0.25">
      <c r="A287" t="s">
        <v>264</v>
      </c>
      <c r="B287" t="s">
        <v>1506</v>
      </c>
      <c r="C287" s="1">
        <v>46048</v>
      </c>
      <c r="D287">
        <v>269</v>
      </c>
      <c r="E287">
        <v>155.32</v>
      </c>
      <c r="F287" t="s">
        <v>1490</v>
      </c>
      <c r="G287" s="1">
        <v>46069</v>
      </c>
    </row>
    <row r="288" spans="1:7" x14ac:dyDescent="0.25">
      <c r="A288" t="s">
        <v>265</v>
      </c>
      <c r="B288" t="s">
        <v>1452</v>
      </c>
      <c r="C288" s="1">
        <v>46109</v>
      </c>
      <c r="D288">
        <v>458</v>
      </c>
      <c r="E288">
        <v>154.43</v>
      </c>
      <c r="F288" t="s">
        <v>1485</v>
      </c>
      <c r="G288" s="1">
        <v>46126</v>
      </c>
    </row>
    <row r="289" spans="1:7" x14ac:dyDescent="0.25">
      <c r="A289" t="s">
        <v>266</v>
      </c>
      <c r="B289" t="s">
        <v>1464</v>
      </c>
      <c r="C289" s="1">
        <v>46064</v>
      </c>
      <c r="D289">
        <v>102</v>
      </c>
      <c r="E289">
        <v>167.11</v>
      </c>
      <c r="F289" t="s">
        <v>1456</v>
      </c>
      <c r="G289" s="1">
        <v>46074</v>
      </c>
    </row>
    <row r="290" spans="1:7" x14ac:dyDescent="0.25">
      <c r="A290" t="s">
        <v>267</v>
      </c>
      <c r="B290" t="s">
        <v>1477</v>
      </c>
      <c r="C290" s="1">
        <v>46135</v>
      </c>
      <c r="D290">
        <v>32</v>
      </c>
      <c r="E290">
        <v>85.12</v>
      </c>
      <c r="F290" t="s">
        <v>1467</v>
      </c>
      <c r="G290" s="1">
        <v>46147</v>
      </c>
    </row>
    <row r="291" spans="1:7" x14ac:dyDescent="0.25">
      <c r="A291" t="s">
        <v>268</v>
      </c>
      <c r="B291" t="s">
        <v>1478</v>
      </c>
      <c r="C291" s="1">
        <v>46095</v>
      </c>
      <c r="D291">
        <v>395</v>
      </c>
      <c r="E291">
        <v>150.96</v>
      </c>
      <c r="F291" t="s">
        <v>1469</v>
      </c>
      <c r="G291" s="1">
        <v>46107</v>
      </c>
    </row>
    <row r="292" spans="1:7" x14ac:dyDescent="0.25">
      <c r="A292" t="s">
        <v>269</v>
      </c>
      <c r="B292" t="s">
        <v>1471</v>
      </c>
      <c r="C292" s="1">
        <v>46084</v>
      </c>
      <c r="D292">
        <v>168</v>
      </c>
      <c r="E292">
        <v>193.29</v>
      </c>
      <c r="F292" t="s">
        <v>1487</v>
      </c>
      <c r="G292" s="1">
        <v>46095</v>
      </c>
    </row>
    <row r="293" spans="1:7" x14ac:dyDescent="0.25">
      <c r="A293" t="s">
        <v>980</v>
      </c>
      <c r="B293" t="s">
        <v>1496</v>
      </c>
      <c r="C293" s="1">
        <v>46169</v>
      </c>
      <c r="D293">
        <v>235</v>
      </c>
      <c r="E293">
        <v>95.03</v>
      </c>
      <c r="F293" t="s">
        <v>1474</v>
      </c>
      <c r="G293" s="1">
        <v>46186</v>
      </c>
    </row>
    <row r="294" spans="1:7" x14ac:dyDescent="0.25">
      <c r="A294" t="s">
        <v>270</v>
      </c>
      <c r="B294" t="s">
        <v>1445</v>
      </c>
      <c r="C294" s="1">
        <v>46158</v>
      </c>
      <c r="D294">
        <v>224</v>
      </c>
      <c r="E294">
        <v>193.42</v>
      </c>
      <c r="F294" t="s">
        <v>1444</v>
      </c>
      <c r="G294" s="1">
        <v>46167</v>
      </c>
    </row>
    <row r="295" spans="1:7" x14ac:dyDescent="0.25">
      <c r="A295" t="s">
        <v>983</v>
      </c>
      <c r="B295" t="s">
        <v>1470</v>
      </c>
      <c r="C295" s="1">
        <v>46036</v>
      </c>
      <c r="D295">
        <v>338</v>
      </c>
      <c r="E295">
        <v>98.72</v>
      </c>
      <c r="F295" t="s">
        <v>1451</v>
      </c>
      <c r="G295" s="1">
        <v>46044</v>
      </c>
    </row>
    <row r="296" spans="1:7" x14ac:dyDescent="0.25">
      <c r="A296" t="s">
        <v>271</v>
      </c>
      <c r="B296" t="s">
        <v>1455</v>
      </c>
      <c r="C296" s="1">
        <v>46155</v>
      </c>
      <c r="D296">
        <v>445</v>
      </c>
      <c r="E296">
        <v>29.31</v>
      </c>
      <c r="F296" t="s">
        <v>1476</v>
      </c>
      <c r="G296" s="1">
        <v>46165</v>
      </c>
    </row>
    <row r="297" spans="1:7" x14ac:dyDescent="0.25">
      <c r="A297" t="s">
        <v>272</v>
      </c>
      <c r="B297" t="s">
        <v>1511</v>
      </c>
      <c r="C297" s="1">
        <v>46138</v>
      </c>
      <c r="D297">
        <v>473</v>
      </c>
      <c r="E297">
        <v>105.1</v>
      </c>
      <c r="F297" t="s">
        <v>1507</v>
      </c>
      <c r="G297" s="1">
        <v>46145</v>
      </c>
    </row>
    <row r="298" spans="1:7" x14ac:dyDescent="0.25">
      <c r="A298" t="s">
        <v>273</v>
      </c>
      <c r="B298" t="s">
        <v>1447</v>
      </c>
      <c r="C298" s="1">
        <v>46138</v>
      </c>
      <c r="D298">
        <v>462</v>
      </c>
      <c r="E298">
        <v>73.17</v>
      </c>
      <c r="F298" t="s">
        <v>1448</v>
      </c>
      <c r="G298" s="1">
        <v>46156</v>
      </c>
    </row>
    <row r="299" spans="1:7" x14ac:dyDescent="0.25">
      <c r="A299" t="s">
        <v>274</v>
      </c>
      <c r="B299" t="s">
        <v>1475</v>
      </c>
      <c r="C299" s="1">
        <v>46124</v>
      </c>
      <c r="D299">
        <v>267</v>
      </c>
      <c r="E299">
        <v>77.92</v>
      </c>
      <c r="F299" t="s">
        <v>1453</v>
      </c>
      <c r="G299" s="1">
        <v>46131</v>
      </c>
    </row>
    <row r="300" spans="1:7" x14ac:dyDescent="0.25">
      <c r="A300" t="s">
        <v>275</v>
      </c>
      <c r="B300" t="s">
        <v>1496</v>
      </c>
      <c r="C300" s="1">
        <v>46080</v>
      </c>
      <c r="D300">
        <v>24</v>
      </c>
      <c r="E300">
        <v>67.14</v>
      </c>
      <c r="F300" t="s">
        <v>1483</v>
      </c>
      <c r="G300" s="1">
        <v>46095</v>
      </c>
    </row>
    <row r="301" spans="1:7" x14ac:dyDescent="0.25">
      <c r="A301" t="s">
        <v>990</v>
      </c>
      <c r="B301" t="s">
        <v>1464</v>
      </c>
      <c r="C301" s="1">
        <v>46058</v>
      </c>
      <c r="D301">
        <v>29</v>
      </c>
      <c r="E301">
        <v>60.94</v>
      </c>
      <c r="F301" t="s">
        <v>1459</v>
      </c>
      <c r="G301" s="1">
        <v>46067</v>
      </c>
    </row>
    <row r="302" spans="1:7" x14ac:dyDescent="0.25">
      <c r="A302" t="s">
        <v>276</v>
      </c>
      <c r="B302" t="s">
        <v>1455</v>
      </c>
      <c r="C302" s="1">
        <v>46143</v>
      </c>
      <c r="D302">
        <v>239</v>
      </c>
      <c r="E302">
        <v>124.99</v>
      </c>
      <c r="F302" t="s">
        <v>1476</v>
      </c>
      <c r="G302" s="1">
        <v>46148</v>
      </c>
    </row>
    <row r="303" spans="1:7" x14ac:dyDescent="0.25">
      <c r="A303" t="s">
        <v>277</v>
      </c>
      <c r="B303" t="s">
        <v>1470</v>
      </c>
      <c r="C303" s="1">
        <v>46078</v>
      </c>
      <c r="D303">
        <v>437</v>
      </c>
      <c r="E303">
        <v>34.159999999999997</v>
      </c>
      <c r="F303" t="s">
        <v>1490</v>
      </c>
      <c r="G303" s="1">
        <v>46099</v>
      </c>
    </row>
    <row r="304" spans="1:7" x14ac:dyDescent="0.25">
      <c r="A304" t="s">
        <v>278</v>
      </c>
      <c r="B304" t="s">
        <v>1500</v>
      </c>
      <c r="C304" s="1">
        <v>46051</v>
      </c>
      <c r="D304">
        <v>407</v>
      </c>
      <c r="E304">
        <v>61.18</v>
      </c>
      <c r="F304" t="s">
        <v>1474</v>
      </c>
      <c r="G304" s="1">
        <v>46059</v>
      </c>
    </row>
    <row r="305" spans="1:7" x14ac:dyDescent="0.25">
      <c r="A305" t="s">
        <v>279</v>
      </c>
      <c r="B305" t="s">
        <v>1475</v>
      </c>
      <c r="C305" s="1">
        <v>46084</v>
      </c>
      <c r="D305">
        <v>224</v>
      </c>
      <c r="E305">
        <v>129.6</v>
      </c>
      <c r="F305" t="s">
        <v>1494</v>
      </c>
      <c r="G305" s="1">
        <v>46103</v>
      </c>
    </row>
    <row r="306" spans="1:7" x14ac:dyDescent="0.25">
      <c r="A306" t="s">
        <v>280</v>
      </c>
      <c r="B306" t="s">
        <v>1492</v>
      </c>
      <c r="C306" s="1">
        <v>46051</v>
      </c>
      <c r="D306">
        <v>438</v>
      </c>
      <c r="E306">
        <v>181.5</v>
      </c>
      <c r="F306" t="s">
        <v>1494</v>
      </c>
      <c r="G306" s="1">
        <v>46056</v>
      </c>
    </row>
    <row r="307" spans="1:7" x14ac:dyDescent="0.25">
      <c r="A307" t="s">
        <v>281</v>
      </c>
      <c r="B307" t="s">
        <v>1439</v>
      </c>
      <c r="C307" s="1">
        <v>46154</v>
      </c>
      <c r="D307">
        <v>304</v>
      </c>
      <c r="E307">
        <v>52.18</v>
      </c>
      <c r="F307" t="s">
        <v>1485</v>
      </c>
      <c r="G307" s="1">
        <v>46168</v>
      </c>
    </row>
    <row r="308" spans="1:7" x14ac:dyDescent="0.25">
      <c r="A308" t="s">
        <v>282</v>
      </c>
      <c r="B308" t="s">
        <v>1500</v>
      </c>
      <c r="C308" s="1">
        <v>46023</v>
      </c>
      <c r="D308">
        <v>324</v>
      </c>
      <c r="E308">
        <v>73.8</v>
      </c>
      <c r="F308" t="s">
        <v>1480</v>
      </c>
      <c r="G308" s="1">
        <v>46041</v>
      </c>
    </row>
    <row r="309" spans="1:7" x14ac:dyDescent="0.25">
      <c r="A309" t="s">
        <v>283</v>
      </c>
      <c r="B309" t="s">
        <v>1486</v>
      </c>
      <c r="C309" s="1">
        <v>46044</v>
      </c>
      <c r="D309">
        <v>278</v>
      </c>
      <c r="E309">
        <v>195.06</v>
      </c>
      <c r="F309" t="s">
        <v>1476</v>
      </c>
      <c r="G309" s="1">
        <v>46065</v>
      </c>
    </row>
    <row r="310" spans="1:7" x14ac:dyDescent="0.25">
      <c r="A310" t="s">
        <v>284</v>
      </c>
      <c r="B310" t="s">
        <v>1471</v>
      </c>
      <c r="C310" s="1">
        <v>46152</v>
      </c>
      <c r="D310">
        <v>412</v>
      </c>
      <c r="E310">
        <v>197.72</v>
      </c>
      <c r="F310" t="s">
        <v>1442</v>
      </c>
      <c r="G310" s="1">
        <v>46157</v>
      </c>
    </row>
    <row r="311" spans="1:7" x14ac:dyDescent="0.25">
      <c r="A311" t="s">
        <v>285</v>
      </c>
      <c r="B311" t="s">
        <v>1502</v>
      </c>
      <c r="C311" s="1">
        <v>46143</v>
      </c>
      <c r="D311">
        <v>32</v>
      </c>
      <c r="E311">
        <v>128.96</v>
      </c>
      <c r="F311" t="s">
        <v>1451</v>
      </c>
      <c r="G311" s="1">
        <v>46156</v>
      </c>
    </row>
    <row r="312" spans="1:7" x14ac:dyDescent="0.25">
      <c r="A312" t="s">
        <v>1002</v>
      </c>
      <c r="B312" t="s">
        <v>1465</v>
      </c>
      <c r="C312" s="1">
        <v>46027</v>
      </c>
      <c r="D312">
        <v>192</v>
      </c>
      <c r="E312">
        <v>158.76</v>
      </c>
      <c r="F312" t="s">
        <v>1451</v>
      </c>
      <c r="G312" s="1">
        <v>46039</v>
      </c>
    </row>
    <row r="313" spans="1:7" x14ac:dyDescent="0.25">
      <c r="A313" t="s">
        <v>286</v>
      </c>
      <c r="B313" t="s">
        <v>1477</v>
      </c>
      <c r="C313" s="1">
        <v>46049</v>
      </c>
      <c r="D313">
        <v>405</v>
      </c>
      <c r="E313">
        <v>118.47</v>
      </c>
      <c r="F313" t="s">
        <v>1456</v>
      </c>
      <c r="G313" s="1">
        <v>46064</v>
      </c>
    </row>
    <row r="314" spans="1:7" x14ac:dyDescent="0.25">
      <c r="A314" t="s">
        <v>287</v>
      </c>
      <c r="B314" t="s">
        <v>1441</v>
      </c>
      <c r="C314" s="1">
        <v>46034</v>
      </c>
      <c r="D314">
        <v>190</v>
      </c>
      <c r="E314">
        <v>111.47</v>
      </c>
      <c r="F314" t="s">
        <v>1446</v>
      </c>
      <c r="G314" s="1">
        <v>46044</v>
      </c>
    </row>
    <row r="315" spans="1:7" x14ac:dyDescent="0.25">
      <c r="A315" t="s">
        <v>288</v>
      </c>
      <c r="B315" t="s">
        <v>1461</v>
      </c>
      <c r="C315" s="1">
        <v>46141</v>
      </c>
      <c r="D315">
        <v>366</v>
      </c>
      <c r="E315">
        <v>98.31</v>
      </c>
      <c r="F315" t="s">
        <v>1501</v>
      </c>
      <c r="G315" s="1">
        <v>46150</v>
      </c>
    </row>
    <row r="316" spans="1:7" x14ac:dyDescent="0.25">
      <c r="A316" t="s">
        <v>289</v>
      </c>
      <c r="B316" t="s">
        <v>1492</v>
      </c>
      <c r="C316" s="1">
        <v>46140</v>
      </c>
      <c r="D316">
        <v>28</v>
      </c>
      <c r="E316">
        <v>62.22</v>
      </c>
      <c r="F316" t="s">
        <v>1462</v>
      </c>
      <c r="G316" s="1">
        <v>46151</v>
      </c>
    </row>
    <row r="317" spans="1:7" x14ac:dyDescent="0.25">
      <c r="A317" t="s">
        <v>290</v>
      </c>
      <c r="B317" t="s">
        <v>1452</v>
      </c>
      <c r="C317" s="1">
        <v>46103</v>
      </c>
      <c r="D317">
        <v>487</v>
      </c>
      <c r="E317">
        <v>65.459999999999994</v>
      </c>
      <c r="F317" t="s">
        <v>1453</v>
      </c>
      <c r="G317" s="1">
        <v>46123</v>
      </c>
    </row>
    <row r="318" spans="1:7" x14ac:dyDescent="0.25">
      <c r="A318" t="s">
        <v>291</v>
      </c>
      <c r="B318" t="s">
        <v>1470</v>
      </c>
      <c r="C318" s="1">
        <v>46032</v>
      </c>
      <c r="D318">
        <v>395</v>
      </c>
      <c r="E318">
        <v>131.15</v>
      </c>
      <c r="F318" t="s">
        <v>1474</v>
      </c>
      <c r="G318" s="1">
        <v>46048</v>
      </c>
    </row>
    <row r="319" spans="1:7" x14ac:dyDescent="0.25">
      <c r="A319" t="s">
        <v>292</v>
      </c>
      <c r="B319" t="s">
        <v>1475</v>
      </c>
      <c r="C319" s="1">
        <v>46107</v>
      </c>
      <c r="D319">
        <v>149</v>
      </c>
      <c r="E319">
        <v>29.27</v>
      </c>
      <c r="F319" t="s">
        <v>1451</v>
      </c>
      <c r="G319" s="1">
        <v>46125</v>
      </c>
    </row>
    <row r="320" spans="1:7" x14ac:dyDescent="0.25">
      <c r="A320" t="s">
        <v>293</v>
      </c>
      <c r="B320" t="s">
        <v>1488</v>
      </c>
      <c r="C320" s="1">
        <v>46135</v>
      </c>
      <c r="D320">
        <v>468</v>
      </c>
      <c r="E320">
        <v>191.51</v>
      </c>
      <c r="F320" t="s">
        <v>1472</v>
      </c>
      <c r="G320" s="1">
        <v>46145</v>
      </c>
    </row>
    <row r="321" spans="1:7" x14ac:dyDescent="0.25">
      <c r="A321" t="s">
        <v>1012</v>
      </c>
      <c r="B321" t="s">
        <v>1498</v>
      </c>
      <c r="C321" s="1">
        <v>46150</v>
      </c>
      <c r="D321">
        <v>198</v>
      </c>
      <c r="E321">
        <v>185.24</v>
      </c>
      <c r="F321" t="s">
        <v>1504</v>
      </c>
      <c r="G321" s="1">
        <v>46163</v>
      </c>
    </row>
    <row r="322" spans="1:7" x14ac:dyDescent="0.25">
      <c r="A322" t="s">
        <v>294</v>
      </c>
      <c r="B322" t="s">
        <v>1457</v>
      </c>
      <c r="C322" s="1">
        <v>46131</v>
      </c>
      <c r="D322">
        <v>50</v>
      </c>
      <c r="E322">
        <v>88.97</v>
      </c>
      <c r="F322" t="s">
        <v>1459</v>
      </c>
      <c r="G322" s="1">
        <v>46145</v>
      </c>
    </row>
    <row r="323" spans="1:7" x14ac:dyDescent="0.25">
      <c r="A323" t="s">
        <v>295</v>
      </c>
      <c r="B323" t="s">
        <v>1509</v>
      </c>
      <c r="C323" s="1">
        <v>46049</v>
      </c>
      <c r="D323">
        <v>50</v>
      </c>
      <c r="E323">
        <v>68.94</v>
      </c>
      <c r="F323" t="s">
        <v>1474</v>
      </c>
      <c r="G323" s="1">
        <v>46063</v>
      </c>
    </row>
    <row r="324" spans="1:7" x14ac:dyDescent="0.25">
      <c r="A324" t="s">
        <v>296</v>
      </c>
      <c r="B324" t="s">
        <v>1478</v>
      </c>
      <c r="C324" s="1">
        <v>46132</v>
      </c>
      <c r="D324">
        <v>95</v>
      </c>
      <c r="E324">
        <v>139.5</v>
      </c>
      <c r="F324" t="s">
        <v>1451</v>
      </c>
      <c r="G324" s="1">
        <v>46151</v>
      </c>
    </row>
    <row r="325" spans="1:7" x14ac:dyDescent="0.25">
      <c r="A325" t="s">
        <v>297</v>
      </c>
      <c r="B325" t="s">
        <v>1452</v>
      </c>
      <c r="C325" s="1">
        <v>46113</v>
      </c>
      <c r="D325">
        <v>324</v>
      </c>
      <c r="E325">
        <v>199.64</v>
      </c>
      <c r="F325" t="s">
        <v>1458</v>
      </c>
      <c r="G325" s="1">
        <v>46119</v>
      </c>
    </row>
    <row r="326" spans="1:7" x14ac:dyDescent="0.25">
      <c r="A326" t="s">
        <v>298</v>
      </c>
      <c r="B326" t="s">
        <v>1492</v>
      </c>
      <c r="C326" s="1">
        <v>46126</v>
      </c>
      <c r="D326">
        <v>196</v>
      </c>
      <c r="E326">
        <v>105.05</v>
      </c>
      <c r="F326" t="s">
        <v>1490</v>
      </c>
      <c r="G326" s="1">
        <v>46136</v>
      </c>
    </row>
    <row r="327" spans="1:7" x14ac:dyDescent="0.25">
      <c r="A327" t="s">
        <v>299</v>
      </c>
      <c r="B327" t="s">
        <v>1473</v>
      </c>
      <c r="C327" s="1">
        <v>46059</v>
      </c>
      <c r="D327">
        <v>444</v>
      </c>
      <c r="E327">
        <v>123.48</v>
      </c>
      <c r="F327" t="s">
        <v>1469</v>
      </c>
      <c r="G327" s="1">
        <v>46065</v>
      </c>
    </row>
    <row r="328" spans="1:7" x14ac:dyDescent="0.25">
      <c r="A328" t="s">
        <v>300</v>
      </c>
      <c r="B328" t="s">
        <v>1441</v>
      </c>
      <c r="C328" s="1">
        <v>46040</v>
      </c>
      <c r="D328">
        <v>130</v>
      </c>
      <c r="E328">
        <v>156.81</v>
      </c>
      <c r="F328" t="s">
        <v>1451</v>
      </c>
      <c r="G328" s="1">
        <v>46056</v>
      </c>
    </row>
    <row r="329" spans="1:7" x14ac:dyDescent="0.25">
      <c r="A329" t="s">
        <v>301</v>
      </c>
      <c r="B329" t="s">
        <v>1502</v>
      </c>
      <c r="C329" s="1">
        <v>46168</v>
      </c>
      <c r="D329">
        <v>26</v>
      </c>
      <c r="E329">
        <v>122.99</v>
      </c>
      <c r="F329" t="s">
        <v>1467</v>
      </c>
      <c r="G329" s="1">
        <v>46187</v>
      </c>
    </row>
    <row r="330" spans="1:7" x14ac:dyDescent="0.25">
      <c r="A330" t="s">
        <v>302</v>
      </c>
      <c r="B330" t="s">
        <v>1496</v>
      </c>
      <c r="C330" s="1">
        <v>46118</v>
      </c>
      <c r="D330">
        <v>237</v>
      </c>
      <c r="E330">
        <v>153.80000000000001</v>
      </c>
      <c r="F330" t="s">
        <v>1480</v>
      </c>
      <c r="G330" s="1">
        <v>46127</v>
      </c>
    </row>
    <row r="331" spans="1:7" x14ac:dyDescent="0.25">
      <c r="A331" t="s">
        <v>303</v>
      </c>
      <c r="B331" t="s">
        <v>1491</v>
      </c>
      <c r="C331" s="1">
        <v>46116</v>
      </c>
      <c r="D331">
        <v>213</v>
      </c>
      <c r="E331">
        <v>66.31</v>
      </c>
      <c r="F331" t="s">
        <v>1459</v>
      </c>
      <c r="G331" s="1">
        <v>46128</v>
      </c>
    </row>
    <row r="332" spans="1:7" x14ac:dyDescent="0.25">
      <c r="A332" t="s">
        <v>304</v>
      </c>
      <c r="B332" t="s">
        <v>1466</v>
      </c>
      <c r="C332" s="1">
        <v>46029</v>
      </c>
      <c r="D332">
        <v>386</v>
      </c>
      <c r="E332">
        <v>41.28</v>
      </c>
      <c r="F332" t="s">
        <v>1504</v>
      </c>
      <c r="G332" s="1">
        <v>46046</v>
      </c>
    </row>
    <row r="333" spans="1:7" x14ac:dyDescent="0.25">
      <c r="A333" t="s">
        <v>305</v>
      </c>
      <c r="B333" t="s">
        <v>1454</v>
      </c>
      <c r="C333" s="1">
        <v>46053</v>
      </c>
      <c r="D333">
        <v>144</v>
      </c>
      <c r="E333">
        <v>156.12</v>
      </c>
      <c r="F333" t="s">
        <v>1499</v>
      </c>
      <c r="G333" s="1">
        <v>46072</v>
      </c>
    </row>
    <row r="334" spans="1:7" x14ac:dyDescent="0.25">
      <c r="A334" t="s">
        <v>306</v>
      </c>
      <c r="B334" t="s">
        <v>1463</v>
      </c>
      <c r="C334" s="1">
        <v>46096</v>
      </c>
      <c r="D334">
        <v>365</v>
      </c>
      <c r="E334">
        <v>183.71</v>
      </c>
      <c r="F334" t="s">
        <v>1487</v>
      </c>
      <c r="G334" s="1">
        <v>46107</v>
      </c>
    </row>
    <row r="335" spans="1:7" x14ac:dyDescent="0.25">
      <c r="A335" t="s">
        <v>307</v>
      </c>
      <c r="B335" t="s">
        <v>1466</v>
      </c>
      <c r="C335" s="1">
        <v>46057</v>
      </c>
      <c r="D335">
        <v>446</v>
      </c>
      <c r="E335">
        <v>19.440000000000001</v>
      </c>
      <c r="F335" t="s">
        <v>1501</v>
      </c>
      <c r="G335" s="1">
        <v>46076</v>
      </c>
    </row>
    <row r="336" spans="1:7" x14ac:dyDescent="0.25">
      <c r="A336" t="s">
        <v>308</v>
      </c>
      <c r="B336" t="s">
        <v>1457</v>
      </c>
      <c r="C336" s="1">
        <v>46104</v>
      </c>
      <c r="D336">
        <v>351</v>
      </c>
      <c r="E336">
        <v>72.75</v>
      </c>
      <c r="F336" t="s">
        <v>1476</v>
      </c>
      <c r="G336" s="1">
        <v>46118</v>
      </c>
    </row>
    <row r="337" spans="1:7" x14ac:dyDescent="0.25">
      <c r="A337" t="s">
        <v>309</v>
      </c>
      <c r="B337" t="s">
        <v>1512</v>
      </c>
      <c r="C337" s="1">
        <v>46063</v>
      </c>
      <c r="D337">
        <v>374</v>
      </c>
      <c r="E337">
        <v>143.36000000000001</v>
      </c>
      <c r="F337" t="s">
        <v>1499</v>
      </c>
      <c r="G337" s="1">
        <v>46073</v>
      </c>
    </row>
    <row r="338" spans="1:7" x14ac:dyDescent="0.25">
      <c r="A338" t="s">
        <v>310</v>
      </c>
      <c r="B338" t="s">
        <v>1496</v>
      </c>
      <c r="C338" s="1">
        <v>46153</v>
      </c>
      <c r="D338">
        <v>124</v>
      </c>
      <c r="E338">
        <v>28.67</v>
      </c>
      <c r="F338" t="s">
        <v>1444</v>
      </c>
      <c r="G338" s="1">
        <v>46162</v>
      </c>
    </row>
    <row r="339" spans="1:7" x14ac:dyDescent="0.25">
      <c r="A339" t="s">
        <v>1031</v>
      </c>
      <c r="B339" t="s">
        <v>1482</v>
      </c>
      <c r="C339" s="1">
        <v>46149</v>
      </c>
      <c r="D339">
        <v>23</v>
      </c>
      <c r="E339">
        <v>75.37</v>
      </c>
      <c r="F339" t="s">
        <v>1480</v>
      </c>
      <c r="G339" s="1">
        <v>46165</v>
      </c>
    </row>
    <row r="340" spans="1:7" x14ac:dyDescent="0.25">
      <c r="A340" t="s">
        <v>311</v>
      </c>
      <c r="B340" t="s">
        <v>1489</v>
      </c>
      <c r="C340" s="1">
        <v>46164</v>
      </c>
      <c r="D340">
        <v>76</v>
      </c>
      <c r="E340">
        <v>124.33</v>
      </c>
      <c r="F340" t="s">
        <v>1476</v>
      </c>
      <c r="G340" s="1">
        <v>46171</v>
      </c>
    </row>
    <row r="341" spans="1:7" x14ac:dyDescent="0.25">
      <c r="A341" t="s">
        <v>312</v>
      </c>
      <c r="B341" t="s">
        <v>1512</v>
      </c>
      <c r="C341" s="1">
        <v>46124</v>
      </c>
      <c r="D341">
        <v>377</v>
      </c>
      <c r="E341">
        <v>145.18</v>
      </c>
      <c r="F341" t="s">
        <v>1504</v>
      </c>
      <c r="G341" s="1">
        <v>46142</v>
      </c>
    </row>
    <row r="342" spans="1:7" x14ac:dyDescent="0.25">
      <c r="A342" t="s">
        <v>313</v>
      </c>
      <c r="B342" t="s">
        <v>1495</v>
      </c>
      <c r="C342" s="1">
        <v>46170</v>
      </c>
      <c r="D342">
        <v>47</v>
      </c>
      <c r="E342">
        <v>29.44</v>
      </c>
      <c r="F342" t="s">
        <v>1472</v>
      </c>
      <c r="G342" s="1">
        <v>46177</v>
      </c>
    </row>
    <row r="343" spans="1:7" x14ac:dyDescent="0.25">
      <c r="A343" t="s">
        <v>314</v>
      </c>
      <c r="B343" t="s">
        <v>1478</v>
      </c>
      <c r="C343" s="1">
        <v>46142</v>
      </c>
      <c r="D343">
        <v>358</v>
      </c>
      <c r="E343">
        <v>105.89</v>
      </c>
      <c r="F343" t="s">
        <v>1485</v>
      </c>
      <c r="G343" s="1">
        <v>46152</v>
      </c>
    </row>
    <row r="344" spans="1:7" x14ac:dyDescent="0.25">
      <c r="A344" t="s">
        <v>315</v>
      </c>
      <c r="B344" t="s">
        <v>1441</v>
      </c>
      <c r="C344" s="1">
        <v>46133</v>
      </c>
      <c r="D344">
        <v>267</v>
      </c>
      <c r="E344">
        <v>182.59</v>
      </c>
      <c r="F344" t="s">
        <v>1462</v>
      </c>
      <c r="G344" s="1">
        <v>46141</v>
      </c>
    </row>
    <row r="345" spans="1:7" x14ac:dyDescent="0.25">
      <c r="A345" t="s">
        <v>316</v>
      </c>
      <c r="B345" t="s">
        <v>1491</v>
      </c>
      <c r="C345" s="1">
        <v>46062</v>
      </c>
      <c r="D345">
        <v>165</v>
      </c>
      <c r="E345">
        <v>37.11</v>
      </c>
      <c r="F345" t="s">
        <v>1472</v>
      </c>
      <c r="G345" s="1">
        <v>46074</v>
      </c>
    </row>
    <row r="346" spans="1:7" x14ac:dyDescent="0.25">
      <c r="A346" t="s">
        <v>317</v>
      </c>
      <c r="B346" t="s">
        <v>1503</v>
      </c>
      <c r="C346" s="1">
        <v>46155</v>
      </c>
      <c r="D346">
        <v>468</v>
      </c>
      <c r="E346">
        <v>60.39</v>
      </c>
      <c r="F346" t="s">
        <v>1476</v>
      </c>
      <c r="G346" s="1">
        <v>46168</v>
      </c>
    </row>
    <row r="347" spans="1:7" x14ac:dyDescent="0.25">
      <c r="A347" t="s">
        <v>318</v>
      </c>
      <c r="B347" t="s">
        <v>1505</v>
      </c>
      <c r="C347" s="1">
        <v>46164</v>
      </c>
      <c r="D347">
        <v>150</v>
      </c>
      <c r="E347">
        <v>29.41</v>
      </c>
      <c r="F347" t="s">
        <v>1474</v>
      </c>
      <c r="G347" s="1">
        <v>46171</v>
      </c>
    </row>
    <row r="348" spans="1:7" x14ac:dyDescent="0.25">
      <c r="A348" t="s">
        <v>319</v>
      </c>
      <c r="B348" t="s">
        <v>1445</v>
      </c>
      <c r="C348" s="1">
        <v>46066</v>
      </c>
      <c r="D348">
        <v>313</v>
      </c>
      <c r="E348">
        <v>188.61</v>
      </c>
      <c r="F348" t="s">
        <v>1485</v>
      </c>
      <c r="G348" s="1">
        <v>46076</v>
      </c>
    </row>
    <row r="349" spans="1:7" x14ac:dyDescent="0.25">
      <c r="A349" t="s">
        <v>320</v>
      </c>
      <c r="B349" t="s">
        <v>1484</v>
      </c>
      <c r="C349" s="1">
        <v>46109</v>
      </c>
      <c r="D349">
        <v>441</v>
      </c>
      <c r="E349">
        <v>185.17</v>
      </c>
      <c r="F349" t="s">
        <v>1462</v>
      </c>
      <c r="G349" s="1">
        <v>46114</v>
      </c>
    </row>
    <row r="350" spans="1:7" x14ac:dyDescent="0.25">
      <c r="A350" t="s">
        <v>321</v>
      </c>
      <c r="B350" t="s">
        <v>1457</v>
      </c>
      <c r="C350" s="1">
        <v>46034</v>
      </c>
      <c r="D350">
        <v>495</v>
      </c>
      <c r="E350">
        <v>130.08000000000001</v>
      </c>
      <c r="F350" t="s">
        <v>1480</v>
      </c>
      <c r="G350" s="1">
        <v>46047</v>
      </c>
    </row>
    <row r="351" spans="1:7" x14ac:dyDescent="0.25">
      <c r="A351" t="s">
        <v>322</v>
      </c>
      <c r="B351" t="s">
        <v>1508</v>
      </c>
      <c r="C351" s="1">
        <v>46076</v>
      </c>
      <c r="D351">
        <v>402</v>
      </c>
      <c r="E351">
        <v>116.57</v>
      </c>
      <c r="F351" t="s">
        <v>1494</v>
      </c>
      <c r="G351" s="1">
        <v>46081</v>
      </c>
    </row>
    <row r="352" spans="1:7" x14ac:dyDescent="0.25">
      <c r="A352" t="s">
        <v>323</v>
      </c>
      <c r="B352" t="s">
        <v>1498</v>
      </c>
      <c r="C352" s="1">
        <v>46162</v>
      </c>
      <c r="D352">
        <v>158</v>
      </c>
      <c r="E352">
        <v>130.16999999999999</v>
      </c>
      <c r="F352" t="s">
        <v>1474</v>
      </c>
      <c r="G352" s="1">
        <v>46182</v>
      </c>
    </row>
    <row r="353" spans="1:7" x14ac:dyDescent="0.25">
      <c r="A353" t="s">
        <v>324</v>
      </c>
      <c r="B353" t="s">
        <v>1482</v>
      </c>
      <c r="C353" s="1">
        <v>46126</v>
      </c>
      <c r="D353">
        <v>162</v>
      </c>
      <c r="E353">
        <v>93.44</v>
      </c>
      <c r="F353" t="s">
        <v>1499</v>
      </c>
      <c r="G353" s="1">
        <v>46132</v>
      </c>
    </row>
    <row r="354" spans="1:7" x14ac:dyDescent="0.25">
      <c r="A354" t="s">
        <v>325</v>
      </c>
      <c r="B354" t="s">
        <v>1460</v>
      </c>
      <c r="C354" s="1">
        <v>46135</v>
      </c>
      <c r="D354">
        <v>222</v>
      </c>
      <c r="E354">
        <v>99.43</v>
      </c>
      <c r="F354" t="s">
        <v>1444</v>
      </c>
      <c r="G354" s="1">
        <v>46150</v>
      </c>
    </row>
    <row r="355" spans="1:7" x14ac:dyDescent="0.25">
      <c r="A355" t="s">
        <v>326</v>
      </c>
      <c r="B355" t="s">
        <v>1468</v>
      </c>
      <c r="C355" s="1">
        <v>46059</v>
      </c>
      <c r="D355">
        <v>170</v>
      </c>
      <c r="E355">
        <v>172.99</v>
      </c>
      <c r="F355" t="s">
        <v>1472</v>
      </c>
      <c r="G355" s="1">
        <v>46075</v>
      </c>
    </row>
    <row r="356" spans="1:7" x14ac:dyDescent="0.25">
      <c r="A356" t="s">
        <v>327</v>
      </c>
      <c r="B356" t="s">
        <v>1488</v>
      </c>
      <c r="C356" s="1">
        <v>46056</v>
      </c>
      <c r="D356">
        <v>399</v>
      </c>
      <c r="E356">
        <v>77.260000000000005</v>
      </c>
      <c r="F356" t="s">
        <v>1442</v>
      </c>
      <c r="G356" s="1">
        <v>46064</v>
      </c>
    </row>
    <row r="357" spans="1:7" x14ac:dyDescent="0.25">
      <c r="A357" t="s">
        <v>328</v>
      </c>
      <c r="B357" t="s">
        <v>1509</v>
      </c>
      <c r="C357" s="1">
        <v>46084</v>
      </c>
      <c r="D357">
        <v>248</v>
      </c>
      <c r="E357">
        <v>28.89</v>
      </c>
      <c r="F357" t="s">
        <v>1469</v>
      </c>
      <c r="G357" s="1">
        <v>46096</v>
      </c>
    </row>
    <row r="358" spans="1:7" x14ac:dyDescent="0.25">
      <c r="A358" t="s">
        <v>329</v>
      </c>
      <c r="B358" t="s">
        <v>1464</v>
      </c>
      <c r="C358" s="1">
        <v>46047</v>
      </c>
      <c r="D358">
        <v>35</v>
      </c>
      <c r="E358">
        <v>61.59</v>
      </c>
      <c r="F358" t="s">
        <v>1453</v>
      </c>
      <c r="G358" s="1">
        <v>46065</v>
      </c>
    </row>
    <row r="359" spans="1:7" x14ac:dyDescent="0.25">
      <c r="A359" t="s">
        <v>330</v>
      </c>
      <c r="B359" t="s">
        <v>1482</v>
      </c>
      <c r="C359" s="1">
        <v>46063</v>
      </c>
      <c r="D359">
        <v>426</v>
      </c>
      <c r="E359">
        <v>68.849999999999994</v>
      </c>
      <c r="F359" t="s">
        <v>1480</v>
      </c>
      <c r="G359" s="1">
        <v>46078</v>
      </c>
    </row>
    <row r="360" spans="1:7" x14ac:dyDescent="0.25">
      <c r="A360" t="s">
        <v>331</v>
      </c>
      <c r="B360" t="s">
        <v>1505</v>
      </c>
      <c r="C360" s="1">
        <v>46063</v>
      </c>
      <c r="D360">
        <v>265</v>
      </c>
      <c r="E360">
        <v>199.21</v>
      </c>
      <c r="F360" t="s">
        <v>1469</v>
      </c>
      <c r="G360" s="1">
        <v>46083</v>
      </c>
    </row>
    <row r="361" spans="1:7" x14ac:dyDescent="0.25">
      <c r="A361" t="s">
        <v>332</v>
      </c>
      <c r="B361" t="s">
        <v>1512</v>
      </c>
      <c r="C361" s="1">
        <v>46150</v>
      </c>
      <c r="D361">
        <v>21</v>
      </c>
      <c r="E361">
        <v>22.56</v>
      </c>
      <c r="F361" t="s">
        <v>1453</v>
      </c>
      <c r="G361" s="1">
        <v>46171</v>
      </c>
    </row>
    <row r="362" spans="1:7" x14ac:dyDescent="0.25">
      <c r="A362" t="s">
        <v>333</v>
      </c>
      <c r="B362" t="s">
        <v>1489</v>
      </c>
      <c r="C362" s="1">
        <v>46084</v>
      </c>
      <c r="D362">
        <v>120</v>
      </c>
      <c r="E362">
        <v>118.75</v>
      </c>
      <c r="F362" t="s">
        <v>1462</v>
      </c>
      <c r="G362" s="1">
        <v>46090</v>
      </c>
    </row>
    <row r="363" spans="1:7" x14ac:dyDescent="0.25">
      <c r="A363" t="s">
        <v>334</v>
      </c>
      <c r="B363" t="s">
        <v>1506</v>
      </c>
      <c r="C363" s="1">
        <v>46149</v>
      </c>
      <c r="D363">
        <v>315</v>
      </c>
      <c r="E363">
        <v>177.06</v>
      </c>
      <c r="F363" t="s">
        <v>1446</v>
      </c>
      <c r="G363" s="1">
        <v>46169</v>
      </c>
    </row>
    <row r="364" spans="1:7" x14ac:dyDescent="0.25">
      <c r="A364" t="s">
        <v>335</v>
      </c>
      <c r="B364" t="s">
        <v>1506</v>
      </c>
      <c r="C364" s="1">
        <v>46160</v>
      </c>
      <c r="D364">
        <v>14</v>
      </c>
      <c r="E364">
        <v>170.2</v>
      </c>
      <c r="F364" t="s">
        <v>1507</v>
      </c>
      <c r="G364" s="1">
        <v>46169</v>
      </c>
    </row>
    <row r="365" spans="1:7" x14ac:dyDescent="0.25">
      <c r="A365" t="s">
        <v>336</v>
      </c>
      <c r="B365" t="s">
        <v>1470</v>
      </c>
      <c r="C365" s="1">
        <v>46116</v>
      </c>
      <c r="D365">
        <v>401</v>
      </c>
      <c r="E365">
        <v>83.63</v>
      </c>
      <c r="F365" t="s">
        <v>1462</v>
      </c>
      <c r="G365" s="1">
        <v>46133</v>
      </c>
    </row>
    <row r="366" spans="1:7" x14ac:dyDescent="0.25">
      <c r="A366" t="s">
        <v>337</v>
      </c>
      <c r="B366" t="s">
        <v>1475</v>
      </c>
      <c r="C366" s="1">
        <v>46168</v>
      </c>
      <c r="D366">
        <v>297</v>
      </c>
      <c r="E366">
        <v>42.96</v>
      </c>
      <c r="F366" t="s">
        <v>1442</v>
      </c>
      <c r="G366" s="1">
        <v>46182</v>
      </c>
    </row>
    <row r="367" spans="1:7" x14ac:dyDescent="0.25">
      <c r="A367" t="s">
        <v>338</v>
      </c>
      <c r="B367" t="s">
        <v>1492</v>
      </c>
      <c r="C367" s="1">
        <v>46121</v>
      </c>
      <c r="D367">
        <v>268</v>
      </c>
      <c r="E367">
        <v>92.82</v>
      </c>
      <c r="F367" t="s">
        <v>1442</v>
      </c>
      <c r="G367" s="1">
        <v>46134</v>
      </c>
    </row>
    <row r="368" spans="1:7" x14ac:dyDescent="0.25">
      <c r="A368" t="s">
        <v>339</v>
      </c>
      <c r="B368" t="s">
        <v>1497</v>
      </c>
      <c r="C368" s="1">
        <v>46053</v>
      </c>
      <c r="D368">
        <v>75</v>
      </c>
      <c r="E368">
        <v>195.14</v>
      </c>
      <c r="F368" t="s">
        <v>1453</v>
      </c>
      <c r="G368" s="1">
        <v>46069</v>
      </c>
    </row>
    <row r="369" spans="1:7" x14ac:dyDescent="0.25">
      <c r="A369" t="s">
        <v>340</v>
      </c>
      <c r="B369" t="s">
        <v>1479</v>
      </c>
      <c r="C369" s="1">
        <v>46165</v>
      </c>
      <c r="D369">
        <v>490</v>
      </c>
      <c r="E369">
        <v>76.290000000000006</v>
      </c>
      <c r="F369" t="s">
        <v>1485</v>
      </c>
      <c r="G369" s="1">
        <v>46176</v>
      </c>
    </row>
    <row r="370" spans="1:7" x14ac:dyDescent="0.25">
      <c r="A370" t="s">
        <v>341</v>
      </c>
      <c r="B370" t="s">
        <v>1468</v>
      </c>
      <c r="C370" s="1">
        <v>46153</v>
      </c>
      <c r="D370">
        <v>215</v>
      </c>
      <c r="E370">
        <v>102.52</v>
      </c>
      <c r="F370" t="s">
        <v>1462</v>
      </c>
      <c r="G370" s="1">
        <v>46159</v>
      </c>
    </row>
    <row r="371" spans="1:7" x14ac:dyDescent="0.25">
      <c r="A371" t="s">
        <v>1064</v>
      </c>
      <c r="B371" t="s">
        <v>1441</v>
      </c>
      <c r="C371" s="1">
        <v>46108</v>
      </c>
      <c r="D371">
        <v>421</v>
      </c>
      <c r="E371">
        <v>97.38</v>
      </c>
      <c r="F371" t="s">
        <v>1469</v>
      </c>
      <c r="G371" s="1">
        <v>46117</v>
      </c>
    </row>
    <row r="372" spans="1:7" x14ac:dyDescent="0.25">
      <c r="A372" t="s">
        <v>342</v>
      </c>
      <c r="B372" t="s">
        <v>1468</v>
      </c>
      <c r="C372" s="1">
        <v>46154</v>
      </c>
      <c r="D372">
        <v>81</v>
      </c>
      <c r="E372">
        <v>68.95</v>
      </c>
      <c r="F372" t="s">
        <v>1494</v>
      </c>
      <c r="G372" s="1">
        <v>46169</v>
      </c>
    </row>
    <row r="373" spans="1:7" x14ac:dyDescent="0.25">
      <c r="A373" t="s">
        <v>343</v>
      </c>
      <c r="B373" t="s">
        <v>1460</v>
      </c>
      <c r="C373" s="1">
        <v>46123</v>
      </c>
      <c r="D373">
        <v>325</v>
      </c>
      <c r="E373">
        <v>149.16999999999999</v>
      </c>
      <c r="F373" t="s">
        <v>1474</v>
      </c>
      <c r="G373" s="1">
        <v>46138</v>
      </c>
    </row>
    <row r="374" spans="1:7" x14ac:dyDescent="0.25">
      <c r="A374" t="s">
        <v>344</v>
      </c>
      <c r="B374" t="s">
        <v>1445</v>
      </c>
      <c r="C374" s="1">
        <v>46153</v>
      </c>
      <c r="D374">
        <v>282</v>
      </c>
      <c r="E374">
        <v>100.52</v>
      </c>
      <c r="F374" t="s">
        <v>1480</v>
      </c>
      <c r="G374" s="1">
        <v>46167</v>
      </c>
    </row>
    <row r="375" spans="1:7" x14ac:dyDescent="0.25">
      <c r="A375" t="s">
        <v>345</v>
      </c>
      <c r="B375" t="s">
        <v>1510</v>
      </c>
      <c r="C375" s="1">
        <v>46027</v>
      </c>
      <c r="D375">
        <v>198</v>
      </c>
      <c r="E375">
        <v>69.59</v>
      </c>
      <c r="F375" t="s">
        <v>1483</v>
      </c>
      <c r="G375" s="1">
        <v>46045</v>
      </c>
    </row>
    <row r="376" spans="1:7" x14ac:dyDescent="0.25">
      <c r="A376" t="s">
        <v>346</v>
      </c>
      <c r="B376" t="s">
        <v>1443</v>
      </c>
      <c r="C376" s="1">
        <v>46101</v>
      </c>
      <c r="D376">
        <v>417</v>
      </c>
      <c r="E376">
        <v>180.26</v>
      </c>
      <c r="F376" t="s">
        <v>1499</v>
      </c>
      <c r="G376" s="1">
        <v>46106</v>
      </c>
    </row>
    <row r="377" spans="1:7" x14ac:dyDescent="0.25">
      <c r="A377" t="s">
        <v>347</v>
      </c>
      <c r="B377" t="s">
        <v>1468</v>
      </c>
      <c r="C377" s="1">
        <v>46144</v>
      </c>
      <c r="D377">
        <v>145</v>
      </c>
      <c r="E377">
        <v>193.58</v>
      </c>
      <c r="F377" t="s">
        <v>1456</v>
      </c>
      <c r="G377" s="1">
        <v>46156</v>
      </c>
    </row>
    <row r="378" spans="1:7" x14ac:dyDescent="0.25">
      <c r="A378" t="s">
        <v>348</v>
      </c>
      <c r="B378" t="s">
        <v>1477</v>
      </c>
      <c r="C378" s="1">
        <v>46036</v>
      </c>
      <c r="D378">
        <v>308</v>
      </c>
      <c r="E378">
        <v>98.69</v>
      </c>
      <c r="F378" t="s">
        <v>1504</v>
      </c>
      <c r="G378" s="1">
        <v>46053</v>
      </c>
    </row>
    <row r="379" spans="1:7" x14ac:dyDescent="0.25">
      <c r="A379" t="s">
        <v>349</v>
      </c>
      <c r="B379" t="s">
        <v>1464</v>
      </c>
      <c r="C379" s="1">
        <v>46085</v>
      </c>
      <c r="D379">
        <v>26</v>
      </c>
      <c r="E379">
        <v>116.65</v>
      </c>
      <c r="F379" t="s">
        <v>1499</v>
      </c>
      <c r="G379" s="1">
        <v>46093</v>
      </c>
    </row>
    <row r="380" spans="1:7" x14ac:dyDescent="0.25">
      <c r="A380" t="s">
        <v>350</v>
      </c>
      <c r="B380" t="s">
        <v>1505</v>
      </c>
      <c r="C380" s="1">
        <v>46027</v>
      </c>
      <c r="D380">
        <v>235</v>
      </c>
      <c r="E380">
        <v>66.17</v>
      </c>
      <c r="F380" t="s">
        <v>1485</v>
      </c>
      <c r="G380" s="1">
        <v>46045</v>
      </c>
    </row>
    <row r="381" spans="1:7" x14ac:dyDescent="0.25">
      <c r="A381" t="s">
        <v>351</v>
      </c>
      <c r="B381" t="s">
        <v>1449</v>
      </c>
      <c r="C381" s="1">
        <v>46075</v>
      </c>
      <c r="D381">
        <v>220</v>
      </c>
      <c r="E381">
        <v>102.85</v>
      </c>
      <c r="F381" t="s">
        <v>1494</v>
      </c>
      <c r="G381" s="1">
        <v>46095</v>
      </c>
    </row>
    <row r="382" spans="1:7" x14ac:dyDescent="0.25">
      <c r="A382" t="s">
        <v>352</v>
      </c>
      <c r="B382" t="s">
        <v>1465</v>
      </c>
      <c r="C382" s="1">
        <v>46038</v>
      </c>
      <c r="D382">
        <v>371</v>
      </c>
      <c r="E382">
        <v>31.93</v>
      </c>
      <c r="F382" t="s">
        <v>1444</v>
      </c>
      <c r="G382" s="1">
        <v>46053</v>
      </c>
    </row>
    <row r="383" spans="1:7" x14ac:dyDescent="0.25">
      <c r="A383" t="s">
        <v>353</v>
      </c>
      <c r="B383" t="s">
        <v>1484</v>
      </c>
      <c r="C383" s="1">
        <v>46145</v>
      </c>
      <c r="D383">
        <v>279</v>
      </c>
      <c r="E383">
        <v>78.48</v>
      </c>
      <c r="F383" t="s">
        <v>1501</v>
      </c>
      <c r="G383" s="1">
        <v>46164</v>
      </c>
    </row>
    <row r="384" spans="1:7" x14ac:dyDescent="0.25">
      <c r="A384" t="s">
        <v>354</v>
      </c>
      <c r="B384" t="s">
        <v>1471</v>
      </c>
      <c r="C384" s="1">
        <v>46110</v>
      </c>
      <c r="D384">
        <v>289</v>
      </c>
      <c r="E384">
        <v>74.09</v>
      </c>
      <c r="F384" t="s">
        <v>1456</v>
      </c>
      <c r="G384" s="1">
        <v>46123</v>
      </c>
    </row>
    <row r="385" spans="1:7" x14ac:dyDescent="0.25">
      <c r="A385" t="s">
        <v>355</v>
      </c>
      <c r="B385" t="s">
        <v>1497</v>
      </c>
      <c r="C385" s="1">
        <v>46146</v>
      </c>
      <c r="D385">
        <v>108</v>
      </c>
      <c r="E385">
        <v>191.68</v>
      </c>
      <c r="F385" t="s">
        <v>1458</v>
      </c>
      <c r="G385" s="1">
        <v>46160</v>
      </c>
    </row>
    <row r="386" spans="1:7" x14ac:dyDescent="0.25">
      <c r="A386" t="s">
        <v>1080</v>
      </c>
      <c r="B386" t="s">
        <v>1447</v>
      </c>
      <c r="C386" s="1">
        <v>46099</v>
      </c>
      <c r="D386">
        <v>404</v>
      </c>
      <c r="E386">
        <v>61.36</v>
      </c>
      <c r="F386" t="s">
        <v>1459</v>
      </c>
      <c r="G386" s="1">
        <v>46119</v>
      </c>
    </row>
    <row r="387" spans="1:7" x14ac:dyDescent="0.25">
      <c r="A387" t="s">
        <v>356</v>
      </c>
      <c r="B387" t="s">
        <v>1509</v>
      </c>
      <c r="C387" s="1">
        <v>46145</v>
      </c>
      <c r="D387">
        <v>188</v>
      </c>
      <c r="E387">
        <v>114.3</v>
      </c>
      <c r="F387" t="s">
        <v>1490</v>
      </c>
      <c r="G387" s="1">
        <v>46158</v>
      </c>
    </row>
    <row r="388" spans="1:7" x14ac:dyDescent="0.25">
      <c r="A388" t="s">
        <v>357</v>
      </c>
      <c r="B388" t="s">
        <v>1506</v>
      </c>
      <c r="C388" s="1">
        <v>46054</v>
      </c>
      <c r="D388">
        <v>303</v>
      </c>
      <c r="E388">
        <v>136.94</v>
      </c>
      <c r="F388" t="s">
        <v>1453</v>
      </c>
      <c r="G388" s="1">
        <v>46071</v>
      </c>
    </row>
    <row r="389" spans="1:7" x14ac:dyDescent="0.25">
      <c r="A389" t="s">
        <v>358</v>
      </c>
      <c r="B389" t="s">
        <v>1503</v>
      </c>
      <c r="C389" s="1">
        <v>46060</v>
      </c>
      <c r="D389">
        <v>158</v>
      </c>
      <c r="E389">
        <v>13.2</v>
      </c>
      <c r="F389" t="s">
        <v>1499</v>
      </c>
      <c r="G389" s="1">
        <v>46067</v>
      </c>
    </row>
    <row r="390" spans="1:7" x14ac:dyDescent="0.25">
      <c r="A390" t="s">
        <v>359</v>
      </c>
      <c r="B390" t="s">
        <v>1503</v>
      </c>
      <c r="C390" s="1">
        <v>46136</v>
      </c>
      <c r="D390">
        <v>345</v>
      </c>
      <c r="E390">
        <v>55.01</v>
      </c>
      <c r="F390" t="s">
        <v>1487</v>
      </c>
      <c r="G390" s="1">
        <v>46147</v>
      </c>
    </row>
    <row r="391" spans="1:7" x14ac:dyDescent="0.25">
      <c r="A391" t="s">
        <v>360</v>
      </c>
      <c r="B391" t="s">
        <v>1505</v>
      </c>
      <c r="C391" s="1">
        <v>46160</v>
      </c>
      <c r="D391">
        <v>148</v>
      </c>
      <c r="E391">
        <v>186.94</v>
      </c>
      <c r="F391" t="s">
        <v>1499</v>
      </c>
      <c r="G391" s="1">
        <v>46173</v>
      </c>
    </row>
    <row r="392" spans="1:7" x14ac:dyDescent="0.25">
      <c r="A392" t="s">
        <v>361</v>
      </c>
      <c r="B392" t="s">
        <v>1441</v>
      </c>
      <c r="C392" s="1">
        <v>46050</v>
      </c>
      <c r="D392">
        <v>325</v>
      </c>
      <c r="E392">
        <v>149.47</v>
      </c>
      <c r="F392" t="s">
        <v>1440</v>
      </c>
      <c r="G392" s="1">
        <v>46062</v>
      </c>
    </row>
    <row r="393" spans="1:7" x14ac:dyDescent="0.25">
      <c r="A393" t="s">
        <v>1088</v>
      </c>
      <c r="B393" t="s">
        <v>1475</v>
      </c>
      <c r="C393" s="1">
        <v>46158</v>
      </c>
      <c r="D393">
        <v>125</v>
      </c>
      <c r="E393">
        <v>129.4</v>
      </c>
      <c r="F393" t="s">
        <v>1462</v>
      </c>
      <c r="G393" s="1">
        <v>46166</v>
      </c>
    </row>
    <row r="394" spans="1:7" x14ac:dyDescent="0.25">
      <c r="A394" t="s">
        <v>1090</v>
      </c>
      <c r="B394" t="s">
        <v>1495</v>
      </c>
      <c r="C394" s="1">
        <v>46107</v>
      </c>
      <c r="D394">
        <v>377</v>
      </c>
      <c r="E394">
        <v>97.12</v>
      </c>
      <c r="F394" t="s">
        <v>1467</v>
      </c>
      <c r="G394" s="1">
        <v>46116</v>
      </c>
    </row>
    <row r="395" spans="1:7" x14ac:dyDescent="0.25">
      <c r="A395" t="s">
        <v>1092</v>
      </c>
      <c r="B395" t="s">
        <v>1481</v>
      </c>
      <c r="C395" s="1">
        <v>46163</v>
      </c>
      <c r="D395">
        <v>485</v>
      </c>
      <c r="E395">
        <v>35.799999999999997</v>
      </c>
      <c r="F395" t="s">
        <v>1446</v>
      </c>
      <c r="G395" s="1">
        <v>46183</v>
      </c>
    </row>
    <row r="396" spans="1:7" x14ac:dyDescent="0.25">
      <c r="A396" t="s">
        <v>362</v>
      </c>
      <c r="B396" t="s">
        <v>1510</v>
      </c>
      <c r="C396" s="1">
        <v>46074</v>
      </c>
      <c r="D396">
        <v>397</v>
      </c>
      <c r="E396">
        <v>192.96</v>
      </c>
      <c r="F396" t="s">
        <v>1472</v>
      </c>
      <c r="G396" s="1">
        <v>46088</v>
      </c>
    </row>
    <row r="397" spans="1:7" x14ac:dyDescent="0.25">
      <c r="A397" t="s">
        <v>363</v>
      </c>
      <c r="B397" t="s">
        <v>1508</v>
      </c>
      <c r="C397" s="1">
        <v>46038</v>
      </c>
      <c r="D397">
        <v>474</v>
      </c>
      <c r="E397">
        <v>154.9</v>
      </c>
      <c r="F397" t="s">
        <v>1446</v>
      </c>
      <c r="G397" s="1">
        <v>46050</v>
      </c>
    </row>
    <row r="398" spans="1:7" x14ac:dyDescent="0.25">
      <c r="A398" t="s">
        <v>1096</v>
      </c>
      <c r="B398" t="s">
        <v>1471</v>
      </c>
      <c r="C398" s="1">
        <v>46032</v>
      </c>
      <c r="D398">
        <v>477</v>
      </c>
      <c r="E398">
        <v>184.69</v>
      </c>
      <c r="F398" t="s">
        <v>1507</v>
      </c>
      <c r="G398" s="1">
        <v>46042</v>
      </c>
    </row>
    <row r="399" spans="1:7" x14ac:dyDescent="0.25">
      <c r="A399" t="s">
        <v>364</v>
      </c>
      <c r="B399" t="s">
        <v>1452</v>
      </c>
      <c r="C399" s="1">
        <v>46124</v>
      </c>
      <c r="D399">
        <v>413</v>
      </c>
      <c r="E399">
        <v>101.6</v>
      </c>
      <c r="F399" t="s">
        <v>1490</v>
      </c>
      <c r="G399" s="1">
        <v>46138</v>
      </c>
    </row>
    <row r="400" spans="1:7" x14ac:dyDescent="0.25">
      <c r="A400" t="s">
        <v>365</v>
      </c>
      <c r="B400" t="s">
        <v>1452</v>
      </c>
      <c r="C400" s="1">
        <v>46025</v>
      </c>
      <c r="D400">
        <v>162</v>
      </c>
      <c r="E400">
        <v>115.75</v>
      </c>
      <c r="F400" t="s">
        <v>1483</v>
      </c>
      <c r="G400" s="1">
        <v>46040</v>
      </c>
    </row>
    <row r="401" spans="1:7" x14ac:dyDescent="0.25">
      <c r="A401" t="s">
        <v>366</v>
      </c>
      <c r="B401" t="s">
        <v>1506</v>
      </c>
      <c r="C401" s="1">
        <v>46139</v>
      </c>
      <c r="D401">
        <v>338</v>
      </c>
      <c r="E401">
        <v>110.94</v>
      </c>
      <c r="F401" t="s">
        <v>1487</v>
      </c>
      <c r="G401" s="1">
        <v>46148</v>
      </c>
    </row>
    <row r="402" spans="1:7" x14ac:dyDescent="0.25">
      <c r="A402" t="s">
        <v>367</v>
      </c>
      <c r="B402" t="s">
        <v>1445</v>
      </c>
      <c r="C402" s="1">
        <v>46142</v>
      </c>
      <c r="D402">
        <v>149</v>
      </c>
      <c r="E402">
        <v>42.6</v>
      </c>
      <c r="F402" t="s">
        <v>1483</v>
      </c>
      <c r="G402" s="1">
        <v>46157</v>
      </c>
    </row>
    <row r="403" spans="1:7" x14ac:dyDescent="0.25">
      <c r="A403" t="s">
        <v>368</v>
      </c>
      <c r="B403" t="s">
        <v>1460</v>
      </c>
      <c r="C403" s="1">
        <v>46140</v>
      </c>
      <c r="D403">
        <v>341</v>
      </c>
      <c r="E403">
        <v>55.17</v>
      </c>
      <c r="F403" t="s">
        <v>1501</v>
      </c>
      <c r="G403" s="1">
        <v>46145</v>
      </c>
    </row>
    <row r="404" spans="1:7" x14ac:dyDescent="0.25">
      <c r="A404" t="s">
        <v>369</v>
      </c>
      <c r="B404" t="s">
        <v>1465</v>
      </c>
      <c r="C404" s="1">
        <v>46109</v>
      </c>
      <c r="D404">
        <v>414</v>
      </c>
      <c r="E404">
        <v>62.53</v>
      </c>
      <c r="F404" t="s">
        <v>1467</v>
      </c>
      <c r="G404" s="1">
        <v>46120</v>
      </c>
    </row>
    <row r="405" spans="1:7" x14ac:dyDescent="0.25">
      <c r="A405" t="s">
        <v>370</v>
      </c>
      <c r="B405" t="s">
        <v>1486</v>
      </c>
      <c r="C405" s="1">
        <v>46126</v>
      </c>
      <c r="D405">
        <v>433</v>
      </c>
      <c r="E405">
        <v>88.4</v>
      </c>
      <c r="F405" t="s">
        <v>1472</v>
      </c>
      <c r="G405" s="1">
        <v>46133</v>
      </c>
    </row>
    <row r="406" spans="1:7" x14ac:dyDescent="0.25">
      <c r="A406" t="s">
        <v>371</v>
      </c>
      <c r="B406" t="s">
        <v>1488</v>
      </c>
      <c r="C406" s="1">
        <v>46047</v>
      </c>
      <c r="D406">
        <v>104</v>
      </c>
      <c r="E406">
        <v>196.43</v>
      </c>
      <c r="F406" t="s">
        <v>1487</v>
      </c>
      <c r="G406" s="1">
        <v>46062</v>
      </c>
    </row>
    <row r="407" spans="1:7" x14ac:dyDescent="0.25">
      <c r="A407" t="s">
        <v>372</v>
      </c>
      <c r="B407" t="s">
        <v>1482</v>
      </c>
      <c r="C407" s="1">
        <v>46024</v>
      </c>
      <c r="D407">
        <v>143</v>
      </c>
      <c r="E407">
        <v>79.8</v>
      </c>
      <c r="F407" t="s">
        <v>1469</v>
      </c>
      <c r="G407" s="1">
        <v>46037</v>
      </c>
    </row>
    <row r="408" spans="1:7" x14ac:dyDescent="0.25">
      <c r="A408" t="s">
        <v>373</v>
      </c>
      <c r="B408" t="s">
        <v>1479</v>
      </c>
      <c r="C408" s="1">
        <v>46100</v>
      </c>
      <c r="D408">
        <v>308</v>
      </c>
      <c r="E408">
        <v>145.96</v>
      </c>
      <c r="F408" t="s">
        <v>1448</v>
      </c>
      <c r="G408" s="1">
        <v>46113</v>
      </c>
    </row>
    <row r="409" spans="1:7" x14ac:dyDescent="0.25">
      <c r="A409" t="s">
        <v>374</v>
      </c>
      <c r="B409" t="s">
        <v>1508</v>
      </c>
      <c r="C409" s="1">
        <v>46115</v>
      </c>
      <c r="D409">
        <v>364</v>
      </c>
      <c r="E409">
        <v>51.08</v>
      </c>
      <c r="F409" t="s">
        <v>1467</v>
      </c>
      <c r="G409" s="1">
        <v>46123</v>
      </c>
    </row>
    <row r="410" spans="1:7" x14ac:dyDescent="0.25">
      <c r="A410" t="s">
        <v>375</v>
      </c>
      <c r="B410" t="s">
        <v>1489</v>
      </c>
      <c r="C410" s="1">
        <v>46101</v>
      </c>
      <c r="D410">
        <v>91</v>
      </c>
      <c r="E410">
        <v>84.06</v>
      </c>
      <c r="F410" t="s">
        <v>1504</v>
      </c>
      <c r="G410" s="1">
        <v>46115</v>
      </c>
    </row>
    <row r="411" spans="1:7" x14ac:dyDescent="0.25">
      <c r="A411" t="s">
        <v>376</v>
      </c>
      <c r="B411" t="s">
        <v>1449</v>
      </c>
      <c r="C411" s="1">
        <v>46053</v>
      </c>
      <c r="D411">
        <v>337</v>
      </c>
      <c r="E411">
        <v>183.65</v>
      </c>
      <c r="F411" t="s">
        <v>1474</v>
      </c>
      <c r="G411" s="1">
        <v>46069</v>
      </c>
    </row>
    <row r="412" spans="1:7" x14ac:dyDescent="0.25">
      <c r="A412" t="s">
        <v>377</v>
      </c>
      <c r="B412" t="s">
        <v>1497</v>
      </c>
      <c r="C412" s="1">
        <v>46079</v>
      </c>
      <c r="D412">
        <v>122</v>
      </c>
      <c r="E412">
        <v>191.69</v>
      </c>
      <c r="F412" t="s">
        <v>1459</v>
      </c>
      <c r="G412" s="1">
        <v>46088</v>
      </c>
    </row>
    <row r="413" spans="1:7" x14ac:dyDescent="0.25">
      <c r="A413" t="s">
        <v>378</v>
      </c>
      <c r="B413" t="s">
        <v>1489</v>
      </c>
      <c r="C413" s="1">
        <v>46118</v>
      </c>
      <c r="D413">
        <v>222</v>
      </c>
      <c r="E413">
        <v>141.88</v>
      </c>
      <c r="F413" t="s">
        <v>1487</v>
      </c>
      <c r="G413" s="1">
        <v>46129</v>
      </c>
    </row>
    <row r="414" spans="1:7" x14ac:dyDescent="0.25">
      <c r="A414" t="s">
        <v>1113</v>
      </c>
      <c r="B414" t="s">
        <v>1482</v>
      </c>
      <c r="C414" s="1">
        <v>46043</v>
      </c>
      <c r="D414">
        <v>279</v>
      </c>
      <c r="E414">
        <v>92.12</v>
      </c>
      <c r="F414" t="s">
        <v>1499</v>
      </c>
      <c r="G414" s="1">
        <v>46059</v>
      </c>
    </row>
    <row r="415" spans="1:7" x14ac:dyDescent="0.25">
      <c r="A415" t="s">
        <v>379</v>
      </c>
      <c r="B415" t="s">
        <v>1492</v>
      </c>
      <c r="C415" s="1">
        <v>46167</v>
      </c>
      <c r="D415">
        <v>67</v>
      </c>
      <c r="E415">
        <v>17.04</v>
      </c>
      <c r="F415" t="s">
        <v>1442</v>
      </c>
      <c r="G415" s="1">
        <v>46188</v>
      </c>
    </row>
    <row r="416" spans="1:7" x14ac:dyDescent="0.25">
      <c r="A416" t="s">
        <v>380</v>
      </c>
      <c r="B416" t="s">
        <v>1505</v>
      </c>
      <c r="C416" s="1">
        <v>46169</v>
      </c>
      <c r="D416">
        <v>284</v>
      </c>
      <c r="E416">
        <v>34.22</v>
      </c>
      <c r="F416" t="s">
        <v>1472</v>
      </c>
      <c r="G416" s="1">
        <v>46190</v>
      </c>
    </row>
    <row r="417" spans="1:7" x14ac:dyDescent="0.25">
      <c r="A417" t="s">
        <v>381</v>
      </c>
      <c r="B417" t="s">
        <v>1478</v>
      </c>
      <c r="C417" s="1">
        <v>46052</v>
      </c>
      <c r="D417">
        <v>358</v>
      </c>
      <c r="E417">
        <v>45.05</v>
      </c>
      <c r="F417" t="s">
        <v>1480</v>
      </c>
      <c r="G417" s="1">
        <v>46072</v>
      </c>
    </row>
    <row r="418" spans="1:7" x14ac:dyDescent="0.25">
      <c r="A418" t="s">
        <v>382</v>
      </c>
      <c r="B418" t="s">
        <v>1457</v>
      </c>
      <c r="C418" s="1">
        <v>46153</v>
      </c>
      <c r="D418">
        <v>238</v>
      </c>
      <c r="E418">
        <v>162.69</v>
      </c>
      <c r="F418" t="s">
        <v>1469</v>
      </c>
      <c r="G418" s="1">
        <v>46162</v>
      </c>
    </row>
    <row r="419" spans="1:7" x14ac:dyDescent="0.25">
      <c r="A419" t="s">
        <v>383</v>
      </c>
      <c r="B419" t="s">
        <v>1445</v>
      </c>
      <c r="C419" s="1">
        <v>46129</v>
      </c>
      <c r="D419">
        <v>243</v>
      </c>
      <c r="E419">
        <v>114.96</v>
      </c>
      <c r="F419" t="s">
        <v>1442</v>
      </c>
      <c r="G419" s="1">
        <v>46148</v>
      </c>
    </row>
    <row r="420" spans="1:7" x14ac:dyDescent="0.25">
      <c r="A420" t="s">
        <v>384</v>
      </c>
      <c r="B420" t="s">
        <v>1461</v>
      </c>
      <c r="C420" s="1">
        <v>46101</v>
      </c>
      <c r="D420">
        <v>380</v>
      </c>
      <c r="E420">
        <v>9.25</v>
      </c>
      <c r="F420" t="s">
        <v>1458</v>
      </c>
      <c r="G420" s="1">
        <v>46106</v>
      </c>
    </row>
    <row r="421" spans="1:7" x14ac:dyDescent="0.25">
      <c r="A421" t="s">
        <v>385</v>
      </c>
      <c r="B421" t="s">
        <v>1465</v>
      </c>
      <c r="C421" s="1">
        <v>46078</v>
      </c>
      <c r="D421">
        <v>306</v>
      </c>
      <c r="E421">
        <v>19.239999999999998</v>
      </c>
      <c r="F421" t="s">
        <v>1507</v>
      </c>
      <c r="G421" s="1">
        <v>46094</v>
      </c>
    </row>
    <row r="422" spans="1:7" x14ac:dyDescent="0.25">
      <c r="A422" t="s">
        <v>1122</v>
      </c>
      <c r="B422" t="s">
        <v>1449</v>
      </c>
      <c r="C422" s="1">
        <v>46039</v>
      </c>
      <c r="D422">
        <v>287</v>
      </c>
      <c r="E422">
        <v>198.85</v>
      </c>
      <c r="F422" t="s">
        <v>1476</v>
      </c>
      <c r="G422" s="1">
        <v>46059</v>
      </c>
    </row>
    <row r="423" spans="1:7" x14ac:dyDescent="0.25">
      <c r="A423" t="s">
        <v>386</v>
      </c>
      <c r="B423" t="s">
        <v>1452</v>
      </c>
      <c r="C423" s="1">
        <v>46096</v>
      </c>
      <c r="D423">
        <v>219</v>
      </c>
      <c r="E423">
        <v>40.1</v>
      </c>
      <c r="F423" t="s">
        <v>1485</v>
      </c>
      <c r="G423" s="1">
        <v>46114</v>
      </c>
    </row>
    <row r="424" spans="1:7" x14ac:dyDescent="0.25">
      <c r="A424" t="s">
        <v>387</v>
      </c>
      <c r="B424" t="s">
        <v>1496</v>
      </c>
      <c r="C424" s="1">
        <v>46120</v>
      </c>
      <c r="D424">
        <v>239</v>
      </c>
      <c r="E424">
        <v>174.58</v>
      </c>
      <c r="F424" t="s">
        <v>1453</v>
      </c>
      <c r="G424" s="1">
        <v>46137</v>
      </c>
    </row>
    <row r="425" spans="1:7" x14ac:dyDescent="0.25">
      <c r="A425" t="s">
        <v>1126</v>
      </c>
      <c r="B425" t="s">
        <v>1457</v>
      </c>
      <c r="C425" s="1">
        <v>46161</v>
      </c>
      <c r="D425">
        <v>78</v>
      </c>
      <c r="E425">
        <v>132.44</v>
      </c>
      <c r="F425" t="s">
        <v>1451</v>
      </c>
      <c r="G425" s="1">
        <v>46169</v>
      </c>
    </row>
    <row r="426" spans="1:7" x14ac:dyDescent="0.25">
      <c r="A426" t="s">
        <v>388</v>
      </c>
      <c r="B426" t="s">
        <v>1486</v>
      </c>
      <c r="C426" s="1">
        <v>46160</v>
      </c>
      <c r="D426">
        <v>211</v>
      </c>
      <c r="E426">
        <v>108.12</v>
      </c>
      <c r="F426" t="s">
        <v>1490</v>
      </c>
      <c r="G426" s="1">
        <v>46172</v>
      </c>
    </row>
    <row r="427" spans="1:7" x14ac:dyDescent="0.25">
      <c r="A427" t="s">
        <v>389</v>
      </c>
      <c r="B427" t="s">
        <v>1481</v>
      </c>
      <c r="C427" s="1">
        <v>46028</v>
      </c>
      <c r="D427">
        <v>162</v>
      </c>
      <c r="E427">
        <v>95.29</v>
      </c>
      <c r="F427" t="s">
        <v>1490</v>
      </c>
      <c r="G427" s="1">
        <v>46046</v>
      </c>
    </row>
    <row r="428" spans="1:7" x14ac:dyDescent="0.25">
      <c r="A428" t="s">
        <v>390</v>
      </c>
      <c r="B428" t="s">
        <v>1471</v>
      </c>
      <c r="C428" s="1">
        <v>46120</v>
      </c>
      <c r="D428">
        <v>431</v>
      </c>
      <c r="E428">
        <v>49.78</v>
      </c>
      <c r="F428" t="s">
        <v>1469</v>
      </c>
      <c r="G428" s="1">
        <v>46136</v>
      </c>
    </row>
    <row r="429" spans="1:7" x14ac:dyDescent="0.25">
      <c r="A429" t="s">
        <v>391</v>
      </c>
      <c r="B429" t="s">
        <v>1464</v>
      </c>
      <c r="C429" s="1">
        <v>46093</v>
      </c>
      <c r="D429">
        <v>106</v>
      </c>
      <c r="E429">
        <v>187.8</v>
      </c>
      <c r="F429" t="s">
        <v>1490</v>
      </c>
      <c r="G429" s="1">
        <v>46101</v>
      </c>
    </row>
    <row r="430" spans="1:7" x14ac:dyDescent="0.25">
      <c r="A430" t="s">
        <v>392</v>
      </c>
      <c r="B430" t="s">
        <v>1452</v>
      </c>
      <c r="C430" s="1">
        <v>46130</v>
      </c>
      <c r="D430">
        <v>324</v>
      </c>
      <c r="E430">
        <v>154.38</v>
      </c>
      <c r="F430" t="s">
        <v>1448</v>
      </c>
      <c r="G430" s="1">
        <v>46142</v>
      </c>
    </row>
    <row r="431" spans="1:7" x14ac:dyDescent="0.25">
      <c r="A431" t="s">
        <v>393</v>
      </c>
      <c r="B431" t="s">
        <v>1463</v>
      </c>
      <c r="C431" s="1">
        <v>46040</v>
      </c>
      <c r="D431">
        <v>61</v>
      </c>
      <c r="E431">
        <v>120.82</v>
      </c>
      <c r="F431" t="s">
        <v>1469</v>
      </c>
      <c r="G431" s="1">
        <v>46046</v>
      </c>
    </row>
    <row r="432" spans="1:7" x14ac:dyDescent="0.25">
      <c r="A432" t="s">
        <v>394</v>
      </c>
      <c r="B432" t="s">
        <v>1482</v>
      </c>
      <c r="C432" s="1">
        <v>46034</v>
      </c>
      <c r="D432">
        <v>215</v>
      </c>
      <c r="E432">
        <v>90.6</v>
      </c>
      <c r="F432" t="s">
        <v>1442</v>
      </c>
      <c r="G432" s="1">
        <v>46045</v>
      </c>
    </row>
    <row r="433" spans="1:7" x14ac:dyDescent="0.25">
      <c r="A433" t="s">
        <v>1135</v>
      </c>
      <c r="B433" t="s">
        <v>1475</v>
      </c>
      <c r="C433" s="1">
        <v>46058</v>
      </c>
      <c r="D433">
        <v>267</v>
      </c>
      <c r="E433">
        <v>198.73</v>
      </c>
      <c r="F433" t="s">
        <v>1440</v>
      </c>
      <c r="G433" s="1">
        <v>46073</v>
      </c>
    </row>
    <row r="434" spans="1:7" x14ac:dyDescent="0.25">
      <c r="A434" t="s">
        <v>395</v>
      </c>
      <c r="B434" t="s">
        <v>1493</v>
      </c>
      <c r="C434" s="1">
        <v>46105</v>
      </c>
      <c r="D434">
        <v>131</v>
      </c>
      <c r="E434">
        <v>63.84</v>
      </c>
      <c r="F434" t="s">
        <v>1485</v>
      </c>
      <c r="G434" s="1">
        <v>46126</v>
      </c>
    </row>
    <row r="435" spans="1:7" x14ac:dyDescent="0.25">
      <c r="A435" t="s">
        <v>396</v>
      </c>
      <c r="B435" t="s">
        <v>1447</v>
      </c>
      <c r="C435" s="1">
        <v>46128</v>
      </c>
      <c r="D435">
        <v>163</v>
      </c>
      <c r="E435">
        <v>58.66</v>
      </c>
      <c r="F435" t="s">
        <v>1442</v>
      </c>
      <c r="G435" s="1">
        <v>46138</v>
      </c>
    </row>
    <row r="436" spans="1:7" x14ac:dyDescent="0.25">
      <c r="A436" t="s">
        <v>397</v>
      </c>
      <c r="B436" t="s">
        <v>1439</v>
      </c>
      <c r="C436" s="1">
        <v>46132</v>
      </c>
      <c r="D436">
        <v>294</v>
      </c>
      <c r="E436">
        <v>101.65</v>
      </c>
      <c r="F436" t="s">
        <v>1451</v>
      </c>
      <c r="G436" s="1">
        <v>46149</v>
      </c>
    </row>
    <row r="437" spans="1:7" x14ac:dyDescent="0.25">
      <c r="A437" t="s">
        <v>398</v>
      </c>
      <c r="B437" t="s">
        <v>1491</v>
      </c>
      <c r="C437" s="1">
        <v>46104</v>
      </c>
      <c r="D437">
        <v>366</v>
      </c>
      <c r="E437">
        <v>86.18</v>
      </c>
      <c r="F437" t="s">
        <v>1485</v>
      </c>
      <c r="G437" s="1">
        <v>46118</v>
      </c>
    </row>
    <row r="438" spans="1:7" x14ac:dyDescent="0.25">
      <c r="A438" t="s">
        <v>399</v>
      </c>
      <c r="B438" t="s">
        <v>1502</v>
      </c>
      <c r="C438" s="1">
        <v>46070</v>
      </c>
      <c r="D438">
        <v>396</v>
      </c>
      <c r="E438">
        <v>109.9</v>
      </c>
      <c r="F438" t="s">
        <v>1440</v>
      </c>
      <c r="G438" s="1">
        <v>46082</v>
      </c>
    </row>
    <row r="439" spans="1:7" x14ac:dyDescent="0.25">
      <c r="A439" t="s">
        <v>400</v>
      </c>
      <c r="B439" t="s">
        <v>1512</v>
      </c>
      <c r="C439" s="1">
        <v>46059</v>
      </c>
      <c r="D439">
        <v>422</v>
      </c>
      <c r="E439">
        <v>95.29</v>
      </c>
      <c r="F439" t="s">
        <v>1459</v>
      </c>
      <c r="G439" s="1">
        <v>46077</v>
      </c>
    </row>
    <row r="440" spans="1:7" x14ac:dyDescent="0.25">
      <c r="A440" t="s">
        <v>1143</v>
      </c>
      <c r="B440" t="s">
        <v>1495</v>
      </c>
      <c r="C440" s="1">
        <v>46165</v>
      </c>
      <c r="D440">
        <v>281</v>
      </c>
      <c r="E440">
        <v>31.15</v>
      </c>
      <c r="F440" t="s">
        <v>1440</v>
      </c>
      <c r="G440" s="1">
        <v>46178</v>
      </c>
    </row>
    <row r="441" spans="1:7" x14ac:dyDescent="0.25">
      <c r="A441" t="s">
        <v>401</v>
      </c>
      <c r="B441" t="s">
        <v>1463</v>
      </c>
      <c r="C441" s="1">
        <v>46107</v>
      </c>
      <c r="D441">
        <v>341</v>
      </c>
      <c r="E441">
        <v>20.420000000000002</v>
      </c>
      <c r="F441" t="s">
        <v>1469</v>
      </c>
      <c r="G441" s="1">
        <v>46123</v>
      </c>
    </row>
    <row r="442" spans="1:7" x14ac:dyDescent="0.25">
      <c r="A442" t="s">
        <v>402</v>
      </c>
      <c r="B442" t="s">
        <v>1457</v>
      </c>
      <c r="C442" s="1">
        <v>46160</v>
      </c>
      <c r="D442">
        <v>380</v>
      </c>
      <c r="E442">
        <v>166.73</v>
      </c>
      <c r="F442" t="s">
        <v>1462</v>
      </c>
      <c r="G442" s="1">
        <v>46173</v>
      </c>
    </row>
    <row r="443" spans="1:7" x14ac:dyDescent="0.25">
      <c r="A443" t="s">
        <v>403</v>
      </c>
      <c r="B443" t="s">
        <v>1502</v>
      </c>
      <c r="C443" s="1">
        <v>46033</v>
      </c>
      <c r="D443">
        <v>457</v>
      </c>
      <c r="E443">
        <v>19.190000000000001</v>
      </c>
      <c r="F443" t="s">
        <v>1456</v>
      </c>
      <c r="G443" s="1">
        <v>46044</v>
      </c>
    </row>
    <row r="444" spans="1:7" x14ac:dyDescent="0.25">
      <c r="A444" t="s">
        <v>404</v>
      </c>
      <c r="B444" t="s">
        <v>1510</v>
      </c>
      <c r="C444" s="1">
        <v>46076</v>
      </c>
      <c r="D444">
        <v>455</v>
      </c>
      <c r="E444">
        <v>181.87</v>
      </c>
      <c r="F444" t="s">
        <v>1459</v>
      </c>
      <c r="G444" s="1">
        <v>46081</v>
      </c>
    </row>
    <row r="445" spans="1:7" x14ac:dyDescent="0.25">
      <c r="A445" t="s">
        <v>405</v>
      </c>
      <c r="B445" t="s">
        <v>1463</v>
      </c>
      <c r="C445" s="1">
        <v>46071</v>
      </c>
      <c r="D445">
        <v>389</v>
      </c>
      <c r="E445">
        <v>27.88</v>
      </c>
      <c r="F445" t="s">
        <v>1456</v>
      </c>
      <c r="G445" s="1">
        <v>46091</v>
      </c>
    </row>
    <row r="446" spans="1:7" x14ac:dyDescent="0.25">
      <c r="A446" t="s">
        <v>406</v>
      </c>
      <c r="B446" t="s">
        <v>1482</v>
      </c>
      <c r="C446" s="1">
        <v>46075</v>
      </c>
      <c r="D446">
        <v>213</v>
      </c>
      <c r="E446">
        <v>183.45</v>
      </c>
      <c r="F446" t="s">
        <v>1442</v>
      </c>
      <c r="G446" s="1">
        <v>46090</v>
      </c>
    </row>
    <row r="447" spans="1:7" x14ac:dyDescent="0.25">
      <c r="A447" t="s">
        <v>407</v>
      </c>
      <c r="B447" t="s">
        <v>1506</v>
      </c>
      <c r="C447" s="1">
        <v>46120</v>
      </c>
      <c r="D447">
        <v>248</v>
      </c>
      <c r="E447">
        <v>109.06</v>
      </c>
      <c r="F447" t="s">
        <v>1459</v>
      </c>
      <c r="G447" s="1">
        <v>46134</v>
      </c>
    </row>
    <row r="448" spans="1:7" x14ac:dyDescent="0.25">
      <c r="A448" t="s">
        <v>408</v>
      </c>
      <c r="B448" t="s">
        <v>1470</v>
      </c>
      <c r="C448" s="1">
        <v>46115</v>
      </c>
      <c r="D448">
        <v>272</v>
      </c>
      <c r="E448">
        <v>177.15</v>
      </c>
      <c r="F448" t="s">
        <v>1469</v>
      </c>
      <c r="G448" s="1">
        <v>46123</v>
      </c>
    </row>
    <row r="449" spans="1:7" x14ac:dyDescent="0.25">
      <c r="A449" t="s">
        <v>409</v>
      </c>
      <c r="B449" t="s">
        <v>1477</v>
      </c>
      <c r="C449" s="1">
        <v>46143</v>
      </c>
      <c r="D449">
        <v>399</v>
      </c>
      <c r="E449">
        <v>168.75</v>
      </c>
      <c r="F449" t="s">
        <v>1444</v>
      </c>
      <c r="G449" s="1">
        <v>46159</v>
      </c>
    </row>
    <row r="450" spans="1:7" x14ac:dyDescent="0.25">
      <c r="A450" t="s">
        <v>410</v>
      </c>
      <c r="B450" t="s">
        <v>1509</v>
      </c>
      <c r="C450" s="1">
        <v>46128</v>
      </c>
      <c r="D450">
        <v>33</v>
      </c>
      <c r="E450">
        <v>114.69</v>
      </c>
      <c r="F450" t="s">
        <v>1440</v>
      </c>
      <c r="G450" s="1">
        <v>46137</v>
      </c>
    </row>
    <row r="451" spans="1:7" x14ac:dyDescent="0.25">
      <c r="A451" t="s">
        <v>411</v>
      </c>
      <c r="B451" t="s">
        <v>1473</v>
      </c>
      <c r="C451" s="1">
        <v>46089</v>
      </c>
      <c r="D451">
        <v>293</v>
      </c>
      <c r="E451">
        <v>187.28</v>
      </c>
      <c r="F451" t="s">
        <v>1480</v>
      </c>
      <c r="G451" s="1">
        <v>46107</v>
      </c>
    </row>
    <row r="452" spans="1:7" x14ac:dyDescent="0.25">
      <c r="A452" t="s">
        <v>412</v>
      </c>
      <c r="B452" t="s">
        <v>1506</v>
      </c>
      <c r="C452" s="1">
        <v>46062</v>
      </c>
      <c r="D452">
        <v>110</v>
      </c>
      <c r="E452">
        <v>69.319999999999993</v>
      </c>
      <c r="F452" t="s">
        <v>1453</v>
      </c>
      <c r="G452" s="1">
        <v>46074</v>
      </c>
    </row>
    <row r="453" spans="1:7" x14ac:dyDescent="0.25">
      <c r="A453" t="s">
        <v>413</v>
      </c>
      <c r="B453" t="s">
        <v>1498</v>
      </c>
      <c r="C453" s="1">
        <v>46163</v>
      </c>
      <c r="D453">
        <v>345</v>
      </c>
      <c r="E453">
        <v>188.98</v>
      </c>
      <c r="F453" t="s">
        <v>1472</v>
      </c>
      <c r="G453" s="1">
        <v>46176</v>
      </c>
    </row>
    <row r="454" spans="1:7" x14ac:dyDescent="0.25">
      <c r="A454" t="s">
        <v>414</v>
      </c>
      <c r="B454" t="s">
        <v>1498</v>
      </c>
      <c r="C454" s="1">
        <v>46148</v>
      </c>
      <c r="D454">
        <v>245</v>
      </c>
      <c r="E454">
        <v>37.81</v>
      </c>
      <c r="F454" t="s">
        <v>1451</v>
      </c>
      <c r="G454" s="1">
        <v>46158</v>
      </c>
    </row>
    <row r="455" spans="1:7" x14ac:dyDescent="0.25">
      <c r="A455" t="s">
        <v>415</v>
      </c>
      <c r="B455" t="s">
        <v>1441</v>
      </c>
      <c r="C455" s="1">
        <v>46162</v>
      </c>
      <c r="D455">
        <v>260</v>
      </c>
      <c r="E455">
        <v>40.89</v>
      </c>
      <c r="F455" t="s">
        <v>1442</v>
      </c>
      <c r="G455" s="1">
        <v>46168</v>
      </c>
    </row>
    <row r="456" spans="1:7" x14ac:dyDescent="0.25">
      <c r="A456" t="s">
        <v>416</v>
      </c>
      <c r="B456" t="s">
        <v>1491</v>
      </c>
      <c r="C456" s="1">
        <v>46031</v>
      </c>
      <c r="D456">
        <v>439</v>
      </c>
      <c r="E456">
        <v>170.11</v>
      </c>
      <c r="F456" t="s">
        <v>1467</v>
      </c>
      <c r="G456" s="1">
        <v>46037</v>
      </c>
    </row>
    <row r="457" spans="1:7" x14ac:dyDescent="0.25">
      <c r="A457" t="s">
        <v>417</v>
      </c>
      <c r="B457" t="s">
        <v>1481</v>
      </c>
      <c r="C457" s="1">
        <v>46128</v>
      </c>
      <c r="D457">
        <v>80</v>
      </c>
      <c r="E457">
        <v>169.3</v>
      </c>
      <c r="F457" t="s">
        <v>1440</v>
      </c>
      <c r="G457" s="1">
        <v>46135</v>
      </c>
    </row>
    <row r="458" spans="1:7" x14ac:dyDescent="0.25">
      <c r="A458" t="s">
        <v>418</v>
      </c>
      <c r="B458" t="s">
        <v>1455</v>
      </c>
      <c r="C458" s="1">
        <v>46061</v>
      </c>
      <c r="D458">
        <v>14</v>
      </c>
      <c r="E458">
        <v>47.65</v>
      </c>
      <c r="F458" t="s">
        <v>1469</v>
      </c>
      <c r="G458" s="1">
        <v>46077</v>
      </c>
    </row>
    <row r="459" spans="1:7" x14ac:dyDescent="0.25">
      <c r="A459" t="s">
        <v>1164</v>
      </c>
      <c r="B459" t="s">
        <v>1475</v>
      </c>
      <c r="C459" s="1">
        <v>46146</v>
      </c>
      <c r="D459">
        <v>347</v>
      </c>
      <c r="E459">
        <v>100.13</v>
      </c>
      <c r="F459" t="s">
        <v>1448</v>
      </c>
      <c r="G459" s="1">
        <v>46164</v>
      </c>
    </row>
    <row r="460" spans="1:7" x14ac:dyDescent="0.25">
      <c r="A460" t="s">
        <v>419</v>
      </c>
      <c r="B460" t="s">
        <v>1481</v>
      </c>
      <c r="C460" s="1">
        <v>46027</v>
      </c>
      <c r="D460">
        <v>281</v>
      </c>
      <c r="E460">
        <v>145.83000000000001</v>
      </c>
      <c r="F460" t="s">
        <v>1442</v>
      </c>
      <c r="G460" s="1">
        <v>46041</v>
      </c>
    </row>
    <row r="461" spans="1:7" x14ac:dyDescent="0.25">
      <c r="A461" t="s">
        <v>420</v>
      </c>
      <c r="B461" t="s">
        <v>1473</v>
      </c>
      <c r="C461" s="1">
        <v>46151</v>
      </c>
      <c r="D461">
        <v>426</v>
      </c>
      <c r="E461">
        <v>141.08000000000001</v>
      </c>
      <c r="F461" t="s">
        <v>1507</v>
      </c>
      <c r="G461" s="1">
        <v>46161</v>
      </c>
    </row>
    <row r="462" spans="1:7" x14ac:dyDescent="0.25">
      <c r="A462" t="s">
        <v>421</v>
      </c>
      <c r="B462" t="s">
        <v>1450</v>
      </c>
      <c r="C462" s="1">
        <v>46047</v>
      </c>
      <c r="D462">
        <v>278</v>
      </c>
      <c r="E462">
        <v>34.04</v>
      </c>
      <c r="F462" t="s">
        <v>1444</v>
      </c>
      <c r="G462" s="1">
        <v>46068</v>
      </c>
    </row>
    <row r="463" spans="1:7" x14ac:dyDescent="0.25">
      <c r="A463" t="s">
        <v>422</v>
      </c>
      <c r="B463" t="s">
        <v>1470</v>
      </c>
      <c r="C463" s="1">
        <v>46113</v>
      </c>
      <c r="D463">
        <v>146</v>
      </c>
      <c r="E463">
        <v>160.01</v>
      </c>
      <c r="F463" t="s">
        <v>1476</v>
      </c>
      <c r="G463" s="1">
        <v>46129</v>
      </c>
    </row>
    <row r="464" spans="1:7" x14ac:dyDescent="0.25">
      <c r="A464" t="s">
        <v>423</v>
      </c>
      <c r="B464" t="s">
        <v>1488</v>
      </c>
      <c r="C464" s="1">
        <v>46140</v>
      </c>
      <c r="D464">
        <v>299</v>
      </c>
      <c r="E464">
        <v>52.43</v>
      </c>
      <c r="F464" t="s">
        <v>1499</v>
      </c>
      <c r="G464" s="1">
        <v>46152</v>
      </c>
    </row>
    <row r="465" spans="1:7" x14ac:dyDescent="0.25">
      <c r="A465" t="s">
        <v>424</v>
      </c>
      <c r="B465" t="s">
        <v>1512</v>
      </c>
      <c r="C465" s="1">
        <v>46043</v>
      </c>
      <c r="D465">
        <v>344</v>
      </c>
      <c r="E465">
        <v>198.38</v>
      </c>
      <c r="F465" t="s">
        <v>1446</v>
      </c>
      <c r="G465" s="1">
        <v>46049</v>
      </c>
    </row>
    <row r="466" spans="1:7" x14ac:dyDescent="0.25">
      <c r="A466" t="s">
        <v>425</v>
      </c>
      <c r="B466" t="s">
        <v>1457</v>
      </c>
      <c r="C466" s="1">
        <v>46126</v>
      </c>
      <c r="D466">
        <v>204</v>
      </c>
      <c r="E466">
        <v>78.55</v>
      </c>
      <c r="F466" t="s">
        <v>1487</v>
      </c>
      <c r="G466" s="1">
        <v>46132</v>
      </c>
    </row>
    <row r="467" spans="1:7" x14ac:dyDescent="0.25">
      <c r="A467" t="s">
        <v>426</v>
      </c>
      <c r="B467" t="s">
        <v>1439</v>
      </c>
      <c r="C467" s="1">
        <v>46025</v>
      </c>
      <c r="D467">
        <v>369</v>
      </c>
      <c r="E467">
        <v>38.42</v>
      </c>
      <c r="F467" t="s">
        <v>1487</v>
      </c>
      <c r="G467" s="1">
        <v>46043</v>
      </c>
    </row>
    <row r="468" spans="1:7" x14ac:dyDescent="0.25">
      <c r="A468" t="s">
        <v>427</v>
      </c>
      <c r="B468" t="s">
        <v>1508</v>
      </c>
      <c r="C468" s="1">
        <v>46107</v>
      </c>
      <c r="D468">
        <v>299</v>
      </c>
      <c r="E468">
        <v>195.58</v>
      </c>
      <c r="F468" t="s">
        <v>1483</v>
      </c>
      <c r="G468" s="1">
        <v>46128</v>
      </c>
    </row>
    <row r="469" spans="1:7" x14ac:dyDescent="0.25">
      <c r="A469" t="s">
        <v>428</v>
      </c>
      <c r="B469" t="s">
        <v>1452</v>
      </c>
      <c r="C469" s="1">
        <v>46081</v>
      </c>
      <c r="D469">
        <v>118</v>
      </c>
      <c r="E469">
        <v>180.75</v>
      </c>
      <c r="F469" t="s">
        <v>1499</v>
      </c>
      <c r="G469" s="1">
        <v>46101</v>
      </c>
    </row>
    <row r="470" spans="1:7" x14ac:dyDescent="0.25">
      <c r="A470" t="s">
        <v>429</v>
      </c>
      <c r="B470" t="s">
        <v>1511</v>
      </c>
      <c r="C470" s="1">
        <v>46034</v>
      </c>
      <c r="D470">
        <v>483</v>
      </c>
      <c r="E470">
        <v>19.5</v>
      </c>
      <c r="F470" t="s">
        <v>1458</v>
      </c>
      <c r="G470" s="1">
        <v>46040</v>
      </c>
    </row>
    <row r="471" spans="1:7" x14ac:dyDescent="0.25">
      <c r="A471" t="s">
        <v>1178</v>
      </c>
      <c r="B471" t="s">
        <v>1486</v>
      </c>
      <c r="C471" s="1">
        <v>46103</v>
      </c>
      <c r="D471">
        <v>18</v>
      </c>
      <c r="E471">
        <v>192.49</v>
      </c>
      <c r="F471" t="s">
        <v>1480</v>
      </c>
      <c r="G471" s="1">
        <v>46112</v>
      </c>
    </row>
    <row r="472" spans="1:7" x14ac:dyDescent="0.25">
      <c r="A472" t="s">
        <v>430</v>
      </c>
      <c r="B472" t="s">
        <v>1455</v>
      </c>
      <c r="C472" s="1">
        <v>46124</v>
      </c>
      <c r="D472">
        <v>485</v>
      </c>
      <c r="E472">
        <v>20</v>
      </c>
      <c r="F472" t="s">
        <v>1501</v>
      </c>
      <c r="G472" s="1">
        <v>46136</v>
      </c>
    </row>
    <row r="473" spans="1:7" x14ac:dyDescent="0.25">
      <c r="A473" t="s">
        <v>431</v>
      </c>
      <c r="B473" t="s">
        <v>1493</v>
      </c>
      <c r="C473" s="1">
        <v>46122</v>
      </c>
      <c r="D473">
        <v>356</v>
      </c>
      <c r="E473">
        <v>179.82</v>
      </c>
      <c r="F473" t="s">
        <v>1472</v>
      </c>
      <c r="G473" s="1">
        <v>46139</v>
      </c>
    </row>
    <row r="474" spans="1:7" x14ac:dyDescent="0.25">
      <c r="A474" t="s">
        <v>432</v>
      </c>
      <c r="B474" t="s">
        <v>1465</v>
      </c>
      <c r="C474" s="1">
        <v>46058</v>
      </c>
      <c r="D474">
        <v>414</v>
      </c>
      <c r="E474">
        <v>197.75</v>
      </c>
      <c r="F474" t="s">
        <v>1490</v>
      </c>
      <c r="G474" s="1">
        <v>46065</v>
      </c>
    </row>
    <row r="475" spans="1:7" x14ac:dyDescent="0.25">
      <c r="A475" t="s">
        <v>433</v>
      </c>
      <c r="B475" t="s">
        <v>1445</v>
      </c>
      <c r="C475" s="1">
        <v>46111</v>
      </c>
      <c r="D475">
        <v>37</v>
      </c>
      <c r="E475">
        <v>24.05</v>
      </c>
      <c r="F475" t="s">
        <v>1440</v>
      </c>
      <c r="G475" s="1">
        <v>46118</v>
      </c>
    </row>
    <row r="476" spans="1:7" x14ac:dyDescent="0.25">
      <c r="A476" t="s">
        <v>434</v>
      </c>
      <c r="B476" t="s">
        <v>1479</v>
      </c>
      <c r="C476" s="1">
        <v>46124</v>
      </c>
      <c r="D476">
        <v>406</v>
      </c>
      <c r="E476">
        <v>68.64</v>
      </c>
      <c r="F476" t="s">
        <v>1446</v>
      </c>
      <c r="G476" s="1">
        <v>46137</v>
      </c>
    </row>
    <row r="477" spans="1:7" x14ac:dyDescent="0.25">
      <c r="A477" t="s">
        <v>435</v>
      </c>
      <c r="B477" t="s">
        <v>1478</v>
      </c>
      <c r="C477" s="1">
        <v>46148</v>
      </c>
      <c r="D477">
        <v>126</v>
      </c>
      <c r="E477">
        <v>74.38</v>
      </c>
      <c r="F477" t="s">
        <v>1453</v>
      </c>
      <c r="G477" s="1">
        <v>46166</v>
      </c>
    </row>
    <row r="478" spans="1:7" x14ac:dyDescent="0.25">
      <c r="A478" t="s">
        <v>1187</v>
      </c>
      <c r="B478" t="s">
        <v>1486</v>
      </c>
      <c r="C478" s="1">
        <v>46172</v>
      </c>
      <c r="D478">
        <v>348</v>
      </c>
      <c r="E478">
        <v>79.11</v>
      </c>
      <c r="F478" t="s">
        <v>1456</v>
      </c>
      <c r="G478" s="1">
        <v>46186</v>
      </c>
    </row>
    <row r="479" spans="1:7" x14ac:dyDescent="0.25">
      <c r="A479" t="s">
        <v>436</v>
      </c>
      <c r="B479" t="s">
        <v>1482</v>
      </c>
      <c r="C479" s="1">
        <v>46041</v>
      </c>
      <c r="D479">
        <v>52</v>
      </c>
      <c r="E479">
        <v>57.25</v>
      </c>
      <c r="F479" t="s">
        <v>1453</v>
      </c>
      <c r="G479" s="1">
        <v>46050</v>
      </c>
    </row>
    <row r="480" spans="1:7" x14ac:dyDescent="0.25">
      <c r="A480" t="s">
        <v>437</v>
      </c>
      <c r="B480" t="s">
        <v>1465</v>
      </c>
      <c r="C480" s="1">
        <v>46122</v>
      </c>
      <c r="D480">
        <v>172</v>
      </c>
      <c r="E480">
        <v>75.34</v>
      </c>
      <c r="F480" t="s">
        <v>1476</v>
      </c>
      <c r="G480" s="1">
        <v>46127</v>
      </c>
    </row>
    <row r="481" spans="1:7" x14ac:dyDescent="0.25">
      <c r="A481" t="s">
        <v>1191</v>
      </c>
      <c r="B481" t="s">
        <v>1512</v>
      </c>
      <c r="C481" s="1">
        <v>46136</v>
      </c>
      <c r="D481">
        <v>194</v>
      </c>
      <c r="E481">
        <v>153.46</v>
      </c>
      <c r="F481" t="s">
        <v>1483</v>
      </c>
      <c r="G481" s="1">
        <v>46145</v>
      </c>
    </row>
    <row r="482" spans="1:7" x14ac:dyDescent="0.25">
      <c r="A482" t="s">
        <v>438</v>
      </c>
      <c r="B482" t="s">
        <v>1457</v>
      </c>
      <c r="C482" s="1">
        <v>46070</v>
      </c>
      <c r="D482">
        <v>230</v>
      </c>
      <c r="E482">
        <v>92.52</v>
      </c>
      <c r="F482" t="s">
        <v>1459</v>
      </c>
      <c r="G482" s="1">
        <v>46091</v>
      </c>
    </row>
    <row r="483" spans="1:7" x14ac:dyDescent="0.25">
      <c r="A483" t="s">
        <v>439</v>
      </c>
      <c r="B483" t="s">
        <v>1495</v>
      </c>
      <c r="C483" s="1">
        <v>46049</v>
      </c>
      <c r="D483">
        <v>23</v>
      </c>
      <c r="E483">
        <v>22.48</v>
      </c>
      <c r="F483" t="s">
        <v>1442</v>
      </c>
      <c r="G483" s="1">
        <v>46056</v>
      </c>
    </row>
    <row r="484" spans="1:7" x14ac:dyDescent="0.25">
      <c r="A484" t="s">
        <v>440</v>
      </c>
      <c r="B484" t="s">
        <v>1468</v>
      </c>
      <c r="C484" s="1">
        <v>46106</v>
      </c>
      <c r="D484">
        <v>452</v>
      </c>
      <c r="E484">
        <v>80.12</v>
      </c>
      <c r="F484" t="s">
        <v>1474</v>
      </c>
      <c r="G484" s="1">
        <v>46124</v>
      </c>
    </row>
    <row r="485" spans="1:7" x14ac:dyDescent="0.25">
      <c r="A485" t="s">
        <v>441</v>
      </c>
      <c r="B485" t="s">
        <v>1502</v>
      </c>
      <c r="C485" s="1">
        <v>46044</v>
      </c>
      <c r="D485">
        <v>381</v>
      </c>
      <c r="E485">
        <v>180.72</v>
      </c>
      <c r="F485" t="s">
        <v>1440</v>
      </c>
      <c r="G485" s="1">
        <v>46065</v>
      </c>
    </row>
    <row r="486" spans="1:7" x14ac:dyDescent="0.25">
      <c r="A486" t="s">
        <v>442</v>
      </c>
      <c r="B486" t="s">
        <v>1460</v>
      </c>
      <c r="C486" s="1">
        <v>46120</v>
      </c>
      <c r="D486">
        <v>96</v>
      </c>
      <c r="E486">
        <v>32.07</v>
      </c>
      <c r="F486" t="s">
        <v>1474</v>
      </c>
      <c r="G486" s="1">
        <v>46133</v>
      </c>
    </row>
    <row r="487" spans="1:7" x14ac:dyDescent="0.25">
      <c r="A487" t="s">
        <v>443</v>
      </c>
      <c r="B487" t="s">
        <v>1498</v>
      </c>
      <c r="C487" s="1">
        <v>46060</v>
      </c>
      <c r="D487">
        <v>42</v>
      </c>
      <c r="E487">
        <v>37.61</v>
      </c>
      <c r="F487" t="s">
        <v>1458</v>
      </c>
      <c r="G487" s="1">
        <v>46078</v>
      </c>
    </row>
    <row r="488" spans="1:7" x14ac:dyDescent="0.25">
      <c r="A488" t="s">
        <v>444</v>
      </c>
      <c r="B488" t="s">
        <v>1512</v>
      </c>
      <c r="C488" s="1">
        <v>46146</v>
      </c>
      <c r="D488">
        <v>410</v>
      </c>
      <c r="E488">
        <v>20</v>
      </c>
      <c r="F488" t="s">
        <v>1458</v>
      </c>
      <c r="G488" s="1">
        <v>46158</v>
      </c>
    </row>
    <row r="489" spans="1:7" x14ac:dyDescent="0.25">
      <c r="A489" t="s">
        <v>445</v>
      </c>
      <c r="B489" t="s">
        <v>1477</v>
      </c>
      <c r="C489" s="1">
        <v>46149</v>
      </c>
      <c r="D489">
        <v>314</v>
      </c>
      <c r="E489">
        <v>125.25</v>
      </c>
      <c r="F489" t="s">
        <v>1459</v>
      </c>
      <c r="G489" s="1">
        <v>46157</v>
      </c>
    </row>
    <row r="490" spans="1:7" x14ac:dyDescent="0.25">
      <c r="A490" t="s">
        <v>446</v>
      </c>
      <c r="B490" t="s">
        <v>1441</v>
      </c>
      <c r="C490" s="1">
        <v>46100</v>
      </c>
      <c r="D490">
        <v>13</v>
      </c>
      <c r="E490">
        <v>190.02</v>
      </c>
      <c r="F490" t="s">
        <v>1472</v>
      </c>
      <c r="G490" s="1">
        <v>46117</v>
      </c>
    </row>
    <row r="491" spans="1:7" x14ac:dyDescent="0.25">
      <c r="A491" t="s">
        <v>447</v>
      </c>
      <c r="B491" t="s">
        <v>1479</v>
      </c>
      <c r="C491" s="1">
        <v>46135</v>
      </c>
      <c r="D491">
        <v>181</v>
      </c>
      <c r="E491">
        <v>88.97</v>
      </c>
      <c r="F491" t="s">
        <v>1446</v>
      </c>
      <c r="G491" s="1">
        <v>46144</v>
      </c>
    </row>
    <row r="492" spans="1:7" x14ac:dyDescent="0.25">
      <c r="A492" t="s">
        <v>448</v>
      </c>
      <c r="B492" t="s">
        <v>1512</v>
      </c>
      <c r="C492" s="1">
        <v>46105</v>
      </c>
      <c r="D492">
        <v>318</v>
      </c>
      <c r="E492">
        <v>189.72</v>
      </c>
      <c r="F492" t="s">
        <v>1444</v>
      </c>
      <c r="G492" s="1">
        <v>46125</v>
      </c>
    </row>
    <row r="493" spans="1:7" x14ac:dyDescent="0.25">
      <c r="A493" t="s">
        <v>449</v>
      </c>
      <c r="B493" t="s">
        <v>1509</v>
      </c>
      <c r="C493" s="1">
        <v>46068</v>
      </c>
      <c r="D493">
        <v>213</v>
      </c>
      <c r="E493">
        <v>193.9</v>
      </c>
      <c r="F493" t="s">
        <v>1474</v>
      </c>
      <c r="G493" s="1">
        <v>46088</v>
      </c>
    </row>
    <row r="494" spans="1:7" x14ac:dyDescent="0.25">
      <c r="A494" t="s">
        <v>450</v>
      </c>
      <c r="B494" t="s">
        <v>1493</v>
      </c>
      <c r="C494" s="1">
        <v>46085</v>
      </c>
      <c r="D494">
        <v>176</v>
      </c>
      <c r="E494">
        <v>78.33</v>
      </c>
      <c r="F494" t="s">
        <v>1453</v>
      </c>
      <c r="G494" s="1">
        <v>46101</v>
      </c>
    </row>
    <row r="495" spans="1:7" x14ac:dyDescent="0.25">
      <c r="A495" t="s">
        <v>451</v>
      </c>
      <c r="B495" t="s">
        <v>1466</v>
      </c>
      <c r="C495" s="1">
        <v>46167</v>
      </c>
      <c r="D495">
        <v>112</v>
      </c>
      <c r="E495">
        <v>120.48</v>
      </c>
      <c r="F495" t="s">
        <v>1442</v>
      </c>
      <c r="G495" s="1">
        <v>46177</v>
      </c>
    </row>
    <row r="496" spans="1:7" x14ac:dyDescent="0.25">
      <c r="A496" t="s">
        <v>452</v>
      </c>
      <c r="B496" t="s">
        <v>1461</v>
      </c>
      <c r="C496" s="1">
        <v>46163</v>
      </c>
      <c r="D496">
        <v>23</v>
      </c>
      <c r="E496">
        <v>190.84</v>
      </c>
      <c r="F496" t="s">
        <v>1469</v>
      </c>
      <c r="G496" s="1">
        <v>46174</v>
      </c>
    </row>
    <row r="497" spans="1:7" x14ac:dyDescent="0.25">
      <c r="A497" t="s">
        <v>453</v>
      </c>
      <c r="B497" t="s">
        <v>1478</v>
      </c>
      <c r="C497" s="1">
        <v>46097</v>
      </c>
      <c r="D497">
        <v>435</v>
      </c>
      <c r="E497">
        <v>140.1</v>
      </c>
      <c r="F497" t="s">
        <v>1507</v>
      </c>
      <c r="G497" s="1">
        <v>46117</v>
      </c>
    </row>
    <row r="498" spans="1:7" x14ac:dyDescent="0.25">
      <c r="A498" t="s">
        <v>454</v>
      </c>
      <c r="B498" t="s">
        <v>1441</v>
      </c>
      <c r="C498" s="1">
        <v>46100</v>
      </c>
      <c r="D498">
        <v>133</v>
      </c>
      <c r="E498">
        <v>54.27</v>
      </c>
      <c r="F498" t="s">
        <v>1485</v>
      </c>
      <c r="G498" s="1">
        <v>46118</v>
      </c>
    </row>
    <row r="499" spans="1:7" x14ac:dyDescent="0.25">
      <c r="A499" t="s">
        <v>455</v>
      </c>
      <c r="B499" t="s">
        <v>1502</v>
      </c>
      <c r="C499" s="1">
        <v>46041</v>
      </c>
      <c r="D499">
        <v>239</v>
      </c>
      <c r="E499">
        <v>198.19</v>
      </c>
      <c r="F499" t="s">
        <v>1487</v>
      </c>
      <c r="G499" s="1">
        <v>46058</v>
      </c>
    </row>
    <row r="500" spans="1:7" x14ac:dyDescent="0.25">
      <c r="A500" t="s">
        <v>456</v>
      </c>
      <c r="B500" t="s">
        <v>1471</v>
      </c>
      <c r="C500" s="1">
        <v>46152</v>
      </c>
      <c r="D500">
        <v>482</v>
      </c>
      <c r="E500">
        <v>184.48</v>
      </c>
      <c r="F500" t="s">
        <v>1499</v>
      </c>
      <c r="G500" s="1">
        <v>46170</v>
      </c>
    </row>
    <row r="501" spans="1:7" x14ac:dyDescent="0.25">
      <c r="A501" t="s">
        <v>457</v>
      </c>
      <c r="B501" t="s">
        <v>1471</v>
      </c>
      <c r="C501" s="1">
        <v>46032</v>
      </c>
      <c r="D501">
        <v>414</v>
      </c>
      <c r="E501">
        <v>193.84</v>
      </c>
      <c r="F501" t="s">
        <v>1499</v>
      </c>
      <c r="G501" s="1">
        <v>46039</v>
      </c>
    </row>
    <row r="502" spans="1:7" x14ac:dyDescent="0.25">
      <c r="A502" t="s">
        <v>1216</v>
      </c>
      <c r="B502" t="s">
        <v>1450</v>
      </c>
      <c r="C502" s="1">
        <v>46086</v>
      </c>
      <c r="D502">
        <v>346</v>
      </c>
      <c r="E502">
        <v>134.62</v>
      </c>
      <c r="F502" t="s">
        <v>1501</v>
      </c>
      <c r="G502" s="1">
        <v>46092</v>
      </c>
    </row>
    <row r="503" spans="1:7" x14ac:dyDescent="0.25">
      <c r="A503" t="s">
        <v>458</v>
      </c>
      <c r="B503" t="s">
        <v>1493</v>
      </c>
      <c r="C503" s="1">
        <v>46125</v>
      </c>
      <c r="D503">
        <v>395</v>
      </c>
      <c r="E503">
        <v>69.66</v>
      </c>
      <c r="F503" t="s">
        <v>1507</v>
      </c>
      <c r="G503" s="1">
        <v>46133</v>
      </c>
    </row>
    <row r="504" spans="1:7" x14ac:dyDescent="0.25">
      <c r="A504" t="s">
        <v>459</v>
      </c>
      <c r="B504" t="s">
        <v>1481</v>
      </c>
      <c r="C504" s="1">
        <v>46048</v>
      </c>
      <c r="D504">
        <v>142</v>
      </c>
      <c r="E504">
        <v>48.29</v>
      </c>
      <c r="F504" t="s">
        <v>1490</v>
      </c>
      <c r="G504" s="1">
        <v>46069</v>
      </c>
    </row>
    <row r="505" spans="1:7" x14ac:dyDescent="0.25">
      <c r="A505" t="s">
        <v>460</v>
      </c>
      <c r="B505" t="s">
        <v>1454</v>
      </c>
      <c r="C505" s="1">
        <v>46171</v>
      </c>
      <c r="D505">
        <v>362</v>
      </c>
      <c r="E505">
        <v>117.17</v>
      </c>
      <c r="F505" t="s">
        <v>1469</v>
      </c>
      <c r="G505" s="1">
        <v>46187</v>
      </c>
    </row>
    <row r="506" spans="1:7" x14ac:dyDescent="0.25">
      <c r="A506" t="s">
        <v>461</v>
      </c>
      <c r="B506" t="s">
        <v>1488</v>
      </c>
      <c r="C506" s="1">
        <v>46141</v>
      </c>
      <c r="D506">
        <v>405</v>
      </c>
      <c r="E506">
        <v>137.51</v>
      </c>
      <c r="F506" t="s">
        <v>1499</v>
      </c>
      <c r="G506" s="1">
        <v>46162</v>
      </c>
    </row>
    <row r="507" spans="1:7" x14ac:dyDescent="0.25">
      <c r="A507" t="s">
        <v>462</v>
      </c>
      <c r="B507" t="s">
        <v>1464</v>
      </c>
      <c r="C507" s="1">
        <v>46111</v>
      </c>
      <c r="D507">
        <v>22</v>
      </c>
      <c r="E507">
        <v>99.14</v>
      </c>
      <c r="F507" t="s">
        <v>1474</v>
      </c>
      <c r="G507" s="1">
        <v>46129</v>
      </c>
    </row>
    <row r="508" spans="1:7" x14ac:dyDescent="0.25">
      <c r="A508" t="s">
        <v>1223</v>
      </c>
      <c r="B508" t="s">
        <v>1457</v>
      </c>
      <c r="C508" s="1">
        <v>46052</v>
      </c>
      <c r="D508">
        <v>435</v>
      </c>
      <c r="E508">
        <v>188.43</v>
      </c>
      <c r="F508" t="s">
        <v>1485</v>
      </c>
      <c r="G508" s="1">
        <v>46068</v>
      </c>
    </row>
    <row r="509" spans="1:7" x14ac:dyDescent="0.25">
      <c r="A509" t="s">
        <v>463</v>
      </c>
      <c r="B509" t="s">
        <v>1512</v>
      </c>
      <c r="C509" s="1">
        <v>46110</v>
      </c>
      <c r="D509">
        <v>243</v>
      </c>
      <c r="E509">
        <v>157.93</v>
      </c>
      <c r="F509" t="s">
        <v>1504</v>
      </c>
      <c r="G509" s="1">
        <v>46130</v>
      </c>
    </row>
    <row r="510" spans="1:7" x14ac:dyDescent="0.25">
      <c r="A510" t="s">
        <v>464</v>
      </c>
      <c r="B510" t="s">
        <v>1503</v>
      </c>
      <c r="C510" s="1">
        <v>46144</v>
      </c>
      <c r="D510">
        <v>59</v>
      </c>
      <c r="E510">
        <v>90.44</v>
      </c>
      <c r="F510" t="s">
        <v>1499</v>
      </c>
      <c r="G510" s="1">
        <v>46163</v>
      </c>
    </row>
    <row r="511" spans="1:7" x14ac:dyDescent="0.25">
      <c r="A511" t="s">
        <v>465</v>
      </c>
      <c r="B511" t="s">
        <v>1509</v>
      </c>
      <c r="C511" s="1">
        <v>46040</v>
      </c>
      <c r="D511">
        <v>163</v>
      </c>
      <c r="E511">
        <v>13.71</v>
      </c>
      <c r="F511" t="s">
        <v>1499</v>
      </c>
      <c r="G511" s="1">
        <v>46048</v>
      </c>
    </row>
    <row r="512" spans="1:7" x14ac:dyDescent="0.25">
      <c r="A512" t="s">
        <v>466</v>
      </c>
      <c r="B512" t="s">
        <v>1473</v>
      </c>
      <c r="C512" s="1">
        <v>46110</v>
      </c>
      <c r="D512">
        <v>341</v>
      </c>
      <c r="E512">
        <v>26.33</v>
      </c>
      <c r="F512" t="s">
        <v>1501</v>
      </c>
      <c r="G512" s="1">
        <v>46122</v>
      </c>
    </row>
    <row r="513" spans="1:7" x14ac:dyDescent="0.25">
      <c r="A513" t="s">
        <v>467</v>
      </c>
      <c r="B513" t="s">
        <v>1491</v>
      </c>
      <c r="C513" s="1">
        <v>46067</v>
      </c>
      <c r="D513">
        <v>292</v>
      </c>
      <c r="E513">
        <v>36.229999999999997</v>
      </c>
      <c r="F513" t="s">
        <v>1442</v>
      </c>
      <c r="G513" s="1">
        <v>46085</v>
      </c>
    </row>
    <row r="514" spans="1:7" x14ac:dyDescent="0.25">
      <c r="A514" t="s">
        <v>468</v>
      </c>
      <c r="B514" t="s">
        <v>1489</v>
      </c>
      <c r="C514" s="1">
        <v>46082</v>
      </c>
      <c r="D514">
        <v>418</v>
      </c>
      <c r="E514">
        <v>83.98</v>
      </c>
      <c r="F514" t="s">
        <v>1501</v>
      </c>
      <c r="G514" s="1">
        <v>46092</v>
      </c>
    </row>
    <row r="515" spans="1:7" x14ac:dyDescent="0.25">
      <c r="A515" t="s">
        <v>469</v>
      </c>
      <c r="B515" t="s">
        <v>1439</v>
      </c>
      <c r="C515" s="1">
        <v>46133</v>
      </c>
      <c r="D515">
        <v>212</v>
      </c>
      <c r="E515">
        <v>10.69</v>
      </c>
      <c r="F515" t="s">
        <v>1494</v>
      </c>
      <c r="G515" s="1">
        <v>46144</v>
      </c>
    </row>
    <row r="516" spans="1:7" x14ac:dyDescent="0.25">
      <c r="A516" t="s">
        <v>470</v>
      </c>
      <c r="B516" t="s">
        <v>1478</v>
      </c>
      <c r="C516" s="1">
        <v>46132</v>
      </c>
      <c r="D516">
        <v>209</v>
      </c>
      <c r="E516">
        <v>5.87</v>
      </c>
      <c r="F516" t="s">
        <v>1444</v>
      </c>
      <c r="G516" s="1">
        <v>46143</v>
      </c>
    </row>
    <row r="517" spans="1:7" x14ac:dyDescent="0.25">
      <c r="A517" t="s">
        <v>471</v>
      </c>
      <c r="B517" t="s">
        <v>1511</v>
      </c>
      <c r="C517" s="1">
        <v>46039</v>
      </c>
      <c r="D517">
        <v>305</v>
      </c>
      <c r="E517">
        <v>24.84</v>
      </c>
      <c r="F517" t="s">
        <v>1459</v>
      </c>
      <c r="G517" s="1">
        <v>46049</v>
      </c>
    </row>
    <row r="518" spans="1:7" x14ac:dyDescent="0.25">
      <c r="A518" t="s">
        <v>472</v>
      </c>
      <c r="B518" t="s">
        <v>1496</v>
      </c>
      <c r="C518" s="1">
        <v>46106</v>
      </c>
      <c r="D518">
        <v>110</v>
      </c>
      <c r="E518">
        <v>94.22</v>
      </c>
      <c r="F518" t="s">
        <v>1458</v>
      </c>
      <c r="G518" s="1">
        <v>46126</v>
      </c>
    </row>
    <row r="519" spans="1:7" x14ac:dyDescent="0.25">
      <c r="A519" t="s">
        <v>473</v>
      </c>
      <c r="B519" t="s">
        <v>1491</v>
      </c>
      <c r="C519" s="1">
        <v>46103</v>
      </c>
      <c r="D519">
        <v>315</v>
      </c>
      <c r="E519">
        <v>80.78</v>
      </c>
      <c r="F519" t="s">
        <v>1459</v>
      </c>
      <c r="G519" s="1">
        <v>46111</v>
      </c>
    </row>
    <row r="520" spans="1:7" x14ac:dyDescent="0.25">
      <c r="A520" t="s">
        <v>474</v>
      </c>
      <c r="B520" t="s">
        <v>1503</v>
      </c>
      <c r="C520" s="1">
        <v>46113</v>
      </c>
      <c r="D520">
        <v>442</v>
      </c>
      <c r="E520">
        <v>94.28</v>
      </c>
      <c r="F520" t="s">
        <v>1501</v>
      </c>
      <c r="G520" s="1">
        <v>46127</v>
      </c>
    </row>
    <row r="521" spans="1:7" x14ac:dyDescent="0.25">
      <c r="A521" t="s">
        <v>475</v>
      </c>
      <c r="B521" t="s">
        <v>1497</v>
      </c>
      <c r="C521" s="1">
        <v>46044</v>
      </c>
      <c r="D521">
        <v>354</v>
      </c>
      <c r="E521">
        <v>31.12</v>
      </c>
      <c r="F521" t="s">
        <v>1483</v>
      </c>
      <c r="G521" s="1">
        <v>46056</v>
      </c>
    </row>
    <row r="522" spans="1:7" x14ac:dyDescent="0.25">
      <c r="A522" t="s">
        <v>476</v>
      </c>
      <c r="B522" t="s">
        <v>1512</v>
      </c>
      <c r="C522" s="1">
        <v>46052</v>
      </c>
      <c r="D522">
        <v>103</v>
      </c>
      <c r="E522">
        <v>77.790000000000006</v>
      </c>
      <c r="F522" t="s">
        <v>1485</v>
      </c>
      <c r="G522" s="1">
        <v>46073</v>
      </c>
    </row>
    <row r="523" spans="1:7" x14ac:dyDescent="0.25">
      <c r="A523" t="s">
        <v>477</v>
      </c>
      <c r="B523" t="s">
        <v>1502</v>
      </c>
      <c r="C523" s="1">
        <v>46130</v>
      </c>
      <c r="D523">
        <v>315</v>
      </c>
      <c r="E523">
        <v>31.88</v>
      </c>
      <c r="F523" t="s">
        <v>1453</v>
      </c>
      <c r="G523" s="1">
        <v>46148</v>
      </c>
    </row>
    <row r="524" spans="1:7" x14ac:dyDescent="0.25">
      <c r="A524" t="s">
        <v>478</v>
      </c>
      <c r="B524" t="s">
        <v>1486</v>
      </c>
      <c r="C524" s="1">
        <v>46147</v>
      </c>
      <c r="D524">
        <v>335</v>
      </c>
      <c r="E524">
        <v>109.79</v>
      </c>
      <c r="F524" t="s">
        <v>1446</v>
      </c>
      <c r="G524" s="1">
        <v>46157</v>
      </c>
    </row>
    <row r="525" spans="1:7" x14ac:dyDescent="0.25">
      <c r="A525" t="s">
        <v>479</v>
      </c>
      <c r="B525" t="s">
        <v>1454</v>
      </c>
      <c r="C525" s="1">
        <v>46065</v>
      </c>
      <c r="D525">
        <v>260</v>
      </c>
      <c r="E525">
        <v>61.32</v>
      </c>
      <c r="F525" t="s">
        <v>1501</v>
      </c>
      <c r="G525" s="1">
        <v>46080</v>
      </c>
    </row>
    <row r="526" spans="1:7" x14ac:dyDescent="0.25">
      <c r="A526" t="s">
        <v>480</v>
      </c>
      <c r="B526" t="s">
        <v>1478</v>
      </c>
      <c r="C526" s="1">
        <v>46036</v>
      </c>
      <c r="D526">
        <v>453</v>
      </c>
      <c r="E526">
        <v>75.010000000000005</v>
      </c>
      <c r="F526" t="s">
        <v>1448</v>
      </c>
      <c r="G526" s="1">
        <v>46056</v>
      </c>
    </row>
    <row r="527" spans="1:7" x14ac:dyDescent="0.25">
      <c r="A527" t="s">
        <v>481</v>
      </c>
      <c r="B527" t="s">
        <v>1441</v>
      </c>
      <c r="C527" s="1">
        <v>46072</v>
      </c>
      <c r="D527">
        <v>427</v>
      </c>
      <c r="E527">
        <v>79.87</v>
      </c>
      <c r="F527" t="s">
        <v>1442</v>
      </c>
      <c r="G527" s="1">
        <v>46093</v>
      </c>
    </row>
    <row r="528" spans="1:7" x14ac:dyDescent="0.25">
      <c r="A528" t="s">
        <v>482</v>
      </c>
      <c r="B528" t="s">
        <v>1508</v>
      </c>
      <c r="C528" s="1">
        <v>46149</v>
      </c>
      <c r="D528">
        <v>219</v>
      </c>
      <c r="E528">
        <v>138.52000000000001</v>
      </c>
      <c r="F528" t="s">
        <v>1507</v>
      </c>
      <c r="G528" s="1">
        <v>46168</v>
      </c>
    </row>
    <row r="529" spans="1:7" x14ac:dyDescent="0.25">
      <c r="A529" t="s">
        <v>483</v>
      </c>
      <c r="B529" t="s">
        <v>1498</v>
      </c>
      <c r="C529" s="1">
        <v>46065</v>
      </c>
      <c r="D529">
        <v>52</v>
      </c>
      <c r="E529">
        <v>115.25</v>
      </c>
      <c r="F529" t="s">
        <v>1456</v>
      </c>
      <c r="G529" s="1">
        <v>46077</v>
      </c>
    </row>
    <row r="530" spans="1:7" x14ac:dyDescent="0.25">
      <c r="A530" t="s">
        <v>484</v>
      </c>
      <c r="B530" t="s">
        <v>1506</v>
      </c>
      <c r="C530" s="1">
        <v>46031</v>
      </c>
      <c r="D530">
        <v>150</v>
      </c>
      <c r="E530">
        <v>48.84</v>
      </c>
      <c r="F530" t="s">
        <v>1474</v>
      </c>
      <c r="G530" s="1">
        <v>46041</v>
      </c>
    </row>
    <row r="531" spans="1:7" x14ac:dyDescent="0.25">
      <c r="A531" t="s">
        <v>485</v>
      </c>
      <c r="B531" t="s">
        <v>1489</v>
      </c>
      <c r="C531" s="1">
        <v>46167</v>
      </c>
      <c r="D531">
        <v>390</v>
      </c>
      <c r="E531">
        <v>155.65</v>
      </c>
      <c r="F531" t="s">
        <v>1487</v>
      </c>
      <c r="G531" s="1">
        <v>46188</v>
      </c>
    </row>
    <row r="532" spans="1:7" x14ac:dyDescent="0.25">
      <c r="A532" t="s">
        <v>486</v>
      </c>
      <c r="B532" t="s">
        <v>1466</v>
      </c>
      <c r="C532" s="1">
        <v>46169</v>
      </c>
      <c r="D532">
        <v>68</v>
      </c>
      <c r="E532">
        <v>57.24</v>
      </c>
      <c r="F532" t="s">
        <v>1459</v>
      </c>
      <c r="G532" s="1">
        <v>46185</v>
      </c>
    </row>
    <row r="533" spans="1:7" x14ac:dyDescent="0.25">
      <c r="A533" t="s">
        <v>487</v>
      </c>
      <c r="B533" t="s">
        <v>1471</v>
      </c>
      <c r="C533" s="1">
        <v>46033</v>
      </c>
      <c r="D533">
        <v>399</v>
      </c>
      <c r="E533">
        <v>145.19999999999999</v>
      </c>
      <c r="F533" t="s">
        <v>1442</v>
      </c>
      <c r="G533" s="1">
        <v>46044</v>
      </c>
    </row>
    <row r="534" spans="1:7" x14ac:dyDescent="0.25">
      <c r="A534" t="s">
        <v>1250</v>
      </c>
      <c r="B534" t="s">
        <v>1500</v>
      </c>
      <c r="C534" s="1">
        <v>46049</v>
      </c>
      <c r="D534">
        <v>386</v>
      </c>
      <c r="E534">
        <v>166.86</v>
      </c>
      <c r="F534" t="s">
        <v>1456</v>
      </c>
      <c r="G534" s="1">
        <v>46061</v>
      </c>
    </row>
    <row r="535" spans="1:7" x14ac:dyDescent="0.25">
      <c r="A535" t="s">
        <v>488</v>
      </c>
      <c r="B535" t="s">
        <v>1512</v>
      </c>
      <c r="C535" s="1">
        <v>46031</v>
      </c>
      <c r="D535">
        <v>240</v>
      </c>
      <c r="E535">
        <v>56.25</v>
      </c>
      <c r="F535" t="s">
        <v>1476</v>
      </c>
      <c r="G535" s="1">
        <v>46050</v>
      </c>
    </row>
    <row r="536" spans="1:7" x14ac:dyDescent="0.25">
      <c r="A536" t="s">
        <v>489</v>
      </c>
      <c r="B536" t="s">
        <v>1466</v>
      </c>
      <c r="C536" s="1">
        <v>46083</v>
      </c>
      <c r="D536">
        <v>117</v>
      </c>
      <c r="E536">
        <v>163.09</v>
      </c>
      <c r="F536" t="s">
        <v>1459</v>
      </c>
      <c r="G536" s="1">
        <v>46099</v>
      </c>
    </row>
    <row r="537" spans="1:7" x14ac:dyDescent="0.25">
      <c r="A537" t="s">
        <v>490</v>
      </c>
      <c r="B537" t="s">
        <v>1455</v>
      </c>
      <c r="C537" s="1">
        <v>46132</v>
      </c>
      <c r="D537">
        <v>94</v>
      </c>
      <c r="E537">
        <v>125.15</v>
      </c>
      <c r="F537" t="s">
        <v>1444</v>
      </c>
      <c r="G537" s="1">
        <v>46143</v>
      </c>
    </row>
    <row r="538" spans="1:7" x14ac:dyDescent="0.25">
      <c r="A538" t="s">
        <v>491</v>
      </c>
      <c r="B538" t="s">
        <v>1475</v>
      </c>
      <c r="C538" s="1">
        <v>46168</v>
      </c>
      <c r="D538">
        <v>189</v>
      </c>
      <c r="E538">
        <v>108.79</v>
      </c>
      <c r="F538" t="s">
        <v>1494</v>
      </c>
      <c r="G538" s="1">
        <v>46178</v>
      </c>
    </row>
    <row r="539" spans="1:7" x14ac:dyDescent="0.25">
      <c r="A539" t="s">
        <v>492</v>
      </c>
      <c r="B539" t="s">
        <v>1509</v>
      </c>
      <c r="C539" s="1">
        <v>46097</v>
      </c>
      <c r="D539">
        <v>158</v>
      </c>
      <c r="E539">
        <v>116.68</v>
      </c>
      <c r="F539" t="s">
        <v>1504</v>
      </c>
      <c r="G539" s="1">
        <v>46105</v>
      </c>
    </row>
    <row r="540" spans="1:7" x14ac:dyDescent="0.25">
      <c r="A540" t="s">
        <v>493</v>
      </c>
      <c r="B540" t="s">
        <v>1441</v>
      </c>
      <c r="C540" s="1">
        <v>46128</v>
      </c>
      <c r="D540">
        <v>480</v>
      </c>
      <c r="E540">
        <v>16.559999999999999</v>
      </c>
      <c r="F540" t="s">
        <v>1458</v>
      </c>
      <c r="G540" s="1">
        <v>46137</v>
      </c>
    </row>
    <row r="541" spans="1:7" x14ac:dyDescent="0.25">
      <c r="A541" t="s">
        <v>494</v>
      </c>
      <c r="B541" t="s">
        <v>1449</v>
      </c>
      <c r="C541" s="1">
        <v>46056</v>
      </c>
      <c r="D541">
        <v>137</v>
      </c>
      <c r="E541">
        <v>33.520000000000003</v>
      </c>
      <c r="F541" t="s">
        <v>1472</v>
      </c>
      <c r="G541" s="1">
        <v>46068</v>
      </c>
    </row>
    <row r="542" spans="1:7" x14ac:dyDescent="0.25">
      <c r="A542" t="s">
        <v>495</v>
      </c>
      <c r="B542" t="s">
        <v>1461</v>
      </c>
      <c r="C542" s="1">
        <v>46123</v>
      </c>
      <c r="D542">
        <v>260</v>
      </c>
      <c r="E542">
        <v>32.72</v>
      </c>
      <c r="F542" t="s">
        <v>1446</v>
      </c>
      <c r="G542" s="1">
        <v>46136</v>
      </c>
    </row>
    <row r="543" spans="1:7" x14ac:dyDescent="0.25">
      <c r="A543" t="s">
        <v>496</v>
      </c>
      <c r="B543" t="s">
        <v>1439</v>
      </c>
      <c r="C543" s="1">
        <v>46129</v>
      </c>
      <c r="D543">
        <v>202</v>
      </c>
      <c r="E543">
        <v>93.14</v>
      </c>
      <c r="F543" t="s">
        <v>1446</v>
      </c>
      <c r="G543" s="1">
        <v>46136</v>
      </c>
    </row>
    <row r="544" spans="1:7" x14ac:dyDescent="0.25">
      <c r="A544" t="s">
        <v>497</v>
      </c>
      <c r="B544" t="s">
        <v>1488</v>
      </c>
      <c r="C544" s="1">
        <v>46154</v>
      </c>
      <c r="D544">
        <v>393</v>
      </c>
      <c r="E544">
        <v>59.25</v>
      </c>
      <c r="F544" t="s">
        <v>1451</v>
      </c>
      <c r="G544" s="1">
        <v>46173</v>
      </c>
    </row>
    <row r="545" spans="1:7" x14ac:dyDescent="0.25">
      <c r="A545" t="s">
        <v>498</v>
      </c>
      <c r="B545" t="s">
        <v>1498</v>
      </c>
      <c r="C545" s="1">
        <v>46106</v>
      </c>
      <c r="D545">
        <v>307</v>
      </c>
      <c r="E545">
        <v>5.48</v>
      </c>
      <c r="F545" t="s">
        <v>1456</v>
      </c>
      <c r="G545" s="1">
        <v>46113</v>
      </c>
    </row>
    <row r="546" spans="1:7" x14ac:dyDescent="0.25">
      <c r="A546" t="s">
        <v>499</v>
      </c>
      <c r="B546" t="s">
        <v>1477</v>
      </c>
      <c r="C546" s="1">
        <v>46140</v>
      </c>
      <c r="D546">
        <v>335</v>
      </c>
      <c r="E546">
        <v>134.51</v>
      </c>
      <c r="F546" t="s">
        <v>1451</v>
      </c>
      <c r="G546" s="1">
        <v>46147</v>
      </c>
    </row>
    <row r="547" spans="1:7" x14ac:dyDescent="0.25">
      <c r="A547" t="s">
        <v>500</v>
      </c>
      <c r="B547" t="s">
        <v>1471</v>
      </c>
      <c r="C547" s="1">
        <v>46124</v>
      </c>
      <c r="D547">
        <v>121</v>
      </c>
      <c r="E547">
        <v>193.79</v>
      </c>
      <c r="F547" t="s">
        <v>1459</v>
      </c>
      <c r="G547" s="1">
        <v>46144</v>
      </c>
    </row>
    <row r="548" spans="1:7" x14ac:dyDescent="0.25">
      <c r="A548" t="s">
        <v>501</v>
      </c>
      <c r="B548" t="s">
        <v>1511</v>
      </c>
      <c r="C548" s="1">
        <v>46105</v>
      </c>
      <c r="D548">
        <v>434</v>
      </c>
      <c r="E548">
        <v>60.3</v>
      </c>
      <c r="F548" t="s">
        <v>1442</v>
      </c>
      <c r="G548" s="1">
        <v>46114</v>
      </c>
    </row>
    <row r="549" spans="1:7" x14ac:dyDescent="0.25">
      <c r="A549" t="s">
        <v>502</v>
      </c>
      <c r="B549" t="s">
        <v>1493</v>
      </c>
      <c r="C549" s="1">
        <v>46147</v>
      </c>
      <c r="D549">
        <v>413</v>
      </c>
      <c r="E549">
        <v>72.03</v>
      </c>
      <c r="F549" t="s">
        <v>1467</v>
      </c>
      <c r="G549" s="1">
        <v>46153</v>
      </c>
    </row>
    <row r="550" spans="1:7" x14ac:dyDescent="0.25">
      <c r="A550" t="s">
        <v>503</v>
      </c>
      <c r="B550" t="s">
        <v>1452</v>
      </c>
      <c r="C550" s="1">
        <v>46048</v>
      </c>
      <c r="D550">
        <v>330</v>
      </c>
      <c r="E550">
        <v>157.86000000000001</v>
      </c>
      <c r="F550" t="s">
        <v>1469</v>
      </c>
      <c r="G550" s="1">
        <v>46053</v>
      </c>
    </row>
    <row r="551" spans="1:7" x14ac:dyDescent="0.25">
      <c r="A551" t="s">
        <v>504</v>
      </c>
      <c r="B551" t="s">
        <v>1466</v>
      </c>
      <c r="C551" s="1">
        <v>46063</v>
      </c>
      <c r="D551">
        <v>235</v>
      </c>
      <c r="E551">
        <v>94.02</v>
      </c>
      <c r="F551" t="s">
        <v>1507</v>
      </c>
      <c r="G551" s="1">
        <v>46074</v>
      </c>
    </row>
    <row r="552" spans="1:7" x14ac:dyDescent="0.25">
      <c r="A552" t="s">
        <v>505</v>
      </c>
      <c r="B552" t="s">
        <v>1449</v>
      </c>
      <c r="C552" s="1">
        <v>46056</v>
      </c>
      <c r="D552">
        <v>461</v>
      </c>
      <c r="E552">
        <v>131.75</v>
      </c>
      <c r="F552" t="s">
        <v>1501</v>
      </c>
      <c r="G552" s="1">
        <v>46069</v>
      </c>
    </row>
    <row r="553" spans="1:7" x14ac:dyDescent="0.25">
      <c r="A553" t="s">
        <v>506</v>
      </c>
      <c r="B553" t="s">
        <v>1457</v>
      </c>
      <c r="C553" s="1">
        <v>46115</v>
      </c>
      <c r="D553">
        <v>138</v>
      </c>
      <c r="E553">
        <v>21.07</v>
      </c>
      <c r="F553" t="s">
        <v>1467</v>
      </c>
      <c r="G553" s="1">
        <v>46125</v>
      </c>
    </row>
    <row r="554" spans="1:7" x14ac:dyDescent="0.25">
      <c r="A554" t="s">
        <v>507</v>
      </c>
      <c r="B554" t="s">
        <v>1475</v>
      </c>
      <c r="C554" s="1">
        <v>46124</v>
      </c>
      <c r="D554">
        <v>330</v>
      </c>
      <c r="E554">
        <v>64.569999999999993</v>
      </c>
      <c r="F554" t="s">
        <v>1499</v>
      </c>
      <c r="G554" s="1">
        <v>46136</v>
      </c>
    </row>
    <row r="555" spans="1:7" x14ac:dyDescent="0.25">
      <c r="A555" t="s">
        <v>508</v>
      </c>
      <c r="B555" t="s">
        <v>1500</v>
      </c>
      <c r="C555" s="1">
        <v>46046</v>
      </c>
      <c r="D555">
        <v>370</v>
      </c>
      <c r="E555">
        <v>23.56</v>
      </c>
      <c r="F555" t="s">
        <v>1444</v>
      </c>
      <c r="G555" s="1">
        <v>46066</v>
      </c>
    </row>
    <row r="556" spans="1:7" x14ac:dyDescent="0.25">
      <c r="A556" t="s">
        <v>509</v>
      </c>
      <c r="B556" t="s">
        <v>1492</v>
      </c>
      <c r="C556" s="1">
        <v>46056</v>
      </c>
      <c r="D556">
        <v>313</v>
      </c>
      <c r="E556">
        <v>49.11</v>
      </c>
      <c r="F556" t="s">
        <v>1467</v>
      </c>
      <c r="G556" s="1">
        <v>46075</v>
      </c>
    </row>
    <row r="557" spans="1:7" x14ac:dyDescent="0.25">
      <c r="A557" t="s">
        <v>510</v>
      </c>
      <c r="B557" t="s">
        <v>1481</v>
      </c>
      <c r="C557" s="1">
        <v>46025</v>
      </c>
      <c r="D557">
        <v>366</v>
      </c>
      <c r="E557">
        <v>72</v>
      </c>
      <c r="F557" t="s">
        <v>1483</v>
      </c>
      <c r="G557" s="1">
        <v>46043</v>
      </c>
    </row>
    <row r="558" spans="1:7" x14ac:dyDescent="0.25">
      <c r="A558" t="s">
        <v>1275</v>
      </c>
      <c r="B558" t="s">
        <v>1449</v>
      </c>
      <c r="C558" s="1">
        <v>46056</v>
      </c>
      <c r="D558">
        <v>254</v>
      </c>
      <c r="E558">
        <v>18.809999999999999</v>
      </c>
      <c r="F558" t="s">
        <v>1453</v>
      </c>
      <c r="G558" s="1">
        <v>46063</v>
      </c>
    </row>
    <row r="559" spans="1:7" x14ac:dyDescent="0.25">
      <c r="A559" t="s">
        <v>511</v>
      </c>
      <c r="B559" t="s">
        <v>1477</v>
      </c>
      <c r="C559" s="1">
        <v>46049</v>
      </c>
      <c r="D559">
        <v>62</v>
      </c>
      <c r="E559">
        <v>66.099999999999994</v>
      </c>
      <c r="F559" t="s">
        <v>1474</v>
      </c>
      <c r="G559" s="1">
        <v>46058</v>
      </c>
    </row>
    <row r="560" spans="1:7" x14ac:dyDescent="0.25">
      <c r="A560" t="s">
        <v>512</v>
      </c>
      <c r="B560" t="s">
        <v>1502</v>
      </c>
      <c r="C560" s="1">
        <v>46057</v>
      </c>
      <c r="D560">
        <v>338</v>
      </c>
      <c r="E560">
        <v>198.62</v>
      </c>
      <c r="F560" t="s">
        <v>1485</v>
      </c>
      <c r="G560" s="1">
        <v>46064</v>
      </c>
    </row>
    <row r="561" spans="1:7" x14ac:dyDescent="0.25">
      <c r="A561" t="s">
        <v>513</v>
      </c>
      <c r="B561" t="s">
        <v>1491</v>
      </c>
      <c r="C561" s="1">
        <v>46167</v>
      </c>
      <c r="D561">
        <v>14</v>
      </c>
      <c r="E561">
        <v>124.01</v>
      </c>
      <c r="F561" t="s">
        <v>1459</v>
      </c>
      <c r="G561" s="1">
        <v>46186</v>
      </c>
    </row>
    <row r="562" spans="1:7" x14ac:dyDescent="0.25">
      <c r="A562" t="s">
        <v>514</v>
      </c>
      <c r="B562" t="s">
        <v>1503</v>
      </c>
      <c r="C562" s="1">
        <v>46077</v>
      </c>
      <c r="D562">
        <v>331</v>
      </c>
      <c r="E562">
        <v>150.91</v>
      </c>
      <c r="F562" t="s">
        <v>1507</v>
      </c>
      <c r="G562" s="1">
        <v>46096</v>
      </c>
    </row>
    <row r="563" spans="1:7" x14ac:dyDescent="0.25">
      <c r="A563" t="s">
        <v>515</v>
      </c>
      <c r="B563" t="s">
        <v>1463</v>
      </c>
      <c r="C563" s="1">
        <v>46045</v>
      </c>
      <c r="D563">
        <v>469</v>
      </c>
      <c r="E563">
        <v>24.59</v>
      </c>
      <c r="F563" t="s">
        <v>1456</v>
      </c>
      <c r="G563" s="1">
        <v>46053</v>
      </c>
    </row>
    <row r="564" spans="1:7" x14ac:dyDescent="0.25">
      <c r="A564" t="s">
        <v>516</v>
      </c>
      <c r="B564" t="s">
        <v>1443</v>
      </c>
      <c r="C564" s="1">
        <v>46121</v>
      </c>
      <c r="D564">
        <v>189</v>
      </c>
      <c r="E564">
        <v>192.83</v>
      </c>
      <c r="F564" t="s">
        <v>1459</v>
      </c>
      <c r="G564" s="1">
        <v>46130</v>
      </c>
    </row>
    <row r="565" spans="1:7" x14ac:dyDescent="0.25">
      <c r="A565" t="s">
        <v>517</v>
      </c>
      <c r="B565" t="s">
        <v>1482</v>
      </c>
      <c r="C565" s="1">
        <v>46093</v>
      </c>
      <c r="D565">
        <v>340</v>
      </c>
      <c r="E565">
        <v>21.43</v>
      </c>
      <c r="F565" t="s">
        <v>1442</v>
      </c>
      <c r="G565" s="1">
        <v>46107</v>
      </c>
    </row>
    <row r="566" spans="1:7" x14ac:dyDescent="0.25">
      <c r="A566" t="s">
        <v>1284</v>
      </c>
      <c r="B566" t="s">
        <v>1449</v>
      </c>
      <c r="C566" s="1">
        <v>46029</v>
      </c>
      <c r="D566">
        <v>444</v>
      </c>
      <c r="E566">
        <v>170.18</v>
      </c>
      <c r="F566" t="s">
        <v>1474</v>
      </c>
      <c r="G566" s="1">
        <v>46040</v>
      </c>
    </row>
    <row r="567" spans="1:7" x14ac:dyDescent="0.25">
      <c r="A567" t="s">
        <v>518</v>
      </c>
      <c r="B567" t="s">
        <v>1491</v>
      </c>
      <c r="C567" s="1">
        <v>46153</v>
      </c>
      <c r="D567">
        <v>106</v>
      </c>
      <c r="E567">
        <v>150.83000000000001</v>
      </c>
      <c r="F567" t="s">
        <v>1474</v>
      </c>
      <c r="G567" s="1">
        <v>46159</v>
      </c>
    </row>
    <row r="568" spans="1:7" x14ac:dyDescent="0.25">
      <c r="A568" t="s">
        <v>1288</v>
      </c>
      <c r="B568" t="s">
        <v>1482</v>
      </c>
      <c r="C568" s="1">
        <v>46149</v>
      </c>
      <c r="D568">
        <v>207</v>
      </c>
      <c r="E568">
        <v>26.99</v>
      </c>
      <c r="F568" t="s">
        <v>1487</v>
      </c>
      <c r="G568" s="1">
        <v>46156</v>
      </c>
    </row>
    <row r="569" spans="1:7" x14ac:dyDescent="0.25">
      <c r="A569" t="s">
        <v>519</v>
      </c>
      <c r="B569" t="s">
        <v>1491</v>
      </c>
      <c r="C569" s="1">
        <v>46026</v>
      </c>
      <c r="D569">
        <v>194</v>
      </c>
      <c r="E569">
        <v>187.12</v>
      </c>
      <c r="F569" t="s">
        <v>1485</v>
      </c>
      <c r="G569" s="1">
        <v>46043</v>
      </c>
    </row>
    <row r="570" spans="1:7" x14ac:dyDescent="0.25">
      <c r="A570" t="s">
        <v>520</v>
      </c>
      <c r="B570" t="s">
        <v>1493</v>
      </c>
      <c r="C570" s="1">
        <v>46130</v>
      </c>
      <c r="D570">
        <v>197</v>
      </c>
      <c r="E570">
        <v>111.54</v>
      </c>
      <c r="F570" t="s">
        <v>1501</v>
      </c>
      <c r="G570" s="1">
        <v>46150</v>
      </c>
    </row>
    <row r="571" spans="1:7" x14ac:dyDescent="0.25">
      <c r="A571" t="s">
        <v>521</v>
      </c>
      <c r="B571" t="s">
        <v>1492</v>
      </c>
      <c r="C571" s="1">
        <v>46027</v>
      </c>
      <c r="D571">
        <v>310</v>
      </c>
      <c r="E571">
        <v>18.170000000000002</v>
      </c>
      <c r="F571" t="s">
        <v>1458</v>
      </c>
      <c r="G571" s="1">
        <v>46038</v>
      </c>
    </row>
    <row r="572" spans="1:7" x14ac:dyDescent="0.25">
      <c r="A572" t="s">
        <v>522</v>
      </c>
      <c r="B572" t="s">
        <v>1452</v>
      </c>
      <c r="C572" s="1">
        <v>46038</v>
      </c>
      <c r="D572">
        <v>495</v>
      </c>
      <c r="E572">
        <v>158.91</v>
      </c>
      <c r="F572" t="s">
        <v>1504</v>
      </c>
      <c r="G572" s="1">
        <v>46052</v>
      </c>
    </row>
    <row r="573" spans="1:7" x14ac:dyDescent="0.25">
      <c r="A573" t="s">
        <v>523</v>
      </c>
      <c r="B573" t="s">
        <v>1439</v>
      </c>
      <c r="C573" s="1">
        <v>46151</v>
      </c>
      <c r="D573">
        <v>402</v>
      </c>
      <c r="E573">
        <v>86.01</v>
      </c>
      <c r="F573" t="s">
        <v>1499</v>
      </c>
      <c r="G573" s="1">
        <v>46168</v>
      </c>
    </row>
    <row r="574" spans="1:7" x14ac:dyDescent="0.25">
      <c r="A574" t="s">
        <v>524</v>
      </c>
      <c r="B574" t="s">
        <v>1457</v>
      </c>
      <c r="C574" s="1">
        <v>46160</v>
      </c>
      <c r="D574">
        <v>285</v>
      </c>
      <c r="E574">
        <v>125.13</v>
      </c>
      <c r="F574" t="s">
        <v>1458</v>
      </c>
      <c r="G574" s="1">
        <v>46167</v>
      </c>
    </row>
    <row r="575" spans="1:7" x14ac:dyDescent="0.25">
      <c r="A575" t="s">
        <v>525</v>
      </c>
      <c r="B575" t="s">
        <v>1512</v>
      </c>
      <c r="C575" s="1">
        <v>46043</v>
      </c>
      <c r="D575">
        <v>271</v>
      </c>
      <c r="E575">
        <v>184.58</v>
      </c>
      <c r="F575" t="s">
        <v>1485</v>
      </c>
      <c r="G575" s="1">
        <v>46058</v>
      </c>
    </row>
    <row r="576" spans="1:7" x14ac:dyDescent="0.25">
      <c r="A576" t="s">
        <v>526</v>
      </c>
      <c r="B576" t="s">
        <v>1488</v>
      </c>
      <c r="C576" s="1">
        <v>46173</v>
      </c>
      <c r="D576">
        <v>334</v>
      </c>
      <c r="E576">
        <v>153.83000000000001</v>
      </c>
      <c r="F576" t="s">
        <v>1446</v>
      </c>
      <c r="G576" s="1">
        <v>46180</v>
      </c>
    </row>
    <row r="577" spans="1:7" x14ac:dyDescent="0.25">
      <c r="A577" t="s">
        <v>527</v>
      </c>
      <c r="B577" t="s">
        <v>1512</v>
      </c>
      <c r="C577" s="1">
        <v>46134</v>
      </c>
      <c r="D577">
        <v>383</v>
      </c>
      <c r="E577">
        <v>190.92</v>
      </c>
      <c r="F577" t="s">
        <v>1440</v>
      </c>
      <c r="G577" s="1">
        <v>46140</v>
      </c>
    </row>
    <row r="578" spans="1:7" x14ac:dyDescent="0.25">
      <c r="A578" t="s">
        <v>528</v>
      </c>
      <c r="B578" t="s">
        <v>1482</v>
      </c>
      <c r="C578" s="1">
        <v>46045</v>
      </c>
      <c r="D578">
        <v>483</v>
      </c>
      <c r="E578">
        <v>89.72</v>
      </c>
      <c r="F578" t="s">
        <v>1469</v>
      </c>
      <c r="G578" s="1">
        <v>46051</v>
      </c>
    </row>
    <row r="579" spans="1:7" x14ac:dyDescent="0.25">
      <c r="A579" t="s">
        <v>529</v>
      </c>
      <c r="B579" t="s">
        <v>1512</v>
      </c>
      <c r="C579" s="1">
        <v>46067</v>
      </c>
      <c r="D579">
        <v>71</v>
      </c>
      <c r="E579">
        <v>7.47</v>
      </c>
      <c r="F579" t="s">
        <v>1485</v>
      </c>
      <c r="G579" s="1">
        <v>46072</v>
      </c>
    </row>
    <row r="580" spans="1:7" x14ac:dyDescent="0.25">
      <c r="A580" t="s">
        <v>530</v>
      </c>
      <c r="B580" t="s">
        <v>1460</v>
      </c>
      <c r="C580" s="1">
        <v>46150</v>
      </c>
      <c r="D580">
        <v>497</v>
      </c>
      <c r="E580">
        <v>72.61</v>
      </c>
      <c r="F580" t="s">
        <v>1504</v>
      </c>
      <c r="G580" s="1">
        <v>46163</v>
      </c>
    </row>
    <row r="581" spans="1:7" x14ac:dyDescent="0.25">
      <c r="A581" t="s">
        <v>531</v>
      </c>
      <c r="B581" t="s">
        <v>1460</v>
      </c>
      <c r="C581" s="1">
        <v>46118</v>
      </c>
      <c r="D581">
        <v>74</v>
      </c>
      <c r="E581">
        <v>151.21</v>
      </c>
      <c r="F581" t="s">
        <v>1458</v>
      </c>
      <c r="G581" s="1">
        <v>46126</v>
      </c>
    </row>
    <row r="582" spans="1:7" x14ac:dyDescent="0.25">
      <c r="A582" t="s">
        <v>532</v>
      </c>
      <c r="B582" t="s">
        <v>1473</v>
      </c>
      <c r="C582" s="1">
        <v>46108</v>
      </c>
      <c r="D582">
        <v>423</v>
      </c>
      <c r="E582">
        <v>88.72</v>
      </c>
      <c r="F582" t="s">
        <v>1504</v>
      </c>
      <c r="G582" s="1">
        <v>46115</v>
      </c>
    </row>
    <row r="583" spans="1:7" x14ac:dyDescent="0.25">
      <c r="A583" t="s">
        <v>533</v>
      </c>
      <c r="B583" t="s">
        <v>1470</v>
      </c>
      <c r="C583" s="1">
        <v>46170</v>
      </c>
      <c r="D583">
        <v>331</v>
      </c>
      <c r="E583">
        <v>20.03</v>
      </c>
      <c r="F583" t="s">
        <v>1469</v>
      </c>
      <c r="G583" s="1">
        <v>46191</v>
      </c>
    </row>
    <row r="584" spans="1:7" x14ac:dyDescent="0.25">
      <c r="A584" t="s">
        <v>534</v>
      </c>
      <c r="B584" t="s">
        <v>1496</v>
      </c>
      <c r="C584" s="1">
        <v>46037</v>
      </c>
      <c r="D584">
        <v>265</v>
      </c>
      <c r="E584">
        <v>172.58</v>
      </c>
      <c r="F584" t="s">
        <v>1501</v>
      </c>
      <c r="G584" s="1">
        <v>46053</v>
      </c>
    </row>
    <row r="585" spans="1:7" x14ac:dyDescent="0.25">
      <c r="A585" t="s">
        <v>535</v>
      </c>
      <c r="B585" t="s">
        <v>1460</v>
      </c>
      <c r="C585" s="1">
        <v>46088</v>
      </c>
      <c r="D585">
        <v>405</v>
      </c>
      <c r="E585">
        <v>25.07</v>
      </c>
      <c r="F585" t="s">
        <v>1480</v>
      </c>
      <c r="G585" s="1">
        <v>46096</v>
      </c>
    </row>
    <row r="586" spans="1:7" x14ac:dyDescent="0.25">
      <c r="A586" t="s">
        <v>536</v>
      </c>
      <c r="B586" t="s">
        <v>1447</v>
      </c>
      <c r="C586" s="1">
        <v>46153</v>
      </c>
      <c r="D586">
        <v>11</v>
      </c>
      <c r="E586">
        <v>13.59</v>
      </c>
      <c r="F586" t="s">
        <v>1448</v>
      </c>
      <c r="G586" s="1">
        <v>46165</v>
      </c>
    </row>
    <row r="587" spans="1:7" x14ac:dyDescent="0.25">
      <c r="A587" t="s">
        <v>537</v>
      </c>
      <c r="B587" t="s">
        <v>1452</v>
      </c>
      <c r="C587" s="1">
        <v>46143</v>
      </c>
      <c r="D587">
        <v>196</v>
      </c>
      <c r="E587">
        <v>79.680000000000007</v>
      </c>
      <c r="F587" t="s">
        <v>1485</v>
      </c>
      <c r="G587" s="1">
        <v>46153</v>
      </c>
    </row>
    <row r="588" spans="1:7" x14ac:dyDescent="0.25">
      <c r="A588" t="s">
        <v>538</v>
      </c>
      <c r="B588" t="s">
        <v>1452</v>
      </c>
      <c r="C588" s="1">
        <v>46164</v>
      </c>
      <c r="D588">
        <v>421</v>
      </c>
      <c r="E588">
        <v>183.22</v>
      </c>
      <c r="F588" t="s">
        <v>1490</v>
      </c>
      <c r="G588" s="1">
        <v>46182</v>
      </c>
    </row>
    <row r="589" spans="1:7" x14ac:dyDescent="0.25">
      <c r="A589" t="s">
        <v>539</v>
      </c>
      <c r="B589" t="s">
        <v>1447</v>
      </c>
      <c r="C589" s="1">
        <v>46105</v>
      </c>
      <c r="D589">
        <v>137</v>
      </c>
      <c r="E589">
        <v>86.17</v>
      </c>
      <c r="F589" t="s">
        <v>1490</v>
      </c>
      <c r="G589" s="1">
        <v>46120</v>
      </c>
    </row>
    <row r="590" spans="1:7" x14ac:dyDescent="0.25">
      <c r="A590" t="s">
        <v>540</v>
      </c>
      <c r="B590" t="s">
        <v>1511</v>
      </c>
      <c r="C590" s="1">
        <v>46042</v>
      </c>
      <c r="D590">
        <v>302</v>
      </c>
      <c r="E590">
        <v>77.7</v>
      </c>
      <c r="F590" t="s">
        <v>1504</v>
      </c>
      <c r="G590" s="1">
        <v>46048</v>
      </c>
    </row>
    <row r="591" spans="1:7" x14ac:dyDescent="0.25">
      <c r="A591" t="s">
        <v>541</v>
      </c>
      <c r="B591" t="s">
        <v>1486</v>
      </c>
      <c r="C591" s="1">
        <v>46080</v>
      </c>
      <c r="D591">
        <v>421</v>
      </c>
      <c r="E591">
        <v>105.58</v>
      </c>
      <c r="F591" t="s">
        <v>1462</v>
      </c>
      <c r="G591" s="1">
        <v>46097</v>
      </c>
    </row>
    <row r="592" spans="1:7" x14ac:dyDescent="0.25">
      <c r="A592" t="s">
        <v>542</v>
      </c>
      <c r="B592" t="s">
        <v>1492</v>
      </c>
      <c r="C592" s="1">
        <v>46142</v>
      </c>
      <c r="D592">
        <v>453</v>
      </c>
      <c r="E592">
        <v>60.05</v>
      </c>
      <c r="F592" t="s">
        <v>1474</v>
      </c>
      <c r="G592" s="1">
        <v>46157</v>
      </c>
    </row>
    <row r="593" spans="1:7" x14ac:dyDescent="0.25">
      <c r="A593" t="s">
        <v>543</v>
      </c>
      <c r="B593" t="s">
        <v>1457</v>
      </c>
      <c r="C593" s="1">
        <v>46164</v>
      </c>
      <c r="D593">
        <v>243</v>
      </c>
      <c r="E593">
        <v>6.55</v>
      </c>
      <c r="F593" t="s">
        <v>1444</v>
      </c>
      <c r="G593" s="1">
        <v>46178</v>
      </c>
    </row>
    <row r="594" spans="1:7" x14ac:dyDescent="0.25">
      <c r="A594" t="s">
        <v>544</v>
      </c>
      <c r="B594" t="s">
        <v>1493</v>
      </c>
      <c r="C594" s="1">
        <v>46100</v>
      </c>
      <c r="D594">
        <v>388</v>
      </c>
      <c r="E594">
        <v>126.43</v>
      </c>
      <c r="F594" t="s">
        <v>1469</v>
      </c>
      <c r="G594" s="1">
        <v>46116</v>
      </c>
    </row>
    <row r="595" spans="1:7" x14ac:dyDescent="0.25">
      <c r="A595" t="s">
        <v>545</v>
      </c>
      <c r="B595" t="s">
        <v>1443</v>
      </c>
      <c r="C595" s="1">
        <v>46149</v>
      </c>
      <c r="D595">
        <v>405</v>
      </c>
      <c r="E595">
        <v>156.30000000000001</v>
      </c>
      <c r="F595" t="s">
        <v>1490</v>
      </c>
      <c r="G595" s="1">
        <v>46161</v>
      </c>
    </row>
    <row r="596" spans="1:7" x14ac:dyDescent="0.25">
      <c r="A596" t="s">
        <v>546</v>
      </c>
      <c r="B596" t="s">
        <v>1464</v>
      </c>
      <c r="C596" s="1">
        <v>46024</v>
      </c>
      <c r="D596">
        <v>487</v>
      </c>
      <c r="E596">
        <v>84.96</v>
      </c>
      <c r="F596" t="s">
        <v>1440</v>
      </c>
      <c r="G596" s="1">
        <v>46040</v>
      </c>
    </row>
    <row r="597" spans="1:7" x14ac:dyDescent="0.25">
      <c r="A597" t="s">
        <v>547</v>
      </c>
      <c r="B597" t="s">
        <v>1439</v>
      </c>
      <c r="C597" s="1">
        <v>46025</v>
      </c>
      <c r="D597">
        <v>496</v>
      </c>
      <c r="E597">
        <v>70.33</v>
      </c>
      <c r="F597" t="s">
        <v>1456</v>
      </c>
      <c r="G597" s="1">
        <v>46042</v>
      </c>
    </row>
    <row r="598" spans="1:7" x14ac:dyDescent="0.25">
      <c r="A598" t="s">
        <v>548</v>
      </c>
      <c r="B598" t="s">
        <v>1465</v>
      </c>
      <c r="C598" s="1">
        <v>46101</v>
      </c>
      <c r="D598">
        <v>63</v>
      </c>
      <c r="E598">
        <v>45.01</v>
      </c>
      <c r="F598" t="s">
        <v>1440</v>
      </c>
      <c r="G598" s="1">
        <v>46119</v>
      </c>
    </row>
    <row r="599" spans="1:7" x14ac:dyDescent="0.25">
      <c r="A599" t="s">
        <v>549</v>
      </c>
      <c r="B599" t="s">
        <v>1498</v>
      </c>
      <c r="C599" s="1">
        <v>46038</v>
      </c>
      <c r="D599">
        <v>82</v>
      </c>
      <c r="E599">
        <v>143.77000000000001</v>
      </c>
      <c r="F599" t="s">
        <v>1476</v>
      </c>
      <c r="G599" s="1">
        <v>46044</v>
      </c>
    </row>
    <row r="600" spans="1:7" x14ac:dyDescent="0.25">
      <c r="A600" t="s">
        <v>550</v>
      </c>
      <c r="B600" t="s">
        <v>1447</v>
      </c>
      <c r="C600" s="1">
        <v>46156</v>
      </c>
      <c r="D600">
        <v>221</v>
      </c>
      <c r="E600">
        <v>141.66999999999999</v>
      </c>
      <c r="F600" t="s">
        <v>1451</v>
      </c>
      <c r="G600" s="1">
        <v>46175</v>
      </c>
    </row>
    <row r="601" spans="1:7" x14ac:dyDescent="0.25">
      <c r="A601" t="s">
        <v>551</v>
      </c>
      <c r="B601" t="s">
        <v>1465</v>
      </c>
      <c r="C601" s="1">
        <v>46044</v>
      </c>
      <c r="D601">
        <v>307</v>
      </c>
      <c r="E601">
        <v>23.64</v>
      </c>
      <c r="F601" t="s">
        <v>1485</v>
      </c>
      <c r="G601" s="1">
        <v>46061</v>
      </c>
    </row>
    <row r="602" spans="1:7" x14ac:dyDescent="0.25">
      <c r="A602" t="s">
        <v>552</v>
      </c>
      <c r="B602" t="s">
        <v>1492</v>
      </c>
      <c r="C602" s="1">
        <v>46168</v>
      </c>
      <c r="D602">
        <v>41</v>
      </c>
      <c r="E602">
        <v>89.82</v>
      </c>
      <c r="F602" t="s">
        <v>1485</v>
      </c>
      <c r="G602" s="1">
        <v>46180</v>
      </c>
    </row>
    <row r="603" spans="1:7" x14ac:dyDescent="0.25">
      <c r="A603" t="s">
        <v>553</v>
      </c>
      <c r="B603" t="s">
        <v>1506</v>
      </c>
      <c r="C603" s="1">
        <v>46089</v>
      </c>
      <c r="D603">
        <v>445</v>
      </c>
      <c r="E603">
        <v>66.430000000000007</v>
      </c>
      <c r="F603" t="s">
        <v>1453</v>
      </c>
      <c r="G603" s="1">
        <v>46104</v>
      </c>
    </row>
    <row r="604" spans="1:7" x14ac:dyDescent="0.25">
      <c r="A604" t="s">
        <v>554</v>
      </c>
      <c r="B604" t="s">
        <v>1509</v>
      </c>
      <c r="C604" s="1">
        <v>46138</v>
      </c>
      <c r="D604">
        <v>149</v>
      </c>
      <c r="E604">
        <v>50.55</v>
      </c>
      <c r="F604" t="s">
        <v>1444</v>
      </c>
      <c r="G604" s="1">
        <v>46147</v>
      </c>
    </row>
    <row r="605" spans="1:7" x14ac:dyDescent="0.25">
      <c r="A605" t="s">
        <v>555</v>
      </c>
      <c r="B605" t="s">
        <v>1443</v>
      </c>
      <c r="C605" s="1">
        <v>46050</v>
      </c>
      <c r="D605">
        <v>89</v>
      </c>
      <c r="E605">
        <v>25.6</v>
      </c>
      <c r="F605" t="s">
        <v>1469</v>
      </c>
      <c r="G605" s="1">
        <v>46069</v>
      </c>
    </row>
    <row r="606" spans="1:7" x14ac:dyDescent="0.25">
      <c r="A606" t="s">
        <v>1330</v>
      </c>
      <c r="B606" t="s">
        <v>1509</v>
      </c>
      <c r="C606" s="1">
        <v>46127</v>
      </c>
      <c r="D606">
        <v>71</v>
      </c>
      <c r="E606">
        <v>109.51</v>
      </c>
      <c r="F606" t="s">
        <v>1456</v>
      </c>
      <c r="G606" s="1">
        <v>46138</v>
      </c>
    </row>
    <row r="607" spans="1:7" x14ac:dyDescent="0.25">
      <c r="A607" t="s">
        <v>1333</v>
      </c>
      <c r="B607" t="s">
        <v>1478</v>
      </c>
      <c r="C607" s="1">
        <v>46101</v>
      </c>
      <c r="D607">
        <v>247</v>
      </c>
      <c r="E607">
        <v>56.68</v>
      </c>
      <c r="F607" t="s">
        <v>1483</v>
      </c>
      <c r="G607" s="1">
        <v>46108</v>
      </c>
    </row>
    <row r="608" spans="1:7" x14ac:dyDescent="0.25">
      <c r="A608" t="s">
        <v>556</v>
      </c>
      <c r="B608" t="s">
        <v>1460</v>
      </c>
      <c r="C608" s="1">
        <v>46100</v>
      </c>
      <c r="D608">
        <v>433</v>
      </c>
      <c r="E608">
        <v>142.41999999999999</v>
      </c>
      <c r="F608" t="s">
        <v>1494</v>
      </c>
      <c r="G608" s="1">
        <v>46106</v>
      </c>
    </row>
    <row r="609" spans="1:7" x14ac:dyDescent="0.25">
      <c r="A609" t="s">
        <v>557</v>
      </c>
      <c r="B609" t="s">
        <v>1463</v>
      </c>
      <c r="C609" s="1">
        <v>46106</v>
      </c>
      <c r="D609">
        <v>85</v>
      </c>
      <c r="E609">
        <v>22.79</v>
      </c>
      <c r="F609" t="s">
        <v>1440</v>
      </c>
      <c r="G609" s="1">
        <v>46122</v>
      </c>
    </row>
    <row r="610" spans="1:7" x14ac:dyDescent="0.25">
      <c r="A610" t="s">
        <v>1337</v>
      </c>
      <c r="B610" t="s">
        <v>1488</v>
      </c>
      <c r="C610" s="1">
        <v>46154</v>
      </c>
      <c r="D610">
        <v>35</v>
      </c>
      <c r="E610">
        <v>137.05000000000001</v>
      </c>
      <c r="F610" t="s">
        <v>1458</v>
      </c>
      <c r="G610" s="1">
        <v>46164</v>
      </c>
    </row>
    <row r="611" spans="1:7" x14ac:dyDescent="0.25">
      <c r="A611" t="s">
        <v>558</v>
      </c>
      <c r="B611" t="s">
        <v>1473</v>
      </c>
      <c r="C611" s="1">
        <v>46126</v>
      </c>
      <c r="D611">
        <v>447</v>
      </c>
      <c r="E611">
        <v>93.18</v>
      </c>
      <c r="F611" t="s">
        <v>1490</v>
      </c>
      <c r="G611" s="1">
        <v>46138</v>
      </c>
    </row>
    <row r="612" spans="1:7" x14ac:dyDescent="0.25">
      <c r="A612" t="s">
        <v>559</v>
      </c>
      <c r="B612" t="s">
        <v>1450</v>
      </c>
      <c r="C612" s="1">
        <v>46141</v>
      </c>
      <c r="D612">
        <v>62</v>
      </c>
      <c r="E612">
        <v>161.76</v>
      </c>
      <c r="F612" t="s">
        <v>1485</v>
      </c>
      <c r="G612" s="1">
        <v>46149</v>
      </c>
    </row>
    <row r="613" spans="1:7" x14ac:dyDescent="0.25">
      <c r="A613" t="s">
        <v>560</v>
      </c>
      <c r="B613" t="s">
        <v>1481</v>
      </c>
      <c r="C613" s="1">
        <v>46038</v>
      </c>
      <c r="D613">
        <v>435</v>
      </c>
      <c r="E613">
        <v>157.29</v>
      </c>
      <c r="F613" t="s">
        <v>1440</v>
      </c>
      <c r="G613" s="1">
        <v>46047</v>
      </c>
    </row>
    <row r="614" spans="1:7" x14ac:dyDescent="0.25">
      <c r="A614" t="s">
        <v>561</v>
      </c>
      <c r="B614" t="s">
        <v>1505</v>
      </c>
      <c r="C614" s="1">
        <v>46125</v>
      </c>
      <c r="D614">
        <v>200</v>
      </c>
      <c r="E614">
        <v>138.83000000000001</v>
      </c>
      <c r="F614" t="s">
        <v>1446</v>
      </c>
      <c r="G614" s="1">
        <v>46132</v>
      </c>
    </row>
    <row r="615" spans="1:7" x14ac:dyDescent="0.25">
      <c r="A615" t="s">
        <v>562</v>
      </c>
      <c r="B615" t="s">
        <v>1443</v>
      </c>
      <c r="C615" s="1">
        <v>46173</v>
      </c>
      <c r="D615">
        <v>142</v>
      </c>
      <c r="E615">
        <v>183.9</v>
      </c>
      <c r="F615" t="s">
        <v>1476</v>
      </c>
      <c r="G615" s="1">
        <v>46178</v>
      </c>
    </row>
    <row r="616" spans="1:7" x14ac:dyDescent="0.25">
      <c r="A616" t="s">
        <v>563</v>
      </c>
      <c r="B616" t="s">
        <v>1492</v>
      </c>
      <c r="C616" s="1">
        <v>46073</v>
      </c>
      <c r="D616">
        <v>472</v>
      </c>
      <c r="E616">
        <v>130.97</v>
      </c>
      <c r="F616" t="s">
        <v>1485</v>
      </c>
      <c r="G616" s="1">
        <v>46080</v>
      </c>
    </row>
    <row r="617" spans="1:7" x14ac:dyDescent="0.25">
      <c r="A617" t="s">
        <v>564</v>
      </c>
      <c r="B617" t="s">
        <v>1479</v>
      </c>
      <c r="C617" s="1">
        <v>46054</v>
      </c>
      <c r="D617">
        <v>31</v>
      </c>
      <c r="E617">
        <v>188.74</v>
      </c>
      <c r="F617" t="s">
        <v>1462</v>
      </c>
      <c r="G617" s="1">
        <v>46064</v>
      </c>
    </row>
    <row r="618" spans="1:7" x14ac:dyDescent="0.25">
      <c r="A618" t="s">
        <v>565</v>
      </c>
      <c r="B618" t="s">
        <v>1493</v>
      </c>
      <c r="C618" s="1">
        <v>46133</v>
      </c>
      <c r="D618">
        <v>430</v>
      </c>
      <c r="E618">
        <v>146.26</v>
      </c>
      <c r="F618" t="s">
        <v>1487</v>
      </c>
      <c r="G618" s="1">
        <v>46138</v>
      </c>
    </row>
    <row r="619" spans="1:7" x14ac:dyDescent="0.25">
      <c r="A619" t="s">
        <v>566</v>
      </c>
      <c r="B619" t="s">
        <v>1502</v>
      </c>
      <c r="C619" s="1">
        <v>46132</v>
      </c>
      <c r="D619">
        <v>98</v>
      </c>
      <c r="E619">
        <v>74.02</v>
      </c>
      <c r="F619" t="s">
        <v>1501</v>
      </c>
      <c r="G619" s="1">
        <v>46145</v>
      </c>
    </row>
    <row r="620" spans="1:7" x14ac:dyDescent="0.25">
      <c r="A620" t="s">
        <v>567</v>
      </c>
      <c r="B620" t="s">
        <v>1511</v>
      </c>
      <c r="C620" s="1">
        <v>46137</v>
      </c>
      <c r="D620">
        <v>462</v>
      </c>
      <c r="E620">
        <v>33.979999999999997</v>
      </c>
      <c r="F620" t="s">
        <v>1494</v>
      </c>
      <c r="G620" s="1">
        <v>46149</v>
      </c>
    </row>
    <row r="621" spans="1:7" x14ac:dyDescent="0.25">
      <c r="A621" t="s">
        <v>568</v>
      </c>
      <c r="B621" t="s">
        <v>1508</v>
      </c>
      <c r="C621" s="1">
        <v>46098</v>
      </c>
      <c r="D621">
        <v>265</v>
      </c>
      <c r="E621">
        <v>85.34</v>
      </c>
      <c r="F621" t="s">
        <v>1442</v>
      </c>
      <c r="G621" s="1">
        <v>46118</v>
      </c>
    </row>
    <row r="622" spans="1:7" x14ac:dyDescent="0.25">
      <c r="A622" t="s">
        <v>569</v>
      </c>
      <c r="B622" t="s">
        <v>1475</v>
      </c>
      <c r="C622" s="1">
        <v>46045</v>
      </c>
      <c r="D622">
        <v>153</v>
      </c>
      <c r="E622">
        <v>79.69</v>
      </c>
      <c r="F622" t="s">
        <v>1507</v>
      </c>
      <c r="G622" s="1">
        <v>46056</v>
      </c>
    </row>
    <row r="623" spans="1:7" x14ac:dyDescent="0.25">
      <c r="A623" t="s">
        <v>570</v>
      </c>
      <c r="B623" t="s">
        <v>1508</v>
      </c>
      <c r="C623" s="1">
        <v>46157</v>
      </c>
      <c r="D623">
        <v>137</v>
      </c>
      <c r="E623">
        <v>128</v>
      </c>
      <c r="F623" t="s">
        <v>1442</v>
      </c>
      <c r="G623" s="1">
        <v>46162</v>
      </c>
    </row>
    <row r="624" spans="1:7" x14ac:dyDescent="0.25">
      <c r="A624" t="s">
        <v>571</v>
      </c>
      <c r="B624" t="s">
        <v>1502</v>
      </c>
      <c r="C624" s="1">
        <v>46114</v>
      </c>
      <c r="D624">
        <v>255</v>
      </c>
      <c r="E624">
        <v>111.18</v>
      </c>
      <c r="F624" t="s">
        <v>1487</v>
      </c>
      <c r="G624" s="1">
        <v>46130</v>
      </c>
    </row>
    <row r="625" spans="1:7" x14ac:dyDescent="0.25">
      <c r="A625" t="s">
        <v>572</v>
      </c>
      <c r="B625" t="s">
        <v>1493</v>
      </c>
      <c r="C625" s="1">
        <v>46151</v>
      </c>
      <c r="D625">
        <v>174</v>
      </c>
      <c r="E625">
        <v>80.73</v>
      </c>
      <c r="F625" t="s">
        <v>1501</v>
      </c>
      <c r="G625" s="1">
        <v>46156</v>
      </c>
    </row>
    <row r="626" spans="1:7" x14ac:dyDescent="0.25">
      <c r="A626" t="s">
        <v>573</v>
      </c>
      <c r="B626" t="s">
        <v>1509</v>
      </c>
      <c r="C626" s="1">
        <v>46079</v>
      </c>
      <c r="D626">
        <v>25</v>
      </c>
      <c r="E626">
        <v>179.67</v>
      </c>
      <c r="F626" t="s">
        <v>1456</v>
      </c>
      <c r="G626" s="1">
        <v>46092</v>
      </c>
    </row>
    <row r="627" spans="1:7" x14ac:dyDescent="0.25">
      <c r="A627" t="s">
        <v>574</v>
      </c>
      <c r="B627" t="s">
        <v>1475</v>
      </c>
      <c r="C627" s="1">
        <v>46143</v>
      </c>
      <c r="D627">
        <v>281</v>
      </c>
      <c r="E627">
        <v>74.7</v>
      </c>
      <c r="F627" t="s">
        <v>1480</v>
      </c>
      <c r="G627" s="1">
        <v>46155</v>
      </c>
    </row>
    <row r="628" spans="1:7" x14ac:dyDescent="0.25">
      <c r="A628" t="s">
        <v>575</v>
      </c>
      <c r="B628" t="s">
        <v>1460</v>
      </c>
      <c r="C628" s="1">
        <v>46048</v>
      </c>
      <c r="D628">
        <v>136</v>
      </c>
      <c r="E628">
        <v>133.09</v>
      </c>
      <c r="F628" t="s">
        <v>1458</v>
      </c>
      <c r="G628" s="1">
        <v>46054</v>
      </c>
    </row>
    <row r="629" spans="1:7" x14ac:dyDescent="0.25">
      <c r="A629" t="s">
        <v>576</v>
      </c>
      <c r="B629" t="s">
        <v>1447</v>
      </c>
      <c r="C629" s="1">
        <v>46170</v>
      </c>
      <c r="D629">
        <v>443</v>
      </c>
      <c r="E629">
        <v>196.62</v>
      </c>
      <c r="F629" t="s">
        <v>1453</v>
      </c>
      <c r="G629" s="1">
        <v>46186</v>
      </c>
    </row>
    <row r="630" spans="1:7" x14ac:dyDescent="0.25">
      <c r="A630" t="s">
        <v>577</v>
      </c>
      <c r="B630" t="s">
        <v>1486</v>
      </c>
      <c r="C630" s="1">
        <v>46068</v>
      </c>
      <c r="D630">
        <v>131</v>
      </c>
      <c r="E630">
        <v>120.54</v>
      </c>
      <c r="F630" t="s">
        <v>1490</v>
      </c>
      <c r="G630" s="1">
        <v>46084</v>
      </c>
    </row>
    <row r="631" spans="1:7" x14ac:dyDescent="0.25">
      <c r="A631" t="s">
        <v>578</v>
      </c>
      <c r="B631" t="s">
        <v>1443</v>
      </c>
      <c r="C631" s="1">
        <v>46030</v>
      </c>
      <c r="D631">
        <v>370</v>
      </c>
      <c r="E631">
        <v>141.61000000000001</v>
      </c>
      <c r="F631" t="s">
        <v>1480</v>
      </c>
      <c r="G631" s="1">
        <v>46039</v>
      </c>
    </row>
    <row r="632" spans="1:7" x14ac:dyDescent="0.25">
      <c r="A632" t="s">
        <v>579</v>
      </c>
      <c r="B632" t="s">
        <v>1493</v>
      </c>
      <c r="C632" s="1">
        <v>46071</v>
      </c>
      <c r="D632">
        <v>438</v>
      </c>
      <c r="E632">
        <v>197.66</v>
      </c>
      <c r="F632" t="s">
        <v>1487</v>
      </c>
      <c r="G632" s="1">
        <v>46085</v>
      </c>
    </row>
    <row r="633" spans="1:7" x14ac:dyDescent="0.25">
      <c r="A633" t="s">
        <v>580</v>
      </c>
      <c r="B633" t="s">
        <v>1486</v>
      </c>
      <c r="C633" s="1">
        <v>46148</v>
      </c>
      <c r="D633">
        <v>29</v>
      </c>
      <c r="E633">
        <v>22.6</v>
      </c>
      <c r="F633" t="s">
        <v>1440</v>
      </c>
      <c r="G633" s="1">
        <v>46160</v>
      </c>
    </row>
    <row r="634" spans="1:7" x14ac:dyDescent="0.25">
      <c r="A634" t="s">
        <v>581</v>
      </c>
      <c r="B634" t="s">
        <v>1473</v>
      </c>
      <c r="C634" s="1">
        <v>46157</v>
      </c>
      <c r="D634">
        <v>254</v>
      </c>
      <c r="E634">
        <v>5.13</v>
      </c>
      <c r="F634" t="s">
        <v>1494</v>
      </c>
      <c r="G634" s="1">
        <v>46168</v>
      </c>
    </row>
    <row r="635" spans="1:7" x14ac:dyDescent="0.25">
      <c r="A635" t="s">
        <v>582</v>
      </c>
      <c r="B635" t="s">
        <v>1441</v>
      </c>
      <c r="C635" s="1">
        <v>46110</v>
      </c>
      <c r="D635">
        <v>377</v>
      </c>
      <c r="E635">
        <v>39.6</v>
      </c>
      <c r="F635" t="s">
        <v>1472</v>
      </c>
      <c r="G635" s="1">
        <v>46116</v>
      </c>
    </row>
    <row r="636" spans="1:7" x14ac:dyDescent="0.25">
      <c r="A636" t="s">
        <v>583</v>
      </c>
      <c r="B636" t="s">
        <v>1473</v>
      </c>
      <c r="C636" s="1">
        <v>46060</v>
      </c>
      <c r="D636">
        <v>310</v>
      </c>
      <c r="E636">
        <v>142.41999999999999</v>
      </c>
      <c r="F636" t="s">
        <v>1485</v>
      </c>
      <c r="G636" s="1">
        <v>46068</v>
      </c>
    </row>
    <row r="637" spans="1:7" x14ac:dyDescent="0.25">
      <c r="A637" t="s">
        <v>1365</v>
      </c>
      <c r="B637" t="s">
        <v>1491</v>
      </c>
      <c r="C637" s="1">
        <v>46116</v>
      </c>
      <c r="D637">
        <v>47</v>
      </c>
      <c r="E637">
        <v>77.849999999999994</v>
      </c>
      <c r="F637" t="s">
        <v>1459</v>
      </c>
      <c r="G637" s="1">
        <v>46133</v>
      </c>
    </row>
    <row r="638" spans="1:7" x14ac:dyDescent="0.25">
      <c r="A638" t="s">
        <v>584</v>
      </c>
      <c r="B638" t="s">
        <v>1443</v>
      </c>
      <c r="C638" s="1">
        <v>46048</v>
      </c>
      <c r="D638">
        <v>182</v>
      </c>
      <c r="E638">
        <v>63.84</v>
      </c>
      <c r="F638" t="s">
        <v>1485</v>
      </c>
      <c r="G638" s="1">
        <v>46058</v>
      </c>
    </row>
    <row r="639" spans="1:7" x14ac:dyDescent="0.25">
      <c r="A639" t="s">
        <v>585</v>
      </c>
      <c r="B639" t="s">
        <v>1477</v>
      </c>
      <c r="C639" s="1">
        <v>46134</v>
      </c>
      <c r="D639">
        <v>415</v>
      </c>
      <c r="E639">
        <v>129.66</v>
      </c>
      <c r="F639" t="s">
        <v>1487</v>
      </c>
      <c r="G639" s="1">
        <v>46149</v>
      </c>
    </row>
    <row r="640" spans="1:7" x14ac:dyDescent="0.25">
      <c r="A640" t="s">
        <v>586</v>
      </c>
      <c r="B640" t="s">
        <v>1486</v>
      </c>
      <c r="C640" s="1">
        <v>46166</v>
      </c>
      <c r="D640">
        <v>365</v>
      </c>
      <c r="E640">
        <v>178.47</v>
      </c>
      <c r="F640" t="s">
        <v>1494</v>
      </c>
      <c r="G640" s="1">
        <v>46182</v>
      </c>
    </row>
    <row r="641" spans="1:7" x14ac:dyDescent="0.25">
      <c r="A641" t="s">
        <v>587</v>
      </c>
      <c r="B641" t="s">
        <v>1447</v>
      </c>
      <c r="C641" s="1">
        <v>46173</v>
      </c>
      <c r="D641">
        <v>427</v>
      </c>
      <c r="E641">
        <v>39.19</v>
      </c>
      <c r="F641" t="s">
        <v>1474</v>
      </c>
      <c r="G641" s="1">
        <v>46187</v>
      </c>
    </row>
    <row r="642" spans="1:7" x14ac:dyDescent="0.25">
      <c r="A642" t="s">
        <v>588</v>
      </c>
      <c r="B642" t="s">
        <v>1441</v>
      </c>
      <c r="C642" s="1">
        <v>46068</v>
      </c>
      <c r="D642">
        <v>383</v>
      </c>
      <c r="E642">
        <v>5.35</v>
      </c>
      <c r="F642" t="s">
        <v>1499</v>
      </c>
      <c r="G642" s="1">
        <v>46085</v>
      </c>
    </row>
    <row r="643" spans="1:7" x14ac:dyDescent="0.25">
      <c r="A643" t="s">
        <v>589</v>
      </c>
      <c r="B643" t="s">
        <v>1493</v>
      </c>
      <c r="C643" s="1">
        <v>46031</v>
      </c>
      <c r="D643">
        <v>103</v>
      </c>
      <c r="E643">
        <v>122.47</v>
      </c>
      <c r="F643" t="s">
        <v>1494</v>
      </c>
      <c r="G643" s="1">
        <v>46043</v>
      </c>
    </row>
    <row r="644" spans="1:7" x14ac:dyDescent="0.25">
      <c r="A644" t="s">
        <v>590</v>
      </c>
      <c r="B644" t="s">
        <v>1439</v>
      </c>
      <c r="C644" s="1">
        <v>46167</v>
      </c>
      <c r="D644">
        <v>63</v>
      </c>
      <c r="E644">
        <v>187.65</v>
      </c>
      <c r="F644" t="s">
        <v>1485</v>
      </c>
      <c r="G644" s="1">
        <v>46182</v>
      </c>
    </row>
    <row r="645" spans="1:7" x14ac:dyDescent="0.25">
      <c r="A645" t="s">
        <v>591</v>
      </c>
      <c r="B645" t="s">
        <v>1465</v>
      </c>
      <c r="C645" s="1">
        <v>46042</v>
      </c>
      <c r="D645">
        <v>131</v>
      </c>
      <c r="E645">
        <v>72.63</v>
      </c>
      <c r="F645" t="s">
        <v>1472</v>
      </c>
      <c r="G645" s="1">
        <v>46052</v>
      </c>
    </row>
    <row r="646" spans="1:7" x14ac:dyDescent="0.25">
      <c r="A646" t="s">
        <v>592</v>
      </c>
      <c r="B646" t="s">
        <v>1439</v>
      </c>
      <c r="C646" s="1">
        <v>46045</v>
      </c>
      <c r="D646">
        <v>430</v>
      </c>
      <c r="E646">
        <v>143.25</v>
      </c>
      <c r="F646" t="s">
        <v>1446</v>
      </c>
      <c r="G646" s="1">
        <v>46060</v>
      </c>
    </row>
    <row r="647" spans="1:7" x14ac:dyDescent="0.25">
      <c r="A647" t="s">
        <v>593</v>
      </c>
      <c r="B647" t="s">
        <v>1478</v>
      </c>
      <c r="C647" s="1">
        <v>46025</v>
      </c>
      <c r="D647">
        <v>145</v>
      </c>
      <c r="E647">
        <v>45.89</v>
      </c>
      <c r="F647" t="s">
        <v>1499</v>
      </c>
      <c r="G647" s="1">
        <v>46032</v>
      </c>
    </row>
    <row r="648" spans="1:7" x14ac:dyDescent="0.25">
      <c r="A648" t="s">
        <v>594</v>
      </c>
      <c r="B648" t="s">
        <v>1503</v>
      </c>
      <c r="C648" s="1">
        <v>46088</v>
      </c>
      <c r="D648">
        <v>412</v>
      </c>
      <c r="E648">
        <v>26.07</v>
      </c>
      <c r="F648" t="s">
        <v>1448</v>
      </c>
      <c r="G648" s="1">
        <v>46094</v>
      </c>
    </row>
    <row r="649" spans="1:7" x14ac:dyDescent="0.25">
      <c r="A649" t="s">
        <v>595</v>
      </c>
      <c r="B649" t="s">
        <v>1502</v>
      </c>
      <c r="C649" s="1">
        <v>46135</v>
      </c>
      <c r="D649">
        <v>385</v>
      </c>
      <c r="E649">
        <v>86.83</v>
      </c>
      <c r="F649" t="s">
        <v>1501</v>
      </c>
      <c r="G649" s="1">
        <v>46153</v>
      </c>
    </row>
    <row r="650" spans="1:7" x14ac:dyDescent="0.25">
      <c r="A650" t="s">
        <v>596</v>
      </c>
      <c r="B650" t="s">
        <v>1498</v>
      </c>
      <c r="C650" s="1">
        <v>46119</v>
      </c>
      <c r="D650">
        <v>189</v>
      </c>
      <c r="E650">
        <v>111.47</v>
      </c>
      <c r="F650" t="s">
        <v>1483</v>
      </c>
      <c r="G650" s="1">
        <v>46139</v>
      </c>
    </row>
    <row r="651" spans="1:7" x14ac:dyDescent="0.25">
      <c r="A651" t="s">
        <v>597</v>
      </c>
      <c r="B651" t="s">
        <v>1493</v>
      </c>
      <c r="C651" s="1">
        <v>46080</v>
      </c>
      <c r="D651">
        <v>93</v>
      </c>
      <c r="E651">
        <v>93</v>
      </c>
      <c r="F651" t="s">
        <v>1459</v>
      </c>
      <c r="G651" s="1">
        <v>46094</v>
      </c>
    </row>
    <row r="652" spans="1:7" x14ac:dyDescent="0.25">
      <c r="A652" t="s">
        <v>598</v>
      </c>
      <c r="B652" t="s">
        <v>1473</v>
      </c>
      <c r="C652" s="1">
        <v>46104</v>
      </c>
      <c r="D652">
        <v>143</v>
      </c>
      <c r="E652">
        <v>190.57</v>
      </c>
      <c r="F652" t="s">
        <v>1476</v>
      </c>
      <c r="G652" s="1">
        <v>46119</v>
      </c>
    </row>
    <row r="653" spans="1:7" x14ac:dyDescent="0.25">
      <c r="A653" t="s">
        <v>599</v>
      </c>
      <c r="B653" t="s">
        <v>1460</v>
      </c>
      <c r="C653" s="1">
        <v>46119</v>
      </c>
      <c r="D653">
        <v>92</v>
      </c>
      <c r="E653">
        <v>147.74</v>
      </c>
      <c r="F653" t="s">
        <v>1442</v>
      </c>
      <c r="G653" s="1">
        <v>46126</v>
      </c>
    </row>
    <row r="654" spans="1:7" x14ac:dyDescent="0.25">
      <c r="A654" t="s">
        <v>600</v>
      </c>
      <c r="B654" t="s">
        <v>1479</v>
      </c>
      <c r="C654" s="1">
        <v>46146</v>
      </c>
      <c r="D654">
        <v>370</v>
      </c>
      <c r="E654">
        <v>11.04</v>
      </c>
      <c r="F654" t="s">
        <v>1446</v>
      </c>
      <c r="G654" s="1">
        <v>46156</v>
      </c>
    </row>
    <row r="655" spans="1:7" x14ac:dyDescent="0.25">
      <c r="A655" t="s">
        <v>601</v>
      </c>
      <c r="B655" t="s">
        <v>1468</v>
      </c>
      <c r="C655" s="1">
        <v>46134</v>
      </c>
      <c r="D655">
        <v>90</v>
      </c>
      <c r="E655">
        <v>15.44</v>
      </c>
      <c r="F655" t="s">
        <v>1472</v>
      </c>
      <c r="G655" s="1">
        <v>46145</v>
      </c>
    </row>
    <row r="656" spans="1:7" x14ac:dyDescent="0.25">
      <c r="A656" t="s">
        <v>602</v>
      </c>
      <c r="B656" t="s">
        <v>1505</v>
      </c>
      <c r="C656" s="1">
        <v>46127</v>
      </c>
      <c r="D656">
        <v>366</v>
      </c>
      <c r="E656">
        <v>113.05</v>
      </c>
      <c r="F656" t="s">
        <v>1490</v>
      </c>
      <c r="G656" s="1">
        <v>46140</v>
      </c>
    </row>
    <row r="657" spans="1:7" x14ac:dyDescent="0.25">
      <c r="A657" t="s">
        <v>603</v>
      </c>
      <c r="B657" t="s">
        <v>1484</v>
      </c>
      <c r="C657" s="1">
        <v>46095</v>
      </c>
      <c r="D657">
        <v>162</v>
      </c>
      <c r="E657">
        <v>51.32</v>
      </c>
      <c r="F657" t="s">
        <v>1462</v>
      </c>
      <c r="G657" s="1">
        <v>46112</v>
      </c>
    </row>
    <row r="658" spans="1:7" x14ac:dyDescent="0.25">
      <c r="A658" t="s">
        <v>604</v>
      </c>
      <c r="B658" t="s">
        <v>1493</v>
      </c>
      <c r="C658" s="1">
        <v>46163</v>
      </c>
      <c r="D658">
        <v>440</v>
      </c>
      <c r="E658">
        <v>100.73</v>
      </c>
      <c r="F658" t="s">
        <v>1462</v>
      </c>
      <c r="G658" s="1">
        <v>46179</v>
      </c>
    </row>
    <row r="659" spans="1:7" x14ac:dyDescent="0.25">
      <c r="A659" t="s">
        <v>605</v>
      </c>
      <c r="B659" t="s">
        <v>1481</v>
      </c>
      <c r="C659" s="1">
        <v>46132</v>
      </c>
      <c r="D659">
        <v>54</v>
      </c>
      <c r="E659">
        <v>62.44</v>
      </c>
      <c r="F659" t="s">
        <v>1467</v>
      </c>
      <c r="G659" s="1">
        <v>46152</v>
      </c>
    </row>
    <row r="660" spans="1:7" x14ac:dyDescent="0.25">
      <c r="A660" t="s">
        <v>606</v>
      </c>
      <c r="B660" t="s">
        <v>1505</v>
      </c>
      <c r="C660" s="1">
        <v>46047</v>
      </c>
      <c r="D660">
        <v>23</v>
      </c>
      <c r="E660">
        <v>45.36</v>
      </c>
      <c r="F660" t="s">
        <v>1446</v>
      </c>
      <c r="G660" s="1">
        <v>46061</v>
      </c>
    </row>
    <row r="661" spans="1:7" x14ac:dyDescent="0.25">
      <c r="A661" t="s">
        <v>607</v>
      </c>
      <c r="B661" t="s">
        <v>1457</v>
      </c>
      <c r="C661" s="1">
        <v>46144</v>
      </c>
      <c r="D661">
        <v>442</v>
      </c>
      <c r="E661">
        <v>27.52</v>
      </c>
      <c r="F661" t="s">
        <v>1453</v>
      </c>
      <c r="G661" s="1">
        <v>46164</v>
      </c>
    </row>
    <row r="662" spans="1:7" x14ac:dyDescent="0.25">
      <c r="A662" t="s">
        <v>608</v>
      </c>
      <c r="B662" t="s">
        <v>1498</v>
      </c>
      <c r="C662" s="1">
        <v>46090</v>
      </c>
      <c r="D662">
        <v>56</v>
      </c>
      <c r="E662">
        <v>130.16</v>
      </c>
      <c r="F662" t="s">
        <v>1453</v>
      </c>
      <c r="G662" s="1">
        <v>46100</v>
      </c>
    </row>
    <row r="663" spans="1:7" x14ac:dyDescent="0.25">
      <c r="A663" t="s">
        <v>609</v>
      </c>
      <c r="B663" t="s">
        <v>1496</v>
      </c>
      <c r="C663" s="1">
        <v>46120</v>
      </c>
      <c r="D663">
        <v>199</v>
      </c>
      <c r="E663">
        <v>41.38</v>
      </c>
      <c r="F663" t="s">
        <v>1462</v>
      </c>
      <c r="G663" s="1">
        <v>46133</v>
      </c>
    </row>
    <row r="664" spans="1:7" x14ac:dyDescent="0.25">
      <c r="A664" t="s">
        <v>610</v>
      </c>
      <c r="B664" t="s">
        <v>1478</v>
      </c>
      <c r="C664" s="1">
        <v>46142</v>
      </c>
      <c r="D664">
        <v>144</v>
      </c>
      <c r="E664">
        <v>49.12</v>
      </c>
      <c r="F664" t="s">
        <v>1458</v>
      </c>
      <c r="G664" s="1">
        <v>46148</v>
      </c>
    </row>
    <row r="665" spans="1:7" x14ac:dyDescent="0.25">
      <c r="A665" t="s">
        <v>611</v>
      </c>
      <c r="B665" t="s">
        <v>1464</v>
      </c>
      <c r="C665" s="1">
        <v>46047</v>
      </c>
      <c r="D665">
        <v>53</v>
      </c>
      <c r="E665">
        <v>135.29</v>
      </c>
      <c r="F665" t="s">
        <v>1459</v>
      </c>
      <c r="G665" s="1">
        <v>46065</v>
      </c>
    </row>
    <row r="666" spans="1:7" x14ac:dyDescent="0.25">
      <c r="A666" t="s">
        <v>612</v>
      </c>
      <c r="B666" t="s">
        <v>1443</v>
      </c>
      <c r="C666" s="1">
        <v>46081</v>
      </c>
      <c r="D666">
        <v>293</v>
      </c>
      <c r="E666">
        <v>16.89</v>
      </c>
      <c r="F666" t="s">
        <v>1453</v>
      </c>
      <c r="G666" s="1">
        <v>46102</v>
      </c>
    </row>
    <row r="667" spans="1:7" x14ac:dyDescent="0.25">
      <c r="A667" t="s">
        <v>613</v>
      </c>
      <c r="B667" t="s">
        <v>1495</v>
      </c>
      <c r="C667" s="1">
        <v>46160</v>
      </c>
      <c r="D667">
        <v>361</v>
      </c>
      <c r="E667">
        <v>174.04</v>
      </c>
      <c r="F667" t="s">
        <v>1487</v>
      </c>
      <c r="G667" s="1">
        <v>46172</v>
      </c>
    </row>
    <row r="668" spans="1:7" x14ac:dyDescent="0.25">
      <c r="A668" t="s">
        <v>614</v>
      </c>
      <c r="B668" t="s">
        <v>1510</v>
      </c>
      <c r="C668" s="1">
        <v>46099</v>
      </c>
      <c r="D668">
        <v>50</v>
      </c>
      <c r="E668">
        <v>81.99</v>
      </c>
      <c r="F668" t="s">
        <v>1499</v>
      </c>
      <c r="G668" s="1">
        <v>46105</v>
      </c>
    </row>
    <row r="669" spans="1:7" x14ac:dyDescent="0.25">
      <c r="A669" t="s">
        <v>615</v>
      </c>
      <c r="B669" t="s">
        <v>1445</v>
      </c>
      <c r="C669" s="1">
        <v>46169</v>
      </c>
      <c r="D669">
        <v>471</v>
      </c>
      <c r="E669">
        <v>105.78</v>
      </c>
      <c r="F669" t="s">
        <v>1480</v>
      </c>
      <c r="G669" s="1">
        <v>46178</v>
      </c>
    </row>
    <row r="670" spans="1:7" x14ac:dyDescent="0.25">
      <c r="A670" t="s">
        <v>616</v>
      </c>
      <c r="B670" t="s">
        <v>1466</v>
      </c>
      <c r="C670" s="1">
        <v>46137</v>
      </c>
      <c r="D670">
        <v>98</v>
      </c>
      <c r="E670">
        <v>190.07</v>
      </c>
      <c r="F670" t="s">
        <v>1501</v>
      </c>
      <c r="G670" s="1">
        <v>46148</v>
      </c>
    </row>
    <row r="671" spans="1:7" x14ac:dyDescent="0.25">
      <c r="A671" t="s">
        <v>617</v>
      </c>
      <c r="B671" t="s">
        <v>1505</v>
      </c>
      <c r="C671" s="1">
        <v>46055</v>
      </c>
      <c r="D671">
        <v>31</v>
      </c>
      <c r="E671">
        <v>87.56</v>
      </c>
      <c r="F671" t="s">
        <v>1467</v>
      </c>
      <c r="G671" s="1">
        <v>46073</v>
      </c>
    </row>
    <row r="672" spans="1:7" x14ac:dyDescent="0.25">
      <c r="A672" t="s">
        <v>618</v>
      </c>
      <c r="B672" t="s">
        <v>1505</v>
      </c>
      <c r="C672" s="1">
        <v>46060</v>
      </c>
      <c r="D672">
        <v>437</v>
      </c>
      <c r="E672">
        <v>121.03</v>
      </c>
      <c r="F672" t="s">
        <v>1472</v>
      </c>
      <c r="G672" s="1">
        <v>46067</v>
      </c>
    </row>
    <row r="673" spans="1:7" x14ac:dyDescent="0.25">
      <c r="A673" t="s">
        <v>619</v>
      </c>
      <c r="B673" t="s">
        <v>1457</v>
      </c>
      <c r="C673" s="1">
        <v>46122</v>
      </c>
      <c r="D673">
        <v>294</v>
      </c>
      <c r="E673">
        <v>82.48</v>
      </c>
      <c r="F673" t="s">
        <v>1472</v>
      </c>
      <c r="G673" s="1">
        <v>46135</v>
      </c>
    </row>
    <row r="674" spans="1:7" x14ac:dyDescent="0.25">
      <c r="A674" t="s">
        <v>620</v>
      </c>
      <c r="B674" t="s">
        <v>1491</v>
      </c>
      <c r="C674" s="1">
        <v>46140</v>
      </c>
      <c r="D674">
        <v>479</v>
      </c>
      <c r="E674">
        <v>175.33</v>
      </c>
      <c r="F674" t="s">
        <v>1499</v>
      </c>
      <c r="G674" s="1">
        <v>46161</v>
      </c>
    </row>
    <row r="675" spans="1:7" x14ac:dyDescent="0.25">
      <c r="A675" t="s">
        <v>621</v>
      </c>
      <c r="B675" t="s">
        <v>1495</v>
      </c>
      <c r="C675" s="1">
        <v>46051</v>
      </c>
      <c r="D675">
        <v>222</v>
      </c>
      <c r="E675">
        <v>34.18</v>
      </c>
      <c r="F675" t="s">
        <v>1480</v>
      </c>
      <c r="G675" s="1">
        <v>46059</v>
      </c>
    </row>
    <row r="676" spans="1:7" x14ac:dyDescent="0.25">
      <c r="A676" t="s">
        <v>622</v>
      </c>
      <c r="B676" t="s">
        <v>1450</v>
      </c>
      <c r="C676" s="1">
        <v>46167</v>
      </c>
      <c r="D676">
        <v>409</v>
      </c>
      <c r="E676">
        <v>24.69</v>
      </c>
      <c r="F676" t="s">
        <v>1459</v>
      </c>
      <c r="G676" s="1">
        <v>46183</v>
      </c>
    </row>
    <row r="677" spans="1:7" x14ac:dyDescent="0.25">
      <c r="A677" t="s">
        <v>623</v>
      </c>
      <c r="B677" t="s">
        <v>1495</v>
      </c>
      <c r="C677" s="1">
        <v>46090</v>
      </c>
      <c r="D677">
        <v>206</v>
      </c>
      <c r="E677">
        <v>132.68</v>
      </c>
      <c r="F677" t="s">
        <v>1480</v>
      </c>
      <c r="G677" s="1">
        <v>46110</v>
      </c>
    </row>
    <row r="678" spans="1:7" x14ac:dyDescent="0.25">
      <c r="A678" t="s">
        <v>624</v>
      </c>
      <c r="B678" t="s">
        <v>1452</v>
      </c>
      <c r="C678" s="1">
        <v>46067</v>
      </c>
      <c r="D678">
        <v>151</v>
      </c>
      <c r="E678">
        <v>83.58</v>
      </c>
      <c r="F678" t="s">
        <v>1494</v>
      </c>
      <c r="G678" s="1">
        <v>46084</v>
      </c>
    </row>
    <row r="679" spans="1:7" x14ac:dyDescent="0.25">
      <c r="A679" t="s">
        <v>625</v>
      </c>
      <c r="B679" t="s">
        <v>1452</v>
      </c>
      <c r="C679" s="1">
        <v>46124</v>
      </c>
      <c r="D679">
        <v>465</v>
      </c>
      <c r="E679">
        <v>176.4</v>
      </c>
      <c r="F679" t="s">
        <v>1499</v>
      </c>
      <c r="G679" s="1">
        <v>46136</v>
      </c>
    </row>
    <row r="680" spans="1:7" x14ac:dyDescent="0.25">
      <c r="A680" t="s">
        <v>626</v>
      </c>
      <c r="B680" t="s">
        <v>1475</v>
      </c>
      <c r="C680" s="1">
        <v>46144</v>
      </c>
      <c r="D680">
        <v>481</v>
      </c>
      <c r="E680">
        <v>57.37</v>
      </c>
      <c r="F680" t="s">
        <v>1451</v>
      </c>
      <c r="G680" s="1">
        <v>46149</v>
      </c>
    </row>
    <row r="681" spans="1:7" x14ac:dyDescent="0.25">
      <c r="A681" t="s">
        <v>627</v>
      </c>
      <c r="B681" t="s">
        <v>1479</v>
      </c>
      <c r="C681" s="1">
        <v>46100</v>
      </c>
      <c r="D681">
        <v>169</v>
      </c>
      <c r="E681">
        <v>59.67</v>
      </c>
      <c r="F681" t="s">
        <v>1487</v>
      </c>
      <c r="G681" s="1">
        <v>46108</v>
      </c>
    </row>
    <row r="682" spans="1:7" x14ac:dyDescent="0.25">
      <c r="A682" t="s">
        <v>628</v>
      </c>
      <c r="B682" t="s">
        <v>1447</v>
      </c>
      <c r="C682" s="1">
        <v>46057</v>
      </c>
      <c r="D682">
        <v>163</v>
      </c>
      <c r="E682">
        <v>194.97</v>
      </c>
      <c r="F682" t="s">
        <v>1469</v>
      </c>
      <c r="G682" s="1">
        <v>46072</v>
      </c>
    </row>
    <row r="683" spans="1:7" x14ac:dyDescent="0.25">
      <c r="A683" t="s">
        <v>629</v>
      </c>
      <c r="B683" t="s">
        <v>1511</v>
      </c>
      <c r="C683" s="1">
        <v>46129</v>
      </c>
      <c r="D683">
        <v>319</v>
      </c>
      <c r="E683">
        <v>130.88</v>
      </c>
      <c r="F683" t="s">
        <v>1444</v>
      </c>
      <c r="G683" s="1">
        <v>46148</v>
      </c>
    </row>
    <row r="684" spans="1:7" x14ac:dyDescent="0.25">
      <c r="A684" t="s">
        <v>630</v>
      </c>
      <c r="B684" t="s">
        <v>1463</v>
      </c>
      <c r="C684" s="1">
        <v>46127</v>
      </c>
      <c r="D684">
        <v>389</v>
      </c>
      <c r="E684">
        <v>99.47</v>
      </c>
      <c r="F684" t="s">
        <v>1504</v>
      </c>
      <c r="G684" s="1">
        <v>46143</v>
      </c>
    </row>
    <row r="685" spans="1:7" x14ac:dyDescent="0.25">
      <c r="A685" t="s">
        <v>631</v>
      </c>
      <c r="B685" t="s">
        <v>1475</v>
      </c>
      <c r="C685" s="1">
        <v>46154</v>
      </c>
      <c r="D685">
        <v>415</v>
      </c>
      <c r="E685">
        <v>36</v>
      </c>
      <c r="F685" t="s">
        <v>1474</v>
      </c>
      <c r="G685" s="1">
        <v>46175</v>
      </c>
    </row>
    <row r="686" spans="1:7" x14ac:dyDescent="0.25">
      <c r="A686" t="s">
        <v>632</v>
      </c>
      <c r="B686" t="s">
        <v>1488</v>
      </c>
      <c r="C686" s="1">
        <v>46057</v>
      </c>
      <c r="D686">
        <v>409</v>
      </c>
      <c r="E686">
        <v>171</v>
      </c>
      <c r="F686" t="s">
        <v>1480</v>
      </c>
      <c r="G686" s="1">
        <v>46062</v>
      </c>
    </row>
    <row r="687" spans="1:7" x14ac:dyDescent="0.25">
      <c r="A687" t="s">
        <v>633</v>
      </c>
      <c r="B687" t="s">
        <v>1486</v>
      </c>
      <c r="C687" s="1">
        <v>46072</v>
      </c>
      <c r="D687">
        <v>458</v>
      </c>
      <c r="E687">
        <v>167.42</v>
      </c>
      <c r="F687" t="s">
        <v>1462</v>
      </c>
      <c r="G687" s="1">
        <v>46084</v>
      </c>
    </row>
    <row r="688" spans="1:7" x14ac:dyDescent="0.25">
      <c r="A688" t="s">
        <v>634</v>
      </c>
      <c r="B688" t="s">
        <v>1452</v>
      </c>
      <c r="C688" s="1">
        <v>46139</v>
      </c>
      <c r="D688">
        <v>35</v>
      </c>
      <c r="E688">
        <v>184.02</v>
      </c>
      <c r="F688" t="s">
        <v>1499</v>
      </c>
      <c r="G688" s="1">
        <v>46150</v>
      </c>
    </row>
    <row r="689" spans="1:7" x14ac:dyDescent="0.25">
      <c r="A689" t="s">
        <v>635</v>
      </c>
      <c r="B689" t="s">
        <v>1511</v>
      </c>
      <c r="C689" s="1">
        <v>46117</v>
      </c>
      <c r="D689">
        <v>431</v>
      </c>
      <c r="E689">
        <v>95.52</v>
      </c>
      <c r="F689" t="s">
        <v>1453</v>
      </c>
      <c r="G689" s="1">
        <v>46125</v>
      </c>
    </row>
    <row r="690" spans="1:7" x14ac:dyDescent="0.25">
      <c r="A690" t="s">
        <v>636</v>
      </c>
      <c r="B690" t="s">
        <v>1461</v>
      </c>
      <c r="C690" s="1">
        <v>46030</v>
      </c>
      <c r="D690">
        <v>133</v>
      </c>
      <c r="E690">
        <v>77.63</v>
      </c>
      <c r="F690" t="s">
        <v>1494</v>
      </c>
      <c r="G690" s="1">
        <v>46049</v>
      </c>
    </row>
    <row r="691" spans="1:7" x14ac:dyDescent="0.25">
      <c r="A691" t="s">
        <v>637</v>
      </c>
      <c r="B691" t="s">
        <v>1486</v>
      </c>
      <c r="C691" s="1">
        <v>46144</v>
      </c>
      <c r="D691">
        <v>310</v>
      </c>
      <c r="E691">
        <v>112.51</v>
      </c>
      <c r="F691" t="s">
        <v>1451</v>
      </c>
      <c r="G691" s="1">
        <v>46154</v>
      </c>
    </row>
    <row r="692" spans="1:7" x14ac:dyDescent="0.25">
      <c r="A692" t="s">
        <v>638</v>
      </c>
      <c r="B692" t="s">
        <v>1470</v>
      </c>
      <c r="C692" s="1">
        <v>46046</v>
      </c>
      <c r="D692">
        <v>155</v>
      </c>
      <c r="E692">
        <v>10.35</v>
      </c>
      <c r="F692" t="s">
        <v>1462</v>
      </c>
      <c r="G692" s="1">
        <v>46056</v>
      </c>
    </row>
    <row r="693" spans="1:7" x14ac:dyDescent="0.25">
      <c r="A693" t="s">
        <v>639</v>
      </c>
      <c r="B693" t="s">
        <v>1493</v>
      </c>
      <c r="C693" s="1">
        <v>46077</v>
      </c>
      <c r="D693">
        <v>448</v>
      </c>
      <c r="E693">
        <v>48.16</v>
      </c>
      <c r="F693" t="s">
        <v>1440</v>
      </c>
      <c r="G693" s="1">
        <v>46088</v>
      </c>
    </row>
    <row r="694" spans="1:7" x14ac:dyDescent="0.25">
      <c r="A694" t="s">
        <v>640</v>
      </c>
      <c r="B694" t="s">
        <v>1511</v>
      </c>
      <c r="C694" s="1">
        <v>46127</v>
      </c>
      <c r="D694">
        <v>272</v>
      </c>
      <c r="E694">
        <v>8.91</v>
      </c>
      <c r="F694" t="s">
        <v>1456</v>
      </c>
      <c r="G694" s="1">
        <v>46132</v>
      </c>
    </row>
    <row r="695" spans="1:7" x14ac:dyDescent="0.25">
      <c r="A695" t="s">
        <v>641</v>
      </c>
      <c r="B695" t="s">
        <v>1510</v>
      </c>
      <c r="C695" s="1">
        <v>46056</v>
      </c>
      <c r="D695">
        <v>341</v>
      </c>
      <c r="E695">
        <v>38.770000000000003</v>
      </c>
      <c r="F695" t="s">
        <v>1448</v>
      </c>
      <c r="G695" s="1">
        <v>46068</v>
      </c>
    </row>
    <row r="696" spans="1:7" x14ac:dyDescent="0.25">
      <c r="A696" t="s">
        <v>1426</v>
      </c>
      <c r="B696" t="s">
        <v>1470</v>
      </c>
      <c r="C696" s="1">
        <v>46101</v>
      </c>
      <c r="D696">
        <v>374</v>
      </c>
      <c r="E696">
        <v>193.57</v>
      </c>
      <c r="F696" t="s">
        <v>1446</v>
      </c>
      <c r="G696" s="1">
        <v>46114</v>
      </c>
    </row>
    <row r="697" spans="1:7" x14ac:dyDescent="0.25">
      <c r="A697" t="s">
        <v>642</v>
      </c>
      <c r="B697" t="s">
        <v>1500</v>
      </c>
      <c r="C697" s="1">
        <v>46119</v>
      </c>
      <c r="D697">
        <v>446</v>
      </c>
      <c r="E697">
        <v>73</v>
      </c>
      <c r="F697" t="s">
        <v>1458</v>
      </c>
      <c r="G697" s="1">
        <v>46130</v>
      </c>
    </row>
    <row r="698" spans="1:7" x14ac:dyDescent="0.25">
      <c r="A698" t="s">
        <v>643</v>
      </c>
      <c r="B698" t="s">
        <v>1489</v>
      </c>
      <c r="C698" s="1">
        <v>46100</v>
      </c>
      <c r="D698">
        <v>356</v>
      </c>
      <c r="E698">
        <v>106.52</v>
      </c>
      <c r="F698" t="s">
        <v>1459</v>
      </c>
      <c r="G698" s="1">
        <v>46117</v>
      </c>
    </row>
    <row r="699" spans="1:7" x14ac:dyDescent="0.25">
      <c r="A699" t="s">
        <v>644</v>
      </c>
      <c r="B699" t="s">
        <v>1443</v>
      </c>
      <c r="C699" s="1">
        <v>46049</v>
      </c>
      <c r="D699">
        <v>13</v>
      </c>
      <c r="E699">
        <v>104.75</v>
      </c>
      <c r="F699" t="s">
        <v>1467</v>
      </c>
      <c r="G699" s="1">
        <v>46065</v>
      </c>
    </row>
    <row r="700" spans="1:7" x14ac:dyDescent="0.25">
      <c r="A700" t="s">
        <v>645</v>
      </c>
      <c r="B700" t="s">
        <v>1454</v>
      </c>
      <c r="C700" s="1">
        <v>46095</v>
      </c>
      <c r="D700">
        <v>162</v>
      </c>
      <c r="E700">
        <v>138.46</v>
      </c>
      <c r="F700" t="s">
        <v>1487</v>
      </c>
      <c r="G700" s="1">
        <v>46102</v>
      </c>
    </row>
    <row r="701" spans="1:7" x14ac:dyDescent="0.25">
      <c r="A701" t="s">
        <v>646</v>
      </c>
      <c r="B701" t="s">
        <v>1479</v>
      </c>
      <c r="C701" s="1">
        <v>46093</v>
      </c>
      <c r="D701">
        <v>337</v>
      </c>
      <c r="E701">
        <v>68.400000000000006</v>
      </c>
      <c r="F701" t="s">
        <v>1458</v>
      </c>
      <c r="G701" s="1">
        <v>46106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D55E5-0875-4715-8A52-E2FE1735AFC6}">
  <dimension ref="A1:H701"/>
  <sheetViews>
    <sheetView workbookViewId="0">
      <selection activeCell="K5" sqref="K5"/>
    </sheetView>
  </sheetViews>
  <sheetFormatPr defaultRowHeight="15" x14ac:dyDescent="0.25"/>
  <cols>
    <col min="1" max="1" width="13.5703125" bestFit="1" customWidth="1"/>
    <col min="2" max="2" width="23.42578125" bestFit="1" customWidth="1"/>
    <col min="3" max="3" width="13.140625" bestFit="1" customWidth="1"/>
    <col min="4" max="4" width="14" bestFit="1" customWidth="1"/>
    <col min="5" max="5" width="15" bestFit="1" customWidth="1"/>
    <col min="6" max="6" width="17.85546875" bestFit="1" customWidth="1"/>
    <col min="7" max="7" width="24.28515625" bestFit="1" customWidth="1"/>
  </cols>
  <sheetData>
    <row r="1" spans="1:8" x14ac:dyDescent="0.25">
      <c r="A1" t="s">
        <v>0</v>
      </c>
      <c r="B1" t="s">
        <v>1433</v>
      </c>
      <c r="C1" t="s">
        <v>1434</v>
      </c>
      <c r="D1" t="s">
        <v>1435</v>
      </c>
      <c r="E1" t="s">
        <v>1436</v>
      </c>
      <c r="F1" t="s">
        <v>1437</v>
      </c>
      <c r="G1" t="s">
        <v>1438</v>
      </c>
      <c r="H1" t="s">
        <v>1516</v>
      </c>
    </row>
    <row r="2" spans="1:8" x14ac:dyDescent="0.25">
      <c r="A2" t="s">
        <v>3</v>
      </c>
      <c r="B2" t="s">
        <v>1439</v>
      </c>
      <c r="C2" s="1">
        <v>46051</v>
      </c>
      <c r="D2">
        <v>22</v>
      </c>
      <c r="E2">
        <v>149.6</v>
      </c>
      <c r="F2" t="s">
        <v>1440</v>
      </c>
      <c r="G2" s="1">
        <v>46063</v>
      </c>
      <c r="H2">
        <f>COUNTIF(purchase_orders[PO Number], purchase_orders[[#This Row],[PO Number]])</f>
        <v>1</v>
      </c>
    </row>
    <row r="3" spans="1:8" x14ac:dyDescent="0.25">
      <c r="A3" t="s">
        <v>4</v>
      </c>
      <c r="B3" t="s">
        <v>1441</v>
      </c>
      <c r="C3" s="1">
        <v>46049</v>
      </c>
      <c r="D3">
        <v>356</v>
      </c>
      <c r="E3">
        <v>149.43</v>
      </c>
      <c r="F3" t="s">
        <v>1442</v>
      </c>
      <c r="G3" s="1">
        <v>46056</v>
      </c>
      <c r="H3">
        <f>COUNTIF(purchase_orders[PO Number], purchase_orders[[#This Row],[PO Number]])</f>
        <v>1</v>
      </c>
    </row>
    <row r="4" spans="1:8" x14ac:dyDescent="0.25">
      <c r="A4" t="s">
        <v>5</v>
      </c>
      <c r="B4" t="s">
        <v>1443</v>
      </c>
      <c r="C4" s="1">
        <v>46131</v>
      </c>
      <c r="D4">
        <v>26</v>
      </c>
      <c r="E4">
        <v>10.81</v>
      </c>
      <c r="F4" t="s">
        <v>1444</v>
      </c>
      <c r="G4" s="1">
        <v>46143</v>
      </c>
      <c r="H4">
        <f>COUNTIF(purchase_orders[PO Number], purchase_orders[[#This Row],[PO Number]])</f>
        <v>1</v>
      </c>
    </row>
    <row r="5" spans="1:8" x14ac:dyDescent="0.25">
      <c r="A5" t="s">
        <v>6</v>
      </c>
      <c r="B5" t="s">
        <v>1445</v>
      </c>
      <c r="C5" s="1">
        <v>46029</v>
      </c>
      <c r="D5">
        <v>297</v>
      </c>
      <c r="E5">
        <v>43.77</v>
      </c>
      <c r="F5" t="s">
        <v>1446</v>
      </c>
      <c r="G5" s="1">
        <v>46047</v>
      </c>
      <c r="H5">
        <f>COUNTIF(purchase_orders[PO Number], purchase_orders[[#This Row],[PO Number]])</f>
        <v>1</v>
      </c>
    </row>
    <row r="6" spans="1:8" x14ac:dyDescent="0.25">
      <c r="A6" t="s">
        <v>7</v>
      </c>
      <c r="B6" t="s">
        <v>1447</v>
      </c>
      <c r="C6" s="1">
        <v>46137</v>
      </c>
      <c r="D6">
        <v>311</v>
      </c>
      <c r="E6">
        <v>59.25</v>
      </c>
      <c r="F6" t="s">
        <v>1448</v>
      </c>
      <c r="G6" s="1">
        <v>46147</v>
      </c>
      <c r="H6">
        <f>COUNTIF(purchase_orders[PO Number], purchase_orders[[#This Row],[PO Number]])</f>
        <v>1</v>
      </c>
    </row>
    <row r="7" spans="1:8" x14ac:dyDescent="0.25">
      <c r="A7" t="s">
        <v>8</v>
      </c>
      <c r="B7" t="s">
        <v>1449</v>
      </c>
      <c r="C7" s="1">
        <v>46131</v>
      </c>
      <c r="D7">
        <v>184</v>
      </c>
      <c r="E7">
        <v>59.18</v>
      </c>
      <c r="F7" t="s">
        <v>1444</v>
      </c>
      <c r="G7" s="1">
        <v>46146</v>
      </c>
      <c r="H7">
        <f>COUNTIF(purchase_orders[PO Number], purchase_orders[[#This Row],[PO Number]])</f>
        <v>1</v>
      </c>
    </row>
    <row r="8" spans="1:8" x14ac:dyDescent="0.25">
      <c r="A8" t="s">
        <v>9</v>
      </c>
      <c r="B8" t="s">
        <v>1450</v>
      </c>
      <c r="C8" s="1">
        <v>46046</v>
      </c>
      <c r="D8">
        <v>204</v>
      </c>
      <c r="E8">
        <v>23.86</v>
      </c>
      <c r="F8" t="s">
        <v>1451</v>
      </c>
      <c r="G8" s="1">
        <v>46059</v>
      </c>
      <c r="H8">
        <f>COUNTIF(purchase_orders[PO Number], purchase_orders[[#This Row],[PO Number]])</f>
        <v>1</v>
      </c>
    </row>
    <row r="9" spans="1:8" x14ac:dyDescent="0.25">
      <c r="A9" t="s">
        <v>10</v>
      </c>
      <c r="B9" t="s">
        <v>1452</v>
      </c>
      <c r="C9" s="1">
        <v>46140</v>
      </c>
      <c r="D9">
        <v>284</v>
      </c>
      <c r="E9">
        <v>29.34</v>
      </c>
      <c r="F9" t="s">
        <v>1453</v>
      </c>
      <c r="G9" s="1">
        <v>46147</v>
      </c>
      <c r="H9">
        <f>COUNTIF(purchase_orders[PO Number], purchase_orders[[#This Row],[PO Number]])</f>
        <v>1</v>
      </c>
    </row>
    <row r="10" spans="1:8" x14ac:dyDescent="0.25">
      <c r="A10" t="s">
        <v>11</v>
      </c>
      <c r="B10" t="s">
        <v>1454</v>
      </c>
      <c r="C10" s="1">
        <v>46098</v>
      </c>
      <c r="D10">
        <v>434</v>
      </c>
      <c r="E10">
        <v>127.58</v>
      </c>
      <c r="F10" t="s">
        <v>1451</v>
      </c>
      <c r="G10" s="1">
        <v>46109</v>
      </c>
      <c r="H10">
        <f>COUNTIF(purchase_orders[PO Number], purchase_orders[[#This Row],[PO Number]])</f>
        <v>1</v>
      </c>
    </row>
    <row r="11" spans="1:8" x14ac:dyDescent="0.25">
      <c r="A11" t="s">
        <v>12</v>
      </c>
      <c r="B11" t="s">
        <v>1455</v>
      </c>
      <c r="C11" s="1">
        <v>46040</v>
      </c>
      <c r="D11">
        <v>33</v>
      </c>
      <c r="E11">
        <v>133.94999999999999</v>
      </c>
      <c r="F11" t="s">
        <v>1456</v>
      </c>
      <c r="G11" s="1">
        <v>46054</v>
      </c>
      <c r="H11">
        <f>COUNTIF(purchase_orders[PO Number], purchase_orders[[#This Row],[PO Number]])</f>
        <v>1</v>
      </c>
    </row>
    <row r="12" spans="1:8" x14ac:dyDescent="0.25">
      <c r="A12" t="s">
        <v>13</v>
      </c>
      <c r="B12" t="s">
        <v>1457</v>
      </c>
      <c r="C12" s="1">
        <v>46082</v>
      </c>
      <c r="D12">
        <v>453</v>
      </c>
      <c r="E12">
        <v>24.7</v>
      </c>
      <c r="F12" t="s">
        <v>1458</v>
      </c>
      <c r="G12" s="1">
        <v>46101</v>
      </c>
      <c r="H12">
        <f>COUNTIF(purchase_orders[PO Number], purchase_orders[[#This Row],[PO Number]])</f>
        <v>1</v>
      </c>
    </row>
    <row r="13" spans="1:8" x14ac:dyDescent="0.25">
      <c r="A13" t="s">
        <v>14</v>
      </c>
      <c r="B13" t="s">
        <v>1439</v>
      </c>
      <c r="C13" s="1">
        <v>46116</v>
      </c>
      <c r="D13">
        <v>93</v>
      </c>
      <c r="E13">
        <v>77.19</v>
      </c>
      <c r="F13" t="s">
        <v>1444</v>
      </c>
      <c r="G13" s="1">
        <v>46129</v>
      </c>
      <c r="H13">
        <f>COUNTIF(purchase_orders[PO Number], purchase_orders[[#This Row],[PO Number]])</f>
        <v>1</v>
      </c>
    </row>
    <row r="14" spans="1:8" x14ac:dyDescent="0.25">
      <c r="A14" t="s">
        <v>15</v>
      </c>
      <c r="B14" t="s">
        <v>1449</v>
      </c>
      <c r="C14" s="1">
        <v>46041</v>
      </c>
      <c r="D14">
        <v>321</v>
      </c>
      <c r="E14">
        <v>128.82</v>
      </c>
      <c r="F14" t="s">
        <v>1459</v>
      </c>
      <c r="G14" s="1">
        <v>46053</v>
      </c>
      <c r="H14">
        <f>COUNTIF(purchase_orders[PO Number], purchase_orders[[#This Row],[PO Number]])</f>
        <v>1</v>
      </c>
    </row>
    <row r="15" spans="1:8" x14ac:dyDescent="0.25">
      <c r="A15" t="s">
        <v>16</v>
      </c>
      <c r="B15" t="s">
        <v>1460</v>
      </c>
      <c r="C15" s="1">
        <v>46141</v>
      </c>
      <c r="D15">
        <v>204</v>
      </c>
      <c r="E15">
        <v>57.64</v>
      </c>
      <c r="F15" t="s">
        <v>1446</v>
      </c>
      <c r="G15" s="1">
        <v>46153</v>
      </c>
      <c r="H15">
        <f>COUNTIF(purchase_orders[PO Number], purchase_orders[[#This Row],[PO Number]])</f>
        <v>1</v>
      </c>
    </row>
    <row r="16" spans="1:8" x14ac:dyDescent="0.25">
      <c r="A16" t="s">
        <v>17</v>
      </c>
      <c r="B16" t="s">
        <v>1461</v>
      </c>
      <c r="C16" s="1">
        <v>46106</v>
      </c>
      <c r="D16">
        <v>441</v>
      </c>
      <c r="E16">
        <v>154.82</v>
      </c>
      <c r="F16" t="s">
        <v>1462</v>
      </c>
      <c r="G16" s="1">
        <v>46118</v>
      </c>
      <c r="H16">
        <f>COUNTIF(purchase_orders[PO Number], purchase_orders[[#This Row],[PO Number]])</f>
        <v>1</v>
      </c>
    </row>
    <row r="17" spans="1:8" x14ac:dyDescent="0.25">
      <c r="A17" t="s">
        <v>18</v>
      </c>
      <c r="B17" t="s">
        <v>1452</v>
      </c>
      <c r="C17" s="1">
        <v>46103</v>
      </c>
      <c r="D17">
        <v>215</v>
      </c>
      <c r="E17">
        <v>57.21</v>
      </c>
      <c r="F17" t="s">
        <v>1444</v>
      </c>
      <c r="G17" s="1">
        <v>46118</v>
      </c>
      <c r="H17">
        <f>COUNTIF(purchase_orders[PO Number], purchase_orders[[#This Row],[PO Number]])</f>
        <v>1</v>
      </c>
    </row>
    <row r="18" spans="1:8" x14ac:dyDescent="0.25">
      <c r="A18" t="s">
        <v>19</v>
      </c>
      <c r="B18" t="s">
        <v>1463</v>
      </c>
      <c r="C18" s="1">
        <v>46150</v>
      </c>
      <c r="D18">
        <v>212</v>
      </c>
      <c r="E18">
        <v>177.51</v>
      </c>
      <c r="F18" t="s">
        <v>1446</v>
      </c>
      <c r="G18" s="1">
        <v>46169</v>
      </c>
      <c r="H18">
        <f>COUNTIF(purchase_orders[PO Number], purchase_orders[[#This Row],[PO Number]])</f>
        <v>1</v>
      </c>
    </row>
    <row r="19" spans="1:8" x14ac:dyDescent="0.25">
      <c r="A19" t="s">
        <v>20</v>
      </c>
      <c r="B19" t="s">
        <v>1464</v>
      </c>
      <c r="C19" s="1">
        <v>46090</v>
      </c>
      <c r="D19">
        <v>81</v>
      </c>
      <c r="E19">
        <v>53.09</v>
      </c>
      <c r="F19" t="s">
        <v>1442</v>
      </c>
      <c r="G19" s="1">
        <v>46103</v>
      </c>
      <c r="H19">
        <f>COUNTIF(purchase_orders[PO Number], purchase_orders[[#This Row],[PO Number]])</f>
        <v>1</v>
      </c>
    </row>
    <row r="20" spans="1:8" x14ac:dyDescent="0.25">
      <c r="A20" t="s">
        <v>21</v>
      </c>
      <c r="B20" t="s">
        <v>1465</v>
      </c>
      <c r="C20" s="1">
        <v>46172</v>
      </c>
      <c r="D20">
        <v>229</v>
      </c>
      <c r="E20">
        <v>180.08</v>
      </c>
      <c r="F20" t="s">
        <v>1453</v>
      </c>
      <c r="G20" s="1">
        <v>46188</v>
      </c>
      <c r="H20">
        <f>COUNTIF(purchase_orders[PO Number], purchase_orders[[#This Row],[PO Number]])</f>
        <v>1</v>
      </c>
    </row>
    <row r="21" spans="1:8" x14ac:dyDescent="0.25">
      <c r="A21" t="s">
        <v>22</v>
      </c>
      <c r="B21" t="s">
        <v>1447</v>
      </c>
      <c r="C21" s="1">
        <v>46058</v>
      </c>
      <c r="D21">
        <v>270</v>
      </c>
      <c r="E21">
        <v>101.24</v>
      </c>
      <c r="F21" t="s">
        <v>1456</v>
      </c>
      <c r="G21" s="1">
        <v>46064</v>
      </c>
      <c r="H21">
        <f>COUNTIF(purchase_orders[PO Number], purchase_orders[[#This Row],[PO Number]])</f>
        <v>1</v>
      </c>
    </row>
    <row r="22" spans="1:8" x14ac:dyDescent="0.25">
      <c r="A22" t="s">
        <v>23</v>
      </c>
      <c r="B22" t="s">
        <v>1466</v>
      </c>
      <c r="C22" s="1">
        <v>46062</v>
      </c>
      <c r="D22">
        <v>331</v>
      </c>
      <c r="E22">
        <v>36.200000000000003</v>
      </c>
      <c r="F22" t="s">
        <v>1467</v>
      </c>
      <c r="G22" s="1">
        <v>46080</v>
      </c>
      <c r="H22">
        <f>COUNTIF(purchase_orders[PO Number], purchase_orders[[#This Row],[PO Number]])</f>
        <v>1</v>
      </c>
    </row>
    <row r="23" spans="1:8" x14ac:dyDescent="0.25">
      <c r="A23" t="s">
        <v>24</v>
      </c>
      <c r="B23" t="s">
        <v>1468</v>
      </c>
      <c r="C23" s="1">
        <v>46039</v>
      </c>
      <c r="D23">
        <v>207</v>
      </c>
      <c r="E23">
        <v>79.42</v>
      </c>
      <c r="F23" t="s">
        <v>1469</v>
      </c>
      <c r="G23" s="1">
        <v>46060</v>
      </c>
      <c r="H23">
        <f>COUNTIF(purchase_orders[PO Number], purchase_orders[[#This Row],[PO Number]])</f>
        <v>1</v>
      </c>
    </row>
    <row r="24" spans="1:8" x14ac:dyDescent="0.25">
      <c r="A24" t="s">
        <v>25</v>
      </c>
      <c r="B24" t="s">
        <v>1470</v>
      </c>
      <c r="C24" s="1">
        <v>46164</v>
      </c>
      <c r="D24">
        <v>450</v>
      </c>
      <c r="E24">
        <v>188.77</v>
      </c>
      <c r="F24" t="s">
        <v>1467</v>
      </c>
      <c r="G24" s="1">
        <v>46172</v>
      </c>
      <c r="H24">
        <f>COUNTIF(purchase_orders[PO Number], purchase_orders[[#This Row],[PO Number]])</f>
        <v>1</v>
      </c>
    </row>
    <row r="25" spans="1:8" x14ac:dyDescent="0.25">
      <c r="A25" t="s">
        <v>26</v>
      </c>
      <c r="B25" t="s">
        <v>1461</v>
      </c>
      <c r="C25" s="1">
        <v>46160</v>
      </c>
      <c r="D25">
        <v>394</v>
      </c>
      <c r="E25">
        <v>57.03</v>
      </c>
      <c r="F25" t="s">
        <v>1446</v>
      </c>
      <c r="G25" s="1">
        <v>46175</v>
      </c>
      <c r="H25">
        <f>COUNTIF(purchase_orders[PO Number], purchase_orders[[#This Row],[PO Number]])</f>
        <v>1</v>
      </c>
    </row>
    <row r="26" spans="1:8" x14ac:dyDescent="0.25">
      <c r="A26" t="s">
        <v>27</v>
      </c>
      <c r="B26" t="s">
        <v>1466</v>
      </c>
      <c r="C26" s="1">
        <v>46098</v>
      </c>
      <c r="D26">
        <v>232</v>
      </c>
      <c r="E26">
        <v>35.840000000000003</v>
      </c>
      <c r="F26" t="s">
        <v>1448</v>
      </c>
      <c r="G26" s="1">
        <v>46111</v>
      </c>
      <c r="H26">
        <f>COUNTIF(purchase_orders[PO Number], purchase_orders[[#This Row],[PO Number]])</f>
        <v>1</v>
      </c>
    </row>
    <row r="27" spans="1:8" x14ac:dyDescent="0.25">
      <c r="A27" t="s">
        <v>28</v>
      </c>
      <c r="B27" t="s">
        <v>1445</v>
      </c>
      <c r="C27" s="1">
        <v>46068</v>
      </c>
      <c r="D27">
        <v>269</v>
      </c>
      <c r="E27">
        <v>182.96</v>
      </c>
      <c r="F27" t="s">
        <v>1446</v>
      </c>
      <c r="G27" s="1">
        <v>46082</v>
      </c>
      <c r="H27">
        <f>COUNTIF(purchase_orders[PO Number], purchase_orders[[#This Row],[PO Number]])</f>
        <v>1</v>
      </c>
    </row>
    <row r="28" spans="1:8" x14ac:dyDescent="0.25">
      <c r="A28" t="s">
        <v>29</v>
      </c>
      <c r="B28" t="s">
        <v>1439</v>
      </c>
      <c r="C28" s="1">
        <v>46152</v>
      </c>
      <c r="D28">
        <v>321</v>
      </c>
      <c r="E28">
        <v>43.79</v>
      </c>
      <c r="F28" t="s">
        <v>1451</v>
      </c>
      <c r="G28" s="1">
        <v>46162</v>
      </c>
      <c r="H28">
        <f>COUNTIF(purchase_orders[PO Number], purchase_orders[[#This Row],[PO Number]])</f>
        <v>1</v>
      </c>
    </row>
    <row r="29" spans="1:8" x14ac:dyDescent="0.25">
      <c r="A29" t="s">
        <v>30</v>
      </c>
      <c r="B29" t="s">
        <v>1471</v>
      </c>
      <c r="C29" s="1">
        <v>46158</v>
      </c>
      <c r="D29">
        <v>480</v>
      </c>
      <c r="E29">
        <v>5.1100000000000003</v>
      </c>
      <c r="F29" t="s">
        <v>1472</v>
      </c>
      <c r="G29" s="1">
        <v>46178</v>
      </c>
      <c r="H29">
        <f>COUNTIF(purchase_orders[PO Number], purchase_orders[[#This Row],[PO Number]])</f>
        <v>1</v>
      </c>
    </row>
    <row r="30" spans="1:8" x14ac:dyDescent="0.25">
      <c r="A30" t="s">
        <v>31</v>
      </c>
      <c r="B30" t="s">
        <v>1473</v>
      </c>
      <c r="C30" s="1">
        <v>46051</v>
      </c>
      <c r="D30">
        <v>485</v>
      </c>
      <c r="E30">
        <v>75.78</v>
      </c>
      <c r="F30" t="s">
        <v>1474</v>
      </c>
      <c r="G30" s="1">
        <v>46063</v>
      </c>
      <c r="H30">
        <f>COUNTIF(purchase_orders[PO Number], purchase_orders[[#This Row],[PO Number]])</f>
        <v>1</v>
      </c>
    </row>
    <row r="31" spans="1:8" x14ac:dyDescent="0.25">
      <c r="A31" t="s">
        <v>32</v>
      </c>
      <c r="B31" t="s">
        <v>1475</v>
      </c>
      <c r="C31" s="1">
        <v>46084</v>
      </c>
      <c r="D31">
        <v>459</v>
      </c>
      <c r="E31">
        <v>115.63</v>
      </c>
      <c r="F31" t="s">
        <v>1476</v>
      </c>
      <c r="G31" s="1">
        <v>46091</v>
      </c>
      <c r="H31">
        <f>COUNTIF(purchase_orders[PO Number], purchase_orders[[#This Row],[PO Number]])</f>
        <v>1</v>
      </c>
    </row>
    <row r="32" spans="1:8" x14ac:dyDescent="0.25">
      <c r="A32" t="s">
        <v>33</v>
      </c>
      <c r="B32" t="s">
        <v>1477</v>
      </c>
      <c r="C32" s="1">
        <v>46147</v>
      </c>
      <c r="D32">
        <v>427</v>
      </c>
      <c r="E32">
        <v>18.5</v>
      </c>
      <c r="F32" t="s">
        <v>1456</v>
      </c>
      <c r="G32" s="1">
        <v>46156</v>
      </c>
      <c r="H32">
        <f>COUNTIF(purchase_orders[PO Number], purchase_orders[[#This Row],[PO Number]])</f>
        <v>1</v>
      </c>
    </row>
    <row r="33" spans="1:8" x14ac:dyDescent="0.25">
      <c r="A33" t="s">
        <v>34</v>
      </c>
      <c r="B33" t="s">
        <v>1441</v>
      </c>
      <c r="C33" s="1">
        <v>46144</v>
      </c>
      <c r="D33">
        <v>494</v>
      </c>
      <c r="E33">
        <v>112.21</v>
      </c>
      <c r="F33" t="s">
        <v>1458</v>
      </c>
      <c r="G33" s="1">
        <v>46165</v>
      </c>
      <c r="H33">
        <f>COUNTIF(purchase_orders[PO Number], purchase_orders[[#This Row],[PO Number]])</f>
        <v>1</v>
      </c>
    </row>
    <row r="34" spans="1:8" x14ac:dyDescent="0.25">
      <c r="A34" t="s">
        <v>35</v>
      </c>
      <c r="B34" t="s">
        <v>1468</v>
      </c>
      <c r="C34" s="1">
        <v>46131</v>
      </c>
      <c r="D34">
        <v>118</v>
      </c>
      <c r="E34">
        <v>186.14</v>
      </c>
      <c r="F34" t="s">
        <v>1456</v>
      </c>
      <c r="G34" s="1">
        <v>46142</v>
      </c>
      <c r="H34">
        <f>COUNTIF(purchase_orders[PO Number], purchase_orders[[#This Row],[PO Number]])</f>
        <v>1</v>
      </c>
    </row>
    <row r="35" spans="1:8" x14ac:dyDescent="0.25">
      <c r="A35" t="s">
        <v>36</v>
      </c>
      <c r="B35" t="s">
        <v>1455</v>
      </c>
      <c r="C35" s="1">
        <v>46102</v>
      </c>
      <c r="D35">
        <v>214</v>
      </c>
      <c r="E35">
        <v>199.05</v>
      </c>
      <c r="F35" t="s">
        <v>1446</v>
      </c>
      <c r="G35" s="1">
        <v>46118</v>
      </c>
      <c r="H35">
        <f>COUNTIF(purchase_orders[PO Number], purchase_orders[[#This Row],[PO Number]])</f>
        <v>1</v>
      </c>
    </row>
    <row r="36" spans="1:8" x14ac:dyDescent="0.25">
      <c r="A36" t="s">
        <v>37</v>
      </c>
      <c r="B36" t="s">
        <v>1478</v>
      </c>
      <c r="C36" s="1">
        <v>46155</v>
      </c>
      <c r="D36">
        <v>241</v>
      </c>
      <c r="E36">
        <v>28.6</v>
      </c>
      <c r="F36" t="s">
        <v>1440</v>
      </c>
      <c r="G36" s="1">
        <v>46162</v>
      </c>
      <c r="H36">
        <f>COUNTIF(purchase_orders[PO Number], purchase_orders[[#This Row],[PO Number]])</f>
        <v>1</v>
      </c>
    </row>
    <row r="37" spans="1:8" x14ac:dyDescent="0.25">
      <c r="A37" t="s">
        <v>686</v>
      </c>
      <c r="B37" t="s">
        <v>1479</v>
      </c>
      <c r="C37" s="1">
        <v>46028</v>
      </c>
      <c r="D37">
        <v>311</v>
      </c>
      <c r="E37">
        <v>113.01</v>
      </c>
      <c r="F37" t="s">
        <v>1480</v>
      </c>
      <c r="G37" s="1">
        <v>46040</v>
      </c>
      <c r="H37">
        <f>COUNTIF(purchase_orders[PO Number], purchase_orders[[#This Row],[PO Number]])</f>
        <v>1</v>
      </c>
    </row>
    <row r="38" spans="1:8" x14ac:dyDescent="0.25">
      <c r="A38" t="s">
        <v>38</v>
      </c>
      <c r="B38" t="s">
        <v>1481</v>
      </c>
      <c r="C38" s="1">
        <v>46041</v>
      </c>
      <c r="D38">
        <v>372</v>
      </c>
      <c r="E38">
        <v>128.07</v>
      </c>
      <c r="F38" t="s">
        <v>1440</v>
      </c>
      <c r="G38" s="1">
        <v>46048</v>
      </c>
      <c r="H38">
        <f>COUNTIF(purchase_orders[PO Number], purchase_orders[[#This Row],[PO Number]])</f>
        <v>1</v>
      </c>
    </row>
    <row r="39" spans="1:8" x14ac:dyDescent="0.25">
      <c r="A39" t="s">
        <v>39</v>
      </c>
      <c r="B39" t="s">
        <v>1452</v>
      </c>
      <c r="C39" s="1">
        <v>46107</v>
      </c>
      <c r="D39">
        <v>46</v>
      </c>
      <c r="E39">
        <v>105.26</v>
      </c>
      <c r="F39" t="s">
        <v>1458</v>
      </c>
      <c r="G39" s="1">
        <v>46127</v>
      </c>
      <c r="H39">
        <f>COUNTIF(purchase_orders[PO Number], purchase_orders[[#This Row],[PO Number]])</f>
        <v>1</v>
      </c>
    </row>
    <row r="40" spans="1:8" x14ac:dyDescent="0.25">
      <c r="A40" t="s">
        <v>40</v>
      </c>
      <c r="B40" t="s">
        <v>1463</v>
      </c>
      <c r="C40" s="1">
        <v>46161</v>
      </c>
      <c r="D40">
        <v>77</v>
      </c>
      <c r="E40">
        <v>146.05000000000001</v>
      </c>
      <c r="F40" t="s">
        <v>1480</v>
      </c>
      <c r="G40" s="1">
        <v>46181</v>
      </c>
      <c r="H40">
        <f>COUNTIF(purchase_orders[PO Number], purchase_orders[[#This Row],[PO Number]])</f>
        <v>1</v>
      </c>
    </row>
    <row r="41" spans="1:8" x14ac:dyDescent="0.25">
      <c r="A41" t="s">
        <v>41</v>
      </c>
      <c r="B41" t="s">
        <v>1482</v>
      </c>
      <c r="C41" s="1">
        <v>46144</v>
      </c>
      <c r="D41">
        <v>423</v>
      </c>
      <c r="E41">
        <v>84.38</v>
      </c>
      <c r="F41" t="s">
        <v>1483</v>
      </c>
      <c r="G41" s="1">
        <v>46152</v>
      </c>
      <c r="H41">
        <f>COUNTIF(purchase_orders[PO Number], purchase_orders[[#This Row],[PO Number]])</f>
        <v>1</v>
      </c>
    </row>
    <row r="42" spans="1:8" x14ac:dyDescent="0.25">
      <c r="A42" t="s">
        <v>42</v>
      </c>
      <c r="B42" t="s">
        <v>1484</v>
      </c>
      <c r="C42" s="1">
        <v>46133</v>
      </c>
      <c r="D42">
        <v>191</v>
      </c>
      <c r="E42">
        <v>87.6</v>
      </c>
      <c r="F42" t="s">
        <v>1469</v>
      </c>
      <c r="G42" s="1">
        <v>46139</v>
      </c>
      <c r="H42">
        <f>COUNTIF(purchase_orders[PO Number], purchase_orders[[#This Row],[PO Number]])</f>
        <v>1</v>
      </c>
    </row>
    <row r="43" spans="1:8" x14ac:dyDescent="0.25">
      <c r="A43" t="s">
        <v>43</v>
      </c>
      <c r="B43" t="s">
        <v>1461</v>
      </c>
      <c r="C43" s="1">
        <v>46048</v>
      </c>
      <c r="D43">
        <v>41</v>
      </c>
      <c r="E43">
        <v>83.51</v>
      </c>
      <c r="F43" t="s">
        <v>1472</v>
      </c>
      <c r="G43" s="1">
        <v>46056</v>
      </c>
      <c r="H43">
        <f>COUNTIF(purchase_orders[PO Number], purchase_orders[[#This Row],[PO Number]])</f>
        <v>1</v>
      </c>
    </row>
    <row r="44" spans="1:8" x14ac:dyDescent="0.25">
      <c r="A44" t="s">
        <v>44</v>
      </c>
      <c r="B44" t="s">
        <v>1482</v>
      </c>
      <c r="C44" s="1">
        <v>46072</v>
      </c>
      <c r="D44">
        <v>107</v>
      </c>
      <c r="E44">
        <v>109.58</v>
      </c>
      <c r="F44" t="s">
        <v>1485</v>
      </c>
      <c r="G44" s="1">
        <v>46090</v>
      </c>
      <c r="H44">
        <f>COUNTIF(purchase_orders[PO Number], purchase_orders[[#This Row],[PO Number]])</f>
        <v>1</v>
      </c>
    </row>
    <row r="45" spans="1:8" x14ac:dyDescent="0.25">
      <c r="A45" t="s">
        <v>45</v>
      </c>
      <c r="B45" t="s">
        <v>1486</v>
      </c>
      <c r="C45" s="1">
        <v>46094</v>
      </c>
      <c r="D45">
        <v>246</v>
      </c>
      <c r="E45">
        <v>53.71</v>
      </c>
      <c r="F45" t="s">
        <v>1476</v>
      </c>
      <c r="G45" s="1">
        <v>46113</v>
      </c>
      <c r="H45">
        <f>COUNTIF(purchase_orders[PO Number], purchase_orders[[#This Row],[PO Number]])</f>
        <v>1</v>
      </c>
    </row>
    <row r="46" spans="1:8" x14ac:dyDescent="0.25">
      <c r="A46" t="s">
        <v>46</v>
      </c>
      <c r="B46" t="s">
        <v>1454</v>
      </c>
      <c r="C46" s="1">
        <v>46048</v>
      </c>
      <c r="D46">
        <v>35</v>
      </c>
      <c r="E46">
        <v>132.16999999999999</v>
      </c>
      <c r="F46" t="s">
        <v>1442</v>
      </c>
      <c r="G46" s="1">
        <v>46053</v>
      </c>
      <c r="H46">
        <f>COUNTIF(purchase_orders[PO Number], purchase_orders[[#This Row],[PO Number]])</f>
        <v>1</v>
      </c>
    </row>
    <row r="47" spans="1:8" x14ac:dyDescent="0.25">
      <c r="A47" t="s">
        <v>47</v>
      </c>
      <c r="B47" t="s">
        <v>1457</v>
      </c>
      <c r="C47" s="1">
        <v>46083</v>
      </c>
      <c r="D47">
        <v>95</v>
      </c>
      <c r="E47">
        <v>84.25</v>
      </c>
      <c r="F47" t="s">
        <v>1487</v>
      </c>
      <c r="G47" s="1">
        <v>46094</v>
      </c>
      <c r="H47">
        <f>COUNTIF(purchase_orders[PO Number], purchase_orders[[#This Row],[PO Number]])</f>
        <v>1</v>
      </c>
    </row>
    <row r="48" spans="1:8" x14ac:dyDescent="0.25">
      <c r="A48" t="s">
        <v>48</v>
      </c>
      <c r="B48" t="s">
        <v>1488</v>
      </c>
      <c r="C48" s="1">
        <v>46038</v>
      </c>
      <c r="D48">
        <v>94</v>
      </c>
      <c r="E48">
        <v>78.900000000000006</v>
      </c>
      <c r="F48" t="s">
        <v>1453</v>
      </c>
      <c r="G48" s="1">
        <v>46051</v>
      </c>
      <c r="H48">
        <f>COUNTIF(purchase_orders[PO Number], purchase_orders[[#This Row],[PO Number]])</f>
        <v>1</v>
      </c>
    </row>
    <row r="49" spans="1:8" x14ac:dyDescent="0.25">
      <c r="A49" t="s">
        <v>49</v>
      </c>
      <c r="B49" t="s">
        <v>1489</v>
      </c>
      <c r="C49" s="1">
        <v>46096</v>
      </c>
      <c r="D49">
        <v>226</v>
      </c>
      <c r="E49">
        <v>140.84</v>
      </c>
      <c r="F49" t="s">
        <v>1490</v>
      </c>
      <c r="G49" s="1">
        <v>46116</v>
      </c>
      <c r="H49">
        <f>COUNTIF(purchase_orders[PO Number], purchase_orders[[#This Row],[PO Number]])</f>
        <v>1</v>
      </c>
    </row>
    <row r="50" spans="1:8" x14ac:dyDescent="0.25">
      <c r="A50" t="s">
        <v>50</v>
      </c>
      <c r="B50" t="s">
        <v>1464</v>
      </c>
      <c r="C50" s="1">
        <v>46071</v>
      </c>
      <c r="D50">
        <v>161</v>
      </c>
      <c r="E50">
        <v>47.45</v>
      </c>
      <c r="F50" t="s">
        <v>1462</v>
      </c>
      <c r="G50" s="1">
        <v>46077</v>
      </c>
      <c r="H50">
        <f>COUNTIF(purchase_orders[PO Number], purchase_orders[[#This Row],[PO Number]])</f>
        <v>1</v>
      </c>
    </row>
    <row r="51" spans="1:8" x14ac:dyDescent="0.25">
      <c r="A51" t="s">
        <v>51</v>
      </c>
      <c r="B51" t="s">
        <v>1465</v>
      </c>
      <c r="C51" s="1">
        <v>46103</v>
      </c>
      <c r="D51">
        <v>39</v>
      </c>
      <c r="E51">
        <v>14.78</v>
      </c>
      <c r="F51" t="s">
        <v>1487</v>
      </c>
      <c r="G51" s="1">
        <v>46124</v>
      </c>
      <c r="H51">
        <f>COUNTIF(purchase_orders[PO Number], purchase_orders[[#This Row],[PO Number]])</f>
        <v>1</v>
      </c>
    </row>
    <row r="52" spans="1:8" x14ac:dyDescent="0.25">
      <c r="A52" t="s">
        <v>52</v>
      </c>
      <c r="B52" t="s">
        <v>1491</v>
      </c>
      <c r="C52" s="1">
        <v>46063</v>
      </c>
      <c r="D52">
        <v>39</v>
      </c>
      <c r="E52">
        <v>192.35</v>
      </c>
      <c r="F52" t="s">
        <v>1476</v>
      </c>
      <c r="G52" s="1">
        <v>46073</v>
      </c>
      <c r="H52">
        <f>COUNTIF(purchase_orders[PO Number], purchase_orders[[#This Row],[PO Number]])</f>
        <v>1</v>
      </c>
    </row>
    <row r="53" spans="1:8" x14ac:dyDescent="0.25">
      <c r="A53" t="s">
        <v>53</v>
      </c>
      <c r="B53" t="s">
        <v>1492</v>
      </c>
      <c r="C53" s="1">
        <v>46040</v>
      </c>
      <c r="D53">
        <v>355</v>
      </c>
      <c r="E53">
        <v>173.05</v>
      </c>
      <c r="F53" t="s">
        <v>1453</v>
      </c>
      <c r="G53" s="1">
        <v>46048</v>
      </c>
      <c r="H53">
        <f>COUNTIF(purchase_orders[PO Number], purchase_orders[[#This Row],[PO Number]])</f>
        <v>1</v>
      </c>
    </row>
    <row r="54" spans="1:8" x14ac:dyDescent="0.25">
      <c r="A54" t="s">
        <v>54</v>
      </c>
      <c r="B54" t="s">
        <v>1493</v>
      </c>
      <c r="C54" s="1">
        <v>46086</v>
      </c>
      <c r="D54">
        <v>306</v>
      </c>
      <c r="E54">
        <v>120.93</v>
      </c>
      <c r="F54" t="s">
        <v>1494</v>
      </c>
      <c r="G54" s="1">
        <v>46093</v>
      </c>
      <c r="H54">
        <f>COUNTIF(purchase_orders[PO Number], purchase_orders[[#This Row],[PO Number]])</f>
        <v>1</v>
      </c>
    </row>
    <row r="55" spans="1:8" x14ac:dyDescent="0.25">
      <c r="A55" t="s">
        <v>55</v>
      </c>
      <c r="B55" t="s">
        <v>1495</v>
      </c>
      <c r="C55" s="1">
        <v>46172</v>
      </c>
      <c r="D55">
        <v>299</v>
      </c>
      <c r="E55">
        <v>106.94</v>
      </c>
      <c r="F55" t="s">
        <v>1458</v>
      </c>
      <c r="G55" s="1">
        <v>46183</v>
      </c>
      <c r="H55">
        <f>COUNTIF(purchase_orders[PO Number], purchase_orders[[#This Row],[PO Number]])</f>
        <v>1</v>
      </c>
    </row>
    <row r="56" spans="1:8" x14ac:dyDescent="0.25">
      <c r="A56" t="s">
        <v>707</v>
      </c>
      <c r="B56" t="s">
        <v>1484</v>
      </c>
      <c r="C56" s="1">
        <v>46103</v>
      </c>
      <c r="D56">
        <v>132</v>
      </c>
      <c r="E56">
        <v>56.79</v>
      </c>
      <c r="F56" t="s">
        <v>1485</v>
      </c>
      <c r="G56" s="1">
        <v>46117</v>
      </c>
      <c r="H56">
        <f>COUNTIF(purchase_orders[PO Number], purchase_orders[[#This Row],[PO Number]])</f>
        <v>1</v>
      </c>
    </row>
    <row r="57" spans="1:8" x14ac:dyDescent="0.25">
      <c r="A57" t="s">
        <v>56</v>
      </c>
      <c r="B57" t="s">
        <v>1489</v>
      </c>
      <c r="C57" s="1">
        <v>46103</v>
      </c>
      <c r="D57">
        <v>485</v>
      </c>
      <c r="E57">
        <v>151.61000000000001</v>
      </c>
      <c r="F57" t="s">
        <v>1476</v>
      </c>
      <c r="G57" s="1">
        <v>46108</v>
      </c>
      <c r="H57">
        <f>COUNTIF(purchase_orders[PO Number], purchase_orders[[#This Row],[PO Number]])</f>
        <v>1</v>
      </c>
    </row>
    <row r="58" spans="1:8" x14ac:dyDescent="0.25">
      <c r="A58" t="s">
        <v>57</v>
      </c>
      <c r="B58" t="s">
        <v>1489</v>
      </c>
      <c r="C58" s="1">
        <v>46167</v>
      </c>
      <c r="D58">
        <v>61</v>
      </c>
      <c r="E58">
        <v>19.29</v>
      </c>
      <c r="F58" t="s">
        <v>1444</v>
      </c>
      <c r="G58" s="1">
        <v>46188</v>
      </c>
      <c r="H58">
        <f>COUNTIF(purchase_orders[PO Number], purchase_orders[[#This Row],[PO Number]])</f>
        <v>1</v>
      </c>
    </row>
    <row r="59" spans="1:8" x14ac:dyDescent="0.25">
      <c r="A59" t="s">
        <v>58</v>
      </c>
      <c r="B59" t="s">
        <v>1470</v>
      </c>
      <c r="C59" s="1">
        <v>46056</v>
      </c>
      <c r="D59">
        <v>487</v>
      </c>
      <c r="E59">
        <v>73.06</v>
      </c>
      <c r="F59" t="s">
        <v>1476</v>
      </c>
      <c r="G59" s="1">
        <v>46068</v>
      </c>
      <c r="H59">
        <f>COUNTIF(purchase_orders[PO Number], purchase_orders[[#This Row],[PO Number]])</f>
        <v>1</v>
      </c>
    </row>
    <row r="60" spans="1:8" x14ac:dyDescent="0.25">
      <c r="A60" t="s">
        <v>59</v>
      </c>
      <c r="B60" t="s">
        <v>1496</v>
      </c>
      <c r="C60" s="1">
        <v>46095</v>
      </c>
      <c r="D60">
        <v>90</v>
      </c>
      <c r="E60">
        <v>90.45</v>
      </c>
      <c r="F60" t="s">
        <v>1442</v>
      </c>
      <c r="G60" s="1">
        <v>46109</v>
      </c>
      <c r="H60">
        <f>COUNTIF(purchase_orders[PO Number], purchase_orders[[#This Row],[PO Number]])</f>
        <v>1</v>
      </c>
    </row>
    <row r="61" spans="1:8" x14ac:dyDescent="0.25">
      <c r="A61" t="s">
        <v>60</v>
      </c>
      <c r="B61" t="s">
        <v>1497</v>
      </c>
      <c r="C61" s="1">
        <v>46158</v>
      </c>
      <c r="D61">
        <v>14</v>
      </c>
      <c r="E61">
        <v>135.22999999999999</v>
      </c>
      <c r="F61" t="s">
        <v>1442</v>
      </c>
      <c r="G61" s="1">
        <v>46172</v>
      </c>
      <c r="H61">
        <f>COUNTIF(purchase_orders[PO Number], purchase_orders[[#This Row],[PO Number]])</f>
        <v>1</v>
      </c>
    </row>
    <row r="62" spans="1:8" x14ac:dyDescent="0.25">
      <c r="A62" t="s">
        <v>61</v>
      </c>
      <c r="B62" t="s">
        <v>1484</v>
      </c>
      <c r="C62" s="1">
        <v>46049</v>
      </c>
      <c r="D62">
        <v>490</v>
      </c>
      <c r="E62">
        <v>176.23</v>
      </c>
      <c r="F62" t="s">
        <v>1458</v>
      </c>
      <c r="G62" s="1">
        <v>46057</v>
      </c>
      <c r="H62">
        <f>COUNTIF(purchase_orders[PO Number], purchase_orders[[#This Row],[PO Number]])</f>
        <v>1</v>
      </c>
    </row>
    <row r="63" spans="1:8" x14ac:dyDescent="0.25">
      <c r="A63" t="s">
        <v>62</v>
      </c>
      <c r="B63" t="s">
        <v>1450</v>
      </c>
      <c r="C63" s="1">
        <v>46164</v>
      </c>
      <c r="D63">
        <v>89</v>
      </c>
      <c r="E63">
        <v>58.11</v>
      </c>
      <c r="F63" t="s">
        <v>1494</v>
      </c>
      <c r="G63" s="1">
        <v>46175</v>
      </c>
      <c r="H63">
        <f>COUNTIF(purchase_orders[PO Number], purchase_orders[[#This Row],[PO Number]])</f>
        <v>1</v>
      </c>
    </row>
    <row r="64" spans="1:8" x14ac:dyDescent="0.25">
      <c r="A64" t="s">
        <v>63</v>
      </c>
      <c r="B64" t="s">
        <v>1455</v>
      </c>
      <c r="C64" s="1">
        <v>46110</v>
      </c>
      <c r="D64">
        <v>114</v>
      </c>
      <c r="E64">
        <v>139.06</v>
      </c>
      <c r="F64" t="s">
        <v>1458</v>
      </c>
      <c r="G64" s="1">
        <v>46131</v>
      </c>
      <c r="H64">
        <f>COUNTIF(purchase_orders[PO Number], purchase_orders[[#This Row],[PO Number]])</f>
        <v>1</v>
      </c>
    </row>
    <row r="65" spans="1:8" x14ac:dyDescent="0.25">
      <c r="A65" t="s">
        <v>64</v>
      </c>
      <c r="B65" t="s">
        <v>1498</v>
      </c>
      <c r="C65" s="1">
        <v>46087</v>
      </c>
      <c r="D65">
        <v>473</v>
      </c>
      <c r="E65">
        <v>182.09</v>
      </c>
      <c r="F65" t="s">
        <v>1462</v>
      </c>
      <c r="G65" s="1">
        <v>46094</v>
      </c>
      <c r="H65">
        <f>COUNTIF(purchase_orders[PO Number], purchase_orders[[#This Row],[PO Number]])</f>
        <v>1</v>
      </c>
    </row>
    <row r="66" spans="1:8" x14ac:dyDescent="0.25">
      <c r="A66" t="s">
        <v>65</v>
      </c>
      <c r="B66" t="s">
        <v>1439</v>
      </c>
      <c r="C66" s="1">
        <v>46131</v>
      </c>
      <c r="D66">
        <v>434</v>
      </c>
      <c r="E66">
        <v>58.95</v>
      </c>
      <c r="F66" t="s">
        <v>1448</v>
      </c>
      <c r="G66" s="1">
        <v>46146</v>
      </c>
      <c r="H66">
        <f>COUNTIF(purchase_orders[PO Number], purchase_orders[[#This Row],[PO Number]])</f>
        <v>1</v>
      </c>
    </row>
    <row r="67" spans="1:8" x14ac:dyDescent="0.25">
      <c r="A67" t="s">
        <v>66</v>
      </c>
      <c r="B67" t="s">
        <v>1441</v>
      </c>
      <c r="C67" s="1">
        <v>46090</v>
      </c>
      <c r="D67">
        <v>92</v>
      </c>
      <c r="E67">
        <v>149.54</v>
      </c>
      <c r="F67" t="s">
        <v>1442</v>
      </c>
      <c r="G67" s="1">
        <v>46108</v>
      </c>
      <c r="H67">
        <f>COUNTIF(purchase_orders[PO Number], purchase_orders[[#This Row],[PO Number]])</f>
        <v>1</v>
      </c>
    </row>
    <row r="68" spans="1:8" x14ac:dyDescent="0.25">
      <c r="A68" t="s">
        <v>67</v>
      </c>
      <c r="B68" t="s">
        <v>1454</v>
      </c>
      <c r="C68" s="1">
        <v>46025</v>
      </c>
      <c r="D68">
        <v>67</v>
      </c>
      <c r="E68">
        <v>19.670000000000002</v>
      </c>
      <c r="F68" t="s">
        <v>1499</v>
      </c>
      <c r="G68" s="1">
        <v>46034</v>
      </c>
      <c r="H68">
        <f>COUNTIF(purchase_orders[PO Number], purchase_orders[[#This Row],[PO Number]])</f>
        <v>1</v>
      </c>
    </row>
    <row r="69" spans="1:8" x14ac:dyDescent="0.25">
      <c r="A69" t="s">
        <v>68</v>
      </c>
      <c r="B69" t="s">
        <v>1471</v>
      </c>
      <c r="C69" s="1">
        <v>46032</v>
      </c>
      <c r="D69">
        <v>437</v>
      </c>
      <c r="E69">
        <v>77</v>
      </c>
      <c r="F69" t="s">
        <v>1442</v>
      </c>
      <c r="G69" s="1">
        <v>46041</v>
      </c>
      <c r="H69">
        <f>COUNTIF(purchase_orders[PO Number], purchase_orders[[#This Row],[PO Number]])</f>
        <v>1</v>
      </c>
    </row>
    <row r="70" spans="1:8" x14ac:dyDescent="0.25">
      <c r="A70" t="s">
        <v>69</v>
      </c>
      <c r="B70" t="s">
        <v>1500</v>
      </c>
      <c r="C70" s="1">
        <v>46055</v>
      </c>
      <c r="D70">
        <v>31</v>
      </c>
      <c r="E70">
        <v>65.11</v>
      </c>
      <c r="F70" t="s">
        <v>1462</v>
      </c>
      <c r="G70" s="1">
        <v>46071</v>
      </c>
      <c r="H70">
        <f>COUNTIF(purchase_orders[PO Number], purchase_orders[[#This Row],[PO Number]])</f>
        <v>1</v>
      </c>
    </row>
    <row r="71" spans="1:8" x14ac:dyDescent="0.25">
      <c r="A71" t="s">
        <v>70</v>
      </c>
      <c r="B71" t="s">
        <v>1463</v>
      </c>
      <c r="C71" s="1">
        <v>46086</v>
      </c>
      <c r="D71">
        <v>351</v>
      </c>
      <c r="E71">
        <v>25.04</v>
      </c>
      <c r="F71" t="s">
        <v>1456</v>
      </c>
      <c r="G71" s="1">
        <v>46104</v>
      </c>
      <c r="H71">
        <f>COUNTIF(purchase_orders[PO Number], purchase_orders[[#This Row],[PO Number]])</f>
        <v>1</v>
      </c>
    </row>
    <row r="72" spans="1:8" x14ac:dyDescent="0.25">
      <c r="A72" t="s">
        <v>71</v>
      </c>
      <c r="B72" t="s">
        <v>1497</v>
      </c>
      <c r="C72" s="1">
        <v>46062</v>
      </c>
      <c r="D72">
        <v>483</v>
      </c>
      <c r="E72">
        <v>186.33</v>
      </c>
      <c r="F72" t="s">
        <v>1501</v>
      </c>
      <c r="G72" s="1">
        <v>46072</v>
      </c>
      <c r="H72">
        <f>COUNTIF(purchase_orders[PO Number], purchase_orders[[#This Row],[PO Number]])</f>
        <v>1</v>
      </c>
    </row>
    <row r="73" spans="1:8" x14ac:dyDescent="0.25">
      <c r="A73" t="s">
        <v>72</v>
      </c>
      <c r="B73" t="s">
        <v>1495</v>
      </c>
      <c r="C73" s="1">
        <v>46029</v>
      </c>
      <c r="D73">
        <v>101</v>
      </c>
      <c r="E73">
        <v>148.63</v>
      </c>
      <c r="F73" t="s">
        <v>1472</v>
      </c>
      <c r="G73" s="1">
        <v>46047</v>
      </c>
      <c r="H73">
        <f>COUNTIF(purchase_orders[PO Number], purchase_orders[[#This Row],[PO Number]])</f>
        <v>1</v>
      </c>
    </row>
    <row r="74" spans="1:8" x14ac:dyDescent="0.25">
      <c r="A74" t="s">
        <v>73</v>
      </c>
      <c r="B74" t="s">
        <v>1484</v>
      </c>
      <c r="C74" s="1">
        <v>46086</v>
      </c>
      <c r="D74">
        <v>146</v>
      </c>
      <c r="E74">
        <v>36.04</v>
      </c>
      <c r="F74" t="s">
        <v>1499</v>
      </c>
      <c r="G74" s="1">
        <v>46094</v>
      </c>
      <c r="H74">
        <f>COUNTIF(purchase_orders[PO Number], purchase_orders[[#This Row],[PO Number]])</f>
        <v>1</v>
      </c>
    </row>
    <row r="75" spans="1:8" x14ac:dyDescent="0.25">
      <c r="A75" t="s">
        <v>74</v>
      </c>
      <c r="B75" t="s">
        <v>1502</v>
      </c>
      <c r="C75" s="1">
        <v>46032</v>
      </c>
      <c r="D75">
        <v>449</v>
      </c>
      <c r="E75">
        <v>96.78</v>
      </c>
      <c r="F75" t="s">
        <v>1444</v>
      </c>
      <c r="G75" s="1">
        <v>46051</v>
      </c>
      <c r="H75">
        <f>COUNTIF(purchase_orders[PO Number], purchase_orders[[#This Row],[PO Number]])</f>
        <v>1</v>
      </c>
    </row>
    <row r="76" spans="1:8" x14ac:dyDescent="0.25">
      <c r="A76" t="s">
        <v>75</v>
      </c>
      <c r="B76" t="s">
        <v>1503</v>
      </c>
      <c r="C76" s="1">
        <v>46101</v>
      </c>
      <c r="D76">
        <v>430</v>
      </c>
      <c r="E76">
        <v>160.09</v>
      </c>
      <c r="F76" t="s">
        <v>1440</v>
      </c>
      <c r="G76" s="1">
        <v>46113</v>
      </c>
      <c r="H76">
        <f>COUNTIF(purchase_orders[PO Number], purchase_orders[[#This Row],[PO Number]])</f>
        <v>1</v>
      </c>
    </row>
    <row r="77" spans="1:8" x14ac:dyDescent="0.25">
      <c r="A77" t="s">
        <v>76</v>
      </c>
      <c r="B77" t="s">
        <v>1473</v>
      </c>
      <c r="C77" s="1">
        <v>46072</v>
      </c>
      <c r="D77">
        <v>214</v>
      </c>
      <c r="E77">
        <v>69.010000000000005</v>
      </c>
      <c r="F77" t="s">
        <v>1476</v>
      </c>
      <c r="G77" s="1">
        <v>46085</v>
      </c>
      <c r="H77">
        <f>COUNTIF(purchase_orders[PO Number], purchase_orders[[#This Row],[PO Number]])</f>
        <v>1</v>
      </c>
    </row>
    <row r="78" spans="1:8" x14ac:dyDescent="0.25">
      <c r="A78" t="s">
        <v>77</v>
      </c>
      <c r="B78" t="s">
        <v>1503</v>
      </c>
      <c r="C78" s="1">
        <v>46153</v>
      </c>
      <c r="D78">
        <v>214</v>
      </c>
      <c r="E78">
        <v>137.51</v>
      </c>
      <c r="F78" t="s">
        <v>1442</v>
      </c>
      <c r="G78" s="1">
        <v>46168</v>
      </c>
      <c r="H78">
        <f>COUNTIF(purchase_orders[PO Number], purchase_orders[[#This Row],[PO Number]])</f>
        <v>1</v>
      </c>
    </row>
    <row r="79" spans="1:8" x14ac:dyDescent="0.25">
      <c r="A79" t="s">
        <v>733</v>
      </c>
      <c r="B79" t="s">
        <v>1473</v>
      </c>
      <c r="C79" s="1">
        <v>46052</v>
      </c>
      <c r="D79">
        <v>459</v>
      </c>
      <c r="E79">
        <v>194.23</v>
      </c>
      <c r="F79" t="s">
        <v>1501</v>
      </c>
      <c r="G79" s="1">
        <v>46065</v>
      </c>
      <c r="H79">
        <f>COUNTIF(purchase_orders[PO Number], purchase_orders[[#This Row],[PO Number]])</f>
        <v>1</v>
      </c>
    </row>
    <row r="80" spans="1:8" x14ac:dyDescent="0.25">
      <c r="A80" t="s">
        <v>78</v>
      </c>
      <c r="B80" t="s">
        <v>1452</v>
      </c>
      <c r="C80" s="1">
        <v>46050</v>
      </c>
      <c r="D80">
        <v>315</v>
      </c>
      <c r="E80">
        <v>89.74</v>
      </c>
      <c r="F80" t="s">
        <v>1490</v>
      </c>
      <c r="G80" s="1">
        <v>46065</v>
      </c>
      <c r="H80">
        <f>COUNTIF(purchase_orders[PO Number], purchase_orders[[#This Row],[PO Number]])</f>
        <v>1</v>
      </c>
    </row>
    <row r="81" spans="1:8" x14ac:dyDescent="0.25">
      <c r="A81" t="s">
        <v>79</v>
      </c>
      <c r="B81" t="s">
        <v>1500</v>
      </c>
      <c r="C81" s="1">
        <v>46153</v>
      </c>
      <c r="D81">
        <v>69</v>
      </c>
      <c r="E81">
        <v>80.11</v>
      </c>
      <c r="F81" t="s">
        <v>1480</v>
      </c>
      <c r="G81" s="1">
        <v>46164</v>
      </c>
      <c r="H81">
        <f>COUNTIF(purchase_orders[PO Number], purchase_orders[[#This Row],[PO Number]])</f>
        <v>1</v>
      </c>
    </row>
    <row r="82" spans="1:8" x14ac:dyDescent="0.25">
      <c r="A82" t="s">
        <v>80</v>
      </c>
      <c r="B82" t="s">
        <v>1470</v>
      </c>
      <c r="C82" s="1">
        <v>46034</v>
      </c>
      <c r="D82">
        <v>372</v>
      </c>
      <c r="E82">
        <v>90.03</v>
      </c>
      <c r="F82" t="s">
        <v>1504</v>
      </c>
      <c r="G82" s="1">
        <v>46045</v>
      </c>
      <c r="H82">
        <f>COUNTIF(purchase_orders[PO Number], purchase_orders[[#This Row],[PO Number]])</f>
        <v>1</v>
      </c>
    </row>
    <row r="83" spans="1:8" x14ac:dyDescent="0.25">
      <c r="A83" t="s">
        <v>81</v>
      </c>
      <c r="B83" t="s">
        <v>1496</v>
      </c>
      <c r="C83" s="1">
        <v>46133</v>
      </c>
      <c r="D83">
        <v>45</v>
      </c>
      <c r="E83">
        <v>190.03</v>
      </c>
      <c r="F83" t="s">
        <v>1472</v>
      </c>
      <c r="G83" s="1">
        <v>46148</v>
      </c>
      <c r="H83">
        <f>COUNTIF(purchase_orders[PO Number], purchase_orders[[#This Row],[PO Number]])</f>
        <v>1</v>
      </c>
    </row>
    <row r="84" spans="1:8" x14ac:dyDescent="0.25">
      <c r="A84" t="s">
        <v>82</v>
      </c>
      <c r="B84" t="s">
        <v>1484</v>
      </c>
      <c r="C84" s="1">
        <v>46054</v>
      </c>
      <c r="D84">
        <v>378</v>
      </c>
      <c r="E84">
        <v>180.51</v>
      </c>
      <c r="F84" t="s">
        <v>1504</v>
      </c>
      <c r="G84" s="1">
        <v>46068</v>
      </c>
      <c r="H84">
        <f>COUNTIF(purchase_orders[PO Number], purchase_orders[[#This Row],[PO Number]])</f>
        <v>1</v>
      </c>
    </row>
    <row r="85" spans="1:8" x14ac:dyDescent="0.25">
      <c r="A85" t="s">
        <v>83</v>
      </c>
      <c r="B85" t="s">
        <v>1484</v>
      </c>
      <c r="C85" s="1">
        <v>46127</v>
      </c>
      <c r="D85">
        <v>177</v>
      </c>
      <c r="E85">
        <v>83.47</v>
      </c>
      <c r="F85" t="s">
        <v>1474</v>
      </c>
      <c r="G85" s="1">
        <v>46136</v>
      </c>
      <c r="H85">
        <f>COUNTIF(purchase_orders[PO Number], purchase_orders[[#This Row],[PO Number]])</f>
        <v>1</v>
      </c>
    </row>
    <row r="86" spans="1:8" x14ac:dyDescent="0.25">
      <c r="A86" t="s">
        <v>84</v>
      </c>
      <c r="B86" t="s">
        <v>1505</v>
      </c>
      <c r="C86" s="1">
        <v>46130</v>
      </c>
      <c r="D86">
        <v>350</v>
      </c>
      <c r="E86">
        <v>188.37</v>
      </c>
      <c r="F86" t="s">
        <v>1467</v>
      </c>
      <c r="G86" s="1">
        <v>46140</v>
      </c>
      <c r="H86">
        <f>COUNTIF(purchase_orders[PO Number], purchase_orders[[#This Row],[PO Number]])</f>
        <v>1</v>
      </c>
    </row>
    <row r="87" spans="1:8" x14ac:dyDescent="0.25">
      <c r="A87" t="s">
        <v>85</v>
      </c>
      <c r="B87" t="s">
        <v>1497</v>
      </c>
      <c r="C87" s="1">
        <v>46168</v>
      </c>
      <c r="D87">
        <v>164</v>
      </c>
      <c r="E87">
        <v>84.18</v>
      </c>
      <c r="F87" t="s">
        <v>1448</v>
      </c>
      <c r="G87" s="1">
        <v>46182</v>
      </c>
      <c r="H87">
        <f>COUNTIF(purchase_orders[PO Number], purchase_orders[[#This Row],[PO Number]])</f>
        <v>1</v>
      </c>
    </row>
    <row r="88" spans="1:8" x14ac:dyDescent="0.25">
      <c r="A88" t="s">
        <v>86</v>
      </c>
      <c r="B88" t="s">
        <v>1506</v>
      </c>
      <c r="C88" s="1">
        <v>46076</v>
      </c>
      <c r="D88">
        <v>230</v>
      </c>
      <c r="E88">
        <v>158.22</v>
      </c>
      <c r="F88" t="s">
        <v>1494</v>
      </c>
      <c r="G88" s="1">
        <v>46091</v>
      </c>
      <c r="H88">
        <f>COUNTIF(purchase_orders[PO Number], purchase_orders[[#This Row],[PO Number]])</f>
        <v>1</v>
      </c>
    </row>
    <row r="89" spans="1:8" x14ac:dyDescent="0.25">
      <c r="A89" t="s">
        <v>87</v>
      </c>
      <c r="B89" t="s">
        <v>1489</v>
      </c>
      <c r="C89" s="1">
        <v>46136</v>
      </c>
      <c r="D89">
        <v>236</v>
      </c>
      <c r="E89">
        <v>136.75</v>
      </c>
      <c r="F89" t="s">
        <v>1459</v>
      </c>
      <c r="G89" s="1">
        <v>46156</v>
      </c>
      <c r="H89">
        <f>COUNTIF(purchase_orders[PO Number], purchase_orders[[#This Row],[PO Number]])</f>
        <v>1</v>
      </c>
    </row>
    <row r="90" spans="1:8" x14ac:dyDescent="0.25">
      <c r="A90" t="s">
        <v>88</v>
      </c>
      <c r="B90" t="s">
        <v>1465</v>
      </c>
      <c r="C90" s="1">
        <v>46066</v>
      </c>
      <c r="D90">
        <v>347</v>
      </c>
      <c r="E90">
        <v>21.54</v>
      </c>
      <c r="F90" t="s">
        <v>1504</v>
      </c>
      <c r="G90" s="1">
        <v>46081</v>
      </c>
      <c r="H90">
        <f>COUNTIF(purchase_orders[PO Number], purchase_orders[[#This Row],[PO Number]])</f>
        <v>1</v>
      </c>
    </row>
    <row r="91" spans="1:8" x14ac:dyDescent="0.25">
      <c r="A91" t="s">
        <v>89</v>
      </c>
      <c r="B91" t="s">
        <v>1457</v>
      </c>
      <c r="C91" s="1">
        <v>46083</v>
      </c>
      <c r="D91">
        <v>354</v>
      </c>
      <c r="E91">
        <v>65.53</v>
      </c>
      <c r="F91" t="s">
        <v>1444</v>
      </c>
      <c r="G91" s="1">
        <v>46092</v>
      </c>
      <c r="H91">
        <f>COUNTIF(purchase_orders[PO Number], purchase_orders[[#This Row],[PO Number]])</f>
        <v>1</v>
      </c>
    </row>
    <row r="92" spans="1:8" x14ac:dyDescent="0.25">
      <c r="A92" t="s">
        <v>90</v>
      </c>
      <c r="B92" t="s">
        <v>1473</v>
      </c>
      <c r="C92" s="1">
        <v>46034</v>
      </c>
      <c r="D92">
        <v>135</v>
      </c>
      <c r="E92">
        <v>196.87</v>
      </c>
      <c r="F92" t="s">
        <v>1494</v>
      </c>
      <c r="G92" s="1">
        <v>46041</v>
      </c>
      <c r="H92">
        <f>COUNTIF(purchase_orders[PO Number], purchase_orders[[#This Row],[PO Number]])</f>
        <v>1</v>
      </c>
    </row>
    <row r="93" spans="1:8" x14ac:dyDescent="0.25">
      <c r="A93" t="s">
        <v>91</v>
      </c>
      <c r="B93" t="s">
        <v>1489</v>
      </c>
      <c r="C93" s="1">
        <v>46129</v>
      </c>
      <c r="D93">
        <v>463</v>
      </c>
      <c r="E93">
        <v>127.8</v>
      </c>
      <c r="F93" t="s">
        <v>1444</v>
      </c>
      <c r="G93" s="1">
        <v>46146</v>
      </c>
      <c r="H93">
        <f>COUNTIF(purchase_orders[PO Number], purchase_orders[[#This Row],[PO Number]])</f>
        <v>1</v>
      </c>
    </row>
    <row r="94" spans="1:8" x14ac:dyDescent="0.25">
      <c r="A94" t="s">
        <v>92</v>
      </c>
      <c r="B94" t="s">
        <v>1498</v>
      </c>
      <c r="C94" s="1">
        <v>46125</v>
      </c>
      <c r="D94">
        <v>134</v>
      </c>
      <c r="E94">
        <v>33.78</v>
      </c>
      <c r="F94" t="s">
        <v>1499</v>
      </c>
      <c r="G94" s="1">
        <v>46130</v>
      </c>
      <c r="H94">
        <f>COUNTIF(purchase_orders[PO Number], purchase_orders[[#This Row],[PO Number]])</f>
        <v>1</v>
      </c>
    </row>
    <row r="95" spans="1:8" x14ac:dyDescent="0.25">
      <c r="A95" t="s">
        <v>751</v>
      </c>
      <c r="B95" t="s">
        <v>1450</v>
      </c>
      <c r="C95" s="1">
        <v>46131</v>
      </c>
      <c r="D95">
        <v>122</v>
      </c>
      <c r="E95">
        <v>39.299999999999997</v>
      </c>
      <c r="F95" t="s">
        <v>1499</v>
      </c>
      <c r="G95" s="1">
        <v>46152</v>
      </c>
      <c r="H95">
        <f>COUNTIF(purchase_orders[PO Number], purchase_orders[[#This Row],[PO Number]])</f>
        <v>1</v>
      </c>
    </row>
    <row r="96" spans="1:8" x14ac:dyDescent="0.25">
      <c r="A96" t="s">
        <v>93</v>
      </c>
      <c r="B96" t="s">
        <v>1489</v>
      </c>
      <c r="C96" s="1">
        <v>46035</v>
      </c>
      <c r="D96">
        <v>295</v>
      </c>
      <c r="E96">
        <v>53.59</v>
      </c>
      <c r="F96" t="s">
        <v>1459</v>
      </c>
      <c r="G96" s="1">
        <v>46054</v>
      </c>
      <c r="H96">
        <f>COUNTIF(purchase_orders[PO Number], purchase_orders[[#This Row],[PO Number]])</f>
        <v>1</v>
      </c>
    </row>
    <row r="97" spans="1:8" x14ac:dyDescent="0.25">
      <c r="A97" t="s">
        <v>94</v>
      </c>
      <c r="B97" t="s">
        <v>1441</v>
      </c>
      <c r="C97" s="1">
        <v>46141</v>
      </c>
      <c r="D97">
        <v>351</v>
      </c>
      <c r="E97">
        <v>108.57</v>
      </c>
      <c r="F97" t="s">
        <v>1459</v>
      </c>
      <c r="G97" s="1">
        <v>46156</v>
      </c>
      <c r="H97">
        <f>COUNTIF(purchase_orders[PO Number], purchase_orders[[#This Row],[PO Number]])</f>
        <v>1</v>
      </c>
    </row>
    <row r="98" spans="1:8" x14ac:dyDescent="0.25">
      <c r="A98" t="s">
        <v>755</v>
      </c>
      <c r="B98" t="s">
        <v>1478</v>
      </c>
      <c r="C98" s="1">
        <v>46152</v>
      </c>
      <c r="D98">
        <v>228</v>
      </c>
      <c r="E98">
        <v>166.96</v>
      </c>
      <c r="F98" t="s">
        <v>1442</v>
      </c>
      <c r="G98" s="1">
        <v>46171</v>
      </c>
      <c r="H98">
        <f>COUNTIF(purchase_orders[PO Number], purchase_orders[[#This Row],[PO Number]])</f>
        <v>1</v>
      </c>
    </row>
    <row r="99" spans="1:8" x14ac:dyDescent="0.25">
      <c r="A99" t="s">
        <v>95</v>
      </c>
      <c r="B99" t="s">
        <v>1460</v>
      </c>
      <c r="C99" s="1">
        <v>46144</v>
      </c>
      <c r="D99">
        <v>240</v>
      </c>
      <c r="E99">
        <v>55.54</v>
      </c>
      <c r="F99" t="s">
        <v>1440</v>
      </c>
      <c r="G99" s="1">
        <v>46157</v>
      </c>
      <c r="H99">
        <f>COUNTIF(purchase_orders[PO Number], purchase_orders[[#This Row],[PO Number]])</f>
        <v>1</v>
      </c>
    </row>
    <row r="100" spans="1:8" x14ac:dyDescent="0.25">
      <c r="A100" t="s">
        <v>96</v>
      </c>
      <c r="B100" t="s">
        <v>1491</v>
      </c>
      <c r="C100" s="1">
        <v>46147</v>
      </c>
      <c r="D100">
        <v>330</v>
      </c>
      <c r="E100">
        <v>51.65</v>
      </c>
      <c r="F100" t="s">
        <v>1469</v>
      </c>
      <c r="G100" s="1">
        <v>46154</v>
      </c>
      <c r="H100">
        <f>COUNTIF(purchase_orders[PO Number], purchase_orders[[#This Row],[PO Number]])</f>
        <v>1</v>
      </c>
    </row>
    <row r="101" spans="1:8" x14ac:dyDescent="0.25">
      <c r="A101" t="s">
        <v>97</v>
      </c>
      <c r="B101" t="s">
        <v>1455</v>
      </c>
      <c r="C101" s="1">
        <v>46096</v>
      </c>
      <c r="D101">
        <v>130</v>
      </c>
      <c r="E101">
        <v>57.98</v>
      </c>
      <c r="F101" t="s">
        <v>1472</v>
      </c>
      <c r="G101" s="1">
        <v>46103</v>
      </c>
      <c r="H101">
        <f>COUNTIF(purchase_orders[PO Number], purchase_orders[[#This Row],[PO Number]])</f>
        <v>1</v>
      </c>
    </row>
    <row r="102" spans="1:8" x14ac:dyDescent="0.25">
      <c r="A102" t="s">
        <v>760</v>
      </c>
      <c r="B102" t="s">
        <v>1441</v>
      </c>
      <c r="C102" s="1">
        <v>46061</v>
      </c>
      <c r="D102">
        <v>128</v>
      </c>
      <c r="E102">
        <v>79.69</v>
      </c>
      <c r="F102" t="s">
        <v>1485</v>
      </c>
      <c r="G102" s="1">
        <v>46072</v>
      </c>
      <c r="H102">
        <f>COUNTIF(purchase_orders[PO Number], purchase_orders[[#This Row],[PO Number]])</f>
        <v>1</v>
      </c>
    </row>
    <row r="103" spans="1:8" x14ac:dyDescent="0.25">
      <c r="A103" t="s">
        <v>98</v>
      </c>
      <c r="B103" t="s">
        <v>1492</v>
      </c>
      <c r="C103" s="1">
        <v>46129</v>
      </c>
      <c r="D103">
        <v>218</v>
      </c>
      <c r="E103">
        <v>69.52</v>
      </c>
      <c r="F103" t="s">
        <v>1469</v>
      </c>
      <c r="G103" s="1">
        <v>46147</v>
      </c>
      <c r="H103">
        <f>COUNTIF(purchase_orders[PO Number], purchase_orders[[#This Row],[PO Number]])</f>
        <v>1</v>
      </c>
    </row>
    <row r="104" spans="1:8" x14ac:dyDescent="0.25">
      <c r="A104" t="s">
        <v>99</v>
      </c>
      <c r="B104" t="s">
        <v>1475</v>
      </c>
      <c r="C104" s="1">
        <v>46075</v>
      </c>
      <c r="D104">
        <v>436</v>
      </c>
      <c r="E104">
        <v>86.93</v>
      </c>
      <c r="F104" t="s">
        <v>1456</v>
      </c>
      <c r="G104" s="1">
        <v>46080</v>
      </c>
      <c r="H104">
        <f>COUNTIF(purchase_orders[PO Number], purchase_orders[[#This Row],[PO Number]])</f>
        <v>1</v>
      </c>
    </row>
    <row r="105" spans="1:8" x14ac:dyDescent="0.25">
      <c r="A105" t="s">
        <v>100</v>
      </c>
      <c r="B105" t="s">
        <v>1493</v>
      </c>
      <c r="C105" s="1">
        <v>46120</v>
      </c>
      <c r="D105">
        <v>254</v>
      </c>
      <c r="E105">
        <v>6.15</v>
      </c>
      <c r="F105" t="s">
        <v>1451</v>
      </c>
      <c r="G105" s="1">
        <v>46134</v>
      </c>
      <c r="H105">
        <f>COUNTIF(purchase_orders[PO Number], purchase_orders[[#This Row],[PO Number]])</f>
        <v>1</v>
      </c>
    </row>
    <row r="106" spans="1:8" x14ac:dyDescent="0.25">
      <c r="A106" t="s">
        <v>101</v>
      </c>
      <c r="B106" t="s">
        <v>1502</v>
      </c>
      <c r="C106" s="1">
        <v>46130</v>
      </c>
      <c r="D106">
        <v>285</v>
      </c>
      <c r="E106">
        <v>150.77000000000001</v>
      </c>
      <c r="F106" t="s">
        <v>1459</v>
      </c>
      <c r="G106" s="1">
        <v>46142</v>
      </c>
      <c r="H106">
        <f>COUNTIF(purchase_orders[PO Number], purchase_orders[[#This Row],[PO Number]])</f>
        <v>1</v>
      </c>
    </row>
    <row r="107" spans="1:8" x14ac:dyDescent="0.25">
      <c r="A107" t="s">
        <v>102</v>
      </c>
      <c r="B107" t="s">
        <v>1498</v>
      </c>
      <c r="C107" s="1">
        <v>46079</v>
      </c>
      <c r="D107">
        <v>149</v>
      </c>
      <c r="E107">
        <v>89.99</v>
      </c>
      <c r="F107" t="s">
        <v>1448</v>
      </c>
      <c r="G107" s="1">
        <v>46096</v>
      </c>
      <c r="H107">
        <f>COUNTIF(purchase_orders[PO Number], purchase_orders[[#This Row],[PO Number]])</f>
        <v>1</v>
      </c>
    </row>
    <row r="108" spans="1:8" x14ac:dyDescent="0.25">
      <c r="A108" t="s">
        <v>103</v>
      </c>
      <c r="B108" t="s">
        <v>1479</v>
      </c>
      <c r="C108" s="1">
        <v>46126</v>
      </c>
      <c r="D108">
        <v>380</v>
      </c>
      <c r="E108">
        <v>37.18</v>
      </c>
      <c r="F108" t="s">
        <v>1469</v>
      </c>
      <c r="G108" s="1">
        <v>46135</v>
      </c>
      <c r="H108">
        <f>COUNTIF(purchase_orders[PO Number], purchase_orders[[#This Row],[PO Number]])</f>
        <v>1</v>
      </c>
    </row>
    <row r="109" spans="1:8" x14ac:dyDescent="0.25">
      <c r="A109" t="s">
        <v>104</v>
      </c>
      <c r="B109" t="s">
        <v>1497</v>
      </c>
      <c r="C109" s="1">
        <v>46159</v>
      </c>
      <c r="D109">
        <v>23</v>
      </c>
      <c r="E109">
        <v>181.85</v>
      </c>
      <c r="F109" t="s">
        <v>1480</v>
      </c>
      <c r="G109" s="1">
        <v>46164</v>
      </c>
      <c r="H109">
        <f>COUNTIF(purchase_orders[PO Number], purchase_orders[[#This Row],[PO Number]])</f>
        <v>1</v>
      </c>
    </row>
    <row r="110" spans="1:8" x14ac:dyDescent="0.25">
      <c r="A110" t="s">
        <v>105</v>
      </c>
      <c r="B110" t="s">
        <v>1457</v>
      </c>
      <c r="C110" s="1">
        <v>46132</v>
      </c>
      <c r="D110">
        <v>79</v>
      </c>
      <c r="E110">
        <v>174.04</v>
      </c>
      <c r="F110" t="s">
        <v>1501</v>
      </c>
      <c r="G110" s="1">
        <v>46138</v>
      </c>
      <c r="H110">
        <f>COUNTIF(purchase_orders[PO Number], purchase_orders[[#This Row],[PO Number]])</f>
        <v>1</v>
      </c>
    </row>
    <row r="111" spans="1:8" x14ac:dyDescent="0.25">
      <c r="A111" t="s">
        <v>770</v>
      </c>
      <c r="B111" t="s">
        <v>1470</v>
      </c>
      <c r="C111" s="1">
        <v>46120</v>
      </c>
      <c r="D111">
        <v>177</v>
      </c>
      <c r="E111">
        <v>46.27</v>
      </c>
      <c r="F111" t="s">
        <v>1472</v>
      </c>
      <c r="G111" s="1">
        <v>46135</v>
      </c>
      <c r="H111">
        <f>COUNTIF(purchase_orders[PO Number], purchase_orders[[#This Row],[PO Number]])</f>
        <v>1</v>
      </c>
    </row>
    <row r="112" spans="1:8" x14ac:dyDescent="0.25">
      <c r="A112" t="s">
        <v>106</v>
      </c>
      <c r="B112" t="s">
        <v>1502</v>
      </c>
      <c r="C112" s="1">
        <v>46094</v>
      </c>
      <c r="D112">
        <v>395</v>
      </c>
      <c r="E112">
        <v>190.48</v>
      </c>
      <c r="F112" t="s">
        <v>1507</v>
      </c>
      <c r="G112" s="1">
        <v>46107</v>
      </c>
      <c r="H112">
        <f>COUNTIF(purchase_orders[PO Number], purchase_orders[[#This Row],[PO Number]])</f>
        <v>1</v>
      </c>
    </row>
    <row r="113" spans="1:8" x14ac:dyDescent="0.25">
      <c r="A113" t="s">
        <v>107</v>
      </c>
      <c r="B113" t="s">
        <v>1457</v>
      </c>
      <c r="C113" s="1">
        <v>46143</v>
      </c>
      <c r="D113">
        <v>19</v>
      </c>
      <c r="E113">
        <v>151.06</v>
      </c>
      <c r="F113" t="s">
        <v>1462</v>
      </c>
      <c r="G113" s="1">
        <v>46159</v>
      </c>
      <c r="H113">
        <f>COUNTIF(purchase_orders[PO Number], purchase_orders[[#This Row],[PO Number]])</f>
        <v>1</v>
      </c>
    </row>
    <row r="114" spans="1:8" x14ac:dyDescent="0.25">
      <c r="A114" t="s">
        <v>774</v>
      </c>
      <c r="B114" t="s">
        <v>1447</v>
      </c>
      <c r="C114" s="1">
        <v>46040</v>
      </c>
      <c r="D114">
        <v>409</v>
      </c>
      <c r="E114">
        <v>191.67</v>
      </c>
      <c r="F114" t="s">
        <v>1462</v>
      </c>
      <c r="G114" s="1">
        <v>46045</v>
      </c>
      <c r="H114">
        <f>COUNTIF(purchase_orders[PO Number], purchase_orders[[#This Row],[PO Number]])</f>
        <v>1</v>
      </c>
    </row>
    <row r="115" spans="1:8" x14ac:dyDescent="0.25">
      <c r="A115" t="s">
        <v>108</v>
      </c>
      <c r="B115" t="s">
        <v>1482</v>
      </c>
      <c r="C115" s="1">
        <v>46074</v>
      </c>
      <c r="D115">
        <v>439</v>
      </c>
      <c r="E115">
        <v>8.9700000000000006</v>
      </c>
      <c r="F115" t="s">
        <v>1485</v>
      </c>
      <c r="G115" s="1">
        <v>46086</v>
      </c>
      <c r="H115">
        <f>COUNTIF(purchase_orders[PO Number], purchase_orders[[#This Row],[PO Number]])</f>
        <v>1</v>
      </c>
    </row>
    <row r="116" spans="1:8" x14ac:dyDescent="0.25">
      <c r="A116" t="s">
        <v>109</v>
      </c>
      <c r="B116" t="s">
        <v>1441</v>
      </c>
      <c r="C116" s="1">
        <v>46144</v>
      </c>
      <c r="D116">
        <v>352</v>
      </c>
      <c r="E116">
        <v>27.31</v>
      </c>
      <c r="F116" t="s">
        <v>1444</v>
      </c>
      <c r="G116" s="1">
        <v>46163</v>
      </c>
      <c r="H116">
        <f>COUNTIF(purchase_orders[PO Number], purchase_orders[[#This Row],[PO Number]])</f>
        <v>1</v>
      </c>
    </row>
    <row r="117" spans="1:8" x14ac:dyDescent="0.25">
      <c r="A117" t="s">
        <v>110</v>
      </c>
      <c r="B117" t="s">
        <v>1449</v>
      </c>
      <c r="C117" s="1">
        <v>46088</v>
      </c>
      <c r="D117">
        <v>402</v>
      </c>
      <c r="E117">
        <v>76.930000000000007</v>
      </c>
      <c r="F117" t="s">
        <v>1494</v>
      </c>
      <c r="G117" s="1">
        <v>46096</v>
      </c>
      <c r="H117">
        <f>COUNTIF(purchase_orders[PO Number], purchase_orders[[#This Row],[PO Number]])</f>
        <v>1</v>
      </c>
    </row>
    <row r="118" spans="1:8" x14ac:dyDescent="0.25">
      <c r="A118" t="s">
        <v>111</v>
      </c>
      <c r="B118" t="s">
        <v>1460</v>
      </c>
      <c r="C118" s="1">
        <v>46102</v>
      </c>
      <c r="D118">
        <v>65</v>
      </c>
      <c r="E118">
        <v>117.84</v>
      </c>
      <c r="F118" t="s">
        <v>1474</v>
      </c>
      <c r="G118" s="1">
        <v>46119</v>
      </c>
      <c r="H118">
        <f>COUNTIF(purchase_orders[PO Number], purchase_orders[[#This Row],[PO Number]])</f>
        <v>1</v>
      </c>
    </row>
    <row r="119" spans="1:8" x14ac:dyDescent="0.25">
      <c r="A119" t="s">
        <v>112</v>
      </c>
      <c r="B119" t="s">
        <v>1488</v>
      </c>
      <c r="C119" s="1">
        <v>46073</v>
      </c>
      <c r="D119">
        <v>48</v>
      </c>
      <c r="E119">
        <v>120.46</v>
      </c>
      <c r="F119" t="s">
        <v>1446</v>
      </c>
      <c r="G119" s="1">
        <v>46085</v>
      </c>
      <c r="H119">
        <f>COUNTIF(purchase_orders[PO Number], purchase_orders[[#This Row],[PO Number]])</f>
        <v>1</v>
      </c>
    </row>
    <row r="120" spans="1:8" x14ac:dyDescent="0.25">
      <c r="A120" t="s">
        <v>113</v>
      </c>
      <c r="B120" t="s">
        <v>1450</v>
      </c>
      <c r="C120" s="1">
        <v>46100</v>
      </c>
      <c r="D120">
        <v>445</v>
      </c>
      <c r="E120">
        <v>138.43</v>
      </c>
      <c r="F120" t="s">
        <v>1459</v>
      </c>
      <c r="G120" s="1">
        <v>46106</v>
      </c>
      <c r="H120">
        <f>COUNTIF(purchase_orders[PO Number], purchase_orders[[#This Row],[PO Number]])</f>
        <v>1</v>
      </c>
    </row>
    <row r="121" spans="1:8" x14ac:dyDescent="0.25">
      <c r="A121" t="s">
        <v>114</v>
      </c>
      <c r="B121" t="s">
        <v>1503</v>
      </c>
      <c r="C121" s="1">
        <v>46159</v>
      </c>
      <c r="D121">
        <v>229</v>
      </c>
      <c r="E121">
        <v>134</v>
      </c>
      <c r="F121" t="s">
        <v>1476</v>
      </c>
      <c r="G121" s="1">
        <v>46180</v>
      </c>
      <c r="H121">
        <f>COUNTIF(purchase_orders[PO Number], purchase_orders[[#This Row],[PO Number]])</f>
        <v>1</v>
      </c>
    </row>
    <row r="122" spans="1:8" x14ac:dyDescent="0.25">
      <c r="A122" t="s">
        <v>115</v>
      </c>
      <c r="B122" t="s">
        <v>1508</v>
      </c>
      <c r="C122" s="1">
        <v>46110</v>
      </c>
      <c r="D122">
        <v>16</v>
      </c>
      <c r="E122">
        <v>170.67</v>
      </c>
      <c r="F122" t="s">
        <v>1487</v>
      </c>
      <c r="G122" s="1">
        <v>46118</v>
      </c>
      <c r="H122">
        <f>COUNTIF(purchase_orders[PO Number], purchase_orders[[#This Row],[PO Number]])</f>
        <v>1</v>
      </c>
    </row>
    <row r="123" spans="1:8" x14ac:dyDescent="0.25">
      <c r="A123" t="s">
        <v>116</v>
      </c>
      <c r="B123" t="s">
        <v>1500</v>
      </c>
      <c r="C123" s="1">
        <v>46115</v>
      </c>
      <c r="D123">
        <v>335</v>
      </c>
      <c r="E123">
        <v>178.86</v>
      </c>
      <c r="F123" t="s">
        <v>1469</v>
      </c>
      <c r="G123" s="1">
        <v>46124</v>
      </c>
      <c r="H123">
        <f>COUNTIF(purchase_orders[PO Number], purchase_orders[[#This Row],[PO Number]])</f>
        <v>1</v>
      </c>
    </row>
    <row r="124" spans="1:8" x14ac:dyDescent="0.25">
      <c r="A124" t="s">
        <v>117</v>
      </c>
      <c r="B124" t="s">
        <v>1500</v>
      </c>
      <c r="C124" s="1">
        <v>46068</v>
      </c>
      <c r="D124">
        <v>385</v>
      </c>
      <c r="E124">
        <v>106.74</v>
      </c>
      <c r="F124" t="s">
        <v>1459</v>
      </c>
      <c r="G124" s="1">
        <v>46081</v>
      </c>
      <c r="H124">
        <f>COUNTIF(purchase_orders[PO Number], purchase_orders[[#This Row],[PO Number]])</f>
        <v>1</v>
      </c>
    </row>
    <row r="125" spans="1:8" x14ac:dyDescent="0.25">
      <c r="A125" t="s">
        <v>118</v>
      </c>
      <c r="B125" t="s">
        <v>1497</v>
      </c>
      <c r="C125" s="1">
        <v>46160</v>
      </c>
      <c r="D125">
        <v>406</v>
      </c>
      <c r="E125">
        <v>99.28</v>
      </c>
      <c r="F125" t="s">
        <v>1507</v>
      </c>
      <c r="G125" s="1">
        <v>46173</v>
      </c>
      <c r="H125">
        <f>COUNTIF(purchase_orders[PO Number], purchase_orders[[#This Row],[PO Number]])</f>
        <v>1</v>
      </c>
    </row>
    <row r="126" spans="1:8" x14ac:dyDescent="0.25">
      <c r="A126" t="s">
        <v>789</v>
      </c>
      <c r="B126" t="s">
        <v>1509</v>
      </c>
      <c r="C126" s="1">
        <v>46085</v>
      </c>
      <c r="D126">
        <v>435</v>
      </c>
      <c r="E126">
        <v>187.25</v>
      </c>
      <c r="F126" t="s">
        <v>1458</v>
      </c>
      <c r="G126" s="1">
        <v>46104</v>
      </c>
      <c r="H126">
        <f>COUNTIF(purchase_orders[PO Number], purchase_orders[[#This Row],[PO Number]])</f>
        <v>1</v>
      </c>
    </row>
    <row r="127" spans="1:8" x14ac:dyDescent="0.25">
      <c r="A127" t="s">
        <v>119</v>
      </c>
      <c r="B127" t="s">
        <v>1482</v>
      </c>
      <c r="C127" s="1">
        <v>46141</v>
      </c>
      <c r="D127">
        <v>301</v>
      </c>
      <c r="E127">
        <v>124.01</v>
      </c>
      <c r="F127" t="s">
        <v>1453</v>
      </c>
      <c r="G127" s="1">
        <v>46156</v>
      </c>
      <c r="H127">
        <f>COUNTIF(purchase_orders[PO Number], purchase_orders[[#This Row],[PO Number]])</f>
        <v>1</v>
      </c>
    </row>
    <row r="128" spans="1:8" x14ac:dyDescent="0.25">
      <c r="A128" t="s">
        <v>120</v>
      </c>
      <c r="B128" t="s">
        <v>1473</v>
      </c>
      <c r="C128" s="1">
        <v>46149</v>
      </c>
      <c r="D128">
        <v>445</v>
      </c>
      <c r="E128">
        <v>68.38</v>
      </c>
      <c r="F128" t="s">
        <v>1487</v>
      </c>
      <c r="G128" s="1">
        <v>46160</v>
      </c>
      <c r="H128">
        <f>COUNTIF(purchase_orders[PO Number], purchase_orders[[#This Row],[PO Number]])</f>
        <v>1</v>
      </c>
    </row>
    <row r="129" spans="1:8" x14ac:dyDescent="0.25">
      <c r="A129" t="s">
        <v>121</v>
      </c>
      <c r="B129" t="s">
        <v>1503</v>
      </c>
      <c r="C129" s="1">
        <v>46089</v>
      </c>
      <c r="D129">
        <v>184</v>
      </c>
      <c r="E129">
        <v>59.53</v>
      </c>
      <c r="F129" t="s">
        <v>1494</v>
      </c>
      <c r="G129" s="1">
        <v>46102</v>
      </c>
      <c r="H129">
        <f>COUNTIF(purchase_orders[PO Number], purchase_orders[[#This Row],[PO Number]])</f>
        <v>1</v>
      </c>
    </row>
    <row r="130" spans="1:8" x14ac:dyDescent="0.25">
      <c r="A130" t="s">
        <v>794</v>
      </c>
      <c r="B130" t="s">
        <v>1454</v>
      </c>
      <c r="C130" s="1">
        <v>46025</v>
      </c>
      <c r="D130">
        <v>274</v>
      </c>
      <c r="E130">
        <v>189.87</v>
      </c>
      <c r="F130" t="s">
        <v>1476</v>
      </c>
      <c r="G130" s="1">
        <v>46037</v>
      </c>
      <c r="H130">
        <f>COUNTIF(purchase_orders[PO Number], purchase_orders[[#This Row],[PO Number]])</f>
        <v>1</v>
      </c>
    </row>
    <row r="131" spans="1:8" x14ac:dyDescent="0.25">
      <c r="A131" t="s">
        <v>122</v>
      </c>
      <c r="B131" t="s">
        <v>1477</v>
      </c>
      <c r="C131" s="1">
        <v>46127</v>
      </c>
      <c r="D131">
        <v>260</v>
      </c>
      <c r="E131">
        <v>113.26</v>
      </c>
      <c r="F131" t="s">
        <v>1440</v>
      </c>
      <c r="G131" s="1">
        <v>46147</v>
      </c>
      <c r="H131">
        <f>COUNTIF(purchase_orders[PO Number], purchase_orders[[#This Row],[PO Number]])</f>
        <v>1</v>
      </c>
    </row>
    <row r="132" spans="1:8" x14ac:dyDescent="0.25">
      <c r="A132" t="s">
        <v>123</v>
      </c>
      <c r="B132" t="s">
        <v>1508</v>
      </c>
      <c r="C132" s="1">
        <v>46148</v>
      </c>
      <c r="D132">
        <v>239</v>
      </c>
      <c r="E132">
        <v>159.62</v>
      </c>
      <c r="F132" t="s">
        <v>1476</v>
      </c>
      <c r="G132" s="1">
        <v>46162</v>
      </c>
      <c r="H132">
        <f>COUNTIF(purchase_orders[PO Number], purchase_orders[[#This Row],[PO Number]])</f>
        <v>1</v>
      </c>
    </row>
    <row r="133" spans="1:8" x14ac:dyDescent="0.25">
      <c r="A133" t="s">
        <v>124</v>
      </c>
      <c r="B133" t="s">
        <v>1447</v>
      </c>
      <c r="C133" s="1">
        <v>46126</v>
      </c>
      <c r="D133">
        <v>364</v>
      </c>
      <c r="E133">
        <v>52.44</v>
      </c>
      <c r="F133" t="s">
        <v>1467</v>
      </c>
      <c r="G133" s="1">
        <v>46142</v>
      </c>
      <c r="H133">
        <f>COUNTIF(purchase_orders[PO Number], purchase_orders[[#This Row],[PO Number]])</f>
        <v>1</v>
      </c>
    </row>
    <row r="134" spans="1:8" x14ac:dyDescent="0.25">
      <c r="A134" t="s">
        <v>125</v>
      </c>
      <c r="B134" t="s">
        <v>1510</v>
      </c>
      <c r="C134" s="1">
        <v>46164</v>
      </c>
      <c r="D134">
        <v>281</v>
      </c>
      <c r="E134">
        <v>72.03</v>
      </c>
      <c r="F134" t="s">
        <v>1459</v>
      </c>
      <c r="G134" s="1">
        <v>46179</v>
      </c>
      <c r="H134">
        <f>COUNTIF(purchase_orders[PO Number], purchase_orders[[#This Row],[PO Number]])</f>
        <v>1</v>
      </c>
    </row>
    <row r="135" spans="1:8" x14ac:dyDescent="0.25">
      <c r="A135" t="s">
        <v>800</v>
      </c>
      <c r="B135" t="s">
        <v>1503</v>
      </c>
      <c r="C135" s="1">
        <v>46139</v>
      </c>
      <c r="D135">
        <v>148</v>
      </c>
      <c r="E135">
        <v>64.790000000000006</v>
      </c>
      <c r="F135" t="s">
        <v>1440</v>
      </c>
      <c r="G135" s="1">
        <v>46147</v>
      </c>
      <c r="H135">
        <f>COUNTIF(purchase_orders[PO Number], purchase_orders[[#This Row],[PO Number]])</f>
        <v>1</v>
      </c>
    </row>
    <row r="136" spans="1:8" x14ac:dyDescent="0.25">
      <c r="A136" t="s">
        <v>126</v>
      </c>
      <c r="B136" t="s">
        <v>1477</v>
      </c>
      <c r="C136" s="1">
        <v>46072</v>
      </c>
      <c r="D136">
        <v>171</v>
      </c>
      <c r="E136">
        <v>28.31</v>
      </c>
      <c r="F136" t="s">
        <v>1442</v>
      </c>
      <c r="G136" s="1">
        <v>46082</v>
      </c>
      <c r="H136">
        <f>COUNTIF(purchase_orders[PO Number], purchase_orders[[#This Row],[PO Number]])</f>
        <v>1</v>
      </c>
    </row>
    <row r="137" spans="1:8" x14ac:dyDescent="0.25">
      <c r="A137" t="s">
        <v>127</v>
      </c>
      <c r="B137" t="s">
        <v>1505</v>
      </c>
      <c r="C137" s="1">
        <v>46078</v>
      </c>
      <c r="D137">
        <v>388</v>
      </c>
      <c r="E137">
        <v>99.42</v>
      </c>
      <c r="F137" t="s">
        <v>1459</v>
      </c>
      <c r="G137" s="1">
        <v>46099</v>
      </c>
      <c r="H137">
        <f>COUNTIF(purchase_orders[PO Number], purchase_orders[[#This Row],[PO Number]])</f>
        <v>1</v>
      </c>
    </row>
    <row r="138" spans="1:8" x14ac:dyDescent="0.25">
      <c r="A138" t="s">
        <v>128</v>
      </c>
      <c r="B138" t="s">
        <v>1468</v>
      </c>
      <c r="C138" s="1">
        <v>46095</v>
      </c>
      <c r="D138">
        <v>61</v>
      </c>
      <c r="E138">
        <v>167.36</v>
      </c>
      <c r="F138" t="s">
        <v>1474</v>
      </c>
      <c r="G138" s="1">
        <v>46107</v>
      </c>
      <c r="H138">
        <f>COUNTIF(purchase_orders[PO Number], purchase_orders[[#This Row],[PO Number]])</f>
        <v>1</v>
      </c>
    </row>
    <row r="139" spans="1:8" x14ac:dyDescent="0.25">
      <c r="A139" t="s">
        <v>129</v>
      </c>
      <c r="B139" t="s">
        <v>1496</v>
      </c>
      <c r="C139" s="1">
        <v>46068</v>
      </c>
      <c r="D139">
        <v>164</v>
      </c>
      <c r="E139">
        <v>7.76</v>
      </c>
      <c r="F139" t="s">
        <v>1442</v>
      </c>
      <c r="G139" s="1">
        <v>46077</v>
      </c>
      <c r="H139">
        <f>COUNTIF(purchase_orders[PO Number], purchase_orders[[#This Row],[PO Number]])</f>
        <v>1</v>
      </c>
    </row>
    <row r="140" spans="1:8" x14ac:dyDescent="0.25">
      <c r="A140" t="s">
        <v>130</v>
      </c>
      <c r="B140" t="s">
        <v>1511</v>
      </c>
      <c r="C140" s="1">
        <v>46034</v>
      </c>
      <c r="D140">
        <v>37</v>
      </c>
      <c r="E140">
        <v>112.9</v>
      </c>
      <c r="F140" t="s">
        <v>1499</v>
      </c>
      <c r="G140" s="1">
        <v>46043</v>
      </c>
      <c r="H140">
        <f>COUNTIF(purchase_orders[PO Number], purchase_orders[[#This Row],[PO Number]])</f>
        <v>1</v>
      </c>
    </row>
    <row r="141" spans="1:8" x14ac:dyDescent="0.25">
      <c r="A141" t="s">
        <v>131</v>
      </c>
      <c r="B141" t="s">
        <v>1439</v>
      </c>
      <c r="C141" s="1">
        <v>46148</v>
      </c>
      <c r="D141">
        <v>62</v>
      </c>
      <c r="E141">
        <v>175.18</v>
      </c>
      <c r="F141" t="s">
        <v>1480</v>
      </c>
      <c r="G141" s="1">
        <v>46162</v>
      </c>
      <c r="H141">
        <f>COUNTIF(purchase_orders[PO Number], purchase_orders[[#This Row],[PO Number]])</f>
        <v>1</v>
      </c>
    </row>
    <row r="142" spans="1:8" x14ac:dyDescent="0.25">
      <c r="A142" t="s">
        <v>132</v>
      </c>
      <c r="B142" t="s">
        <v>1510</v>
      </c>
      <c r="C142" s="1">
        <v>46145</v>
      </c>
      <c r="D142">
        <v>235</v>
      </c>
      <c r="E142">
        <v>71.44</v>
      </c>
      <c r="F142" t="s">
        <v>1462</v>
      </c>
      <c r="G142" s="1">
        <v>46158</v>
      </c>
      <c r="H142">
        <f>COUNTIF(purchase_orders[PO Number], purchase_orders[[#This Row],[PO Number]])</f>
        <v>1</v>
      </c>
    </row>
    <row r="143" spans="1:8" x14ac:dyDescent="0.25">
      <c r="A143" t="s">
        <v>133</v>
      </c>
      <c r="B143" t="s">
        <v>1510</v>
      </c>
      <c r="C143" s="1">
        <v>46052</v>
      </c>
      <c r="D143">
        <v>430</v>
      </c>
      <c r="E143">
        <v>17.739999999999998</v>
      </c>
      <c r="F143" t="s">
        <v>1487</v>
      </c>
      <c r="G143" s="1">
        <v>46059</v>
      </c>
      <c r="H143">
        <f>COUNTIF(purchase_orders[PO Number], purchase_orders[[#This Row],[PO Number]])</f>
        <v>1</v>
      </c>
    </row>
    <row r="144" spans="1:8" x14ac:dyDescent="0.25">
      <c r="A144" t="s">
        <v>134</v>
      </c>
      <c r="B144" t="s">
        <v>1493</v>
      </c>
      <c r="C144" s="1">
        <v>46036</v>
      </c>
      <c r="D144">
        <v>87</v>
      </c>
      <c r="E144">
        <v>34.090000000000003</v>
      </c>
      <c r="F144" t="s">
        <v>1480</v>
      </c>
      <c r="G144" s="1">
        <v>46050</v>
      </c>
      <c r="H144">
        <f>COUNTIF(purchase_orders[PO Number], purchase_orders[[#This Row],[PO Number]])</f>
        <v>1</v>
      </c>
    </row>
    <row r="145" spans="1:8" x14ac:dyDescent="0.25">
      <c r="A145" t="s">
        <v>135</v>
      </c>
      <c r="B145" t="s">
        <v>1457</v>
      </c>
      <c r="C145" s="1">
        <v>46086</v>
      </c>
      <c r="D145">
        <v>70</v>
      </c>
      <c r="E145">
        <v>113.82</v>
      </c>
      <c r="F145" t="s">
        <v>1459</v>
      </c>
      <c r="G145" s="1">
        <v>46098</v>
      </c>
      <c r="H145">
        <f>COUNTIF(purchase_orders[PO Number], purchase_orders[[#This Row],[PO Number]])</f>
        <v>1</v>
      </c>
    </row>
    <row r="146" spans="1:8" x14ac:dyDescent="0.25">
      <c r="A146" t="s">
        <v>136</v>
      </c>
      <c r="B146" t="s">
        <v>1491</v>
      </c>
      <c r="C146" s="1">
        <v>46120</v>
      </c>
      <c r="D146">
        <v>240</v>
      </c>
      <c r="E146">
        <v>182.16</v>
      </c>
      <c r="F146" t="s">
        <v>1474</v>
      </c>
      <c r="G146" s="1">
        <v>46138</v>
      </c>
      <c r="H146">
        <f>COUNTIF(purchase_orders[PO Number], purchase_orders[[#This Row],[PO Number]])</f>
        <v>1</v>
      </c>
    </row>
    <row r="147" spans="1:8" x14ac:dyDescent="0.25">
      <c r="A147" t="s">
        <v>137</v>
      </c>
      <c r="B147" t="s">
        <v>1512</v>
      </c>
      <c r="C147" s="1">
        <v>46168</v>
      </c>
      <c r="D147">
        <v>327</v>
      </c>
      <c r="E147">
        <v>16.739999999999998</v>
      </c>
      <c r="F147" t="s">
        <v>1490</v>
      </c>
      <c r="G147" s="1">
        <v>46176</v>
      </c>
      <c r="H147">
        <f>COUNTIF(purchase_orders[PO Number], purchase_orders[[#This Row],[PO Number]])</f>
        <v>1</v>
      </c>
    </row>
    <row r="148" spans="1:8" x14ac:dyDescent="0.25">
      <c r="A148" t="s">
        <v>138</v>
      </c>
      <c r="B148" t="s">
        <v>1463</v>
      </c>
      <c r="C148" s="1">
        <v>46077</v>
      </c>
      <c r="D148">
        <v>145</v>
      </c>
      <c r="E148">
        <v>133.78</v>
      </c>
      <c r="F148" t="s">
        <v>1501</v>
      </c>
      <c r="G148" s="1">
        <v>46089</v>
      </c>
      <c r="H148">
        <f>COUNTIF(purchase_orders[PO Number], purchase_orders[[#This Row],[PO Number]])</f>
        <v>1</v>
      </c>
    </row>
    <row r="149" spans="1:8" x14ac:dyDescent="0.25">
      <c r="A149" t="s">
        <v>139</v>
      </c>
      <c r="B149" t="s">
        <v>1486</v>
      </c>
      <c r="C149" s="1">
        <v>46164</v>
      </c>
      <c r="D149">
        <v>48</v>
      </c>
      <c r="E149">
        <v>35.520000000000003</v>
      </c>
      <c r="F149" t="s">
        <v>1507</v>
      </c>
      <c r="G149" s="1">
        <v>46183</v>
      </c>
      <c r="H149">
        <f>COUNTIF(purchase_orders[PO Number], purchase_orders[[#This Row],[PO Number]])</f>
        <v>1</v>
      </c>
    </row>
    <row r="150" spans="1:8" x14ac:dyDescent="0.25">
      <c r="A150" t="s">
        <v>140</v>
      </c>
      <c r="B150" t="s">
        <v>1449</v>
      </c>
      <c r="C150" s="1">
        <v>46143</v>
      </c>
      <c r="D150">
        <v>159</v>
      </c>
      <c r="E150">
        <v>11.36</v>
      </c>
      <c r="F150" t="s">
        <v>1474</v>
      </c>
      <c r="G150" s="1">
        <v>46157</v>
      </c>
      <c r="H150">
        <f>COUNTIF(purchase_orders[PO Number], purchase_orders[[#This Row],[PO Number]])</f>
        <v>1</v>
      </c>
    </row>
    <row r="151" spans="1:8" x14ac:dyDescent="0.25">
      <c r="A151" t="s">
        <v>141</v>
      </c>
      <c r="B151" t="s">
        <v>1449</v>
      </c>
      <c r="C151" s="1">
        <v>46139</v>
      </c>
      <c r="D151">
        <v>46</v>
      </c>
      <c r="E151">
        <v>139.04</v>
      </c>
      <c r="F151" t="s">
        <v>1458</v>
      </c>
      <c r="G151" s="1">
        <v>46150</v>
      </c>
      <c r="H151">
        <f>COUNTIF(purchase_orders[PO Number], purchase_orders[[#This Row],[PO Number]])</f>
        <v>1</v>
      </c>
    </row>
    <row r="152" spans="1:8" x14ac:dyDescent="0.25">
      <c r="A152" t="s">
        <v>819</v>
      </c>
      <c r="B152" t="s">
        <v>1500</v>
      </c>
      <c r="C152" s="1">
        <v>46052</v>
      </c>
      <c r="D152">
        <v>288</v>
      </c>
      <c r="E152">
        <v>48.84</v>
      </c>
      <c r="F152" t="s">
        <v>1485</v>
      </c>
      <c r="G152" s="1">
        <v>46065</v>
      </c>
      <c r="H152">
        <f>COUNTIF(purchase_orders[PO Number], purchase_orders[[#This Row],[PO Number]])</f>
        <v>1</v>
      </c>
    </row>
    <row r="153" spans="1:8" x14ac:dyDescent="0.25">
      <c r="A153" t="s">
        <v>142</v>
      </c>
      <c r="B153" t="s">
        <v>1464</v>
      </c>
      <c r="C153" s="1">
        <v>46041</v>
      </c>
      <c r="D153">
        <v>40</v>
      </c>
      <c r="E153">
        <v>37.35</v>
      </c>
      <c r="F153" t="s">
        <v>1474</v>
      </c>
      <c r="G153" s="1">
        <v>46055</v>
      </c>
      <c r="H153">
        <f>COUNTIF(purchase_orders[PO Number], purchase_orders[[#This Row],[PO Number]])</f>
        <v>1</v>
      </c>
    </row>
    <row r="154" spans="1:8" x14ac:dyDescent="0.25">
      <c r="A154" t="s">
        <v>143</v>
      </c>
      <c r="B154" t="s">
        <v>1478</v>
      </c>
      <c r="C154" s="1">
        <v>46054</v>
      </c>
      <c r="D154">
        <v>249</v>
      </c>
      <c r="E154">
        <v>139.29</v>
      </c>
      <c r="F154" t="s">
        <v>1499</v>
      </c>
      <c r="G154" s="1">
        <v>46071</v>
      </c>
      <c r="H154">
        <f>COUNTIF(purchase_orders[PO Number], purchase_orders[[#This Row],[PO Number]])</f>
        <v>1</v>
      </c>
    </row>
    <row r="155" spans="1:8" x14ac:dyDescent="0.25">
      <c r="A155" t="s">
        <v>144</v>
      </c>
      <c r="B155" t="s">
        <v>1511</v>
      </c>
      <c r="C155" s="1">
        <v>46151</v>
      </c>
      <c r="D155">
        <v>286</v>
      </c>
      <c r="E155">
        <v>101.29</v>
      </c>
      <c r="F155" t="s">
        <v>1476</v>
      </c>
      <c r="G155" s="1">
        <v>46157</v>
      </c>
      <c r="H155">
        <f>COUNTIF(purchase_orders[PO Number], purchase_orders[[#This Row],[PO Number]])</f>
        <v>1</v>
      </c>
    </row>
    <row r="156" spans="1:8" x14ac:dyDescent="0.25">
      <c r="A156" t="s">
        <v>824</v>
      </c>
      <c r="B156" t="s">
        <v>1500</v>
      </c>
      <c r="C156" s="1">
        <v>46105</v>
      </c>
      <c r="D156">
        <v>319</v>
      </c>
      <c r="E156">
        <v>53.82</v>
      </c>
      <c r="F156" t="s">
        <v>1476</v>
      </c>
      <c r="G156" s="1">
        <v>46117</v>
      </c>
      <c r="H156">
        <f>COUNTIF(purchase_orders[PO Number], purchase_orders[[#This Row],[PO Number]])</f>
        <v>1</v>
      </c>
    </row>
    <row r="157" spans="1:8" x14ac:dyDescent="0.25">
      <c r="A157" t="s">
        <v>145</v>
      </c>
      <c r="B157" t="s">
        <v>1461</v>
      </c>
      <c r="C157" s="1">
        <v>46170</v>
      </c>
      <c r="D157">
        <v>310</v>
      </c>
      <c r="E157">
        <v>190.4</v>
      </c>
      <c r="F157" t="s">
        <v>1456</v>
      </c>
      <c r="G157" s="1">
        <v>46183</v>
      </c>
      <c r="H157">
        <f>COUNTIF(purchase_orders[PO Number], purchase_orders[[#This Row],[PO Number]])</f>
        <v>1</v>
      </c>
    </row>
    <row r="158" spans="1:8" x14ac:dyDescent="0.25">
      <c r="A158" t="s">
        <v>146</v>
      </c>
      <c r="B158" t="s">
        <v>1493</v>
      </c>
      <c r="C158" s="1">
        <v>46033</v>
      </c>
      <c r="D158">
        <v>400</v>
      </c>
      <c r="E158">
        <v>152.47</v>
      </c>
      <c r="F158" t="s">
        <v>1487</v>
      </c>
      <c r="G158" s="1">
        <v>46054</v>
      </c>
      <c r="H158">
        <f>COUNTIF(purchase_orders[PO Number], purchase_orders[[#This Row],[PO Number]])</f>
        <v>1</v>
      </c>
    </row>
    <row r="159" spans="1:8" x14ac:dyDescent="0.25">
      <c r="A159" t="s">
        <v>147</v>
      </c>
      <c r="B159" t="s">
        <v>1508</v>
      </c>
      <c r="C159" s="1">
        <v>46136</v>
      </c>
      <c r="D159">
        <v>479</v>
      </c>
      <c r="E159">
        <v>59.24</v>
      </c>
      <c r="F159" t="s">
        <v>1480</v>
      </c>
      <c r="G159" s="1">
        <v>46154</v>
      </c>
      <c r="H159">
        <f>COUNTIF(purchase_orders[PO Number], purchase_orders[[#This Row],[PO Number]])</f>
        <v>1</v>
      </c>
    </row>
    <row r="160" spans="1:8" x14ac:dyDescent="0.25">
      <c r="A160" t="s">
        <v>148</v>
      </c>
      <c r="B160" t="s">
        <v>1439</v>
      </c>
      <c r="C160" s="1">
        <v>46148</v>
      </c>
      <c r="D160">
        <v>56</v>
      </c>
      <c r="E160">
        <v>96.65</v>
      </c>
      <c r="F160" t="s">
        <v>1507</v>
      </c>
      <c r="G160" s="1">
        <v>46163</v>
      </c>
      <c r="H160">
        <f>COUNTIF(purchase_orders[PO Number], purchase_orders[[#This Row],[PO Number]])</f>
        <v>1</v>
      </c>
    </row>
    <row r="161" spans="1:8" x14ac:dyDescent="0.25">
      <c r="A161" t="s">
        <v>830</v>
      </c>
      <c r="B161" t="s">
        <v>1509</v>
      </c>
      <c r="C161" s="1">
        <v>46049</v>
      </c>
      <c r="D161">
        <v>449</v>
      </c>
      <c r="E161">
        <v>36.36</v>
      </c>
      <c r="F161" t="s">
        <v>1507</v>
      </c>
      <c r="G161" s="1">
        <v>46069</v>
      </c>
      <c r="H161">
        <f>COUNTIF(purchase_orders[PO Number], purchase_orders[[#This Row],[PO Number]])</f>
        <v>1</v>
      </c>
    </row>
    <row r="162" spans="1:8" x14ac:dyDescent="0.25">
      <c r="A162" t="s">
        <v>149</v>
      </c>
      <c r="B162" t="s">
        <v>1506</v>
      </c>
      <c r="C162" s="1">
        <v>46125</v>
      </c>
      <c r="D162">
        <v>426</v>
      </c>
      <c r="E162">
        <v>153.30000000000001</v>
      </c>
      <c r="F162" t="s">
        <v>1462</v>
      </c>
      <c r="G162" s="1">
        <v>46144</v>
      </c>
      <c r="H162">
        <f>COUNTIF(purchase_orders[PO Number], purchase_orders[[#This Row],[PO Number]])</f>
        <v>1</v>
      </c>
    </row>
    <row r="163" spans="1:8" x14ac:dyDescent="0.25">
      <c r="A163" t="s">
        <v>150</v>
      </c>
      <c r="B163" t="s">
        <v>1457</v>
      </c>
      <c r="C163" s="1">
        <v>46103</v>
      </c>
      <c r="D163">
        <v>139</v>
      </c>
      <c r="E163">
        <v>68.040000000000006</v>
      </c>
      <c r="F163" t="s">
        <v>1456</v>
      </c>
      <c r="G163" s="1">
        <v>46120</v>
      </c>
      <c r="H163">
        <f>COUNTIF(purchase_orders[PO Number], purchase_orders[[#This Row],[PO Number]])</f>
        <v>1</v>
      </c>
    </row>
    <row r="164" spans="1:8" x14ac:dyDescent="0.25">
      <c r="A164" t="s">
        <v>151</v>
      </c>
      <c r="B164" t="s">
        <v>1445</v>
      </c>
      <c r="C164" s="1">
        <v>46023</v>
      </c>
      <c r="D164">
        <v>346</v>
      </c>
      <c r="E164">
        <v>174.53</v>
      </c>
      <c r="F164" t="s">
        <v>1469</v>
      </c>
      <c r="G164" s="1">
        <v>46041</v>
      </c>
      <c r="H164">
        <f>COUNTIF(purchase_orders[PO Number], purchase_orders[[#This Row],[PO Number]])</f>
        <v>1</v>
      </c>
    </row>
    <row r="165" spans="1:8" x14ac:dyDescent="0.25">
      <c r="A165" t="s">
        <v>152</v>
      </c>
      <c r="B165" t="s">
        <v>1475</v>
      </c>
      <c r="C165" s="1">
        <v>46071</v>
      </c>
      <c r="D165">
        <v>275</v>
      </c>
      <c r="E165">
        <v>75.55</v>
      </c>
      <c r="F165" t="s">
        <v>1456</v>
      </c>
      <c r="G165" s="1">
        <v>46091</v>
      </c>
      <c r="H165">
        <f>COUNTIF(purchase_orders[PO Number], purchase_orders[[#This Row],[PO Number]])</f>
        <v>1</v>
      </c>
    </row>
    <row r="166" spans="1:8" x14ac:dyDescent="0.25">
      <c r="A166" t="s">
        <v>153</v>
      </c>
      <c r="B166" t="s">
        <v>1439</v>
      </c>
      <c r="C166" s="1">
        <v>46136</v>
      </c>
      <c r="D166">
        <v>399</v>
      </c>
      <c r="E166">
        <v>15.06</v>
      </c>
      <c r="F166" t="s">
        <v>1458</v>
      </c>
      <c r="G166" s="1">
        <v>46145</v>
      </c>
      <c r="H166">
        <f>COUNTIF(purchase_orders[PO Number], purchase_orders[[#This Row],[PO Number]])</f>
        <v>1</v>
      </c>
    </row>
    <row r="167" spans="1:8" x14ac:dyDescent="0.25">
      <c r="A167" t="s">
        <v>154</v>
      </c>
      <c r="B167" t="s">
        <v>1506</v>
      </c>
      <c r="C167" s="1">
        <v>46135</v>
      </c>
      <c r="D167">
        <v>460</v>
      </c>
      <c r="E167">
        <v>141.16</v>
      </c>
      <c r="F167" t="s">
        <v>1483</v>
      </c>
      <c r="G167" s="1">
        <v>46140</v>
      </c>
      <c r="H167">
        <f>COUNTIF(purchase_orders[PO Number], purchase_orders[[#This Row],[PO Number]])</f>
        <v>1</v>
      </c>
    </row>
    <row r="168" spans="1:8" x14ac:dyDescent="0.25">
      <c r="A168" t="s">
        <v>155</v>
      </c>
      <c r="B168" t="s">
        <v>1439</v>
      </c>
      <c r="C168" s="1">
        <v>46084</v>
      </c>
      <c r="D168">
        <v>373</v>
      </c>
      <c r="E168">
        <v>35.880000000000003</v>
      </c>
      <c r="F168" t="s">
        <v>1442</v>
      </c>
      <c r="G168" s="1">
        <v>46089</v>
      </c>
      <c r="H168">
        <f>COUNTIF(purchase_orders[PO Number], purchase_orders[[#This Row],[PO Number]])</f>
        <v>1</v>
      </c>
    </row>
    <row r="169" spans="1:8" x14ac:dyDescent="0.25">
      <c r="A169" t="s">
        <v>156</v>
      </c>
      <c r="B169" t="s">
        <v>1454</v>
      </c>
      <c r="C169" s="1">
        <v>46127</v>
      </c>
      <c r="D169">
        <v>57</v>
      </c>
      <c r="E169">
        <v>48.82</v>
      </c>
      <c r="F169" t="s">
        <v>1483</v>
      </c>
      <c r="G169" s="1">
        <v>46146</v>
      </c>
      <c r="H169">
        <f>COUNTIF(purchase_orders[PO Number], purchase_orders[[#This Row],[PO Number]])</f>
        <v>1</v>
      </c>
    </row>
    <row r="170" spans="1:8" x14ac:dyDescent="0.25">
      <c r="A170" t="s">
        <v>157</v>
      </c>
      <c r="B170" t="s">
        <v>1466</v>
      </c>
      <c r="C170" s="1">
        <v>46062</v>
      </c>
      <c r="D170">
        <v>265</v>
      </c>
      <c r="E170">
        <v>186.87</v>
      </c>
      <c r="F170" t="s">
        <v>1459</v>
      </c>
      <c r="G170" s="1">
        <v>46083</v>
      </c>
      <c r="H170">
        <f>COUNTIF(purchase_orders[PO Number], purchase_orders[[#This Row],[PO Number]])</f>
        <v>1</v>
      </c>
    </row>
    <row r="171" spans="1:8" x14ac:dyDescent="0.25">
      <c r="A171" t="s">
        <v>158</v>
      </c>
      <c r="B171" t="s">
        <v>1455</v>
      </c>
      <c r="C171" s="1">
        <v>46092</v>
      </c>
      <c r="D171">
        <v>222</v>
      </c>
      <c r="E171">
        <v>167.77</v>
      </c>
      <c r="F171" t="s">
        <v>1487</v>
      </c>
      <c r="G171" s="1">
        <v>46104</v>
      </c>
      <c r="H171">
        <f>COUNTIF(purchase_orders[PO Number], purchase_orders[[#This Row],[PO Number]])</f>
        <v>1</v>
      </c>
    </row>
    <row r="172" spans="1:8" x14ac:dyDescent="0.25">
      <c r="A172" t="s">
        <v>159</v>
      </c>
      <c r="B172" t="s">
        <v>1489</v>
      </c>
      <c r="C172" s="1">
        <v>46164</v>
      </c>
      <c r="D172">
        <v>84</v>
      </c>
      <c r="E172">
        <v>79.8</v>
      </c>
      <c r="F172" t="s">
        <v>1494</v>
      </c>
      <c r="G172" s="1">
        <v>46185</v>
      </c>
      <c r="H172">
        <f>COUNTIF(purchase_orders[PO Number], purchase_orders[[#This Row],[PO Number]])</f>
        <v>1</v>
      </c>
    </row>
    <row r="173" spans="1:8" x14ac:dyDescent="0.25">
      <c r="A173" t="s">
        <v>160</v>
      </c>
      <c r="B173" t="s">
        <v>1465</v>
      </c>
      <c r="C173" s="1">
        <v>46057</v>
      </c>
      <c r="D173">
        <v>452</v>
      </c>
      <c r="E173">
        <v>18.61</v>
      </c>
      <c r="F173" t="s">
        <v>1456</v>
      </c>
      <c r="G173" s="1">
        <v>46075</v>
      </c>
      <c r="H173">
        <f>COUNTIF(purchase_orders[PO Number], purchase_orders[[#This Row],[PO Number]])</f>
        <v>1</v>
      </c>
    </row>
    <row r="174" spans="1:8" x14ac:dyDescent="0.25">
      <c r="A174" t="s">
        <v>161</v>
      </c>
      <c r="B174" t="s">
        <v>1479</v>
      </c>
      <c r="C174" s="1">
        <v>46152</v>
      </c>
      <c r="D174">
        <v>146</v>
      </c>
      <c r="E174">
        <v>165.01</v>
      </c>
      <c r="F174" t="s">
        <v>1474</v>
      </c>
      <c r="G174" s="1">
        <v>46166</v>
      </c>
      <c r="H174">
        <f>COUNTIF(purchase_orders[PO Number], purchase_orders[[#This Row],[PO Number]])</f>
        <v>1</v>
      </c>
    </row>
    <row r="175" spans="1:8" x14ac:dyDescent="0.25">
      <c r="A175" t="s">
        <v>162</v>
      </c>
      <c r="B175" t="s">
        <v>1443</v>
      </c>
      <c r="C175" s="1">
        <v>46171</v>
      </c>
      <c r="D175">
        <v>347</v>
      </c>
      <c r="E175">
        <v>100.48</v>
      </c>
      <c r="F175" t="s">
        <v>1485</v>
      </c>
      <c r="G175" s="1">
        <v>46190</v>
      </c>
      <c r="H175">
        <f>COUNTIF(purchase_orders[PO Number], purchase_orders[[#This Row],[PO Number]])</f>
        <v>1</v>
      </c>
    </row>
    <row r="176" spans="1:8" x14ac:dyDescent="0.25">
      <c r="A176" t="s">
        <v>847</v>
      </c>
      <c r="B176" t="s">
        <v>1471</v>
      </c>
      <c r="C176" s="1">
        <v>46146</v>
      </c>
      <c r="D176">
        <v>186</v>
      </c>
      <c r="E176">
        <v>69.83</v>
      </c>
      <c r="F176" t="s">
        <v>1456</v>
      </c>
      <c r="G176" s="1">
        <v>46163</v>
      </c>
      <c r="H176">
        <f>COUNTIF(purchase_orders[PO Number], purchase_orders[[#This Row],[PO Number]])</f>
        <v>1</v>
      </c>
    </row>
    <row r="177" spans="1:8" x14ac:dyDescent="0.25">
      <c r="A177" t="s">
        <v>849</v>
      </c>
      <c r="B177" t="s">
        <v>1489</v>
      </c>
      <c r="C177" s="1">
        <v>46105</v>
      </c>
      <c r="D177">
        <v>455</v>
      </c>
      <c r="E177">
        <v>41.79</v>
      </c>
      <c r="F177" t="s">
        <v>1499</v>
      </c>
      <c r="G177" s="1">
        <v>46117</v>
      </c>
      <c r="H177">
        <f>COUNTIF(purchase_orders[PO Number], purchase_orders[[#This Row],[PO Number]])</f>
        <v>1</v>
      </c>
    </row>
    <row r="178" spans="1:8" x14ac:dyDescent="0.25">
      <c r="A178" t="s">
        <v>163</v>
      </c>
      <c r="B178" t="s">
        <v>1493</v>
      </c>
      <c r="C178" s="1">
        <v>46121</v>
      </c>
      <c r="D178">
        <v>129</v>
      </c>
      <c r="E178">
        <v>171.92</v>
      </c>
      <c r="F178" t="s">
        <v>1507</v>
      </c>
      <c r="G178" s="1">
        <v>46127</v>
      </c>
      <c r="H178">
        <f>COUNTIF(purchase_orders[PO Number], purchase_orders[[#This Row],[PO Number]])</f>
        <v>1</v>
      </c>
    </row>
    <row r="179" spans="1:8" x14ac:dyDescent="0.25">
      <c r="A179" t="s">
        <v>164</v>
      </c>
      <c r="B179" t="s">
        <v>1509</v>
      </c>
      <c r="C179" s="1">
        <v>46144</v>
      </c>
      <c r="D179">
        <v>371</v>
      </c>
      <c r="E179">
        <v>183.12</v>
      </c>
      <c r="F179" t="s">
        <v>1453</v>
      </c>
      <c r="G179" s="1">
        <v>46161</v>
      </c>
      <c r="H179">
        <f>COUNTIF(purchase_orders[PO Number], purchase_orders[[#This Row],[PO Number]])</f>
        <v>1</v>
      </c>
    </row>
    <row r="180" spans="1:8" x14ac:dyDescent="0.25">
      <c r="A180" t="s">
        <v>165</v>
      </c>
      <c r="B180" t="s">
        <v>1484</v>
      </c>
      <c r="C180" s="1">
        <v>46061</v>
      </c>
      <c r="D180">
        <v>263</v>
      </c>
      <c r="E180">
        <v>193.14</v>
      </c>
      <c r="F180" t="s">
        <v>1485</v>
      </c>
      <c r="G180" s="1">
        <v>46082</v>
      </c>
      <c r="H180">
        <f>COUNTIF(purchase_orders[PO Number], purchase_orders[[#This Row],[PO Number]])</f>
        <v>1</v>
      </c>
    </row>
    <row r="181" spans="1:8" x14ac:dyDescent="0.25">
      <c r="A181" t="s">
        <v>166</v>
      </c>
      <c r="B181" t="s">
        <v>1443</v>
      </c>
      <c r="C181" s="1">
        <v>46107</v>
      </c>
      <c r="D181">
        <v>455</v>
      </c>
      <c r="E181">
        <v>24.57</v>
      </c>
      <c r="F181" t="s">
        <v>1469</v>
      </c>
      <c r="G181" s="1">
        <v>46115</v>
      </c>
      <c r="H181">
        <f>COUNTIF(purchase_orders[PO Number], purchase_orders[[#This Row],[PO Number]])</f>
        <v>1</v>
      </c>
    </row>
    <row r="182" spans="1:8" x14ac:dyDescent="0.25">
      <c r="A182" t="s">
        <v>167</v>
      </c>
      <c r="B182" t="s">
        <v>1491</v>
      </c>
      <c r="C182" s="1">
        <v>46139</v>
      </c>
      <c r="D182">
        <v>17</v>
      </c>
      <c r="E182">
        <v>145.88</v>
      </c>
      <c r="F182" t="s">
        <v>1507</v>
      </c>
      <c r="G182" s="1">
        <v>46148</v>
      </c>
      <c r="H182">
        <f>COUNTIF(purchase_orders[PO Number], purchase_orders[[#This Row],[PO Number]])</f>
        <v>1</v>
      </c>
    </row>
    <row r="183" spans="1:8" x14ac:dyDescent="0.25">
      <c r="A183" t="s">
        <v>168</v>
      </c>
      <c r="B183" t="s">
        <v>1492</v>
      </c>
      <c r="C183" s="1">
        <v>46143</v>
      </c>
      <c r="D183">
        <v>410</v>
      </c>
      <c r="E183">
        <v>193.99</v>
      </c>
      <c r="F183" t="s">
        <v>1472</v>
      </c>
      <c r="G183" s="1">
        <v>46160</v>
      </c>
      <c r="H183">
        <f>COUNTIF(purchase_orders[PO Number], purchase_orders[[#This Row],[PO Number]])</f>
        <v>1</v>
      </c>
    </row>
    <row r="184" spans="1:8" x14ac:dyDescent="0.25">
      <c r="A184" t="s">
        <v>169</v>
      </c>
      <c r="B184" t="s">
        <v>1508</v>
      </c>
      <c r="C184" s="1">
        <v>46043</v>
      </c>
      <c r="D184">
        <v>446</v>
      </c>
      <c r="E184">
        <v>69.069999999999993</v>
      </c>
      <c r="F184" t="s">
        <v>1467</v>
      </c>
      <c r="G184" s="1">
        <v>46060</v>
      </c>
      <c r="H184">
        <f>COUNTIF(purchase_orders[PO Number], purchase_orders[[#This Row],[PO Number]])</f>
        <v>1</v>
      </c>
    </row>
    <row r="185" spans="1:8" x14ac:dyDescent="0.25">
      <c r="A185" t="s">
        <v>170</v>
      </c>
      <c r="B185" t="s">
        <v>1509</v>
      </c>
      <c r="C185" s="1">
        <v>46147</v>
      </c>
      <c r="D185">
        <v>456</v>
      </c>
      <c r="E185">
        <v>110.5</v>
      </c>
      <c r="F185" t="s">
        <v>1494</v>
      </c>
      <c r="G185" s="1">
        <v>46154</v>
      </c>
      <c r="H185">
        <f>COUNTIF(purchase_orders[PO Number], purchase_orders[[#This Row],[PO Number]])</f>
        <v>1</v>
      </c>
    </row>
    <row r="186" spans="1:8" x14ac:dyDescent="0.25">
      <c r="A186" t="s">
        <v>171</v>
      </c>
      <c r="B186" t="s">
        <v>1482</v>
      </c>
      <c r="C186" s="1">
        <v>46096</v>
      </c>
      <c r="D186">
        <v>126</v>
      </c>
      <c r="E186">
        <v>150.62</v>
      </c>
      <c r="F186" t="s">
        <v>1507</v>
      </c>
      <c r="G186" s="1">
        <v>46104</v>
      </c>
      <c r="H186">
        <f>COUNTIF(purchase_orders[PO Number], purchase_orders[[#This Row],[PO Number]])</f>
        <v>1</v>
      </c>
    </row>
    <row r="187" spans="1:8" x14ac:dyDescent="0.25">
      <c r="A187" t="s">
        <v>172</v>
      </c>
      <c r="B187" t="s">
        <v>1439</v>
      </c>
      <c r="C187" s="1">
        <v>46048</v>
      </c>
      <c r="D187">
        <v>237</v>
      </c>
      <c r="E187">
        <v>37.44</v>
      </c>
      <c r="F187" t="s">
        <v>1474</v>
      </c>
      <c r="G187" s="1">
        <v>46053</v>
      </c>
      <c r="H187">
        <f>COUNTIF(purchase_orders[PO Number], purchase_orders[[#This Row],[PO Number]])</f>
        <v>1</v>
      </c>
    </row>
    <row r="188" spans="1:8" x14ac:dyDescent="0.25">
      <c r="A188" t="s">
        <v>173</v>
      </c>
      <c r="B188" t="s">
        <v>1452</v>
      </c>
      <c r="C188" s="1">
        <v>46106</v>
      </c>
      <c r="D188">
        <v>417</v>
      </c>
      <c r="E188">
        <v>15.94</v>
      </c>
      <c r="F188" t="s">
        <v>1451</v>
      </c>
      <c r="G188" s="1">
        <v>46122</v>
      </c>
      <c r="H188">
        <f>COUNTIF(purchase_orders[PO Number], purchase_orders[[#This Row],[PO Number]])</f>
        <v>1</v>
      </c>
    </row>
    <row r="189" spans="1:8" x14ac:dyDescent="0.25">
      <c r="A189" t="s">
        <v>174</v>
      </c>
      <c r="B189" t="s">
        <v>1500</v>
      </c>
      <c r="C189" s="1">
        <v>46060</v>
      </c>
      <c r="D189">
        <v>135</v>
      </c>
      <c r="E189">
        <v>108.58</v>
      </c>
      <c r="F189" t="s">
        <v>1480</v>
      </c>
      <c r="G189" s="1">
        <v>46070</v>
      </c>
      <c r="H189">
        <f>COUNTIF(purchase_orders[PO Number], purchase_orders[[#This Row],[PO Number]])</f>
        <v>1</v>
      </c>
    </row>
    <row r="190" spans="1:8" x14ac:dyDescent="0.25">
      <c r="A190" t="s">
        <v>175</v>
      </c>
      <c r="B190" t="s">
        <v>1460</v>
      </c>
      <c r="C190" s="1">
        <v>46067</v>
      </c>
      <c r="D190">
        <v>50</v>
      </c>
      <c r="E190">
        <v>123.85</v>
      </c>
      <c r="F190" t="s">
        <v>1453</v>
      </c>
      <c r="G190" s="1">
        <v>46079</v>
      </c>
      <c r="H190">
        <f>COUNTIF(purchase_orders[PO Number], purchase_orders[[#This Row],[PO Number]])</f>
        <v>1</v>
      </c>
    </row>
    <row r="191" spans="1:8" x14ac:dyDescent="0.25">
      <c r="A191" t="s">
        <v>865</v>
      </c>
      <c r="B191" t="s">
        <v>1498</v>
      </c>
      <c r="C191" s="1">
        <v>46172</v>
      </c>
      <c r="D191">
        <v>83</v>
      </c>
      <c r="E191">
        <v>50.28</v>
      </c>
      <c r="F191" t="s">
        <v>1446</v>
      </c>
      <c r="G191" s="1">
        <v>46185</v>
      </c>
      <c r="H191">
        <f>COUNTIF(purchase_orders[PO Number], purchase_orders[[#This Row],[PO Number]])</f>
        <v>1</v>
      </c>
    </row>
    <row r="192" spans="1:8" x14ac:dyDescent="0.25">
      <c r="A192" t="s">
        <v>176</v>
      </c>
      <c r="B192" t="s">
        <v>1489</v>
      </c>
      <c r="C192" s="1">
        <v>46088</v>
      </c>
      <c r="D192">
        <v>351</v>
      </c>
      <c r="E192">
        <v>6.83</v>
      </c>
      <c r="F192" t="s">
        <v>1469</v>
      </c>
      <c r="G192" s="1">
        <v>46102</v>
      </c>
      <c r="H192">
        <f>COUNTIF(purchase_orders[PO Number], purchase_orders[[#This Row],[PO Number]])</f>
        <v>1</v>
      </c>
    </row>
    <row r="193" spans="1:8" x14ac:dyDescent="0.25">
      <c r="A193" t="s">
        <v>177</v>
      </c>
      <c r="B193" t="s">
        <v>1461</v>
      </c>
      <c r="C193" s="1">
        <v>46162</v>
      </c>
      <c r="D193">
        <v>90</v>
      </c>
      <c r="E193">
        <v>19.399999999999999</v>
      </c>
      <c r="F193" t="s">
        <v>1451</v>
      </c>
      <c r="G193" s="1">
        <v>46176</v>
      </c>
      <c r="H193">
        <f>COUNTIF(purchase_orders[PO Number], purchase_orders[[#This Row],[PO Number]])</f>
        <v>1</v>
      </c>
    </row>
    <row r="194" spans="1:8" x14ac:dyDescent="0.25">
      <c r="A194" t="s">
        <v>178</v>
      </c>
      <c r="B194" t="s">
        <v>1439</v>
      </c>
      <c r="C194" s="1">
        <v>46131</v>
      </c>
      <c r="D194">
        <v>363</v>
      </c>
      <c r="E194">
        <v>53.77</v>
      </c>
      <c r="F194" t="s">
        <v>1459</v>
      </c>
      <c r="G194" s="1">
        <v>46142</v>
      </c>
      <c r="H194">
        <f>COUNTIF(purchase_orders[PO Number], purchase_orders[[#This Row],[PO Number]])</f>
        <v>1</v>
      </c>
    </row>
    <row r="195" spans="1:8" x14ac:dyDescent="0.25">
      <c r="A195" t="s">
        <v>179</v>
      </c>
      <c r="B195" t="s">
        <v>1502</v>
      </c>
      <c r="C195" s="1">
        <v>46146</v>
      </c>
      <c r="D195">
        <v>64</v>
      </c>
      <c r="E195">
        <v>51.26</v>
      </c>
      <c r="F195" t="s">
        <v>1480</v>
      </c>
      <c r="G195" s="1">
        <v>46162</v>
      </c>
      <c r="H195">
        <f>COUNTIF(purchase_orders[PO Number], purchase_orders[[#This Row],[PO Number]])</f>
        <v>1</v>
      </c>
    </row>
    <row r="196" spans="1:8" x14ac:dyDescent="0.25">
      <c r="A196" t="s">
        <v>180</v>
      </c>
      <c r="B196" t="s">
        <v>1493</v>
      </c>
      <c r="C196" s="1">
        <v>46098</v>
      </c>
      <c r="D196">
        <v>368</v>
      </c>
      <c r="E196">
        <v>62.57</v>
      </c>
      <c r="F196" t="s">
        <v>1467</v>
      </c>
      <c r="G196" s="1">
        <v>46115</v>
      </c>
      <c r="H196">
        <f>COUNTIF(purchase_orders[PO Number], purchase_orders[[#This Row],[PO Number]])</f>
        <v>1</v>
      </c>
    </row>
    <row r="197" spans="1:8" x14ac:dyDescent="0.25">
      <c r="A197" t="s">
        <v>181</v>
      </c>
      <c r="B197" t="s">
        <v>1511</v>
      </c>
      <c r="C197" s="1">
        <v>46025</v>
      </c>
      <c r="D197">
        <v>299</v>
      </c>
      <c r="E197">
        <v>173.69</v>
      </c>
      <c r="F197" t="s">
        <v>1456</v>
      </c>
      <c r="G197" s="1">
        <v>46031</v>
      </c>
      <c r="H197">
        <f>COUNTIF(purchase_orders[PO Number], purchase_orders[[#This Row],[PO Number]])</f>
        <v>1</v>
      </c>
    </row>
    <row r="198" spans="1:8" x14ac:dyDescent="0.25">
      <c r="A198" t="s">
        <v>182</v>
      </c>
      <c r="B198" t="s">
        <v>1468</v>
      </c>
      <c r="C198" s="1">
        <v>46150</v>
      </c>
      <c r="D198">
        <v>436</v>
      </c>
      <c r="E198">
        <v>181.31</v>
      </c>
      <c r="F198" t="s">
        <v>1474</v>
      </c>
      <c r="G198" s="1">
        <v>46162</v>
      </c>
      <c r="H198">
        <f>COUNTIF(purchase_orders[PO Number], purchase_orders[[#This Row],[PO Number]])</f>
        <v>1</v>
      </c>
    </row>
    <row r="199" spans="1:8" x14ac:dyDescent="0.25">
      <c r="A199" t="s">
        <v>183</v>
      </c>
      <c r="B199" t="s">
        <v>1468</v>
      </c>
      <c r="C199" s="1">
        <v>46113</v>
      </c>
      <c r="D199">
        <v>122</v>
      </c>
      <c r="E199">
        <v>129.13999999999999</v>
      </c>
      <c r="F199" t="s">
        <v>1494</v>
      </c>
      <c r="G199" s="1">
        <v>46126</v>
      </c>
      <c r="H199">
        <f>COUNTIF(purchase_orders[PO Number], purchase_orders[[#This Row],[PO Number]])</f>
        <v>1</v>
      </c>
    </row>
    <row r="200" spans="1:8" x14ac:dyDescent="0.25">
      <c r="A200" t="s">
        <v>875</v>
      </c>
      <c r="B200" t="s">
        <v>1461</v>
      </c>
      <c r="C200" s="1">
        <v>46058</v>
      </c>
      <c r="D200">
        <v>331</v>
      </c>
      <c r="E200">
        <v>23.95</v>
      </c>
      <c r="F200" t="s">
        <v>1446</v>
      </c>
      <c r="G200" s="1">
        <v>46064</v>
      </c>
      <c r="H200">
        <f>COUNTIF(purchase_orders[PO Number], purchase_orders[[#This Row],[PO Number]])</f>
        <v>1</v>
      </c>
    </row>
    <row r="201" spans="1:8" x14ac:dyDescent="0.25">
      <c r="A201" t="s">
        <v>184</v>
      </c>
      <c r="B201" t="s">
        <v>1512</v>
      </c>
      <c r="C201" s="1">
        <v>46135</v>
      </c>
      <c r="D201">
        <v>27</v>
      </c>
      <c r="E201">
        <v>118.02</v>
      </c>
      <c r="F201" t="s">
        <v>1490</v>
      </c>
      <c r="G201" s="1">
        <v>46144</v>
      </c>
      <c r="H201">
        <f>COUNTIF(purchase_orders[PO Number], purchase_orders[[#This Row],[PO Number]])</f>
        <v>1</v>
      </c>
    </row>
    <row r="202" spans="1:8" x14ac:dyDescent="0.25">
      <c r="A202" t="s">
        <v>185</v>
      </c>
      <c r="B202" t="s">
        <v>1457</v>
      </c>
      <c r="C202" s="1">
        <v>46098</v>
      </c>
      <c r="D202">
        <v>177</v>
      </c>
      <c r="E202">
        <v>150.76</v>
      </c>
      <c r="F202" t="s">
        <v>1501</v>
      </c>
      <c r="G202" s="1">
        <v>46109</v>
      </c>
      <c r="H202">
        <f>COUNTIF(purchase_orders[PO Number], purchase_orders[[#This Row],[PO Number]])</f>
        <v>1</v>
      </c>
    </row>
    <row r="203" spans="1:8" x14ac:dyDescent="0.25">
      <c r="A203" t="s">
        <v>186</v>
      </c>
      <c r="B203" t="s">
        <v>1441</v>
      </c>
      <c r="C203" s="1">
        <v>46161</v>
      </c>
      <c r="D203">
        <v>458</v>
      </c>
      <c r="E203">
        <v>194.44</v>
      </c>
      <c r="F203" t="s">
        <v>1504</v>
      </c>
      <c r="G203" s="1">
        <v>46182</v>
      </c>
      <c r="H203">
        <f>COUNTIF(purchase_orders[PO Number], purchase_orders[[#This Row],[PO Number]])</f>
        <v>1</v>
      </c>
    </row>
    <row r="204" spans="1:8" x14ac:dyDescent="0.25">
      <c r="A204" t="s">
        <v>187</v>
      </c>
      <c r="B204" t="s">
        <v>1511</v>
      </c>
      <c r="C204" s="1">
        <v>46065</v>
      </c>
      <c r="D204">
        <v>141</v>
      </c>
      <c r="E204">
        <v>183.24</v>
      </c>
      <c r="F204" t="s">
        <v>1487</v>
      </c>
      <c r="G204" s="1">
        <v>46079</v>
      </c>
      <c r="H204">
        <f>COUNTIF(purchase_orders[PO Number], purchase_orders[[#This Row],[PO Number]])</f>
        <v>1</v>
      </c>
    </row>
    <row r="205" spans="1:8" x14ac:dyDescent="0.25">
      <c r="A205" t="s">
        <v>188</v>
      </c>
      <c r="B205" t="s">
        <v>1465</v>
      </c>
      <c r="C205" s="1">
        <v>46109</v>
      </c>
      <c r="D205">
        <v>421</v>
      </c>
      <c r="E205">
        <v>27.46</v>
      </c>
      <c r="F205" t="s">
        <v>1476</v>
      </c>
      <c r="G205" s="1">
        <v>46118</v>
      </c>
      <c r="H205">
        <f>COUNTIF(purchase_orders[PO Number], purchase_orders[[#This Row],[PO Number]])</f>
        <v>1</v>
      </c>
    </row>
    <row r="206" spans="1:8" x14ac:dyDescent="0.25">
      <c r="A206" t="s">
        <v>189</v>
      </c>
      <c r="B206" t="s">
        <v>1447</v>
      </c>
      <c r="C206" s="1">
        <v>46124</v>
      </c>
      <c r="D206">
        <v>443</v>
      </c>
      <c r="E206">
        <v>161.88999999999999</v>
      </c>
      <c r="F206" t="s">
        <v>1451</v>
      </c>
      <c r="G206" s="1">
        <v>46131</v>
      </c>
      <c r="H206">
        <f>COUNTIF(purchase_orders[PO Number], purchase_orders[[#This Row],[PO Number]])</f>
        <v>1</v>
      </c>
    </row>
    <row r="207" spans="1:8" x14ac:dyDescent="0.25">
      <c r="A207" t="s">
        <v>190</v>
      </c>
      <c r="B207" t="s">
        <v>1488</v>
      </c>
      <c r="C207" s="1">
        <v>46026</v>
      </c>
      <c r="D207">
        <v>145</v>
      </c>
      <c r="E207">
        <v>109.63</v>
      </c>
      <c r="F207" t="s">
        <v>1469</v>
      </c>
      <c r="G207" s="1">
        <v>46042</v>
      </c>
      <c r="H207">
        <f>COUNTIF(purchase_orders[PO Number], purchase_orders[[#This Row],[PO Number]])</f>
        <v>1</v>
      </c>
    </row>
    <row r="208" spans="1:8" x14ac:dyDescent="0.25">
      <c r="A208" t="s">
        <v>191</v>
      </c>
      <c r="B208" t="s">
        <v>1461</v>
      </c>
      <c r="C208" s="1">
        <v>46090</v>
      </c>
      <c r="D208">
        <v>309</v>
      </c>
      <c r="E208">
        <v>79.3</v>
      </c>
      <c r="F208" t="s">
        <v>1446</v>
      </c>
      <c r="G208" s="1">
        <v>46106</v>
      </c>
      <c r="H208">
        <f>COUNTIF(purchase_orders[PO Number], purchase_orders[[#This Row],[PO Number]])</f>
        <v>1</v>
      </c>
    </row>
    <row r="209" spans="1:8" x14ac:dyDescent="0.25">
      <c r="A209" t="s">
        <v>192</v>
      </c>
      <c r="B209" t="s">
        <v>1450</v>
      </c>
      <c r="C209" s="1">
        <v>46082</v>
      </c>
      <c r="D209">
        <v>251</v>
      </c>
      <c r="E209">
        <v>9.8800000000000008</v>
      </c>
      <c r="F209" t="s">
        <v>1442</v>
      </c>
      <c r="G209" s="1">
        <v>46097</v>
      </c>
      <c r="H209">
        <f>COUNTIF(purchase_orders[PO Number], purchase_orders[[#This Row],[PO Number]])</f>
        <v>1</v>
      </c>
    </row>
    <row r="210" spans="1:8" x14ac:dyDescent="0.25">
      <c r="A210" t="s">
        <v>193</v>
      </c>
      <c r="B210" t="s">
        <v>1497</v>
      </c>
      <c r="C210" s="1">
        <v>46079</v>
      </c>
      <c r="D210">
        <v>341</v>
      </c>
      <c r="E210">
        <v>17.329999999999998</v>
      </c>
      <c r="F210" t="s">
        <v>1469</v>
      </c>
      <c r="G210" s="1">
        <v>46093</v>
      </c>
      <c r="H210">
        <f>COUNTIF(purchase_orders[PO Number], purchase_orders[[#This Row],[PO Number]])</f>
        <v>1</v>
      </c>
    </row>
    <row r="211" spans="1:8" x14ac:dyDescent="0.25">
      <c r="A211" t="s">
        <v>194</v>
      </c>
      <c r="B211" t="s">
        <v>1508</v>
      </c>
      <c r="C211" s="1">
        <v>46127</v>
      </c>
      <c r="D211">
        <v>69</v>
      </c>
      <c r="E211">
        <v>32.26</v>
      </c>
      <c r="F211" t="s">
        <v>1462</v>
      </c>
      <c r="G211" s="1">
        <v>46141</v>
      </c>
      <c r="H211">
        <f>COUNTIF(purchase_orders[PO Number], purchase_orders[[#This Row],[PO Number]])</f>
        <v>1</v>
      </c>
    </row>
    <row r="212" spans="1:8" x14ac:dyDescent="0.25">
      <c r="A212" t="s">
        <v>195</v>
      </c>
      <c r="B212" t="s">
        <v>1498</v>
      </c>
      <c r="C212" s="1">
        <v>46052</v>
      </c>
      <c r="D212">
        <v>59</v>
      </c>
      <c r="E212">
        <v>50.79</v>
      </c>
      <c r="F212" t="s">
        <v>1442</v>
      </c>
      <c r="G212" s="1">
        <v>46061</v>
      </c>
      <c r="H212">
        <f>COUNTIF(purchase_orders[PO Number], purchase_orders[[#This Row],[PO Number]])</f>
        <v>1</v>
      </c>
    </row>
    <row r="213" spans="1:8" x14ac:dyDescent="0.25">
      <c r="A213" t="s">
        <v>196</v>
      </c>
      <c r="B213" t="s">
        <v>1502</v>
      </c>
      <c r="C213" s="1">
        <v>46139</v>
      </c>
      <c r="D213">
        <v>199</v>
      </c>
      <c r="E213">
        <v>135.74</v>
      </c>
      <c r="F213" t="s">
        <v>1490</v>
      </c>
      <c r="G213" s="1">
        <v>46157</v>
      </c>
      <c r="H213">
        <f>COUNTIF(purchase_orders[PO Number], purchase_orders[[#This Row],[PO Number]])</f>
        <v>1</v>
      </c>
    </row>
    <row r="214" spans="1:8" x14ac:dyDescent="0.25">
      <c r="A214" t="s">
        <v>197</v>
      </c>
      <c r="B214" t="s">
        <v>1443</v>
      </c>
      <c r="C214" s="1">
        <v>46062</v>
      </c>
      <c r="D214">
        <v>463</v>
      </c>
      <c r="E214">
        <v>85.9</v>
      </c>
      <c r="F214" t="s">
        <v>1483</v>
      </c>
      <c r="G214" s="1">
        <v>46082</v>
      </c>
      <c r="H214">
        <f>COUNTIF(purchase_orders[PO Number], purchase_orders[[#This Row],[PO Number]])</f>
        <v>1</v>
      </c>
    </row>
    <row r="215" spans="1:8" x14ac:dyDescent="0.25">
      <c r="A215" t="s">
        <v>198</v>
      </c>
      <c r="B215" t="s">
        <v>1497</v>
      </c>
      <c r="C215" s="1">
        <v>46127</v>
      </c>
      <c r="D215">
        <v>490</v>
      </c>
      <c r="E215">
        <v>190.55</v>
      </c>
      <c r="F215" t="s">
        <v>1462</v>
      </c>
      <c r="G215" s="1">
        <v>46143</v>
      </c>
      <c r="H215">
        <f>COUNTIF(purchase_orders[PO Number], purchase_orders[[#This Row],[PO Number]])</f>
        <v>1</v>
      </c>
    </row>
    <row r="216" spans="1:8" x14ac:dyDescent="0.25">
      <c r="A216" t="s">
        <v>892</v>
      </c>
      <c r="B216" t="s">
        <v>1463</v>
      </c>
      <c r="C216" s="1">
        <v>46136</v>
      </c>
      <c r="D216">
        <v>237</v>
      </c>
      <c r="E216">
        <v>190.36</v>
      </c>
      <c r="F216" t="s">
        <v>1451</v>
      </c>
      <c r="G216" s="1">
        <v>46144</v>
      </c>
      <c r="H216">
        <f>COUNTIF(purchase_orders[PO Number], purchase_orders[[#This Row],[PO Number]])</f>
        <v>1</v>
      </c>
    </row>
    <row r="217" spans="1:8" x14ac:dyDescent="0.25">
      <c r="A217" t="s">
        <v>199</v>
      </c>
      <c r="B217" t="s">
        <v>1461</v>
      </c>
      <c r="C217" s="1">
        <v>46117</v>
      </c>
      <c r="D217">
        <v>288</v>
      </c>
      <c r="E217">
        <v>180.83</v>
      </c>
      <c r="F217" t="s">
        <v>1446</v>
      </c>
      <c r="G217" s="1">
        <v>46133</v>
      </c>
      <c r="H217">
        <f>COUNTIF(purchase_orders[PO Number], purchase_orders[[#This Row],[PO Number]])</f>
        <v>1</v>
      </c>
    </row>
    <row r="218" spans="1:8" x14ac:dyDescent="0.25">
      <c r="A218" t="s">
        <v>200</v>
      </c>
      <c r="B218" t="s">
        <v>1475</v>
      </c>
      <c r="C218" s="1">
        <v>46124</v>
      </c>
      <c r="D218">
        <v>151</v>
      </c>
      <c r="E218">
        <v>42.01</v>
      </c>
      <c r="F218" t="s">
        <v>1483</v>
      </c>
      <c r="G218" s="1">
        <v>46143</v>
      </c>
      <c r="H218">
        <f>COUNTIF(purchase_orders[PO Number], purchase_orders[[#This Row],[PO Number]])</f>
        <v>1</v>
      </c>
    </row>
    <row r="219" spans="1:8" x14ac:dyDescent="0.25">
      <c r="A219" t="s">
        <v>201</v>
      </c>
      <c r="B219" t="s">
        <v>1457</v>
      </c>
      <c r="C219" s="1">
        <v>46077</v>
      </c>
      <c r="D219">
        <v>338</v>
      </c>
      <c r="E219">
        <v>129.69999999999999</v>
      </c>
      <c r="F219" t="s">
        <v>1448</v>
      </c>
      <c r="G219" s="1">
        <v>46083</v>
      </c>
      <c r="H219">
        <f>COUNTIF(purchase_orders[PO Number], purchase_orders[[#This Row],[PO Number]])</f>
        <v>1</v>
      </c>
    </row>
    <row r="220" spans="1:8" x14ac:dyDescent="0.25">
      <c r="A220" t="s">
        <v>202</v>
      </c>
      <c r="B220" t="s">
        <v>1479</v>
      </c>
      <c r="C220" s="1">
        <v>46085</v>
      </c>
      <c r="D220">
        <v>74</v>
      </c>
      <c r="E220">
        <v>158.46</v>
      </c>
      <c r="F220" t="s">
        <v>1444</v>
      </c>
      <c r="G220" s="1">
        <v>46092</v>
      </c>
      <c r="H220">
        <f>COUNTIF(purchase_orders[PO Number], purchase_orders[[#This Row],[PO Number]])</f>
        <v>1</v>
      </c>
    </row>
    <row r="221" spans="1:8" x14ac:dyDescent="0.25">
      <c r="A221" t="s">
        <v>203</v>
      </c>
      <c r="B221" t="s">
        <v>1454</v>
      </c>
      <c r="C221" s="1">
        <v>46076</v>
      </c>
      <c r="D221">
        <v>310</v>
      </c>
      <c r="E221">
        <v>47.11</v>
      </c>
      <c r="F221" t="s">
        <v>1440</v>
      </c>
      <c r="G221" s="1">
        <v>46091</v>
      </c>
      <c r="H221">
        <f>COUNTIF(purchase_orders[PO Number], purchase_orders[[#This Row],[PO Number]])</f>
        <v>1</v>
      </c>
    </row>
    <row r="222" spans="1:8" x14ac:dyDescent="0.25">
      <c r="A222" t="s">
        <v>204</v>
      </c>
      <c r="B222" t="s">
        <v>1464</v>
      </c>
      <c r="C222" s="1">
        <v>46023</v>
      </c>
      <c r="D222">
        <v>151</v>
      </c>
      <c r="E222">
        <v>172.39</v>
      </c>
      <c r="F222" t="s">
        <v>1485</v>
      </c>
      <c r="G222" s="1">
        <v>46032</v>
      </c>
      <c r="H222">
        <f>COUNTIF(purchase_orders[PO Number], purchase_orders[[#This Row],[PO Number]])</f>
        <v>1</v>
      </c>
    </row>
    <row r="223" spans="1:8" x14ac:dyDescent="0.25">
      <c r="A223" t="s">
        <v>900</v>
      </c>
      <c r="B223" t="s">
        <v>1471</v>
      </c>
      <c r="C223" s="1">
        <v>46087</v>
      </c>
      <c r="D223">
        <v>418</v>
      </c>
      <c r="E223">
        <v>39.03</v>
      </c>
      <c r="F223" t="s">
        <v>1467</v>
      </c>
      <c r="G223" s="1">
        <v>46092</v>
      </c>
      <c r="H223">
        <f>COUNTIF(purchase_orders[PO Number], purchase_orders[[#This Row],[PO Number]])</f>
        <v>1</v>
      </c>
    </row>
    <row r="224" spans="1:8" x14ac:dyDescent="0.25">
      <c r="A224" t="s">
        <v>205</v>
      </c>
      <c r="B224" t="s">
        <v>1441</v>
      </c>
      <c r="C224" s="1">
        <v>46026</v>
      </c>
      <c r="D224">
        <v>193</v>
      </c>
      <c r="E224">
        <v>159.05000000000001</v>
      </c>
      <c r="F224" t="s">
        <v>1440</v>
      </c>
      <c r="G224" s="1">
        <v>46041</v>
      </c>
      <c r="H224">
        <f>COUNTIF(purchase_orders[PO Number], purchase_orders[[#This Row],[PO Number]])</f>
        <v>1</v>
      </c>
    </row>
    <row r="225" spans="1:8" x14ac:dyDescent="0.25">
      <c r="A225" t="s">
        <v>206</v>
      </c>
      <c r="B225" t="s">
        <v>1473</v>
      </c>
      <c r="C225" s="1">
        <v>46067</v>
      </c>
      <c r="D225">
        <v>145</v>
      </c>
      <c r="E225">
        <v>15.22</v>
      </c>
      <c r="F225" t="s">
        <v>1490</v>
      </c>
      <c r="G225" s="1">
        <v>46085</v>
      </c>
      <c r="H225">
        <f>COUNTIF(purchase_orders[PO Number], purchase_orders[[#This Row],[PO Number]])</f>
        <v>1</v>
      </c>
    </row>
    <row r="226" spans="1:8" x14ac:dyDescent="0.25">
      <c r="A226" t="s">
        <v>207</v>
      </c>
      <c r="B226" t="s">
        <v>1491</v>
      </c>
      <c r="C226" s="1">
        <v>46052</v>
      </c>
      <c r="D226">
        <v>391</v>
      </c>
      <c r="E226">
        <v>17.39</v>
      </c>
      <c r="F226" t="s">
        <v>1469</v>
      </c>
      <c r="G226" s="1">
        <v>46068</v>
      </c>
      <c r="H226">
        <f>COUNTIF(purchase_orders[PO Number], purchase_orders[[#This Row],[PO Number]])</f>
        <v>1</v>
      </c>
    </row>
    <row r="227" spans="1:8" x14ac:dyDescent="0.25">
      <c r="A227" t="s">
        <v>208</v>
      </c>
      <c r="B227" t="s">
        <v>1445</v>
      </c>
      <c r="C227" s="1">
        <v>46050</v>
      </c>
      <c r="D227">
        <v>241</v>
      </c>
      <c r="E227">
        <v>103.25</v>
      </c>
      <c r="F227" t="s">
        <v>1494</v>
      </c>
      <c r="G227" s="1">
        <v>46056</v>
      </c>
      <c r="H227">
        <f>COUNTIF(purchase_orders[PO Number], purchase_orders[[#This Row],[PO Number]])</f>
        <v>1</v>
      </c>
    </row>
    <row r="228" spans="1:8" x14ac:dyDescent="0.25">
      <c r="A228" t="s">
        <v>209</v>
      </c>
      <c r="B228" t="s">
        <v>1477</v>
      </c>
      <c r="C228" s="1">
        <v>46156</v>
      </c>
      <c r="D228">
        <v>164</v>
      </c>
      <c r="E228">
        <v>94.32</v>
      </c>
      <c r="F228" t="s">
        <v>1448</v>
      </c>
      <c r="G228" s="1">
        <v>46162</v>
      </c>
      <c r="H228">
        <f>COUNTIF(purchase_orders[PO Number], purchase_orders[[#This Row],[PO Number]])</f>
        <v>1</v>
      </c>
    </row>
    <row r="229" spans="1:8" x14ac:dyDescent="0.25">
      <c r="A229" t="s">
        <v>210</v>
      </c>
      <c r="B229" t="s">
        <v>1510</v>
      </c>
      <c r="C229" s="1">
        <v>46125</v>
      </c>
      <c r="D229">
        <v>228</v>
      </c>
      <c r="E229">
        <v>138.79</v>
      </c>
      <c r="F229" t="s">
        <v>1487</v>
      </c>
      <c r="G229" s="1">
        <v>46144</v>
      </c>
      <c r="H229">
        <f>COUNTIF(purchase_orders[PO Number], purchase_orders[[#This Row],[PO Number]])</f>
        <v>1</v>
      </c>
    </row>
    <row r="230" spans="1:8" x14ac:dyDescent="0.25">
      <c r="A230" t="s">
        <v>211</v>
      </c>
      <c r="B230" t="s">
        <v>1492</v>
      </c>
      <c r="C230" s="1">
        <v>46043</v>
      </c>
      <c r="D230">
        <v>174</v>
      </c>
      <c r="E230">
        <v>123.62</v>
      </c>
      <c r="F230" t="s">
        <v>1476</v>
      </c>
      <c r="G230" s="1">
        <v>46052</v>
      </c>
      <c r="H230">
        <f>COUNTIF(purchase_orders[PO Number], purchase_orders[[#This Row],[PO Number]])</f>
        <v>1</v>
      </c>
    </row>
    <row r="231" spans="1:8" x14ac:dyDescent="0.25">
      <c r="A231" t="s">
        <v>212</v>
      </c>
      <c r="B231" t="s">
        <v>1511</v>
      </c>
      <c r="C231" s="1">
        <v>46172</v>
      </c>
      <c r="D231">
        <v>290</v>
      </c>
      <c r="E231">
        <v>143.87</v>
      </c>
      <c r="F231" t="s">
        <v>1453</v>
      </c>
      <c r="G231" s="1">
        <v>46193</v>
      </c>
      <c r="H231">
        <f>COUNTIF(purchase_orders[PO Number], purchase_orders[[#This Row],[PO Number]])</f>
        <v>1</v>
      </c>
    </row>
    <row r="232" spans="1:8" x14ac:dyDescent="0.25">
      <c r="A232" t="s">
        <v>213</v>
      </c>
      <c r="B232" t="s">
        <v>1506</v>
      </c>
      <c r="C232" s="1">
        <v>46139</v>
      </c>
      <c r="D232">
        <v>268</v>
      </c>
      <c r="E232">
        <v>123.06</v>
      </c>
      <c r="F232" t="s">
        <v>1483</v>
      </c>
      <c r="G232" s="1">
        <v>46147</v>
      </c>
      <c r="H232">
        <f>COUNTIF(purchase_orders[PO Number], purchase_orders[[#This Row],[PO Number]])</f>
        <v>1</v>
      </c>
    </row>
    <row r="233" spans="1:8" x14ac:dyDescent="0.25">
      <c r="A233" t="s">
        <v>214</v>
      </c>
      <c r="B233" t="s">
        <v>1508</v>
      </c>
      <c r="C233" s="1">
        <v>46164</v>
      </c>
      <c r="D233">
        <v>379</v>
      </c>
      <c r="E233">
        <v>173.77</v>
      </c>
      <c r="F233" t="s">
        <v>1507</v>
      </c>
      <c r="G233" s="1">
        <v>46183</v>
      </c>
      <c r="H233">
        <f>COUNTIF(purchase_orders[PO Number], purchase_orders[[#This Row],[PO Number]])</f>
        <v>1</v>
      </c>
    </row>
    <row r="234" spans="1:8" x14ac:dyDescent="0.25">
      <c r="A234" t="s">
        <v>215</v>
      </c>
      <c r="B234" t="s">
        <v>1447</v>
      </c>
      <c r="C234" s="1">
        <v>46128</v>
      </c>
      <c r="D234">
        <v>183</v>
      </c>
      <c r="E234">
        <v>166.35</v>
      </c>
      <c r="F234" t="s">
        <v>1453</v>
      </c>
      <c r="G234" s="1">
        <v>46146</v>
      </c>
      <c r="H234">
        <f>COUNTIF(purchase_orders[PO Number], purchase_orders[[#This Row],[PO Number]])</f>
        <v>1</v>
      </c>
    </row>
    <row r="235" spans="1:8" x14ac:dyDescent="0.25">
      <c r="A235" t="s">
        <v>216</v>
      </c>
      <c r="B235" t="s">
        <v>1477</v>
      </c>
      <c r="C235" s="1">
        <v>46047</v>
      </c>
      <c r="D235">
        <v>170</v>
      </c>
      <c r="E235">
        <v>88.22</v>
      </c>
      <c r="F235" t="s">
        <v>1459</v>
      </c>
      <c r="G235" s="1">
        <v>46060</v>
      </c>
      <c r="H235">
        <f>COUNTIF(purchase_orders[PO Number], purchase_orders[[#This Row],[PO Number]])</f>
        <v>1</v>
      </c>
    </row>
    <row r="236" spans="1:8" x14ac:dyDescent="0.25">
      <c r="A236" t="s">
        <v>217</v>
      </c>
      <c r="B236" t="s">
        <v>1496</v>
      </c>
      <c r="C236" s="1">
        <v>46062</v>
      </c>
      <c r="D236">
        <v>361</v>
      </c>
      <c r="E236">
        <v>184.98</v>
      </c>
      <c r="F236" t="s">
        <v>1476</v>
      </c>
      <c r="G236" s="1">
        <v>46069</v>
      </c>
      <c r="H236">
        <f>COUNTIF(purchase_orders[PO Number], purchase_orders[[#This Row],[PO Number]])</f>
        <v>1</v>
      </c>
    </row>
    <row r="237" spans="1:8" x14ac:dyDescent="0.25">
      <c r="A237" t="s">
        <v>218</v>
      </c>
      <c r="B237" t="s">
        <v>1457</v>
      </c>
      <c r="C237" s="1">
        <v>46046</v>
      </c>
      <c r="D237">
        <v>231</v>
      </c>
      <c r="E237">
        <v>23.83</v>
      </c>
      <c r="F237" t="s">
        <v>1490</v>
      </c>
      <c r="G237" s="1">
        <v>46062</v>
      </c>
      <c r="H237">
        <f>COUNTIF(purchase_orders[PO Number], purchase_orders[[#This Row],[PO Number]])</f>
        <v>1</v>
      </c>
    </row>
    <row r="238" spans="1:8" x14ac:dyDescent="0.25">
      <c r="A238" t="s">
        <v>219</v>
      </c>
      <c r="B238" t="s">
        <v>1441</v>
      </c>
      <c r="C238" s="1">
        <v>46165</v>
      </c>
      <c r="D238">
        <v>40</v>
      </c>
      <c r="E238">
        <v>119.36</v>
      </c>
      <c r="F238" t="s">
        <v>1442</v>
      </c>
      <c r="G238" s="1">
        <v>46180</v>
      </c>
      <c r="H238">
        <f>COUNTIF(purchase_orders[PO Number], purchase_orders[[#This Row],[PO Number]])</f>
        <v>1</v>
      </c>
    </row>
    <row r="239" spans="1:8" x14ac:dyDescent="0.25">
      <c r="A239" t="s">
        <v>220</v>
      </c>
      <c r="B239" t="s">
        <v>1484</v>
      </c>
      <c r="C239" s="1">
        <v>46054</v>
      </c>
      <c r="D239">
        <v>220</v>
      </c>
      <c r="E239">
        <v>73.95</v>
      </c>
      <c r="F239" t="s">
        <v>1467</v>
      </c>
      <c r="G239" s="1">
        <v>46072</v>
      </c>
      <c r="H239">
        <f>COUNTIF(purchase_orders[PO Number], purchase_orders[[#This Row],[PO Number]])</f>
        <v>1</v>
      </c>
    </row>
    <row r="240" spans="1:8" x14ac:dyDescent="0.25">
      <c r="A240" t="s">
        <v>221</v>
      </c>
      <c r="B240" t="s">
        <v>1477</v>
      </c>
      <c r="C240" s="1">
        <v>46036</v>
      </c>
      <c r="D240">
        <v>157</v>
      </c>
      <c r="E240">
        <v>122.08</v>
      </c>
      <c r="F240" t="s">
        <v>1451</v>
      </c>
      <c r="G240" s="1">
        <v>46044</v>
      </c>
      <c r="H240">
        <f>COUNTIF(purchase_orders[PO Number], purchase_orders[[#This Row],[PO Number]])</f>
        <v>1</v>
      </c>
    </row>
    <row r="241" spans="1:8" x14ac:dyDescent="0.25">
      <c r="A241" t="s">
        <v>222</v>
      </c>
      <c r="B241" t="s">
        <v>1493</v>
      </c>
      <c r="C241" s="1">
        <v>46152</v>
      </c>
      <c r="D241">
        <v>118</v>
      </c>
      <c r="E241">
        <v>35.17</v>
      </c>
      <c r="F241" t="s">
        <v>1487</v>
      </c>
      <c r="G241" s="1">
        <v>46164</v>
      </c>
      <c r="H241">
        <f>COUNTIF(purchase_orders[PO Number], purchase_orders[[#This Row],[PO Number]])</f>
        <v>1</v>
      </c>
    </row>
    <row r="242" spans="1:8" x14ac:dyDescent="0.25">
      <c r="A242" t="s">
        <v>223</v>
      </c>
      <c r="B242" t="s">
        <v>1450</v>
      </c>
      <c r="C242" s="1">
        <v>46112</v>
      </c>
      <c r="D242">
        <v>442</v>
      </c>
      <c r="E242">
        <v>113.47</v>
      </c>
      <c r="F242" t="s">
        <v>1483</v>
      </c>
      <c r="G242" s="1">
        <v>46125</v>
      </c>
      <c r="H242">
        <f>COUNTIF(purchase_orders[PO Number], purchase_orders[[#This Row],[PO Number]])</f>
        <v>1</v>
      </c>
    </row>
    <row r="243" spans="1:8" x14ac:dyDescent="0.25">
      <c r="A243" t="s">
        <v>224</v>
      </c>
      <c r="B243" t="s">
        <v>1493</v>
      </c>
      <c r="C243" s="1">
        <v>46080</v>
      </c>
      <c r="D243">
        <v>423</v>
      </c>
      <c r="E243">
        <v>88.68</v>
      </c>
      <c r="F243" t="s">
        <v>1442</v>
      </c>
      <c r="G243" s="1">
        <v>46085</v>
      </c>
      <c r="H243">
        <f>COUNTIF(purchase_orders[PO Number], purchase_orders[[#This Row],[PO Number]])</f>
        <v>1</v>
      </c>
    </row>
    <row r="244" spans="1:8" x14ac:dyDescent="0.25">
      <c r="A244" t="s">
        <v>225</v>
      </c>
      <c r="B244" t="s">
        <v>1468</v>
      </c>
      <c r="C244" s="1">
        <v>46091</v>
      </c>
      <c r="D244">
        <v>24</v>
      </c>
      <c r="E244">
        <v>40.18</v>
      </c>
      <c r="F244" t="s">
        <v>1499</v>
      </c>
      <c r="G244" s="1">
        <v>46105</v>
      </c>
      <c r="H244">
        <f>COUNTIF(purchase_orders[PO Number], purchase_orders[[#This Row],[PO Number]])</f>
        <v>1</v>
      </c>
    </row>
    <row r="245" spans="1:8" x14ac:dyDescent="0.25">
      <c r="A245" t="s">
        <v>926</v>
      </c>
      <c r="B245" t="s">
        <v>1479</v>
      </c>
      <c r="C245" s="1">
        <v>46112</v>
      </c>
      <c r="D245">
        <v>13</v>
      </c>
      <c r="E245">
        <v>40.369999999999997</v>
      </c>
      <c r="F245" t="s">
        <v>1485</v>
      </c>
      <c r="G245" s="1">
        <v>46129</v>
      </c>
      <c r="H245">
        <f>COUNTIF(purchase_orders[PO Number], purchase_orders[[#This Row],[PO Number]])</f>
        <v>1</v>
      </c>
    </row>
    <row r="246" spans="1:8" x14ac:dyDescent="0.25">
      <c r="A246" t="s">
        <v>226</v>
      </c>
      <c r="B246" t="s">
        <v>1492</v>
      </c>
      <c r="C246" s="1">
        <v>46059</v>
      </c>
      <c r="D246">
        <v>389</v>
      </c>
      <c r="E246">
        <v>128.47</v>
      </c>
      <c r="F246" t="s">
        <v>1448</v>
      </c>
      <c r="G246" s="1">
        <v>46066</v>
      </c>
      <c r="H246">
        <f>COUNTIF(purchase_orders[PO Number], purchase_orders[[#This Row],[PO Number]])</f>
        <v>1</v>
      </c>
    </row>
    <row r="247" spans="1:8" x14ac:dyDescent="0.25">
      <c r="A247" t="s">
        <v>227</v>
      </c>
      <c r="B247" t="s">
        <v>1465</v>
      </c>
      <c r="C247" s="1">
        <v>46158</v>
      </c>
      <c r="D247">
        <v>120</v>
      </c>
      <c r="E247">
        <v>78.36</v>
      </c>
      <c r="F247" t="s">
        <v>1469</v>
      </c>
      <c r="G247" s="1">
        <v>46173</v>
      </c>
      <c r="H247">
        <f>COUNTIF(purchase_orders[PO Number], purchase_orders[[#This Row],[PO Number]])</f>
        <v>1</v>
      </c>
    </row>
    <row r="248" spans="1:8" x14ac:dyDescent="0.25">
      <c r="A248" t="s">
        <v>228</v>
      </c>
      <c r="B248" t="s">
        <v>1460</v>
      </c>
      <c r="C248" s="1">
        <v>46117</v>
      </c>
      <c r="D248">
        <v>169</v>
      </c>
      <c r="E248">
        <v>145.71</v>
      </c>
      <c r="F248" t="s">
        <v>1456</v>
      </c>
      <c r="G248" s="1">
        <v>46124</v>
      </c>
      <c r="H248">
        <f>COUNTIF(purchase_orders[PO Number], purchase_orders[[#This Row],[PO Number]])</f>
        <v>1</v>
      </c>
    </row>
    <row r="249" spans="1:8" x14ac:dyDescent="0.25">
      <c r="A249" t="s">
        <v>229</v>
      </c>
      <c r="B249" t="s">
        <v>1475</v>
      </c>
      <c r="C249" s="1">
        <v>46062</v>
      </c>
      <c r="D249">
        <v>90</v>
      </c>
      <c r="E249">
        <v>152.11000000000001</v>
      </c>
      <c r="F249" t="s">
        <v>1462</v>
      </c>
      <c r="G249" s="1">
        <v>46069</v>
      </c>
      <c r="H249">
        <f>COUNTIF(purchase_orders[PO Number], purchase_orders[[#This Row],[PO Number]])</f>
        <v>1</v>
      </c>
    </row>
    <row r="250" spans="1:8" x14ac:dyDescent="0.25">
      <c r="A250" t="s">
        <v>230</v>
      </c>
      <c r="B250" t="s">
        <v>1511</v>
      </c>
      <c r="C250" s="1">
        <v>46136</v>
      </c>
      <c r="D250">
        <v>348</v>
      </c>
      <c r="E250">
        <v>87.68</v>
      </c>
      <c r="F250" t="s">
        <v>1494</v>
      </c>
      <c r="G250" s="1">
        <v>46155</v>
      </c>
      <c r="H250">
        <f>COUNTIF(purchase_orders[PO Number], purchase_orders[[#This Row],[PO Number]])</f>
        <v>1</v>
      </c>
    </row>
    <row r="251" spans="1:8" x14ac:dyDescent="0.25">
      <c r="A251" t="s">
        <v>231</v>
      </c>
      <c r="B251" t="s">
        <v>1495</v>
      </c>
      <c r="C251" s="1">
        <v>46092</v>
      </c>
      <c r="D251">
        <v>120</v>
      </c>
      <c r="E251">
        <v>152.21</v>
      </c>
      <c r="F251" t="s">
        <v>1483</v>
      </c>
      <c r="G251" s="1">
        <v>46108</v>
      </c>
      <c r="H251">
        <f>COUNTIF(purchase_orders[PO Number], purchase_orders[[#This Row],[PO Number]])</f>
        <v>1</v>
      </c>
    </row>
    <row r="252" spans="1:8" x14ac:dyDescent="0.25">
      <c r="A252" t="s">
        <v>232</v>
      </c>
      <c r="B252" t="s">
        <v>1500</v>
      </c>
      <c r="C252" s="1">
        <v>46051</v>
      </c>
      <c r="D252">
        <v>155</v>
      </c>
      <c r="E252">
        <v>137.25</v>
      </c>
      <c r="F252" t="s">
        <v>1480</v>
      </c>
      <c r="G252" s="1">
        <v>46071</v>
      </c>
      <c r="H252">
        <f>COUNTIF(purchase_orders[PO Number], purchase_orders[[#This Row],[PO Number]])</f>
        <v>1</v>
      </c>
    </row>
    <row r="253" spans="1:8" x14ac:dyDescent="0.25">
      <c r="A253" t="s">
        <v>233</v>
      </c>
      <c r="B253" t="s">
        <v>1491</v>
      </c>
      <c r="C253" s="1">
        <v>46101</v>
      </c>
      <c r="D253">
        <v>33</v>
      </c>
      <c r="E253">
        <v>48</v>
      </c>
      <c r="F253" t="s">
        <v>1494</v>
      </c>
      <c r="G253" s="1">
        <v>46107</v>
      </c>
      <c r="H253">
        <f>COUNTIF(purchase_orders[PO Number], purchase_orders[[#This Row],[PO Number]])</f>
        <v>1</v>
      </c>
    </row>
    <row r="254" spans="1:8" x14ac:dyDescent="0.25">
      <c r="A254" t="s">
        <v>234</v>
      </c>
      <c r="B254" t="s">
        <v>1481</v>
      </c>
      <c r="C254" s="1">
        <v>46075</v>
      </c>
      <c r="D254">
        <v>164</v>
      </c>
      <c r="E254">
        <v>189.34</v>
      </c>
      <c r="F254" t="s">
        <v>1456</v>
      </c>
      <c r="G254" s="1">
        <v>46084</v>
      </c>
      <c r="H254">
        <f>COUNTIF(purchase_orders[PO Number], purchase_orders[[#This Row],[PO Number]])</f>
        <v>1</v>
      </c>
    </row>
    <row r="255" spans="1:8" x14ac:dyDescent="0.25">
      <c r="A255" t="s">
        <v>235</v>
      </c>
      <c r="B255" t="s">
        <v>1470</v>
      </c>
      <c r="C255" s="1">
        <v>46097</v>
      </c>
      <c r="D255">
        <v>177</v>
      </c>
      <c r="E255">
        <v>28.4</v>
      </c>
      <c r="F255" t="s">
        <v>1459</v>
      </c>
      <c r="G255" s="1">
        <v>46115</v>
      </c>
      <c r="H255">
        <f>COUNTIF(purchase_orders[PO Number], purchase_orders[[#This Row],[PO Number]])</f>
        <v>1</v>
      </c>
    </row>
    <row r="256" spans="1:8" x14ac:dyDescent="0.25">
      <c r="A256" t="s">
        <v>236</v>
      </c>
      <c r="B256" t="s">
        <v>1486</v>
      </c>
      <c r="C256" s="1">
        <v>46056</v>
      </c>
      <c r="D256">
        <v>204</v>
      </c>
      <c r="E256">
        <v>108.85</v>
      </c>
      <c r="F256" t="s">
        <v>1440</v>
      </c>
      <c r="G256" s="1">
        <v>46077</v>
      </c>
      <c r="H256">
        <f>COUNTIF(purchase_orders[PO Number], purchase_orders[[#This Row],[PO Number]])</f>
        <v>1</v>
      </c>
    </row>
    <row r="257" spans="1:8" x14ac:dyDescent="0.25">
      <c r="A257" t="s">
        <v>237</v>
      </c>
      <c r="B257" t="s">
        <v>1454</v>
      </c>
      <c r="C257" s="1">
        <v>46113</v>
      </c>
      <c r="D257">
        <v>46</v>
      </c>
      <c r="E257">
        <v>82.43</v>
      </c>
      <c r="F257" t="s">
        <v>1490</v>
      </c>
      <c r="G257" s="1">
        <v>46119</v>
      </c>
      <c r="H257">
        <f>COUNTIF(purchase_orders[PO Number], purchase_orders[[#This Row],[PO Number]])</f>
        <v>1</v>
      </c>
    </row>
    <row r="258" spans="1:8" x14ac:dyDescent="0.25">
      <c r="A258" t="s">
        <v>238</v>
      </c>
      <c r="B258" t="s">
        <v>1500</v>
      </c>
      <c r="C258" s="1">
        <v>46027</v>
      </c>
      <c r="D258">
        <v>245</v>
      </c>
      <c r="E258">
        <v>184.63</v>
      </c>
      <c r="F258" t="s">
        <v>1472</v>
      </c>
      <c r="G258" s="1">
        <v>46045</v>
      </c>
      <c r="H258">
        <f>COUNTIF(purchase_orders[PO Number], purchase_orders[[#This Row],[PO Number]])</f>
        <v>1</v>
      </c>
    </row>
    <row r="259" spans="1:8" x14ac:dyDescent="0.25">
      <c r="A259" t="s">
        <v>239</v>
      </c>
      <c r="B259" t="s">
        <v>1493</v>
      </c>
      <c r="C259" s="1">
        <v>46126</v>
      </c>
      <c r="D259">
        <v>373</v>
      </c>
      <c r="E259">
        <v>129.83000000000001</v>
      </c>
      <c r="F259" t="s">
        <v>1474</v>
      </c>
      <c r="G259" s="1">
        <v>46134</v>
      </c>
      <c r="H259">
        <f>COUNTIF(purchase_orders[PO Number], purchase_orders[[#This Row],[PO Number]])</f>
        <v>1</v>
      </c>
    </row>
    <row r="260" spans="1:8" x14ac:dyDescent="0.25">
      <c r="A260" t="s">
        <v>240</v>
      </c>
      <c r="B260" t="s">
        <v>1488</v>
      </c>
      <c r="C260" s="1">
        <v>46028</v>
      </c>
      <c r="D260">
        <v>176</v>
      </c>
      <c r="E260">
        <v>38.520000000000003</v>
      </c>
      <c r="F260" t="s">
        <v>1494</v>
      </c>
      <c r="G260" s="1">
        <v>46047</v>
      </c>
      <c r="H260">
        <f>COUNTIF(purchase_orders[PO Number], purchase_orders[[#This Row],[PO Number]])</f>
        <v>1</v>
      </c>
    </row>
    <row r="261" spans="1:8" x14ac:dyDescent="0.25">
      <c r="A261" t="s">
        <v>241</v>
      </c>
      <c r="B261" t="s">
        <v>1449</v>
      </c>
      <c r="C261" s="1">
        <v>46115</v>
      </c>
      <c r="D261">
        <v>55</v>
      </c>
      <c r="E261">
        <v>90.16</v>
      </c>
      <c r="F261" t="s">
        <v>1483</v>
      </c>
      <c r="G261" s="1">
        <v>46127</v>
      </c>
      <c r="H261">
        <f>COUNTIF(purchase_orders[PO Number], purchase_orders[[#This Row],[PO Number]])</f>
        <v>1</v>
      </c>
    </row>
    <row r="262" spans="1:8" x14ac:dyDescent="0.25">
      <c r="A262" t="s">
        <v>242</v>
      </c>
      <c r="B262" t="s">
        <v>1500</v>
      </c>
      <c r="C262" s="1">
        <v>46173</v>
      </c>
      <c r="D262">
        <v>215</v>
      </c>
      <c r="E262">
        <v>107.17</v>
      </c>
      <c r="F262" t="s">
        <v>1453</v>
      </c>
      <c r="G262" s="1">
        <v>46187</v>
      </c>
      <c r="H262">
        <f>COUNTIF(purchase_orders[PO Number], purchase_orders[[#This Row],[PO Number]])</f>
        <v>1</v>
      </c>
    </row>
    <row r="263" spans="1:8" x14ac:dyDescent="0.25">
      <c r="A263" t="s">
        <v>243</v>
      </c>
      <c r="B263" t="s">
        <v>1465</v>
      </c>
      <c r="C263" s="1">
        <v>46109</v>
      </c>
      <c r="D263">
        <v>123</v>
      </c>
      <c r="E263">
        <v>69.95</v>
      </c>
      <c r="F263" t="s">
        <v>1501</v>
      </c>
      <c r="G263" s="1">
        <v>46116</v>
      </c>
      <c r="H263">
        <f>COUNTIF(purchase_orders[PO Number], purchase_orders[[#This Row],[PO Number]])</f>
        <v>1</v>
      </c>
    </row>
    <row r="264" spans="1:8" x14ac:dyDescent="0.25">
      <c r="A264" t="s">
        <v>244</v>
      </c>
      <c r="B264" t="s">
        <v>1445</v>
      </c>
      <c r="C264" s="1">
        <v>46052</v>
      </c>
      <c r="D264">
        <v>281</v>
      </c>
      <c r="E264">
        <v>104.44</v>
      </c>
      <c r="F264" t="s">
        <v>1456</v>
      </c>
      <c r="G264" s="1">
        <v>46068</v>
      </c>
      <c r="H264">
        <f>COUNTIF(purchase_orders[PO Number], purchase_orders[[#This Row],[PO Number]])</f>
        <v>1</v>
      </c>
    </row>
    <row r="265" spans="1:8" x14ac:dyDescent="0.25">
      <c r="A265" t="s">
        <v>245</v>
      </c>
      <c r="B265" t="s">
        <v>1503</v>
      </c>
      <c r="C265" s="1">
        <v>46060</v>
      </c>
      <c r="D265">
        <v>130</v>
      </c>
      <c r="E265">
        <v>25.05</v>
      </c>
      <c r="F265" t="s">
        <v>1458</v>
      </c>
      <c r="G265" s="1">
        <v>46071</v>
      </c>
      <c r="H265">
        <f>COUNTIF(purchase_orders[PO Number], purchase_orders[[#This Row],[PO Number]])</f>
        <v>1</v>
      </c>
    </row>
    <row r="266" spans="1:8" x14ac:dyDescent="0.25">
      <c r="A266" t="s">
        <v>246</v>
      </c>
      <c r="B266" t="s">
        <v>1486</v>
      </c>
      <c r="C266" s="1">
        <v>46062</v>
      </c>
      <c r="D266">
        <v>399</v>
      </c>
      <c r="E266">
        <v>153.03</v>
      </c>
      <c r="F266" t="s">
        <v>1476</v>
      </c>
      <c r="G266" s="1">
        <v>46072</v>
      </c>
      <c r="H266">
        <f>COUNTIF(purchase_orders[PO Number], purchase_orders[[#This Row],[PO Number]])</f>
        <v>1</v>
      </c>
    </row>
    <row r="267" spans="1:8" x14ac:dyDescent="0.25">
      <c r="A267" t="s">
        <v>950</v>
      </c>
      <c r="B267" t="s">
        <v>1439</v>
      </c>
      <c r="C267" s="1">
        <v>46149</v>
      </c>
      <c r="D267">
        <v>247</v>
      </c>
      <c r="E267">
        <v>152.12</v>
      </c>
      <c r="F267" t="s">
        <v>1456</v>
      </c>
      <c r="G267" s="1">
        <v>46168</v>
      </c>
      <c r="H267">
        <f>COUNTIF(purchase_orders[PO Number], purchase_orders[[#This Row],[PO Number]])</f>
        <v>1</v>
      </c>
    </row>
    <row r="268" spans="1:8" x14ac:dyDescent="0.25">
      <c r="A268" t="s">
        <v>247</v>
      </c>
      <c r="B268" t="s">
        <v>1461</v>
      </c>
      <c r="C268" s="1">
        <v>46167</v>
      </c>
      <c r="D268">
        <v>339</v>
      </c>
      <c r="E268">
        <v>128.88</v>
      </c>
      <c r="F268" t="s">
        <v>1494</v>
      </c>
      <c r="G268" s="1">
        <v>46182</v>
      </c>
      <c r="H268">
        <f>COUNTIF(purchase_orders[PO Number], purchase_orders[[#This Row],[PO Number]])</f>
        <v>1</v>
      </c>
    </row>
    <row r="269" spans="1:8" x14ac:dyDescent="0.25">
      <c r="A269" t="s">
        <v>248</v>
      </c>
      <c r="B269" t="s">
        <v>1439</v>
      </c>
      <c r="C269" s="1">
        <v>46103</v>
      </c>
      <c r="D269">
        <v>87</v>
      </c>
      <c r="E269">
        <v>90.75</v>
      </c>
      <c r="F269" t="s">
        <v>1487</v>
      </c>
      <c r="G269" s="1">
        <v>46122</v>
      </c>
      <c r="H269">
        <f>COUNTIF(purchase_orders[PO Number], purchase_orders[[#This Row],[PO Number]])</f>
        <v>1</v>
      </c>
    </row>
    <row r="270" spans="1:8" x14ac:dyDescent="0.25">
      <c r="A270" t="s">
        <v>249</v>
      </c>
      <c r="B270" t="s">
        <v>1439</v>
      </c>
      <c r="C270" s="1">
        <v>46100</v>
      </c>
      <c r="D270">
        <v>417</v>
      </c>
      <c r="E270">
        <v>58.56</v>
      </c>
      <c r="F270" t="s">
        <v>1462</v>
      </c>
      <c r="G270" s="1">
        <v>46116</v>
      </c>
      <c r="H270">
        <f>COUNTIF(purchase_orders[PO Number], purchase_orders[[#This Row],[PO Number]])</f>
        <v>1</v>
      </c>
    </row>
    <row r="271" spans="1:8" x14ac:dyDescent="0.25">
      <c r="A271" t="s">
        <v>250</v>
      </c>
      <c r="B271" t="s">
        <v>1445</v>
      </c>
      <c r="C271" s="1">
        <v>46041</v>
      </c>
      <c r="D271">
        <v>168</v>
      </c>
      <c r="E271">
        <v>95.04</v>
      </c>
      <c r="F271" t="s">
        <v>1462</v>
      </c>
      <c r="G271" s="1">
        <v>46047</v>
      </c>
      <c r="H271">
        <f>COUNTIF(purchase_orders[PO Number], purchase_orders[[#This Row],[PO Number]])</f>
        <v>1</v>
      </c>
    </row>
    <row r="272" spans="1:8" x14ac:dyDescent="0.25">
      <c r="A272" t="s">
        <v>251</v>
      </c>
      <c r="B272" t="s">
        <v>1496</v>
      </c>
      <c r="C272" s="1">
        <v>46096</v>
      </c>
      <c r="D272">
        <v>49</v>
      </c>
      <c r="E272">
        <v>130.71</v>
      </c>
      <c r="F272" t="s">
        <v>1476</v>
      </c>
      <c r="G272" s="1">
        <v>46117</v>
      </c>
      <c r="H272">
        <f>COUNTIF(purchase_orders[PO Number], purchase_orders[[#This Row],[PO Number]])</f>
        <v>1</v>
      </c>
    </row>
    <row r="273" spans="1:8" x14ac:dyDescent="0.25">
      <c r="A273" t="s">
        <v>957</v>
      </c>
      <c r="B273" t="s">
        <v>1502</v>
      </c>
      <c r="C273" s="1">
        <v>46141</v>
      </c>
      <c r="D273">
        <v>307</v>
      </c>
      <c r="E273">
        <v>113.09</v>
      </c>
      <c r="F273" t="s">
        <v>1490</v>
      </c>
      <c r="G273" s="1">
        <v>46147</v>
      </c>
      <c r="H273">
        <f>COUNTIF(purchase_orders[PO Number], purchase_orders[[#This Row],[PO Number]])</f>
        <v>1</v>
      </c>
    </row>
    <row r="274" spans="1:8" x14ac:dyDescent="0.25">
      <c r="A274" t="s">
        <v>252</v>
      </c>
      <c r="B274" t="s">
        <v>1478</v>
      </c>
      <c r="C274" s="1">
        <v>46169</v>
      </c>
      <c r="D274">
        <v>343</v>
      </c>
      <c r="E274">
        <v>41.71</v>
      </c>
      <c r="F274" t="s">
        <v>1494</v>
      </c>
      <c r="G274" s="1">
        <v>46189</v>
      </c>
      <c r="H274">
        <f>COUNTIF(purchase_orders[PO Number], purchase_orders[[#This Row],[PO Number]])</f>
        <v>1</v>
      </c>
    </row>
    <row r="275" spans="1:8" x14ac:dyDescent="0.25">
      <c r="A275" t="s">
        <v>253</v>
      </c>
      <c r="B275" t="s">
        <v>1445</v>
      </c>
      <c r="C275" s="1">
        <v>46061</v>
      </c>
      <c r="D275">
        <v>500</v>
      </c>
      <c r="E275">
        <v>17.07</v>
      </c>
      <c r="F275" t="s">
        <v>1483</v>
      </c>
      <c r="G275" s="1">
        <v>46076</v>
      </c>
      <c r="H275">
        <f>COUNTIF(purchase_orders[PO Number], purchase_orders[[#This Row],[PO Number]])</f>
        <v>1</v>
      </c>
    </row>
    <row r="276" spans="1:8" x14ac:dyDescent="0.25">
      <c r="A276" t="s">
        <v>254</v>
      </c>
      <c r="B276" t="s">
        <v>1455</v>
      </c>
      <c r="C276" s="1">
        <v>46044</v>
      </c>
      <c r="D276">
        <v>268</v>
      </c>
      <c r="E276">
        <v>130.99</v>
      </c>
      <c r="F276" t="s">
        <v>1462</v>
      </c>
      <c r="G276" s="1">
        <v>46056</v>
      </c>
      <c r="H276">
        <f>COUNTIF(purchase_orders[PO Number], purchase_orders[[#This Row],[PO Number]])</f>
        <v>1</v>
      </c>
    </row>
    <row r="277" spans="1:8" x14ac:dyDescent="0.25">
      <c r="A277" t="s">
        <v>255</v>
      </c>
      <c r="B277" t="s">
        <v>1455</v>
      </c>
      <c r="C277" s="1">
        <v>46135</v>
      </c>
      <c r="D277">
        <v>234</v>
      </c>
      <c r="E277">
        <v>107.19</v>
      </c>
      <c r="F277" t="s">
        <v>1459</v>
      </c>
      <c r="G277" s="1">
        <v>46145</v>
      </c>
      <c r="H277">
        <f>COUNTIF(purchase_orders[PO Number], purchase_orders[[#This Row],[PO Number]])</f>
        <v>1</v>
      </c>
    </row>
    <row r="278" spans="1:8" x14ac:dyDescent="0.25">
      <c r="A278" t="s">
        <v>963</v>
      </c>
      <c r="B278" t="s">
        <v>1496</v>
      </c>
      <c r="C278" s="1">
        <v>46118</v>
      </c>
      <c r="D278">
        <v>479</v>
      </c>
      <c r="E278">
        <v>60.16</v>
      </c>
      <c r="F278" t="s">
        <v>1507</v>
      </c>
      <c r="G278" s="1">
        <v>46133</v>
      </c>
      <c r="H278">
        <f>COUNTIF(purchase_orders[PO Number], purchase_orders[[#This Row],[PO Number]])</f>
        <v>1</v>
      </c>
    </row>
    <row r="279" spans="1:8" x14ac:dyDescent="0.25">
      <c r="A279" t="s">
        <v>256</v>
      </c>
      <c r="B279" t="s">
        <v>1461</v>
      </c>
      <c r="C279" s="1">
        <v>46036</v>
      </c>
      <c r="D279">
        <v>414</v>
      </c>
      <c r="E279">
        <v>128.02000000000001</v>
      </c>
      <c r="F279" t="s">
        <v>1459</v>
      </c>
      <c r="G279" s="1">
        <v>46043</v>
      </c>
      <c r="H279">
        <f>COUNTIF(purchase_orders[PO Number], purchase_orders[[#This Row],[PO Number]])</f>
        <v>1</v>
      </c>
    </row>
    <row r="280" spans="1:8" x14ac:dyDescent="0.25">
      <c r="A280" t="s">
        <v>257</v>
      </c>
      <c r="B280" t="s">
        <v>1479</v>
      </c>
      <c r="C280" s="1">
        <v>46047</v>
      </c>
      <c r="D280">
        <v>295</v>
      </c>
      <c r="E280">
        <v>137.28</v>
      </c>
      <c r="F280" t="s">
        <v>1474</v>
      </c>
      <c r="G280" s="1">
        <v>46060</v>
      </c>
      <c r="H280">
        <f>COUNTIF(purchase_orders[PO Number], purchase_orders[[#This Row],[PO Number]])</f>
        <v>1</v>
      </c>
    </row>
    <row r="281" spans="1:8" x14ac:dyDescent="0.25">
      <c r="A281" t="s">
        <v>258</v>
      </c>
      <c r="B281" t="s">
        <v>1477</v>
      </c>
      <c r="C281" s="1">
        <v>46061</v>
      </c>
      <c r="D281">
        <v>180</v>
      </c>
      <c r="E281">
        <v>20.89</v>
      </c>
      <c r="F281" t="s">
        <v>1467</v>
      </c>
      <c r="G281" s="1">
        <v>46070</v>
      </c>
      <c r="H281">
        <f>COUNTIF(purchase_orders[PO Number], purchase_orders[[#This Row],[PO Number]])</f>
        <v>1</v>
      </c>
    </row>
    <row r="282" spans="1:8" x14ac:dyDescent="0.25">
      <c r="A282" t="s">
        <v>259</v>
      </c>
      <c r="B282" t="s">
        <v>1503</v>
      </c>
      <c r="C282" s="1">
        <v>46102</v>
      </c>
      <c r="D282">
        <v>345</v>
      </c>
      <c r="E282">
        <v>141.19999999999999</v>
      </c>
      <c r="F282" t="s">
        <v>1453</v>
      </c>
      <c r="G282" s="1">
        <v>46111</v>
      </c>
      <c r="H282">
        <f>COUNTIF(purchase_orders[PO Number], purchase_orders[[#This Row],[PO Number]])</f>
        <v>1</v>
      </c>
    </row>
    <row r="283" spans="1:8" x14ac:dyDescent="0.25">
      <c r="A283" t="s">
        <v>260</v>
      </c>
      <c r="B283" t="s">
        <v>1468</v>
      </c>
      <c r="C283" s="1">
        <v>46044</v>
      </c>
      <c r="D283">
        <v>168</v>
      </c>
      <c r="E283">
        <v>113.99</v>
      </c>
      <c r="F283" t="s">
        <v>1446</v>
      </c>
      <c r="G283" s="1">
        <v>46059</v>
      </c>
      <c r="H283">
        <f>COUNTIF(purchase_orders[PO Number], purchase_orders[[#This Row],[PO Number]])</f>
        <v>1</v>
      </c>
    </row>
    <row r="284" spans="1:8" x14ac:dyDescent="0.25">
      <c r="A284" t="s">
        <v>261</v>
      </c>
      <c r="B284" t="s">
        <v>1441</v>
      </c>
      <c r="C284" s="1">
        <v>46157</v>
      </c>
      <c r="D284">
        <v>57</v>
      </c>
      <c r="E284">
        <v>130.97</v>
      </c>
      <c r="F284" t="s">
        <v>1507</v>
      </c>
      <c r="G284" s="1">
        <v>46178</v>
      </c>
      <c r="H284">
        <f>COUNTIF(purchase_orders[PO Number], purchase_orders[[#This Row],[PO Number]])</f>
        <v>1</v>
      </c>
    </row>
    <row r="285" spans="1:8" x14ac:dyDescent="0.25">
      <c r="A285" t="s">
        <v>262</v>
      </c>
      <c r="B285" t="s">
        <v>1496</v>
      </c>
      <c r="C285" s="1">
        <v>46027</v>
      </c>
      <c r="D285">
        <v>195</v>
      </c>
      <c r="E285">
        <v>65.23</v>
      </c>
      <c r="F285" t="s">
        <v>1444</v>
      </c>
      <c r="G285" s="1">
        <v>46042</v>
      </c>
      <c r="H285">
        <f>COUNTIF(purchase_orders[PO Number], purchase_orders[[#This Row],[PO Number]])</f>
        <v>1</v>
      </c>
    </row>
    <row r="286" spans="1:8" x14ac:dyDescent="0.25">
      <c r="A286" t="s">
        <v>263</v>
      </c>
      <c r="B286" t="s">
        <v>1498</v>
      </c>
      <c r="C286" s="1">
        <v>46072</v>
      </c>
      <c r="D286">
        <v>125</v>
      </c>
      <c r="E286">
        <v>200</v>
      </c>
      <c r="F286" t="s">
        <v>1485</v>
      </c>
      <c r="G286" s="1">
        <v>46079</v>
      </c>
      <c r="H286">
        <f>COUNTIF(purchase_orders[PO Number], purchase_orders[[#This Row],[PO Number]])</f>
        <v>1</v>
      </c>
    </row>
    <row r="287" spans="1:8" x14ac:dyDescent="0.25">
      <c r="A287" t="s">
        <v>264</v>
      </c>
      <c r="B287" t="s">
        <v>1506</v>
      </c>
      <c r="C287" s="1">
        <v>46048</v>
      </c>
      <c r="D287">
        <v>269</v>
      </c>
      <c r="E287">
        <v>155.32</v>
      </c>
      <c r="F287" t="s">
        <v>1490</v>
      </c>
      <c r="G287" s="1">
        <v>46069</v>
      </c>
      <c r="H287">
        <f>COUNTIF(purchase_orders[PO Number], purchase_orders[[#This Row],[PO Number]])</f>
        <v>1</v>
      </c>
    </row>
    <row r="288" spans="1:8" x14ac:dyDescent="0.25">
      <c r="A288" t="s">
        <v>265</v>
      </c>
      <c r="B288" t="s">
        <v>1452</v>
      </c>
      <c r="C288" s="1">
        <v>46109</v>
      </c>
      <c r="D288">
        <v>458</v>
      </c>
      <c r="E288">
        <v>154.43</v>
      </c>
      <c r="F288" t="s">
        <v>1485</v>
      </c>
      <c r="G288" s="1">
        <v>46126</v>
      </c>
      <c r="H288">
        <f>COUNTIF(purchase_orders[PO Number], purchase_orders[[#This Row],[PO Number]])</f>
        <v>1</v>
      </c>
    </row>
    <row r="289" spans="1:8" x14ac:dyDescent="0.25">
      <c r="A289" t="s">
        <v>266</v>
      </c>
      <c r="B289" t="s">
        <v>1464</v>
      </c>
      <c r="C289" s="1">
        <v>46064</v>
      </c>
      <c r="D289">
        <v>102</v>
      </c>
      <c r="E289">
        <v>167.11</v>
      </c>
      <c r="F289" t="s">
        <v>1456</v>
      </c>
      <c r="G289" s="1">
        <v>46074</v>
      </c>
      <c r="H289">
        <f>COUNTIF(purchase_orders[PO Number], purchase_orders[[#This Row],[PO Number]])</f>
        <v>1</v>
      </c>
    </row>
    <row r="290" spans="1:8" x14ac:dyDescent="0.25">
      <c r="A290" t="s">
        <v>267</v>
      </c>
      <c r="B290" t="s">
        <v>1477</v>
      </c>
      <c r="C290" s="1">
        <v>46135</v>
      </c>
      <c r="D290">
        <v>32</v>
      </c>
      <c r="E290">
        <v>85.12</v>
      </c>
      <c r="F290" t="s">
        <v>1467</v>
      </c>
      <c r="G290" s="1">
        <v>46147</v>
      </c>
      <c r="H290">
        <f>COUNTIF(purchase_orders[PO Number], purchase_orders[[#This Row],[PO Number]])</f>
        <v>1</v>
      </c>
    </row>
    <row r="291" spans="1:8" x14ac:dyDescent="0.25">
      <c r="A291" t="s">
        <v>268</v>
      </c>
      <c r="B291" t="s">
        <v>1478</v>
      </c>
      <c r="C291" s="1">
        <v>46095</v>
      </c>
      <c r="D291">
        <v>395</v>
      </c>
      <c r="E291">
        <v>150.96</v>
      </c>
      <c r="F291" t="s">
        <v>1469</v>
      </c>
      <c r="G291" s="1">
        <v>46107</v>
      </c>
      <c r="H291">
        <f>COUNTIF(purchase_orders[PO Number], purchase_orders[[#This Row],[PO Number]])</f>
        <v>1</v>
      </c>
    </row>
    <row r="292" spans="1:8" x14ac:dyDescent="0.25">
      <c r="A292" t="s">
        <v>269</v>
      </c>
      <c r="B292" t="s">
        <v>1471</v>
      </c>
      <c r="C292" s="1">
        <v>46084</v>
      </c>
      <c r="D292">
        <v>168</v>
      </c>
      <c r="E292">
        <v>193.29</v>
      </c>
      <c r="F292" t="s">
        <v>1487</v>
      </c>
      <c r="G292" s="1">
        <v>46095</v>
      </c>
      <c r="H292">
        <f>COUNTIF(purchase_orders[PO Number], purchase_orders[[#This Row],[PO Number]])</f>
        <v>1</v>
      </c>
    </row>
    <row r="293" spans="1:8" x14ac:dyDescent="0.25">
      <c r="A293" t="s">
        <v>980</v>
      </c>
      <c r="B293" t="s">
        <v>1496</v>
      </c>
      <c r="C293" s="1">
        <v>46169</v>
      </c>
      <c r="D293">
        <v>235</v>
      </c>
      <c r="E293">
        <v>95.03</v>
      </c>
      <c r="F293" t="s">
        <v>1474</v>
      </c>
      <c r="G293" s="1">
        <v>46186</v>
      </c>
      <c r="H293">
        <f>COUNTIF(purchase_orders[PO Number], purchase_orders[[#This Row],[PO Number]])</f>
        <v>1</v>
      </c>
    </row>
    <row r="294" spans="1:8" x14ac:dyDescent="0.25">
      <c r="A294" t="s">
        <v>270</v>
      </c>
      <c r="B294" t="s">
        <v>1445</v>
      </c>
      <c r="C294" s="1">
        <v>46158</v>
      </c>
      <c r="D294">
        <v>224</v>
      </c>
      <c r="E294">
        <v>193.42</v>
      </c>
      <c r="F294" t="s">
        <v>1444</v>
      </c>
      <c r="G294" s="1">
        <v>46167</v>
      </c>
      <c r="H294">
        <f>COUNTIF(purchase_orders[PO Number], purchase_orders[[#This Row],[PO Number]])</f>
        <v>1</v>
      </c>
    </row>
    <row r="295" spans="1:8" x14ac:dyDescent="0.25">
      <c r="A295" t="s">
        <v>983</v>
      </c>
      <c r="B295" t="s">
        <v>1470</v>
      </c>
      <c r="C295" s="1">
        <v>46036</v>
      </c>
      <c r="D295">
        <v>338</v>
      </c>
      <c r="E295">
        <v>98.72</v>
      </c>
      <c r="F295" t="s">
        <v>1451</v>
      </c>
      <c r="G295" s="1">
        <v>46044</v>
      </c>
      <c r="H295">
        <f>COUNTIF(purchase_orders[PO Number], purchase_orders[[#This Row],[PO Number]])</f>
        <v>1</v>
      </c>
    </row>
    <row r="296" spans="1:8" x14ac:dyDescent="0.25">
      <c r="A296" t="s">
        <v>271</v>
      </c>
      <c r="B296" t="s">
        <v>1455</v>
      </c>
      <c r="C296" s="1">
        <v>46155</v>
      </c>
      <c r="D296">
        <v>445</v>
      </c>
      <c r="E296">
        <v>29.31</v>
      </c>
      <c r="F296" t="s">
        <v>1476</v>
      </c>
      <c r="G296" s="1">
        <v>46165</v>
      </c>
      <c r="H296">
        <f>COUNTIF(purchase_orders[PO Number], purchase_orders[[#This Row],[PO Number]])</f>
        <v>1</v>
      </c>
    </row>
    <row r="297" spans="1:8" x14ac:dyDescent="0.25">
      <c r="A297" t="s">
        <v>272</v>
      </c>
      <c r="B297" t="s">
        <v>1511</v>
      </c>
      <c r="C297" s="1">
        <v>46138</v>
      </c>
      <c r="D297">
        <v>473</v>
      </c>
      <c r="E297">
        <v>105.1</v>
      </c>
      <c r="F297" t="s">
        <v>1507</v>
      </c>
      <c r="G297" s="1">
        <v>46145</v>
      </c>
      <c r="H297">
        <f>COUNTIF(purchase_orders[PO Number], purchase_orders[[#This Row],[PO Number]])</f>
        <v>1</v>
      </c>
    </row>
    <row r="298" spans="1:8" x14ac:dyDescent="0.25">
      <c r="A298" t="s">
        <v>273</v>
      </c>
      <c r="B298" t="s">
        <v>1447</v>
      </c>
      <c r="C298" s="1">
        <v>46138</v>
      </c>
      <c r="D298">
        <v>462</v>
      </c>
      <c r="E298">
        <v>73.17</v>
      </c>
      <c r="F298" t="s">
        <v>1448</v>
      </c>
      <c r="G298" s="1">
        <v>46156</v>
      </c>
      <c r="H298">
        <f>COUNTIF(purchase_orders[PO Number], purchase_orders[[#This Row],[PO Number]])</f>
        <v>1</v>
      </c>
    </row>
    <row r="299" spans="1:8" x14ac:dyDescent="0.25">
      <c r="A299" t="s">
        <v>274</v>
      </c>
      <c r="B299" t="s">
        <v>1475</v>
      </c>
      <c r="C299" s="1">
        <v>46124</v>
      </c>
      <c r="D299">
        <v>267</v>
      </c>
      <c r="E299">
        <v>77.92</v>
      </c>
      <c r="F299" t="s">
        <v>1453</v>
      </c>
      <c r="G299" s="1">
        <v>46131</v>
      </c>
      <c r="H299">
        <f>COUNTIF(purchase_orders[PO Number], purchase_orders[[#This Row],[PO Number]])</f>
        <v>1</v>
      </c>
    </row>
    <row r="300" spans="1:8" x14ac:dyDescent="0.25">
      <c r="A300" t="s">
        <v>275</v>
      </c>
      <c r="B300" t="s">
        <v>1496</v>
      </c>
      <c r="C300" s="1">
        <v>46080</v>
      </c>
      <c r="D300">
        <v>24</v>
      </c>
      <c r="E300">
        <v>67.14</v>
      </c>
      <c r="F300" t="s">
        <v>1483</v>
      </c>
      <c r="G300" s="1">
        <v>46095</v>
      </c>
      <c r="H300">
        <f>COUNTIF(purchase_orders[PO Number], purchase_orders[[#This Row],[PO Number]])</f>
        <v>1</v>
      </c>
    </row>
    <row r="301" spans="1:8" x14ac:dyDescent="0.25">
      <c r="A301" t="s">
        <v>990</v>
      </c>
      <c r="B301" t="s">
        <v>1464</v>
      </c>
      <c r="C301" s="1">
        <v>46058</v>
      </c>
      <c r="D301">
        <v>29</v>
      </c>
      <c r="E301">
        <v>60.94</v>
      </c>
      <c r="F301" t="s">
        <v>1459</v>
      </c>
      <c r="G301" s="1">
        <v>46067</v>
      </c>
      <c r="H301">
        <f>COUNTIF(purchase_orders[PO Number], purchase_orders[[#This Row],[PO Number]])</f>
        <v>1</v>
      </c>
    </row>
    <row r="302" spans="1:8" x14ac:dyDescent="0.25">
      <c r="A302" t="s">
        <v>276</v>
      </c>
      <c r="B302" t="s">
        <v>1455</v>
      </c>
      <c r="C302" s="1">
        <v>46143</v>
      </c>
      <c r="D302">
        <v>239</v>
      </c>
      <c r="E302">
        <v>124.99</v>
      </c>
      <c r="F302" t="s">
        <v>1476</v>
      </c>
      <c r="G302" s="1">
        <v>46148</v>
      </c>
      <c r="H302">
        <f>COUNTIF(purchase_orders[PO Number], purchase_orders[[#This Row],[PO Number]])</f>
        <v>1</v>
      </c>
    </row>
    <row r="303" spans="1:8" x14ac:dyDescent="0.25">
      <c r="A303" t="s">
        <v>277</v>
      </c>
      <c r="B303" t="s">
        <v>1470</v>
      </c>
      <c r="C303" s="1">
        <v>46078</v>
      </c>
      <c r="D303">
        <v>437</v>
      </c>
      <c r="E303">
        <v>34.159999999999997</v>
      </c>
      <c r="F303" t="s">
        <v>1490</v>
      </c>
      <c r="G303" s="1">
        <v>46099</v>
      </c>
      <c r="H303">
        <f>COUNTIF(purchase_orders[PO Number], purchase_orders[[#This Row],[PO Number]])</f>
        <v>1</v>
      </c>
    </row>
    <row r="304" spans="1:8" x14ac:dyDescent="0.25">
      <c r="A304" t="s">
        <v>278</v>
      </c>
      <c r="B304" t="s">
        <v>1500</v>
      </c>
      <c r="C304" s="1">
        <v>46051</v>
      </c>
      <c r="D304">
        <v>407</v>
      </c>
      <c r="E304">
        <v>61.18</v>
      </c>
      <c r="F304" t="s">
        <v>1474</v>
      </c>
      <c r="G304" s="1">
        <v>46059</v>
      </c>
      <c r="H304">
        <f>COUNTIF(purchase_orders[PO Number], purchase_orders[[#This Row],[PO Number]])</f>
        <v>1</v>
      </c>
    </row>
    <row r="305" spans="1:8" x14ac:dyDescent="0.25">
      <c r="A305" t="s">
        <v>279</v>
      </c>
      <c r="B305" t="s">
        <v>1475</v>
      </c>
      <c r="C305" s="1">
        <v>46084</v>
      </c>
      <c r="D305">
        <v>224</v>
      </c>
      <c r="E305">
        <v>129.6</v>
      </c>
      <c r="F305" t="s">
        <v>1494</v>
      </c>
      <c r="G305" s="1">
        <v>46103</v>
      </c>
      <c r="H305">
        <f>COUNTIF(purchase_orders[PO Number], purchase_orders[[#This Row],[PO Number]])</f>
        <v>1</v>
      </c>
    </row>
    <row r="306" spans="1:8" x14ac:dyDescent="0.25">
      <c r="A306" t="s">
        <v>280</v>
      </c>
      <c r="B306" t="s">
        <v>1492</v>
      </c>
      <c r="C306" s="1">
        <v>46051</v>
      </c>
      <c r="D306">
        <v>438</v>
      </c>
      <c r="E306">
        <v>181.5</v>
      </c>
      <c r="F306" t="s">
        <v>1494</v>
      </c>
      <c r="G306" s="1">
        <v>46056</v>
      </c>
      <c r="H306">
        <f>COUNTIF(purchase_orders[PO Number], purchase_orders[[#This Row],[PO Number]])</f>
        <v>1</v>
      </c>
    </row>
    <row r="307" spans="1:8" x14ac:dyDescent="0.25">
      <c r="A307" t="s">
        <v>281</v>
      </c>
      <c r="B307" t="s">
        <v>1439</v>
      </c>
      <c r="C307" s="1">
        <v>46154</v>
      </c>
      <c r="D307">
        <v>304</v>
      </c>
      <c r="E307">
        <v>52.18</v>
      </c>
      <c r="F307" t="s">
        <v>1485</v>
      </c>
      <c r="G307" s="1">
        <v>46168</v>
      </c>
      <c r="H307">
        <f>COUNTIF(purchase_orders[PO Number], purchase_orders[[#This Row],[PO Number]])</f>
        <v>1</v>
      </c>
    </row>
    <row r="308" spans="1:8" x14ac:dyDescent="0.25">
      <c r="A308" t="s">
        <v>282</v>
      </c>
      <c r="B308" t="s">
        <v>1500</v>
      </c>
      <c r="C308" s="1">
        <v>46023</v>
      </c>
      <c r="D308">
        <v>324</v>
      </c>
      <c r="E308">
        <v>73.8</v>
      </c>
      <c r="F308" t="s">
        <v>1480</v>
      </c>
      <c r="G308" s="1">
        <v>46041</v>
      </c>
      <c r="H308">
        <f>COUNTIF(purchase_orders[PO Number], purchase_orders[[#This Row],[PO Number]])</f>
        <v>1</v>
      </c>
    </row>
    <row r="309" spans="1:8" x14ac:dyDescent="0.25">
      <c r="A309" t="s">
        <v>283</v>
      </c>
      <c r="B309" t="s">
        <v>1486</v>
      </c>
      <c r="C309" s="1">
        <v>46044</v>
      </c>
      <c r="D309">
        <v>278</v>
      </c>
      <c r="E309">
        <v>195.06</v>
      </c>
      <c r="F309" t="s">
        <v>1476</v>
      </c>
      <c r="G309" s="1">
        <v>46065</v>
      </c>
      <c r="H309">
        <f>COUNTIF(purchase_orders[PO Number], purchase_orders[[#This Row],[PO Number]])</f>
        <v>1</v>
      </c>
    </row>
    <row r="310" spans="1:8" x14ac:dyDescent="0.25">
      <c r="A310" t="s">
        <v>284</v>
      </c>
      <c r="B310" t="s">
        <v>1471</v>
      </c>
      <c r="C310" s="1">
        <v>46152</v>
      </c>
      <c r="D310">
        <v>412</v>
      </c>
      <c r="E310">
        <v>197.72</v>
      </c>
      <c r="F310" t="s">
        <v>1442</v>
      </c>
      <c r="G310" s="1">
        <v>46157</v>
      </c>
      <c r="H310">
        <f>COUNTIF(purchase_orders[PO Number], purchase_orders[[#This Row],[PO Number]])</f>
        <v>1</v>
      </c>
    </row>
    <row r="311" spans="1:8" x14ac:dyDescent="0.25">
      <c r="A311" t="s">
        <v>285</v>
      </c>
      <c r="B311" t="s">
        <v>1502</v>
      </c>
      <c r="C311" s="1">
        <v>46143</v>
      </c>
      <c r="D311">
        <v>32</v>
      </c>
      <c r="E311">
        <v>128.96</v>
      </c>
      <c r="F311" t="s">
        <v>1451</v>
      </c>
      <c r="G311" s="1">
        <v>46156</v>
      </c>
      <c r="H311">
        <f>COUNTIF(purchase_orders[PO Number], purchase_orders[[#This Row],[PO Number]])</f>
        <v>1</v>
      </c>
    </row>
    <row r="312" spans="1:8" x14ac:dyDescent="0.25">
      <c r="A312" t="s">
        <v>1002</v>
      </c>
      <c r="B312" t="s">
        <v>1465</v>
      </c>
      <c r="C312" s="1">
        <v>46027</v>
      </c>
      <c r="D312">
        <v>192</v>
      </c>
      <c r="E312">
        <v>158.76</v>
      </c>
      <c r="F312" t="s">
        <v>1451</v>
      </c>
      <c r="G312" s="1">
        <v>46039</v>
      </c>
      <c r="H312">
        <f>COUNTIF(purchase_orders[PO Number], purchase_orders[[#This Row],[PO Number]])</f>
        <v>1</v>
      </c>
    </row>
    <row r="313" spans="1:8" x14ac:dyDescent="0.25">
      <c r="A313" t="s">
        <v>286</v>
      </c>
      <c r="B313" t="s">
        <v>1477</v>
      </c>
      <c r="C313" s="1">
        <v>46049</v>
      </c>
      <c r="D313">
        <v>405</v>
      </c>
      <c r="E313">
        <v>118.47</v>
      </c>
      <c r="F313" t="s">
        <v>1456</v>
      </c>
      <c r="G313" s="1">
        <v>46064</v>
      </c>
      <c r="H313">
        <f>COUNTIF(purchase_orders[PO Number], purchase_orders[[#This Row],[PO Number]])</f>
        <v>1</v>
      </c>
    </row>
    <row r="314" spans="1:8" x14ac:dyDescent="0.25">
      <c r="A314" t="s">
        <v>287</v>
      </c>
      <c r="B314" t="s">
        <v>1441</v>
      </c>
      <c r="C314" s="1">
        <v>46034</v>
      </c>
      <c r="D314">
        <v>190</v>
      </c>
      <c r="E314">
        <v>111.47</v>
      </c>
      <c r="F314" t="s">
        <v>1446</v>
      </c>
      <c r="G314" s="1">
        <v>46044</v>
      </c>
      <c r="H314">
        <f>COUNTIF(purchase_orders[PO Number], purchase_orders[[#This Row],[PO Number]])</f>
        <v>1</v>
      </c>
    </row>
    <row r="315" spans="1:8" x14ac:dyDescent="0.25">
      <c r="A315" t="s">
        <v>288</v>
      </c>
      <c r="B315" t="s">
        <v>1461</v>
      </c>
      <c r="C315" s="1">
        <v>46141</v>
      </c>
      <c r="D315">
        <v>366</v>
      </c>
      <c r="E315">
        <v>98.31</v>
      </c>
      <c r="F315" t="s">
        <v>1501</v>
      </c>
      <c r="G315" s="1">
        <v>46150</v>
      </c>
      <c r="H315">
        <f>COUNTIF(purchase_orders[PO Number], purchase_orders[[#This Row],[PO Number]])</f>
        <v>1</v>
      </c>
    </row>
    <row r="316" spans="1:8" x14ac:dyDescent="0.25">
      <c r="A316" t="s">
        <v>289</v>
      </c>
      <c r="B316" t="s">
        <v>1492</v>
      </c>
      <c r="C316" s="1">
        <v>46140</v>
      </c>
      <c r="D316">
        <v>28</v>
      </c>
      <c r="E316">
        <v>62.22</v>
      </c>
      <c r="F316" t="s">
        <v>1462</v>
      </c>
      <c r="G316" s="1">
        <v>46151</v>
      </c>
      <c r="H316">
        <f>COUNTIF(purchase_orders[PO Number], purchase_orders[[#This Row],[PO Number]])</f>
        <v>1</v>
      </c>
    </row>
    <row r="317" spans="1:8" x14ac:dyDescent="0.25">
      <c r="A317" t="s">
        <v>290</v>
      </c>
      <c r="B317" t="s">
        <v>1452</v>
      </c>
      <c r="C317" s="1">
        <v>46103</v>
      </c>
      <c r="D317">
        <v>487</v>
      </c>
      <c r="E317">
        <v>65.459999999999994</v>
      </c>
      <c r="F317" t="s">
        <v>1453</v>
      </c>
      <c r="G317" s="1">
        <v>46123</v>
      </c>
      <c r="H317">
        <f>COUNTIF(purchase_orders[PO Number], purchase_orders[[#This Row],[PO Number]])</f>
        <v>1</v>
      </c>
    </row>
    <row r="318" spans="1:8" x14ac:dyDescent="0.25">
      <c r="A318" t="s">
        <v>291</v>
      </c>
      <c r="B318" t="s">
        <v>1470</v>
      </c>
      <c r="C318" s="1">
        <v>46032</v>
      </c>
      <c r="D318">
        <v>395</v>
      </c>
      <c r="E318">
        <v>131.15</v>
      </c>
      <c r="F318" t="s">
        <v>1474</v>
      </c>
      <c r="G318" s="1">
        <v>46048</v>
      </c>
      <c r="H318">
        <f>COUNTIF(purchase_orders[PO Number], purchase_orders[[#This Row],[PO Number]])</f>
        <v>1</v>
      </c>
    </row>
    <row r="319" spans="1:8" x14ac:dyDescent="0.25">
      <c r="A319" t="s">
        <v>292</v>
      </c>
      <c r="B319" t="s">
        <v>1475</v>
      </c>
      <c r="C319" s="1">
        <v>46107</v>
      </c>
      <c r="D319">
        <v>149</v>
      </c>
      <c r="E319">
        <v>29.27</v>
      </c>
      <c r="F319" t="s">
        <v>1451</v>
      </c>
      <c r="G319" s="1">
        <v>46125</v>
      </c>
      <c r="H319">
        <f>COUNTIF(purchase_orders[PO Number], purchase_orders[[#This Row],[PO Number]])</f>
        <v>1</v>
      </c>
    </row>
    <row r="320" spans="1:8" x14ac:dyDescent="0.25">
      <c r="A320" t="s">
        <v>293</v>
      </c>
      <c r="B320" t="s">
        <v>1488</v>
      </c>
      <c r="C320" s="1">
        <v>46135</v>
      </c>
      <c r="D320">
        <v>468</v>
      </c>
      <c r="E320">
        <v>191.51</v>
      </c>
      <c r="F320" t="s">
        <v>1472</v>
      </c>
      <c r="G320" s="1">
        <v>46145</v>
      </c>
      <c r="H320">
        <f>COUNTIF(purchase_orders[PO Number], purchase_orders[[#This Row],[PO Number]])</f>
        <v>1</v>
      </c>
    </row>
    <row r="321" spans="1:8" x14ac:dyDescent="0.25">
      <c r="A321" t="s">
        <v>1012</v>
      </c>
      <c r="B321" t="s">
        <v>1498</v>
      </c>
      <c r="C321" s="1">
        <v>46150</v>
      </c>
      <c r="D321">
        <v>198</v>
      </c>
      <c r="E321">
        <v>185.24</v>
      </c>
      <c r="F321" t="s">
        <v>1504</v>
      </c>
      <c r="G321" s="1">
        <v>46163</v>
      </c>
      <c r="H321">
        <f>COUNTIF(purchase_orders[PO Number], purchase_orders[[#This Row],[PO Number]])</f>
        <v>1</v>
      </c>
    </row>
    <row r="322" spans="1:8" x14ac:dyDescent="0.25">
      <c r="A322" t="s">
        <v>294</v>
      </c>
      <c r="B322" t="s">
        <v>1457</v>
      </c>
      <c r="C322" s="1">
        <v>46131</v>
      </c>
      <c r="D322">
        <v>50</v>
      </c>
      <c r="E322">
        <v>88.97</v>
      </c>
      <c r="F322" t="s">
        <v>1459</v>
      </c>
      <c r="G322" s="1">
        <v>46145</v>
      </c>
      <c r="H322">
        <f>COUNTIF(purchase_orders[PO Number], purchase_orders[[#This Row],[PO Number]])</f>
        <v>1</v>
      </c>
    </row>
    <row r="323" spans="1:8" x14ac:dyDescent="0.25">
      <c r="A323" t="s">
        <v>295</v>
      </c>
      <c r="B323" t="s">
        <v>1509</v>
      </c>
      <c r="C323" s="1">
        <v>46049</v>
      </c>
      <c r="D323">
        <v>50</v>
      </c>
      <c r="E323">
        <v>68.94</v>
      </c>
      <c r="F323" t="s">
        <v>1474</v>
      </c>
      <c r="G323" s="1">
        <v>46063</v>
      </c>
      <c r="H323">
        <f>COUNTIF(purchase_orders[PO Number], purchase_orders[[#This Row],[PO Number]])</f>
        <v>1</v>
      </c>
    </row>
    <row r="324" spans="1:8" x14ac:dyDescent="0.25">
      <c r="A324" t="s">
        <v>296</v>
      </c>
      <c r="B324" t="s">
        <v>1478</v>
      </c>
      <c r="C324" s="1">
        <v>46132</v>
      </c>
      <c r="D324">
        <v>95</v>
      </c>
      <c r="E324">
        <v>139.5</v>
      </c>
      <c r="F324" t="s">
        <v>1451</v>
      </c>
      <c r="G324" s="1">
        <v>46151</v>
      </c>
      <c r="H324">
        <f>COUNTIF(purchase_orders[PO Number], purchase_orders[[#This Row],[PO Number]])</f>
        <v>1</v>
      </c>
    </row>
    <row r="325" spans="1:8" x14ac:dyDescent="0.25">
      <c r="A325" t="s">
        <v>297</v>
      </c>
      <c r="B325" t="s">
        <v>1452</v>
      </c>
      <c r="C325" s="1">
        <v>46113</v>
      </c>
      <c r="D325">
        <v>324</v>
      </c>
      <c r="E325">
        <v>199.64</v>
      </c>
      <c r="F325" t="s">
        <v>1458</v>
      </c>
      <c r="G325" s="1">
        <v>46119</v>
      </c>
      <c r="H325">
        <f>COUNTIF(purchase_orders[PO Number], purchase_orders[[#This Row],[PO Number]])</f>
        <v>1</v>
      </c>
    </row>
    <row r="326" spans="1:8" x14ac:dyDescent="0.25">
      <c r="A326" t="s">
        <v>298</v>
      </c>
      <c r="B326" t="s">
        <v>1492</v>
      </c>
      <c r="C326" s="1">
        <v>46126</v>
      </c>
      <c r="D326">
        <v>196</v>
      </c>
      <c r="E326">
        <v>105.05</v>
      </c>
      <c r="F326" t="s">
        <v>1490</v>
      </c>
      <c r="G326" s="1">
        <v>46136</v>
      </c>
      <c r="H326">
        <f>COUNTIF(purchase_orders[PO Number], purchase_orders[[#This Row],[PO Number]])</f>
        <v>1</v>
      </c>
    </row>
    <row r="327" spans="1:8" x14ac:dyDescent="0.25">
      <c r="A327" t="s">
        <v>299</v>
      </c>
      <c r="B327" t="s">
        <v>1473</v>
      </c>
      <c r="C327" s="1">
        <v>46059</v>
      </c>
      <c r="D327">
        <v>444</v>
      </c>
      <c r="E327">
        <v>123.48</v>
      </c>
      <c r="F327" t="s">
        <v>1469</v>
      </c>
      <c r="G327" s="1">
        <v>46065</v>
      </c>
      <c r="H327">
        <f>COUNTIF(purchase_orders[PO Number], purchase_orders[[#This Row],[PO Number]])</f>
        <v>1</v>
      </c>
    </row>
    <row r="328" spans="1:8" x14ac:dyDescent="0.25">
      <c r="A328" t="s">
        <v>300</v>
      </c>
      <c r="B328" t="s">
        <v>1441</v>
      </c>
      <c r="C328" s="1">
        <v>46040</v>
      </c>
      <c r="D328">
        <v>130</v>
      </c>
      <c r="E328">
        <v>156.81</v>
      </c>
      <c r="F328" t="s">
        <v>1451</v>
      </c>
      <c r="G328" s="1">
        <v>46056</v>
      </c>
      <c r="H328">
        <f>COUNTIF(purchase_orders[PO Number], purchase_orders[[#This Row],[PO Number]])</f>
        <v>1</v>
      </c>
    </row>
    <row r="329" spans="1:8" x14ac:dyDescent="0.25">
      <c r="A329" t="s">
        <v>301</v>
      </c>
      <c r="B329" t="s">
        <v>1502</v>
      </c>
      <c r="C329" s="1">
        <v>46168</v>
      </c>
      <c r="D329">
        <v>26</v>
      </c>
      <c r="E329">
        <v>122.99</v>
      </c>
      <c r="F329" t="s">
        <v>1467</v>
      </c>
      <c r="G329" s="1">
        <v>46187</v>
      </c>
      <c r="H329">
        <f>COUNTIF(purchase_orders[PO Number], purchase_orders[[#This Row],[PO Number]])</f>
        <v>1</v>
      </c>
    </row>
    <row r="330" spans="1:8" x14ac:dyDescent="0.25">
      <c r="A330" t="s">
        <v>302</v>
      </c>
      <c r="B330" t="s">
        <v>1496</v>
      </c>
      <c r="C330" s="1">
        <v>46118</v>
      </c>
      <c r="D330">
        <v>237</v>
      </c>
      <c r="E330">
        <v>153.80000000000001</v>
      </c>
      <c r="F330" t="s">
        <v>1480</v>
      </c>
      <c r="G330" s="1">
        <v>46127</v>
      </c>
      <c r="H330">
        <f>COUNTIF(purchase_orders[PO Number], purchase_orders[[#This Row],[PO Number]])</f>
        <v>1</v>
      </c>
    </row>
    <row r="331" spans="1:8" x14ac:dyDescent="0.25">
      <c r="A331" t="s">
        <v>303</v>
      </c>
      <c r="B331" t="s">
        <v>1491</v>
      </c>
      <c r="C331" s="1">
        <v>46116</v>
      </c>
      <c r="D331">
        <v>213</v>
      </c>
      <c r="E331">
        <v>66.31</v>
      </c>
      <c r="F331" t="s">
        <v>1459</v>
      </c>
      <c r="G331" s="1">
        <v>46128</v>
      </c>
      <c r="H331">
        <f>COUNTIF(purchase_orders[PO Number], purchase_orders[[#This Row],[PO Number]])</f>
        <v>1</v>
      </c>
    </row>
    <row r="332" spans="1:8" x14ac:dyDescent="0.25">
      <c r="A332" t="s">
        <v>304</v>
      </c>
      <c r="B332" t="s">
        <v>1466</v>
      </c>
      <c r="C332" s="1">
        <v>46029</v>
      </c>
      <c r="D332">
        <v>386</v>
      </c>
      <c r="E332">
        <v>41.28</v>
      </c>
      <c r="F332" t="s">
        <v>1504</v>
      </c>
      <c r="G332" s="1">
        <v>46046</v>
      </c>
      <c r="H332">
        <f>COUNTIF(purchase_orders[PO Number], purchase_orders[[#This Row],[PO Number]])</f>
        <v>1</v>
      </c>
    </row>
    <row r="333" spans="1:8" x14ac:dyDescent="0.25">
      <c r="A333" t="s">
        <v>305</v>
      </c>
      <c r="B333" t="s">
        <v>1454</v>
      </c>
      <c r="C333" s="1">
        <v>46053</v>
      </c>
      <c r="D333">
        <v>144</v>
      </c>
      <c r="E333">
        <v>156.12</v>
      </c>
      <c r="F333" t="s">
        <v>1499</v>
      </c>
      <c r="G333" s="1">
        <v>46072</v>
      </c>
      <c r="H333">
        <f>COUNTIF(purchase_orders[PO Number], purchase_orders[[#This Row],[PO Number]])</f>
        <v>1</v>
      </c>
    </row>
    <row r="334" spans="1:8" x14ac:dyDescent="0.25">
      <c r="A334" t="s">
        <v>306</v>
      </c>
      <c r="B334" t="s">
        <v>1463</v>
      </c>
      <c r="C334" s="1">
        <v>46096</v>
      </c>
      <c r="D334">
        <v>365</v>
      </c>
      <c r="E334">
        <v>183.71</v>
      </c>
      <c r="F334" t="s">
        <v>1487</v>
      </c>
      <c r="G334" s="1">
        <v>46107</v>
      </c>
      <c r="H334">
        <f>COUNTIF(purchase_orders[PO Number], purchase_orders[[#This Row],[PO Number]])</f>
        <v>1</v>
      </c>
    </row>
    <row r="335" spans="1:8" x14ac:dyDescent="0.25">
      <c r="A335" t="s">
        <v>307</v>
      </c>
      <c r="B335" t="s">
        <v>1466</v>
      </c>
      <c r="C335" s="1">
        <v>46057</v>
      </c>
      <c r="D335">
        <v>446</v>
      </c>
      <c r="E335">
        <v>19.440000000000001</v>
      </c>
      <c r="F335" t="s">
        <v>1501</v>
      </c>
      <c r="G335" s="1">
        <v>46076</v>
      </c>
      <c r="H335">
        <f>COUNTIF(purchase_orders[PO Number], purchase_orders[[#This Row],[PO Number]])</f>
        <v>1</v>
      </c>
    </row>
    <row r="336" spans="1:8" x14ac:dyDescent="0.25">
      <c r="A336" t="s">
        <v>308</v>
      </c>
      <c r="B336" t="s">
        <v>1457</v>
      </c>
      <c r="C336" s="1">
        <v>46104</v>
      </c>
      <c r="D336">
        <v>351</v>
      </c>
      <c r="E336">
        <v>72.75</v>
      </c>
      <c r="F336" t="s">
        <v>1476</v>
      </c>
      <c r="G336" s="1">
        <v>46118</v>
      </c>
      <c r="H336">
        <f>COUNTIF(purchase_orders[PO Number], purchase_orders[[#This Row],[PO Number]])</f>
        <v>1</v>
      </c>
    </row>
    <row r="337" spans="1:8" x14ac:dyDescent="0.25">
      <c r="A337" t="s">
        <v>309</v>
      </c>
      <c r="B337" t="s">
        <v>1512</v>
      </c>
      <c r="C337" s="1">
        <v>46063</v>
      </c>
      <c r="D337">
        <v>374</v>
      </c>
      <c r="E337">
        <v>143.36000000000001</v>
      </c>
      <c r="F337" t="s">
        <v>1499</v>
      </c>
      <c r="G337" s="1">
        <v>46073</v>
      </c>
      <c r="H337">
        <f>COUNTIF(purchase_orders[PO Number], purchase_orders[[#This Row],[PO Number]])</f>
        <v>1</v>
      </c>
    </row>
    <row r="338" spans="1:8" x14ac:dyDescent="0.25">
      <c r="A338" t="s">
        <v>310</v>
      </c>
      <c r="B338" t="s">
        <v>1496</v>
      </c>
      <c r="C338" s="1">
        <v>46153</v>
      </c>
      <c r="D338">
        <v>124</v>
      </c>
      <c r="E338">
        <v>28.67</v>
      </c>
      <c r="F338" t="s">
        <v>1444</v>
      </c>
      <c r="G338" s="1">
        <v>46162</v>
      </c>
      <c r="H338">
        <f>COUNTIF(purchase_orders[PO Number], purchase_orders[[#This Row],[PO Number]])</f>
        <v>1</v>
      </c>
    </row>
    <row r="339" spans="1:8" x14ac:dyDescent="0.25">
      <c r="A339" t="s">
        <v>1031</v>
      </c>
      <c r="B339" t="s">
        <v>1482</v>
      </c>
      <c r="C339" s="1">
        <v>46149</v>
      </c>
      <c r="D339">
        <v>23</v>
      </c>
      <c r="E339">
        <v>75.37</v>
      </c>
      <c r="F339" t="s">
        <v>1480</v>
      </c>
      <c r="G339" s="1">
        <v>46165</v>
      </c>
      <c r="H339">
        <f>COUNTIF(purchase_orders[PO Number], purchase_orders[[#This Row],[PO Number]])</f>
        <v>1</v>
      </c>
    </row>
    <row r="340" spans="1:8" x14ac:dyDescent="0.25">
      <c r="A340" t="s">
        <v>311</v>
      </c>
      <c r="B340" t="s">
        <v>1489</v>
      </c>
      <c r="C340" s="1">
        <v>46164</v>
      </c>
      <c r="D340">
        <v>76</v>
      </c>
      <c r="E340">
        <v>124.33</v>
      </c>
      <c r="F340" t="s">
        <v>1476</v>
      </c>
      <c r="G340" s="1">
        <v>46171</v>
      </c>
      <c r="H340">
        <f>COUNTIF(purchase_orders[PO Number], purchase_orders[[#This Row],[PO Number]])</f>
        <v>1</v>
      </c>
    </row>
    <row r="341" spans="1:8" x14ac:dyDescent="0.25">
      <c r="A341" t="s">
        <v>312</v>
      </c>
      <c r="B341" t="s">
        <v>1512</v>
      </c>
      <c r="C341" s="1">
        <v>46124</v>
      </c>
      <c r="D341">
        <v>377</v>
      </c>
      <c r="E341">
        <v>145.18</v>
      </c>
      <c r="F341" t="s">
        <v>1504</v>
      </c>
      <c r="G341" s="1">
        <v>46142</v>
      </c>
      <c r="H341">
        <f>COUNTIF(purchase_orders[PO Number], purchase_orders[[#This Row],[PO Number]])</f>
        <v>1</v>
      </c>
    </row>
    <row r="342" spans="1:8" x14ac:dyDescent="0.25">
      <c r="A342" t="s">
        <v>313</v>
      </c>
      <c r="B342" t="s">
        <v>1495</v>
      </c>
      <c r="C342" s="1">
        <v>46170</v>
      </c>
      <c r="D342">
        <v>47</v>
      </c>
      <c r="E342">
        <v>29.44</v>
      </c>
      <c r="F342" t="s">
        <v>1472</v>
      </c>
      <c r="G342" s="1">
        <v>46177</v>
      </c>
      <c r="H342">
        <f>COUNTIF(purchase_orders[PO Number], purchase_orders[[#This Row],[PO Number]])</f>
        <v>1</v>
      </c>
    </row>
    <row r="343" spans="1:8" x14ac:dyDescent="0.25">
      <c r="A343" t="s">
        <v>314</v>
      </c>
      <c r="B343" t="s">
        <v>1478</v>
      </c>
      <c r="C343" s="1">
        <v>46142</v>
      </c>
      <c r="D343">
        <v>358</v>
      </c>
      <c r="E343">
        <v>105.89</v>
      </c>
      <c r="F343" t="s">
        <v>1485</v>
      </c>
      <c r="G343" s="1">
        <v>46152</v>
      </c>
      <c r="H343">
        <f>COUNTIF(purchase_orders[PO Number], purchase_orders[[#This Row],[PO Number]])</f>
        <v>1</v>
      </c>
    </row>
    <row r="344" spans="1:8" x14ac:dyDescent="0.25">
      <c r="A344" t="s">
        <v>315</v>
      </c>
      <c r="B344" t="s">
        <v>1441</v>
      </c>
      <c r="C344" s="1">
        <v>46133</v>
      </c>
      <c r="D344">
        <v>267</v>
      </c>
      <c r="E344">
        <v>182.59</v>
      </c>
      <c r="F344" t="s">
        <v>1462</v>
      </c>
      <c r="G344" s="1">
        <v>46141</v>
      </c>
      <c r="H344">
        <f>COUNTIF(purchase_orders[PO Number], purchase_orders[[#This Row],[PO Number]])</f>
        <v>1</v>
      </c>
    </row>
    <row r="345" spans="1:8" x14ac:dyDescent="0.25">
      <c r="A345" t="s">
        <v>316</v>
      </c>
      <c r="B345" t="s">
        <v>1491</v>
      </c>
      <c r="C345" s="1">
        <v>46062</v>
      </c>
      <c r="D345">
        <v>165</v>
      </c>
      <c r="E345">
        <v>37.11</v>
      </c>
      <c r="F345" t="s">
        <v>1472</v>
      </c>
      <c r="G345" s="1">
        <v>46074</v>
      </c>
      <c r="H345">
        <f>COUNTIF(purchase_orders[PO Number], purchase_orders[[#This Row],[PO Number]])</f>
        <v>1</v>
      </c>
    </row>
    <row r="346" spans="1:8" x14ac:dyDescent="0.25">
      <c r="A346" t="s">
        <v>317</v>
      </c>
      <c r="B346" t="s">
        <v>1503</v>
      </c>
      <c r="C346" s="1">
        <v>46155</v>
      </c>
      <c r="D346">
        <v>468</v>
      </c>
      <c r="E346">
        <v>60.39</v>
      </c>
      <c r="F346" t="s">
        <v>1476</v>
      </c>
      <c r="G346" s="1">
        <v>46168</v>
      </c>
      <c r="H346">
        <f>COUNTIF(purchase_orders[PO Number], purchase_orders[[#This Row],[PO Number]])</f>
        <v>1</v>
      </c>
    </row>
    <row r="347" spans="1:8" x14ac:dyDescent="0.25">
      <c r="A347" t="s">
        <v>318</v>
      </c>
      <c r="B347" t="s">
        <v>1505</v>
      </c>
      <c r="C347" s="1">
        <v>46164</v>
      </c>
      <c r="D347">
        <v>150</v>
      </c>
      <c r="E347">
        <v>29.41</v>
      </c>
      <c r="F347" t="s">
        <v>1474</v>
      </c>
      <c r="G347" s="1">
        <v>46171</v>
      </c>
      <c r="H347">
        <f>COUNTIF(purchase_orders[PO Number], purchase_orders[[#This Row],[PO Number]])</f>
        <v>1</v>
      </c>
    </row>
    <row r="348" spans="1:8" x14ac:dyDescent="0.25">
      <c r="A348" t="s">
        <v>319</v>
      </c>
      <c r="B348" t="s">
        <v>1445</v>
      </c>
      <c r="C348" s="1">
        <v>46066</v>
      </c>
      <c r="D348">
        <v>313</v>
      </c>
      <c r="E348">
        <v>188.61</v>
      </c>
      <c r="F348" t="s">
        <v>1485</v>
      </c>
      <c r="G348" s="1">
        <v>46076</v>
      </c>
      <c r="H348">
        <f>COUNTIF(purchase_orders[PO Number], purchase_orders[[#This Row],[PO Number]])</f>
        <v>1</v>
      </c>
    </row>
    <row r="349" spans="1:8" x14ac:dyDescent="0.25">
      <c r="A349" t="s">
        <v>320</v>
      </c>
      <c r="B349" t="s">
        <v>1484</v>
      </c>
      <c r="C349" s="1">
        <v>46109</v>
      </c>
      <c r="D349">
        <v>441</v>
      </c>
      <c r="E349">
        <v>185.17</v>
      </c>
      <c r="F349" t="s">
        <v>1462</v>
      </c>
      <c r="G349" s="1">
        <v>46114</v>
      </c>
      <c r="H349">
        <f>COUNTIF(purchase_orders[PO Number], purchase_orders[[#This Row],[PO Number]])</f>
        <v>1</v>
      </c>
    </row>
    <row r="350" spans="1:8" x14ac:dyDescent="0.25">
      <c r="A350" t="s">
        <v>321</v>
      </c>
      <c r="B350" t="s">
        <v>1457</v>
      </c>
      <c r="C350" s="1">
        <v>46034</v>
      </c>
      <c r="D350">
        <v>495</v>
      </c>
      <c r="E350">
        <v>130.08000000000001</v>
      </c>
      <c r="F350" t="s">
        <v>1480</v>
      </c>
      <c r="G350" s="1">
        <v>46047</v>
      </c>
      <c r="H350">
        <f>COUNTIF(purchase_orders[PO Number], purchase_orders[[#This Row],[PO Number]])</f>
        <v>1</v>
      </c>
    </row>
    <row r="351" spans="1:8" x14ac:dyDescent="0.25">
      <c r="A351" t="s">
        <v>322</v>
      </c>
      <c r="B351" t="s">
        <v>1508</v>
      </c>
      <c r="C351" s="1">
        <v>46076</v>
      </c>
      <c r="D351">
        <v>402</v>
      </c>
      <c r="E351">
        <v>116.57</v>
      </c>
      <c r="F351" t="s">
        <v>1494</v>
      </c>
      <c r="G351" s="1">
        <v>46081</v>
      </c>
      <c r="H351">
        <f>COUNTIF(purchase_orders[PO Number], purchase_orders[[#This Row],[PO Number]])</f>
        <v>1</v>
      </c>
    </row>
    <row r="352" spans="1:8" x14ac:dyDescent="0.25">
      <c r="A352" t="s">
        <v>323</v>
      </c>
      <c r="B352" t="s">
        <v>1498</v>
      </c>
      <c r="C352" s="1">
        <v>46162</v>
      </c>
      <c r="D352">
        <v>158</v>
      </c>
      <c r="E352">
        <v>130.16999999999999</v>
      </c>
      <c r="F352" t="s">
        <v>1474</v>
      </c>
      <c r="G352" s="1">
        <v>46182</v>
      </c>
      <c r="H352">
        <f>COUNTIF(purchase_orders[PO Number], purchase_orders[[#This Row],[PO Number]])</f>
        <v>1</v>
      </c>
    </row>
    <row r="353" spans="1:8" x14ac:dyDescent="0.25">
      <c r="A353" t="s">
        <v>324</v>
      </c>
      <c r="B353" t="s">
        <v>1482</v>
      </c>
      <c r="C353" s="1">
        <v>46126</v>
      </c>
      <c r="D353">
        <v>162</v>
      </c>
      <c r="E353">
        <v>93.44</v>
      </c>
      <c r="F353" t="s">
        <v>1499</v>
      </c>
      <c r="G353" s="1">
        <v>46132</v>
      </c>
      <c r="H353">
        <f>COUNTIF(purchase_orders[PO Number], purchase_orders[[#This Row],[PO Number]])</f>
        <v>1</v>
      </c>
    </row>
    <row r="354" spans="1:8" x14ac:dyDescent="0.25">
      <c r="A354" t="s">
        <v>325</v>
      </c>
      <c r="B354" t="s">
        <v>1460</v>
      </c>
      <c r="C354" s="1">
        <v>46135</v>
      </c>
      <c r="D354">
        <v>222</v>
      </c>
      <c r="E354">
        <v>99.43</v>
      </c>
      <c r="F354" t="s">
        <v>1444</v>
      </c>
      <c r="G354" s="1">
        <v>46150</v>
      </c>
      <c r="H354">
        <f>COUNTIF(purchase_orders[PO Number], purchase_orders[[#This Row],[PO Number]])</f>
        <v>1</v>
      </c>
    </row>
    <row r="355" spans="1:8" x14ac:dyDescent="0.25">
      <c r="A355" t="s">
        <v>326</v>
      </c>
      <c r="B355" t="s">
        <v>1468</v>
      </c>
      <c r="C355" s="1">
        <v>46059</v>
      </c>
      <c r="D355">
        <v>170</v>
      </c>
      <c r="E355">
        <v>172.99</v>
      </c>
      <c r="F355" t="s">
        <v>1472</v>
      </c>
      <c r="G355" s="1">
        <v>46075</v>
      </c>
      <c r="H355">
        <f>COUNTIF(purchase_orders[PO Number], purchase_orders[[#This Row],[PO Number]])</f>
        <v>1</v>
      </c>
    </row>
    <row r="356" spans="1:8" x14ac:dyDescent="0.25">
      <c r="A356" t="s">
        <v>327</v>
      </c>
      <c r="B356" t="s">
        <v>1488</v>
      </c>
      <c r="C356" s="1">
        <v>46056</v>
      </c>
      <c r="D356">
        <v>399</v>
      </c>
      <c r="E356">
        <v>77.260000000000005</v>
      </c>
      <c r="F356" t="s">
        <v>1442</v>
      </c>
      <c r="G356" s="1">
        <v>46064</v>
      </c>
      <c r="H356">
        <f>COUNTIF(purchase_orders[PO Number], purchase_orders[[#This Row],[PO Number]])</f>
        <v>1</v>
      </c>
    </row>
    <row r="357" spans="1:8" x14ac:dyDescent="0.25">
      <c r="A357" t="s">
        <v>328</v>
      </c>
      <c r="B357" t="s">
        <v>1509</v>
      </c>
      <c r="C357" s="1">
        <v>46084</v>
      </c>
      <c r="D357">
        <v>248</v>
      </c>
      <c r="E357">
        <v>28.89</v>
      </c>
      <c r="F357" t="s">
        <v>1469</v>
      </c>
      <c r="G357" s="1">
        <v>46096</v>
      </c>
      <c r="H357">
        <f>COUNTIF(purchase_orders[PO Number], purchase_orders[[#This Row],[PO Number]])</f>
        <v>1</v>
      </c>
    </row>
    <row r="358" spans="1:8" x14ac:dyDescent="0.25">
      <c r="A358" t="s">
        <v>329</v>
      </c>
      <c r="B358" t="s">
        <v>1464</v>
      </c>
      <c r="C358" s="1">
        <v>46047</v>
      </c>
      <c r="D358">
        <v>35</v>
      </c>
      <c r="E358">
        <v>61.59</v>
      </c>
      <c r="F358" t="s">
        <v>1453</v>
      </c>
      <c r="G358" s="1">
        <v>46065</v>
      </c>
      <c r="H358">
        <f>COUNTIF(purchase_orders[PO Number], purchase_orders[[#This Row],[PO Number]])</f>
        <v>1</v>
      </c>
    </row>
    <row r="359" spans="1:8" x14ac:dyDescent="0.25">
      <c r="A359" t="s">
        <v>330</v>
      </c>
      <c r="B359" t="s">
        <v>1482</v>
      </c>
      <c r="C359" s="1">
        <v>46063</v>
      </c>
      <c r="D359">
        <v>426</v>
      </c>
      <c r="E359">
        <v>68.849999999999994</v>
      </c>
      <c r="F359" t="s">
        <v>1480</v>
      </c>
      <c r="G359" s="1">
        <v>46078</v>
      </c>
      <c r="H359">
        <f>COUNTIF(purchase_orders[PO Number], purchase_orders[[#This Row],[PO Number]])</f>
        <v>1</v>
      </c>
    </row>
    <row r="360" spans="1:8" x14ac:dyDescent="0.25">
      <c r="A360" t="s">
        <v>331</v>
      </c>
      <c r="B360" t="s">
        <v>1505</v>
      </c>
      <c r="C360" s="1">
        <v>46063</v>
      </c>
      <c r="D360">
        <v>265</v>
      </c>
      <c r="E360">
        <v>199.21</v>
      </c>
      <c r="F360" t="s">
        <v>1469</v>
      </c>
      <c r="G360" s="1">
        <v>46083</v>
      </c>
      <c r="H360">
        <f>COUNTIF(purchase_orders[PO Number], purchase_orders[[#This Row],[PO Number]])</f>
        <v>1</v>
      </c>
    </row>
    <row r="361" spans="1:8" x14ac:dyDescent="0.25">
      <c r="A361" t="s">
        <v>332</v>
      </c>
      <c r="B361" t="s">
        <v>1512</v>
      </c>
      <c r="C361" s="1">
        <v>46150</v>
      </c>
      <c r="D361">
        <v>21</v>
      </c>
      <c r="E361">
        <v>22.56</v>
      </c>
      <c r="F361" t="s">
        <v>1453</v>
      </c>
      <c r="G361" s="1">
        <v>46171</v>
      </c>
      <c r="H361">
        <f>COUNTIF(purchase_orders[PO Number], purchase_orders[[#This Row],[PO Number]])</f>
        <v>1</v>
      </c>
    </row>
    <row r="362" spans="1:8" x14ac:dyDescent="0.25">
      <c r="A362" t="s">
        <v>333</v>
      </c>
      <c r="B362" t="s">
        <v>1489</v>
      </c>
      <c r="C362" s="1">
        <v>46084</v>
      </c>
      <c r="D362">
        <v>120</v>
      </c>
      <c r="E362">
        <v>118.75</v>
      </c>
      <c r="F362" t="s">
        <v>1462</v>
      </c>
      <c r="G362" s="1">
        <v>46090</v>
      </c>
      <c r="H362">
        <f>COUNTIF(purchase_orders[PO Number], purchase_orders[[#This Row],[PO Number]])</f>
        <v>1</v>
      </c>
    </row>
    <row r="363" spans="1:8" x14ac:dyDescent="0.25">
      <c r="A363" t="s">
        <v>334</v>
      </c>
      <c r="B363" t="s">
        <v>1506</v>
      </c>
      <c r="C363" s="1">
        <v>46149</v>
      </c>
      <c r="D363">
        <v>315</v>
      </c>
      <c r="E363">
        <v>177.06</v>
      </c>
      <c r="F363" t="s">
        <v>1446</v>
      </c>
      <c r="G363" s="1">
        <v>46169</v>
      </c>
      <c r="H363">
        <f>COUNTIF(purchase_orders[PO Number], purchase_orders[[#This Row],[PO Number]])</f>
        <v>1</v>
      </c>
    </row>
    <row r="364" spans="1:8" x14ac:dyDescent="0.25">
      <c r="A364" t="s">
        <v>335</v>
      </c>
      <c r="B364" t="s">
        <v>1506</v>
      </c>
      <c r="C364" s="1">
        <v>46160</v>
      </c>
      <c r="D364">
        <v>14</v>
      </c>
      <c r="E364">
        <v>170.2</v>
      </c>
      <c r="F364" t="s">
        <v>1507</v>
      </c>
      <c r="G364" s="1">
        <v>46169</v>
      </c>
      <c r="H364">
        <f>COUNTIF(purchase_orders[PO Number], purchase_orders[[#This Row],[PO Number]])</f>
        <v>1</v>
      </c>
    </row>
    <row r="365" spans="1:8" x14ac:dyDescent="0.25">
      <c r="A365" t="s">
        <v>336</v>
      </c>
      <c r="B365" t="s">
        <v>1470</v>
      </c>
      <c r="C365" s="1">
        <v>46116</v>
      </c>
      <c r="D365">
        <v>401</v>
      </c>
      <c r="E365">
        <v>83.63</v>
      </c>
      <c r="F365" t="s">
        <v>1462</v>
      </c>
      <c r="G365" s="1">
        <v>46133</v>
      </c>
      <c r="H365">
        <f>COUNTIF(purchase_orders[PO Number], purchase_orders[[#This Row],[PO Number]])</f>
        <v>1</v>
      </c>
    </row>
    <row r="366" spans="1:8" x14ac:dyDescent="0.25">
      <c r="A366" t="s">
        <v>337</v>
      </c>
      <c r="B366" t="s">
        <v>1475</v>
      </c>
      <c r="C366" s="1">
        <v>46168</v>
      </c>
      <c r="D366">
        <v>297</v>
      </c>
      <c r="E366">
        <v>42.96</v>
      </c>
      <c r="F366" t="s">
        <v>1442</v>
      </c>
      <c r="G366" s="1">
        <v>46182</v>
      </c>
      <c r="H366">
        <f>COUNTIF(purchase_orders[PO Number], purchase_orders[[#This Row],[PO Number]])</f>
        <v>1</v>
      </c>
    </row>
    <row r="367" spans="1:8" x14ac:dyDescent="0.25">
      <c r="A367" t="s">
        <v>338</v>
      </c>
      <c r="B367" t="s">
        <v>1492</v>
      </c>
      <c r="C367" s="1">
        <v>46121</v>
      </c>
      <c r="D367">
        <v>268</v>
      </c>
      <c r="E367">
        <v>92.82</v>
      </c>
      <c r="F367" t="s">
        <v>1442</v>
      </c>
      <c r="G367" s="1">
        <v>46134</v>
      </c>
      <c r="H367">
        <f>COUNTIF(purchase_orders[PO Number], purchase_orders[[#This Row],[PO Number]])</f>
        <v>1</v>
      </c>
    </row>
    <row r="368" spans="1:8" x14ac:dyDescent="0.25">
      <c r="A368" t="s">
        <v>339</v>
      </c>
      <c r="B368" t="s">
        <v>1497</v>
      </c>
      <c r="C368" s="1">
        <v>46053</v>
      </c>
      <c r="D368">
        <v>75</v>
      </c>
      <c r="E368">
        <v>195.14</v>
      </c>
      <c r="F368" t="s">
        <v>1453</v>
      </c>
      <c r="G368" s="1">
        <v>46069</v>
      </c>
      <c r="H368">
        <f>COUNTIF(purchase_orders[PO Number], purchase_orders[[#This Row],[PO Number]])</f>
        <v>1</v>
      </c>
    </row>
    <row r="369" spans="1:8" x14ac:dyDescent="0.25">
      <c r="A369" t="s">
        <v>340</v>
      </c>
      <c r="B369" t="s">
        <v>1479</v>
      </c>
      <c r="C369" s="1">
        <v>46165</v>
      </c>
      <c r="D369">
        <v>490</v>
      </c>
      <c r="E369">
        <v>76.290000000000006</v>
      </c>
      <c r="F369" t="s">
        <v>1485</v>
      </c>
      <c r="G369" s="1">
        <v>46176</v>
      </c>
      <c r="H369">
        <f>COUNTIF(purchase_orders[PO Number], purchase_orders[[#This Row],[PO Number]])</f>
        <v>1</v>
      </c>
    </row>
    <row r="370" spans="1:8" x14ac:dyDescent="0.25">
      <c r="A370" t="s">
        <v>341</v>
      </c>
      <c r="B370" t="s">
        <v>1468</v>
      </c>
      <c r="C370" s="1">
        <v>46153</v>
      </c>
      <c r="D370">
        <v>215</v>
      </c>
      <c r="E370">
        <v>102.52</v>
      </c>
      <c r="F370" t="s">
        <v>1462</v>
      </c>
      <c r="G370" s="1">
        <v>46159</v>
      </c>
      <c r="H370">
        <f>COUNTIF(purchase_orders[PO Number], purchase_orders[[#This Row],[PO Number]])</f>
        <v>1</v>
      </c>
    </row>
    <row r="371" spans="1:8" x14ac:dyDescent="0.25">
      <c r="A371" t="s">
        <v>1064</v>
      </c>
      <c r="B371" t="s">
        <v>1441</v>
      </c>
      <c r="C371" s="1">
        <v>46108</v>
      </c>
      <c r="D371">
        <v>421</v>
      </c>
      <c r="E371">
        <v>97.38</v>
      </c>
      <c r="F371" t="s">
        <v>1469</v>
      </c>
      <c r="G371" s="1">
        <v>46117</v>
      </c>
      <c r="H371">
        <f>COUNTIF(purchase_orders[PO Number], purchase_orders[[#This Row],[PO Number]])</f>
        <v>1</v>
      </c>
    </row>
    <row r="372" spans="1:8" x14ac:dyDescent="0.25">
      <c r="A372" t="s">
        <v>342</v>
      </c>
      <c r="B372" t="s">
        <v>1468</v>
      </c>
      <c r="C372" s="1">
        <v>46154</v>
      </c>
      <c r="D372">
        <v>81</v>
      </c>
      <c r="E372">
        <v>68.95</v>
      </c>
      <c r="F372" t="s">
        <v>1494</v>
      </c>
      <c r="G372" s="1">
        <v>46169</v>
      </c>
      <c r="H372">
        <f>COUNTIF(purchase_orders[PO Number], purchase_orders[[#This Row],[PO Number]])</f>
        <v>1</v>
      </c>
    </row>
    <row r="373" spans="1:8" x14ac:dyDescent="0.25">
      <c r="A373" t="s">
        <v>343</v>
      </c>
      <c r="B373" t="s">
        <v>1460</v>
      </c>
      <c r="C373" s="1">
        <v>46123</v>
      </c>
      <c r="D373">
        <v>325</v>
      </c>
      <c r="E373">
        <v>149.16999999999999</v>
      </c>
      <c r="F373" t="s">
        <v>1474</v>
      </c>
      <c r="G373" s="1">
        <v>46138</v>
      </c>
      <c r="H373">
        <f>COUNTIF(purchase_orders[PO Number], purchase_orders[[#This Row],[PO Number]])</f>
        <v>1</v>
      </c>
    </row>
    <row r="374" spans="1:8" x14ac:dyDescent="0.25">
      <c r="A374" t="s">
        <v>344</v>
      </c>
      <c r="B374" t="s">
        <v>1445</v>
      </c>
      <c r="C374" s="1">
        <v>46153</v>
      </c>
      <c r="D374">
        <v>282</v>
      </c>
      <c r="E374">
        <v>100.52</v>
      </c>
      <c r="F374" t="s">
        <v>1480</v>
      </c>
      <c r="G374" s="1">
        <v>46167</v>
      </c>
      <c r="H374">
        <f>COUNTIF(purchase_orders[PO Number], purchase_orders[[#This Row],[PO Number]])</f>
        <v>1</v>
      </c>
    </row>
    <row r="375" spans="1:8" x14ac:dyDescent="0.25">
      <c r="A375" t="s">
        <v>345</v>
      </c>
      <c r="B375" t="s">
        <v>1510</v>
      </c>
      <c r="C375" s="1">
        <v>46027</v>
      </c>
      <c r="D375">
        <v>198</v>
      </c>
      <c r="E375">
        <v>69.59</v>
      </c>
      <c r="F375" t="s">
        <v>1483</v>
      </c>
      <c r="G375" s="1">
        <v>46045</v>
      </c>
      <c r="H375">
        <f>COUNTIF(purchase_orders[PO Number], purchase_orders[[#This Row],[PO Number]])</f>
        <v>1</v>
      </c>
    </row>
    <row r="376" spans="1:8" x14ac:dyDescent="0.25">
      <c r="A376" t="s">
        <v>346</v>
      </c>
      <c r="B376" t="s">
        <v>1443</v>
      </c>
      <c r="C376" s="1">
        <v>46101</v>
      </c>
      <c r="D376">
        <v>417</v>
      </c>
      <c r="E376">
        <v>180.26</v>
      </c>
      <c r="F376" t="s">
        <v>1499</v>
      </c>
      <c r="G376" s="1">
        <v>46106</v>
      </c>
      <c r="H376">
        <f>COUNTIF(purchase_orders[PO Number], purchase_orders[[#This Row],[PO Number]])</f>
        <v>1</v>
      </c>
    </row>
    <row r="377" spans="1:8" x14ac:dyDescent="0.25">
      <c r="A377" t="s">
        <v>347</v>
      </c>
      <c r="B377" t="s">
        <v>1468</v>
      </c>
      <c r="C377" s="1">
        <v>46144</v>
      </c>
      <c r="D377">
        <v>145</v>
      </c>
      <c r="E377">
        <v>193.58</v>
      </c>
      <c r="F377" t="s">
        <v>1456</v>
      </c>
      <c r="G377" s="1">
        <v>46156</v>
      </c>
      <c r="H377">
        <f>COUNTIF(purchase_orders[PO Number], purchase_orders[[#This Row],[PO Number]])</f>
        <v>1</v>
      </c>
    </row>
    <row r="378" spans="1:8" x14ac:dyDescent="0.25">
      <c r="A378" t="s">
        <v>348</v>
      </c>
      <c r="B378" t="s">
        <v>1477</v>
      </c>
      <c r="C378" s="1">
        <v>46036</v>
      </c>
      <c r="D378">
        <v>308</v>
      </c>
      <c r="E378">
        <v>98.69</v>
      </c>
      <c r="F378" t="s">
        <v>1504</v>
      </c>
      <c r="G378" s="1">
        <v>46053</v>
      </c>
      <c r="H378">
        <f>COUNTIF(purchase_orders[PO Number], purchase_orders[[#This Row],[PO Number]])</f>
        <v>1</v>
      </c>
    </row>
    <row r="379" spans="1:8" x14ac:dyDescent="0.25">
      <c r="A379" t="s">
        <v>349</v>
      </c>
      <c r="B379" t="s">
        <v>1464</v>
      </c>
      <c r="C379" s="1">
        <v>46085</v>
      </c>
      <c r="D379">
        <v>26</v>
      </c>
      <c r="E379">
        <v>116.65</v>
      </c>
      <c r="F379" t="s">
        <v>1499</v>
      </c>
      <c r="G379" s="1">
        <v>46093</v>
      </c>
      <c r="H379">
        <f>COUNTIF(purchase_orders[PO Number], purchase_orders[[#This Row],[PO Number]])</f>
        <v>1</v>
      </c>
    </row>
    <row r="380" spans="1:8" x14ac:dyDescent="0.25">
      <c r="A380" t="s">
        <v>350</v>
      </c>
      <c r="B380" t="s">
        <v>1505</v>
      </c>
      <c r="C380" s="1">
        <v>46027</v>
      </c>
      <c r="D380">
        <v>235</v>
      </c>
      <c r="E380">
        <v>66.17</v>
      </c>
      <c r="F380" t="s">
        <v>1485</v>
      </c>
      <c r="G380" s="1">
        <v>46045</v>
      </c>
      <c r="H380">
        <f>COUNTIF(purchase_orders[PO Number], purchase_orders[[#This Row],[PO Number]])</f>
        <v>1</v>
      </c>
    </row>
    <row r="381" spans="1:8" x14ac:dyDescent="0.25">
      <c r="A381" t="s">
        <v>351</v>
      </c>
      <c r="B381" t="s">
        <v>1449</v>
      </c>
      <c r="C381" s="1">
        <v>46075</v>
      </c>
      <c r="D381">
        <v>220</v>
      </c>
      <c r="E381">
        <v>102.85</v>
      </c>
      <c r="F381" t="s">
        <v>1494</v>
      </c>
      <c r="G381" s="1">
        <v>46095</v>
      </c>
      <c r="H381">
        <f>COUNTIF(purchase_orders[PO Number], purchase_orders[[#This Row],[PO Number]])</f>
        <v>1</v>
      </c>
    </row>
    <row r="382" spans="1:8" x14ac:dyDescent="0.25">
      <c r="A382" t="s">
        <v>352</v>
      </c>
      <c r="B382" t="s">
        <v>1465</v>
      </c>
      <c r="C382" s="1">
        <v>46038</v>
      </c>
      <c r="D382">
        <v>371</v>
      </c>
      <c r="E382">
        <v>31.93</v>
      </c>
      <c r="F382" t="s">
        <v>1444</v>
      </c>
      <c r="G382" s="1">
        <v>46053</v>
      </c>
      <c r="H382">
        <f>COUNTIF(purchase_orders[PO Number], purchase_orders[[#This Row],[PO Number]])</f>
        <v>1</v>
      </c>
    </row>
    <row r="383" spans="1:8" x14ac:dyDescent="0.25">
      <c r="A383" t="s">
        <v>353</v>
      </c>
      <c r="B383" t="s">
        <v>1484</v>
      </c>
      <c r="C383" s="1">
        <v>46145</v>
      </c>
      <c r="D383">
        <v>279</v>
      </c>
      <c r="E383">
        <v>78.48</v>
      </c>
      <c r="F383" t="s">
        <v>1501</v>
      </c>
      <c r="G383" s="1">
        <v>46164</v>
      </c>
      <c r="H383">
        <f>COUNTIF(purchase_orders[PO Number], purchase_orders[[#This Row],[PO Number]])</f>
        <v>1</v>
      </c>
    </row>
    <row r="384" spans="1:8" x14ac:dyDescent="0.25">
      <c r="A384" t="s">
        <v>354</v>
      </c>
      <c r="B384" t="s">
        <v>1471</v>
      </c>
      <c r="C384" s="1">
        <v>46110</v>
      </c>
      <c r="D384">
        <v>289</v>
      </c>
      <c r="E384">
        <v>74.09</v>
      </c>
      <c r="F384" t="s">
        <v>1456</v>
      </c>
      <c r="G384" s="1">
        <v>46123</v>
      </c>
      <c r="H384">
        <f>COUNTIF(purchase_orders[PO Number], purchase_orders[[#This Row],[PO Number]])</f>
        <v>1</v>
      </c>
    </row>
    <row r="385" spans="1:8" x14ac:dyDescent="0.25">
      <c r="A385" t="s">
        <v>355</v>
      </c>
      <c r="B385" t="s">
        <v>1497</v>
      </c>
      <c r="C385" s="1">
        <v>46146</v>
      </c>
      <c r="D385">
        <v>108</v>
      </c>
      <c r="E385">
        <v>191.68</v>
      </c>
      <c r="F385" t="s">
        <v>1458</v>
      </c>
      <c r="G385" s="1">
        <v>46160</v>
      </c>
      <c r="H385">
        <f>COUNTIF(purchase_orders[PO Number], purchase_orders[[#This Row],[PO Number]])</f>
        <v>1</v>
      </c>
    </row>
    <row r="386" spans="1:8" x14ac:dyDescent="0.25">
      <c r="A386" t="s">
        <v>1080</v>
      </c>
      <c r="B386" t="s">
        <v>1447</v>
      </c>
      <c r="C386" s="1">
        <v>46099</v>
      </c>
      <c r="D386">
        <v>404</v>
      </c>
      <c r="E386">
        <v>61.36</v>
      </c>
      <c r="F386" t="s">
        <v>1459</v>
      </c>
      <c r="G386" s="1">
        <v>46119</v>
      </c>
      <c r="H386">
        <f>COUNTIF(purchase_orders[PO Number], purchase_orders[[#This Row],[PO Number]])</f>
        <v>1</v>
      </c>
    </row>
    <row r="387" spans="1:8" x14ac:dyDescent="0.25">
      <c r="A387" t="s">
        <v>356</v>
      </c>
      <c r="B387" t="s">
        <v>1509</v>
      </c>
      <c r="C387" s="1">
        <v>46145</v>
      </c>
      <c r="D387">
        <v>188</v>
      </c>
      <c r="E387">
        <v>114.3</v>
      </c>
      <c r="F387" t="s">
        <v>1490</v>
      </c>
      <c r="G387" s="1">
        <v>46158</v>
      </c>
      <c r="H387">
        <f>COUNTIF(purchase_orders[PO Number], purchase_orders[[#This Row],[PO Number]])</f>
        <v>1</v>
      </c>
    </row>
    <row r="388" spans="1:8" x14ac:dyDescent="0.25">
      <c r="A388" t="s">
        <v>357</v>
      </c>
      <c r="B388" t="s">
        <v>1506</v>
      </c>
      <c r="C388" s="1">
        <v>46054</v>
      </c>
      <c r="D388">
        <v>303</v>
      </c>
      <c r="E388">
        <v>136.94</v>
      </c>
      <c r="F388" t="s">
        <v>1453</v>
      </c>
      <c r="G388" s="1">
        <v>46071</v>
      </c>
      <c r="H388">
        <f>COUNTIF(purchase_orders[PO Number], purchase_orders[[#This Row],[PO Number]])</f>
        <v>1</v>
      </c>
    </row>
    <row r="389" spans="1:8" x14ac:dyDescent="0.25">
      <c r="A389" t="s">
        <v>358</v>
      </c>
      <c r="B389" t="s">
        <v>1503</v>
      </c>
      <c r="C389" s="1">
        <v>46060</v>
      </c>
      <c r="D389">
        <v>158</v>
      </c>
      <c r="E389">
        <v>13.2</v>
      </c>
      <c r="F389" t="s">
        <v>1499</v>
      </c>
      <c r="G389" s="1">
        <v>46067</v>
      </c>
      <c r="H389">
        <f>COUNTIF(purchase_orders[PO Number], purchase_orders[[#This Row],[PO Number]])</f>
        <v>1</v>
      </c>
    </row>
    <row r="390" spans="1:8" x14ac:dyDescent="0.25">
      <c r="A390" t="s">
        <v>359</v>
      </c>
      <c r="B390" t="s">
        <v>1503</v>
      </c>
      <c r="C390" s="1">
        <v>46136</v>
      </c>
      <c r="D390">
        <v>345</v>
      </c>
      <c r="E390">
        <v>55.01</v>
      </c>
      <c r="F390" t="s">
        <v>1487</v>
      </c>
      <c r="G390" s="1">
        <v>46147</v>
      </c>
      <c r="H390">
        <f>COUNTIF(purchase_orders[PO Number], purchase_orders[[#This Row],[PO Number]])</f>
        <v>1</v>
      </c>
    </row>
    <row r="391" spans="1:8" x14ac:dyDescent="0.25">
      <c r="A391" t="s">
        <v>360</v>
      </c>
      <c r="B391" t="s">
        <v>1505</v>
      </c>
      <c r="C391" s="1">
        <v>46160</v>
      </c>
      <c r="D391">
        <v>148</v>
      </c>
      <c r="E391">
        <v>186.94</v>
      </c>
      <c r="F391" t="s">
        <v>1499</v>
      </c>
      <c r="G391" s="1">
        <v>46173</v>
      </c>
      <c r="H391">
        <f>COUNTIF(purchase_orders[PO Number], purchase_orders[[#This Row],[PO Number]])</f>
        <v>1</v>
      </c>
    </row>
    <row r="392" spans="1:8" x14ac:dyDescent="0.25">
      <c r="A392" t="s">
        <v>361</v>
      </c>
      <c r="B392" t="s">
        <v>1441</v>
      </c>
      <c r="C392" s="1">
        <v>46050</v>
      </c>
      <c r="D392">
        <v>325</v>
      </c>
      <c r="E392">
        <v>149.47</v>
      </c>
      <c r="F392" t="s">
        <v>1440</v>
      </c>
      <c r="G392" s="1">
        <v>46062</v>
      </c>
      <c r="H392">
        <f>COUNTIF(purchase_orders[PO Number], purchase_orders[[#This Row],[PO Number]])</f>
        <v>1</v>
      </c>
    </row>
    <row r="393" spans="1:8" x14ac:dyDescent="0.25">
      <c r="A393" t="s">
        <v>1088</v>
      </c>
      <c r="B393" t="s">
        <v>1475</v>
      </c>
      <c r="C393" s="1">
        <v>46158</v>
      </c>
      <c r="D393">
        <v>125</v>
      </c>
      <c r="E393">
        <v>129.4</v>
      </c>
      <c r="F393" t="s">
        <v>1462</v>
      </c>
      <c r="G393" s="1">
        <v>46166</v>
      </c>
      <c r="H393">
        <f>COUNTIF(purchase_orders[PO Number], purchase_orders[[#This Row],[PO Number]])</f>
        <v>1</v>
      </c>
    </row>
    <row r="394" spans="1:8" x14ac:dyDescent="0.25">
      <c r="A394" t="s">
        <v>1090</v>
      </c>
      <c r="B394" t="s">
        <v>1495</v>
      </c>
      <c r="C394" s="1">
        <v>46107</v>
      </c>
      <c r="D394">
        <v>377</v>
      </c>
      <c r="E394">
        <v>97.12</v>
      </c>
      <c r="F394" t="s">
        <v>1467</v>
      </c>
      <c r="G394" s="1">
        <v>46116</v>
      </c>
      <c r="H394">
        <f>COUNTIF(purchase_orders[PO Number], purchase_orders[[#This Row],[PO Number]])</f>
        <v>1</v>
      </c>
    </row>
    <row r="395" spans="1:8" x14ac:dyDescent="0.25">
      <c r="A395" t="s">
        <v>1092</v>
      </c>
      <c r="B395" t="s">
        <v>1481</v>
      </c>
      <c r="C395" s="1">
        <v>46163</v>
      </c>
      <c r="D395">
        <v>485</v>
      </c>
      <c r="E395">
        <v>35.799999999999997</v>
      </c>
      <c r="F395" t="s">
        <v>1446</v>
      </c>
      <c r="G395" s="1">
        <v>46183</v>
      </c>
      <c r="H395">
        <f>COUNTIF(purchase_orders[PO Number], purchase_orders[[#This Row],[PO Number]])</f>
        <v>1</v>
      </c>
    </row>
    <row r="396" spans="1:8" x14ac:dyDescent="0.25">
      <c r="A396" t="s">
        <v>362</v>
      </c>
      <c r="B396" t="s">
        <v>1510</v>
      </c>
      <c r="C396" s="1">
        <v>46074</v>
      </c>
      <c r="D396">
        <v>397</v>
      </c>
      <c r="E396">
        <v>192.96</v>
      </c>
      <c r="F396" t="s">
        <v>1472</v>
      </c>
      <c r="G396" s="1">
        <v>46088</v>
      </c>
      <c r="H396">
        <f>COUNTIF(purchase_orders[PO Number], purchase_orders[[#This Row],[PO Number]])</f>
        <v>1</v>
      </c>
    </row>
    <row r="397" spans="1:8" x14ac:dyDescent="0.25">
      <c r="A397" t="s">
        <v>363</v>
      </c>
      <c r="B397" t="s">
        <v>1508</v>
      </c>
      <c r="C397" s="1">
        <v>46038</v>
      </c>
      <c r="D397">
        <v>474</v>
      </c>
      <c r="E397">
        <v>154.9</v>
      </c>
      <c r="F397" t="s">
        <v>1446</v>
      </c>
      <c r="G397" s="1">
        <v>46050</v>
      </c>
      <c r="H397">
        <f>COUNTIF(purchase_orders[PO Number], purchase_orders[[#This Row],[PO Number]])</f>
        <v>1</v>
      </c>
    </row>
    <row r="398" spans="1:8" x14ac:dyDescent="0.25">
      <c r="A398" t="s">
        <v>1096</v>
      </c>
      <c r="B398" t="s">
        <v>1471</v>
      </c>
      <c r="C398" s="1">
        <v>46032</v>
      </c>
      <c r="D398">
        <v>477</v>
      </c>
      <c r="E398">
        <v>184.69</v>
      </c>
      <c r="F398" t="s">
        <v>1507</v>
      </c>
      <c r="G398" s="1">
        <v>46042</v>
      </c>
      <c r="H398">
        <f>COUNTIF(purchase_orders[PO Number], purchase_orders[[#This Row],[PO Number]])</f>
        <v>1</v>
      </c>
    </row>
    <row r="399" spans="1:8" x14ac:dyDescent="0.25">
      <c r="A399" t="s">
        <v>364</v>
      </c>
      <c r="B399" t="s">
        <v>1452</v>
      </c>
      <c r="C399" s="1">
        <v>46124</v>
      </c>
      <c r="D399">
        <v>413</v>
      </c>
      <c r="E399">
        <v>101.6</v>
      </c>
      <c r="F399" t="s">
        <v>1490</v>
      </c>
      <c r="G399" s="1">
        <v>46138</v>
      </c>
      <c r="H399">
        <f>COUNTIF(purchase_orders[PO Number], purchase_orders[[#This Row],[PO Number]])</f>
        <v>1</v>
      </c>
    </row>
    <row r="400" spans="1:8" x14ac:dyDescent="0.25">
      <c r="A400" t="s">
        <v>365</v>
      </c>
      <c r="B400" t="s">
        <v>1452</v>
      </c>
      <c r="C400" s="1">
        <v>46025</v>
      </c>
      <c r="D400">
        <v>162</v>
      </c>
      <c r="E400">
        <v>115.75</v>
      </c>
      <c r="F400" t="s">
        <v>1483</v>
      </c>
      <c r="G400" s="1">
        <v>46040</v>
      </c>
      <c r="H400">
        <f>COUNTIF(purchase_orders[PO Number], purchase_orders[[#This Row],[PO Number]])</f>
        <v>1</v>
      </c>
    </row>
    <row r="401" spans="1:8" x14ac:dyDescent="0.25">
      <c r="A401" t="s">
        <v>366</v>
      </c>
      <c r="B401" t="s">
        <v>1506</v>
      </c>
      <c r="C401" s="1">
        <v>46139</v>
      </c>
      <c r="D401">
        <v>338</v>
      </c>
      <c r="E401">
        <v>110.94</v>
      </c>
      <c r="F401" t="s">
        <v>1487</v>
      </c>
      <c r="G401" s="1">
        <v>46148</v>
      </c>
      <c r="H401">
        <f>COUNTIF(purchase_orders[PO Number], purchase_orders[[#This Row],[PO Number]])</f>
        <v>1</v>
      </c>
    </row>
    <row r="402" spans="1:8" x14ac:dyDescent="0.25">
      <c r="A402" t="s">
        <v>367</v>
      </c>
      <c r="B402" t="s">
        <v>1445</v>
      </c>
      <c r="C402" s="1">
        <v>46142</v>
      </c>
      <c r="D402">
        <v>149</v>
      </c>
      <c r="E402">
        <v>42.6</v>
      </c>
      <c r="F402" t="s">
        <v>1483</v>
      </c>
      <c r="G402" s="1">
        <v>46157</v>
      </c>
      <c r="H402">
        <f>COUNTIF(purchase_orders[PO Number], purchase_orders[[#This Row],[PO Number]])</f>
        <v>1</v>
      </c>
    </row>
    <row r="403" spans="1:8" x14ac:dyDescent="0.25">
      <c r="A403" t="s">
        <v>368</v>
      </c>
      <c r="B403" t="s">
        <v>1460</v>
      </c>
      <c r="C403" s="1">
        <v>46140</v>
      </c>
      <c r="D403">
        <v>341</v>
      </c>
      <c r="E403">
        <v>55.17</v>
      </c>
      <c r="F403" t="s">
        <v>1501</v>
      </c>
      <c r="G403" s="1">
        <v>46145</v>
      </c>
      <c r="H403">
        <f>COUNTIF(purchase_orders[PO Number], purchase_orders[[#This Row],[PO Number]])</f>
        <v>1</v>
      </c>
    </row>
    <row r="404" spans="1:8" x14ac:dyDescent="0.25">
      <c r="A404" t="s">
        <v>369</v>
      </c>
      <c r="B404" t="s">
        <v>1465</v>
      </c>
      <c r="C404" s="1">
        <v>46109</v>
      </c>
      <c r="D404">
        <v>414</v>
      </c>
      <c r="E404">
        <v>62.53</v>
      </c>
      <c r="F404" t="s">
        <v>1467</v>
      </c>
      <c r="G404" s="1">
        <v>46120</v>
      </c>
      <c r="H404">
        <f>COUNTIF(purchase_orders[PO Number], purchase_orders[[#This Row],[PO Number]])</f>
        <v>1</v>
      </c>
    </row>
    <row r="405" spans="1:8" x14ac:dyDescent="0.25">
      <c r="A405" t="s">
        <v>370</v>
      </c>
      <c r="B405" t="s">
        <v>1486</v>
      </c>
      <c r="C405" s="1">
        <v>46126</v>
      </c>
      <c r="D405">
        <v>433</v>
      </c>
      <c r="E405">
        <v>88.4</v>
      </c>
      <c r="F405" t="s">
        <v>1472</v>
      </c>
      <c r="G405" s="1">
        <v>46133</v>
      </c>
      <c r="H405">
        <f>COUNTIF(purchase_orders[PO Number], purchase_orders[[#This Row],[PO Number]])</f>
        <v>1</v>
      </c>
    </row>
    <row r="406" spans="1:8" x14ac:dyDescent="0.25">
      <c r="A406" t="s">
        <v>371</v>
      </c>
      <c r="B406" t="s">
        <v>1488</v>
      </c>
      <c r="C406" s="1">
        <v>46047</v>
      </c>
      <c r="D406">
        <v>104</v>
      </c>
      <c r="E406">
        <v>196.43</v>
      </c>
      <c r="F406" t="s">
        <v>1487</v>
      </c>
      <c r="G406" s="1">
        <v>46062</v>
      </c>
      <c r="H406">
        <f>COUNTIF(purchase_orders[PO Number], purchase_orders[[#This Row],[PO Number]])</f>
        <v>1</v>
      </c>
    </row>
    <row r="407" spans="1:8" x14ac:dyDescent="0.25">
      <c r="A407" t="s">
        <v>372</v>
      </c>
      <c r="B407" t="s">
        <v>1482</v>
      </c>
      <c r="C407" s="1">
        <v>46024</v>
      </c>
      <c r="D407">
        <v>143</v>
      </c>
      <c r="E407">
        <v>79.8</v>
      </c>
      <c r="F407" t="s">
        <v>1469</v>
      </c>
      <c r="G407" s="1">
        <v>46037</v>
      </c>
      <c r="H407">
        <f>COUNTIF(purchase_orders[PO Number], purchase_orders[[#This Row],[PO Number]])</f>
        <v>1</v>
      </c>
    </row>
    <row r="408" spans="1:8" x14ac:dyDescent="0.25">
      <c r="A408" t="s">
        <v>373</v>
      </c>
      <c r="B408" t="s">
        <v>1479</v>
      </c>
      <c r="C408" s="1">
        <v>46100</v>
      </c>
      <c r="D408">
        <v>308</v>
      </c>
      <c r="E408">
        <v>145.96</v>
      </c>
      <c r="F408" t="s">
        <v>1448</v>
      </c>
      <c r="G408" s="1">
        <v>46113</v>
      </c>
      <c r="H408">
        <f>COUNTIF(purchase_orders[PO Number], purchase_orders[[#This Row],[PO Number]])</f>
        <v>1</v>
      </c>
    </row>
    <row r="409" spans="1:8" x14ac:dyDescent="0.25">
      <c r="A409" t="s">
        <v>374</v>
      </c>
      <c r="B409" t="s">
        <v>1508</v>
      </c>
      <c r="C409" s="1">
        <v>46115</v>
      </c>
      <c r="D409">
        <v>364</v>
      </c>
      <c r="E409">
        <v>51.08</v>
      </c>
      <c r="F409" t="s">
        <v>1467</v>
      </c>
      <c r="G409" s="1">
        <v>46123</v>
      </c>
      <c r="H409">
        <f>COUNTIF(purchase_orders[PO Number], purchase_orders[[#This Row],[PO Number]])</f>
        <v>1</v>
      </c>
    </row>
    <row r="410" spans="1:8" x14ac:dyDescent="0.25">
      <c r="A410" t="s">
        <v>375</v>
      </c>
      <c r="B410" t="s">
        <v>1489</v>
      </c>
      <c r="C410" s="1">
        <v>46101</v>
      </c>
      <c r="D410">
        <v>91</v>
      </c>
      <c r="E410">
        <v>84.06</v>
      </c>
      <c r="F410" t="s">
        <v>1504</v>
      </c>
      <c r="G410" s="1">
        <v>46115</v>
      </c>
      <c r="H410">
        <f>COUNTIF(purchase_orders[PO Number], purchase_orders[[#This Row],[PO Number]])</f>
        <v>1</v>
      </c>
    </row>
    <row r="411" spans="1:8" x14ac:dyDescent="0.25">
      <c r="A411" t="s">
        <v>376</v>
      </c>
      <c r="B411" t="s">
        <v>1449</v>
      </c>
      <c r="C411" s="1">
        <v>46053</v>
      </c>
      <c r="D411">
        <v>337</v>
      </c>
      <c r="E411">
        <v>183.65</v>
      </c>
      <c r="F411" t="s">
        <v>1474</v>
      </c>
      <c r="G411" s="1">
        <v>46069</v>
      </c>
      <c r="H411">
        <f>COUNTIF(purchase_orders[PO Number], purchase_orders[[#This Row],[PO Number]])</f>
        <v>1</v>
      </c>
    </row>
    <row r="412" spans="1:8" x14ac:dyDescent="0.25">
      <c r="A412" t="s">
        <v>377</v>
      </c>
      <c r="B412" t="s">
        <v>1497</v>
      </c>
      <c r="C412" s="1">
        <v>46079</v>
      </c>
      <c r="D412">
        <v>122</v>
      </c>
      <c r="E412">
        <v>191.69</v>
      </c>
      <c r="F412" t="s">
        <v>1459</v>
      </c>
      <c r="G412" s="1">
        <v>46088</v>
      </c>
      <c r="H412">
        <f>COUNTIF(purchase_orders[PO Number], purchase_orders[[#This Row],[PO Number]])</f>
        <v>1</v>
      </c>
    </row>
    <row r="413" spans="1:8" x14ac:dyDescent="0.25">
      <c r="A413" t="s">
        <v>378</v>
      </c>
      <c r="B413" t="s">
        <v>1489</v>
      </c>
      <c r="C413" s="1">
        <v>46118</v>
      </c>
      <c r="D413">
        <v>222</v>
      </c>
      <c r="E413">
        <v>141.88</v>
      </c>
      <c r="F413" t="s">
        <v>1487</v>
      </c>
      <c r="G413" s="1">
        <v>46129</v>
      </c>
      <c r="H413">
        <f>COUNTIF(purchase_orders[PO Number], purchase_orders[[#This Row],[PO Number]])</f>
        <v>1</v>
      </c>
    </row>
    <row r="414" spans="1:8" x14ac:dyDescent="0.25">
      <c r="A414" t="s">
        <v>1113</v>
      </c>
      <c r="B414" t="s">
        <v>1482</v>
      </c>
      <c r="C414" s="1">
        <v>46043</v>
      </c>
      <c r="D414">
        <v>279</v>
      </c>
      <c r="E414">
        <v>92.12</v>
      </c>
      <c r="F414" t="s">
        <v>1499</v>
      </c>
      <c r="G414" s="1">
        <v>46059</v>
      </c>
      <c r="H414">
        <f>COUNTIF(purchase_orders[PO Number], purchase_orders[[#This Row],[PO Number]])</f>
        <v>1</v>
      </c>
    </row>
    <row r="415" spans="1:8" x14ac:dyDescent="0.25">
      <c r="A415" t="s">
        <v>379</v>
      </c>
      <c r="B415" t="s">
        <v>1492</v>
      </c>
      <c r="C415" s="1">
        <v>46167</v>
      </c>
      <c r="D415">
        <v>67</v>
      </c>
      <c r="E415">
        <v>17.04</v>
      </c>
      <c r="F415" t="s">
        <v>1442</v>
      </c>
      <c r="G415" s="1">
        <v>46188</v>
      </c>
      <c r="H415">
        <f>COUNTIF(purchase_orders[PO Number], purchase_orders[[#This Row],[PO Number]])</f>
        <v>1</v>
      </c>
    </row>
    <row r="416" spans="1:8" x14ac:dyDescent="0.25">
      <c r="A416" t="s">
        <v>380</v>
      </c>
      <c r="B416" t="s">
        <v>1505</v>
      </c>
      <c r="C416" s="1">
        <v>46169</v>
      </c>
      <c r="D416">
        <v>284</v>
      </c>
      <c r="E416">
        <v>34.22</v>
      </c>
      <c r="F416" t="s">
        <v>1472</v>
      </c>
      <c r="G416" s="1">
        <v>46190</v>
      </c>
      <c r="H416">
        <f>COUNTIF(purchase_orders[PO Number], purchase_orders[[#This Row],[PO Number]])</f>
        <v>1</v>
      </c>
    </row>
    <row r="417" spans="1:8" x14ac:dyDescent="0.25">
      <c r="A417" t="s">
        <v>381</v>
      </c>
      <c r="B417" t="s">
        <v>1478</v>
      </c>
      <c r="C417" s="1">
        <v>46052</v>
      </c>
      <c r="D417">
        <v>358</v>
      </c>
      <c r="E417">
        <v>45.05</v>
      </c>
      <c r="F417" t="s">
        <v>1480</v>
      </c>
      <c r="G417" s="1">
        <v>46072</v>
      </c>
      <c r="H417">
        <f>COUNTIF(purchase_orders[PO Number], purchase_orders[[#This Row],[PO Number]])</f>
        <v>1</v>
      </c>
    </row>
    <row r="418" spans="1:8" x14ac:dyDescent="0.25">
      <c r="A418" t="s">
        <v>382</v>
      </c>
      <c r="B418" t="s">
        <v>1457</v>
      </c>
      <c r="C418" s="1">
        <v>46153</v>
      </c>
      <c r="D418">
        <v>238</v>
      </c>
      <c r="E418">
        <v>162.69</v>
      </c>
      <c r="F418" t="s">
        <v>1469</v>
      </c>
      <c r="G418" s="1">
        <v>46162</v>
      </c>
      <c r="H418">
        <f>COUNTIF(purchase_orders[PO Number], purchase_orders[[#This Row],[PO Number]])</f>
        <v>1</v>
      </c>
    </row>
    <row r="419" spans="1:8" x14ac:dyDescent="0.25">
      <c r="A419" t="s">
        <v>383</v>
      </c>
      <c r="B419" t="s">
        <v>1445</v>
      </c>
      <c r="C419" s="1">
        <v>46129</v>
      </c>
      <c r="D419">
        <v>243</v>
      </c>
      <c r="E419">
        <v>114.96</v>
      </c>
      <c r="F419" t="s">
        <v>1442</v>
      </c>
      <c r="G419" s="1">
        <v>46148</v>
      </c>
      <c r="H419">
        <f>COUNTIF(purchase_orders[PO Number], purchase_orders[[#This Row],[PO Number]])</f>
        <v>1</v>
      </c>
    </row>
    <row r="420" spans="1:8" x14ac:dyDescent="0.25">
      <c r="A420" t="s">
        <v>384</v>
      </c>
      <c r="B420" t="s">
        <v>1461</v>
      </c>
      <c r="C420" s="1">
        <v>46101</v>
      </c>
      <c r="D420">
        <v>380</v>
      </c>
      <c r="E420">
        <v>9.25</v>
      </c>
      <c r="F420" t="s">
        <v>1458</v>
      </c>
      <c r="G420" s="1">
        <v>46106</v>
      </c>
      <c r="H420">
        <f>COUNTIF(purchase_orders[PO Number], purchase_orders[[#This Row],[PO Number]])</f>
        <v>1</v>
      </c>
    </row>
    <row r="421" spans="1:8" x14ac:dyDescent="0.25">
      <c r="A421" t="s">
        <v>385</v>
      </c>
      <c r="B421" t="s">
        <v>1465</v>
      </c>
      <c r="C421" s="1">
        <v>46078</v>
      </c>
      <c r="D421">
        <v>306</v>
      </c>
      <c r="E421">
        <v>19.239999999999998</v>
      </c>
      <c r="F421" t="s">
        <v>1507</v>
      </c>
      <c r="G421" s="1">
        <v>46094</v>
      </c>
      <c r="H421">
        <f>COUNTIF(purchase_orders[PO Number], purchase_orders[[#This Row],[PO Number]])</f>
        <v>1</v>
      </c>
    </row>
    <row r="422" spans="1:8" x14ac:dyDescent="0.25">
      <c r="A422" t="s">
        <v>1122</v>
      </c>
      <c r="B422" t="s">
        <v>1449</v>
      </c>
      <c r="C422" s="1">
        <v>46039</v>
      </c>
      <c r="D422">
        <v>287</v>
      </c>
      <c r="E422">
        <v>198.85</v>
      </c>
      <c r="F422" t="s">
        <v>1476</v>
      </c>
      <c r="G422" s="1">
        <v>46059</v>
      </c>
      <c r="H422">
        <f>COUNTIF(purchase_orders[PO Number], purchase_orders[[#This Row],[PO Number]])</f>
        <v>1</v>
      </c>
    </row>
    <row r="423" spans="1:8" x14ac:dyDescent="0.25">
      <c r="A423" t="s">
        <v>386</v>
      </c>
      <c r="B423" t="s">
        <v>1452</v>
      </c>
      <c r="C423" s="1">
        <v>46096</v>
      </c>
      <c r="D423">
        <v>219</v>
      </c>
      <c r="E423">
        <v>40.1</v>
      </c>
      <c r="F423" t="s">
        <v>1485</v>
      </c>
      <c r="G423" s="1">
        <v>46114</v>
      </c>
      <c r="H423">
        <f>COUNTIF(purchase_orders[PO Number], purchase_orders[[#This Row],[PO Number]])</f>
        <v>1</v>
      </c>
    </row>
    <row r="424" spans="1:8" x14ac:dyDescent="0.25">
      <c r="A424" t="s">
        <v>387</v>
      </c>
      <c r="B424" t="s">
        <v>1496</v>
      </c>
      <c r="C424" s="1">
        <v>46120</v>
      </c>
      <c r="D424">
        <v>239</v>
      </c>
      <c r="E424">
        <v>174.58</v>
      </c>
      <c r="F424" t="s">
        <v>1453</v>
      </c>
      <c r="G424" s="1">
        <v>46137</v>
      </c>
      <c r="H424">
        <f>COUNTIF(purchase_orders[PO Number], purchase_orders[[#This Row],[PO Number]])</f>
        <v>1</v>
      </c>
    </row>
    <row r="425" spans="1:8" x14ac:dyDescent="0.25">
      <c r="A425" t="s">
        <v>1126</v>
      </c>
      <c r="B425" t="s">
        <v>1457</v>
      </c>
      <c r="C425" s="1">
        <v>46161</v>
      </c>
      <c r="D425">
        <v>78</v>
      </c>
      <c r="E425">
        <v>132.44</v>
      </c>
      <c r="F425" t="s">
        <v>1451</v>
      </c>
      <c r="G425" s="1">
        <v>46169</v>
      </c>
      <c r="H425">
        <f>COUNTIF(purchase_orders[PO Number], purchase_orders[[#This Row],[PO Number]])</f>
        <v>1</v>
      </c>
    </row>
    <row r="426" spans="1:8" x14ac:dyDescent="0.25">
      <c r="A426" t="s">
        <v>388</v>
      </c>
      <c r="B426" t="s">
        <v>1486</v>
      </c>
      <c r="C426" s="1">
        <v>46160</v>
      </c>
      <c r="D426">
        <v>211</v>
      </c>
      <c r="E426">
        <v>108.12</v>
      </c>
      <c r="F426" t="s">
        <v>1490</v>
      </c>
      <c r="G426" s="1">
        <v>46172</v>
      </c>
      <c r="H426">
        <f>COUNTIF(purchase_orders[PO Number], purchase_orders[[#This Row],[PO Number]])</f>
        <v>1</v>
      </c>
    </row>
    <row r="427" spans="1:8" x14ac:dyDescent="0.25">
      <c r="A427" t="s">
        <v>389</v>
      </c>
      <c r="B427" t="s">
        <v>1481</v>
      </c>
      <c r="C427" s="1">
        <v>46028</v>
      </c>
      <c r="D427">
        <v>162</v>
      </c>
      <c r="E427">
        <v>95.29</v>
      </c>
      <c r="F427" t="s">
        <v>1490</v>
      </c>
      <c r="G427" s="1">
        <v>46046</v>
      </c>
      <c r="H427">
        <f>COUNTIF(purchase_orders[PO Number], purchase_orders[[#This Row],[PO Number]])</f>
        <v>1</v>
      </c>
    </row>
    <row r="428" spans="1:8" x14ac:dyDescent="0.25">
      <c r="A428" t="s">
        <v>390</v>
      </c>
      <c r="B428" t="s">
        <v>1471</v>
      </c>
      <c r="C428" s="1">
        <v>46120</v>
      </c>
      <c r="D428">
        <v>431</v>
      </c>
      <c r="E428">
        <v>49.78</v>
      </c>
      <c r="F428" t="s">
        <v>1469</v>
      </c>
      <c r="G428" s="1">
        <v>46136</v>
      </c>
      <c r="H428">
        <f>COUNTIF(purchase_orders[PO Number], purchase_orders[[#This Row],[PO Number]])</f>
        <v>1</v>
      </c>
    </row>
    <row r="429" spans="1:8" x14ac:dyDescent="0.25">
      <c r="A429" t="s">
        <v>391</v>
      </c>
      <c r="B429" t="s">
        <v>1464</v>
      </c>
      <c r="C429" s="1">
        <v>46093</v>
      </c>
      <c r="D429">
        <v>106</v>
      </c>
      <c r="E429">
        <v>187.8</v>
      </c>
      <c r="F429" t="s">
        <v>1490</v>
      </c>
      <c r="G429" s="1">
        <v>46101</v>
      </c>
      <c r="H429">
        <f>COUNTIF(purchase_orders[PO Number], purchase_orders[[#This Row],[PO Number]])</f>
        <v>1</v>
      </c>
    </row>
    <row r="430" spans="1:8" x14ac:dyDescent="0.25">
      <c r="A430" t="s">
        <v>392</v>
      </c>
      <c r="B430" t="s">
        <v>1452</v>
      </c>
      <c r="C430" s="1">
        <v>46130</v>
      </c>
      <c r="D430">
        <v>324</v>
      </c>
      <c r="E430">
        <v>154.38</v>
      </c>
      <c r="F430" t="s">
        <v>1448</v>
      </c>
      <c r="G430" s="1">
        <v>46142</v>
      </c>
      <c r="H430">
        <f>COUNTIF(purchase_orders[PO Number], purchase_orders[[#This Row],[PO Number]])</f>
        <v>1</v>
      </c>
    </row>
    <row r="431" spans="1:8" x14ac:dyDescent="0.25">
      <c r="A431" t="s">
        <v>393</v>
      </c>
      <c r="B431" t="s">
        <v>1463</v>
      </c>
      <c r="C431" s="1">
        <v>46040</v>
      </c>
      <c r="D431">
        <v>61</v>
      </c>
      <c r="E431">
        <v>120.82</v>
      </c>
      <c r="F431" t="s">
        <v>1469</v>
      </c>
      <c r="G431" s="1">
        <v>46046</v>
      </c>
      <c r="H431">
        <f>COUNTIF(purchase_orders[PO Number], purchase_orders[[#This Row],[PO Number]])</f>
        <v>1</v>
      </c>
    </row>
    <row r="432" spans="1:8" x14ac:dyDescent="0.25">
      <c r="A432" t="s">
        <v>394</v>
      </c>
      <c r="B432" t="s">
        <v>1482</v>
      </c>
      <c r="C432" s="1">
        <v>46034</v>
      </c>
      <c r="D432">
        <v>215</v>
      </c>
      <c r="E432">
        <v>90.6</v>
      </c>
      <c r="F432" t="s">
        <v>1442</v>
      </c>
      <c r="G432" s="1">
        <v>46045</v>
      </c>
      <c r="H432">
        <f>COUNTIF(purchase_orders[PO Number], purchase_orders[[#This Row],[PO Number]])</f>
        <v>1</v>
      </c>
    </row>
    <row r="433" spans="1:8" x14ac:dyDescent="0.25">
      <c r="A433" t="s">
        <v>1135</v>
      </c>
      <c r="B433" t="s">
        <v>1475</v>
      </c>
      <c r="C433" s="1">
        <v>46058</v>
      </c>
      <c r="D433">
        <v>267</v>
      </c>
      <c r="E433">
        <v>198.73</v>
      </c>
      <c r="F433" t="s">
        <v>1440</v>
      </c>
      <c r="G433" s="1">
        <v>46073</v>
      </c>
      <c r="H433">
        <f>COUNTIF(purchase_orders[PO Number], purchase_orders[[#This Row],[PO Number]])</f>
        <v>1</v>
      </c>
    </row>
    <row r="434" spans="1:8" x14ac:dyDescent="0.25">
      <c r="A434" t="s">
        <v>395</v>
      </c>
      <c r="B434" t="s">
        <v>1493</v>
      </c>
      <c r="C434" s="1">
        <v>46105</v>
      </c>
      <c r="D434">
        <v>131</v>
      </c>
      <c r="E434">
        <v>63.84</v>
      </c>
      <c r="F434" t="s">
        <v>1485</v>
      </c>
      <c r="G434" s="1">
        <v>46126</v>
      </c>
      <c r="H434">
        <f>COUNTIF(purchase_orders[PO Number], purchase_orders[[#This Row],[PO Number]])</f>
        <v>1</v>
      </c>
    </row>
    <row r="435" spans="1:8" x14ac:dyDescent="0.25">
      <c r="A435" t="s">
        <v>396</v>
      </c>
      <c r="B435" t="s">
        <v>1447</v>
      </c>
      <c r="C435" s="1">
        <v>46128</v>
      </c>
      <c r="D435">
        <v>163</v>
      </c>
      <c r="E435">
        <v>58.66</v>
      </c>
      <c r="F435" t="s">
        <v>1442</v>
      </c>
      <c r="G435" s="1">
        <v>46138</v>
      </c>
      <c r="H435">
        <f>COUNTIF(purchase_orders[PO Number], purchase_orders[[#This Row],[PO Number]])</f>
        <v>1</v>
      </c>
    </row>
    <row r="436" spans="1:8" x14ac:dyDescent="0.25">
      <c r="A436" t="s">
        <v>397</v>
      </c>
      <c r="B436" t="s">
        <v>1439</v>
      </c>
      <c r="C436" s="1">
        <v>46132</v>
      </c>
      <c r="D436">
        <v>294</v>
      </c>
      <c r="E436">
        <v>101.65</v>
      </c>
      <c r="F436" t="s">
        <v>1451</v>
      </c>
      <c r="G436" s="1">
        <v>46149</v>
      </c>
      <c r="H436">
        <f>COUNTIF(purchase_orders[PO Number], purchase_orders[[#This Row],[PO Number]])</f>
        <v>1</v>
      </c>
    </row>
    <row r="437" spans="1:8" x14ac:dyDescent="0.25">
      <c r="A437" t="s">
        <v>398</v>
      </c>
      <c r="B437" t="s">
        <v>1491</v>
      </c>
      <c r="C437" s="1">
        <v>46104</v>
      </c>
      <c r="D437">
        <v>366</v>
      </c>
      <c r="E437">
        <v>86.18</v>
      </c>
      <c r="F437" t="s">
        <v>1485</v>
      </c>
      <c r="G437" s="1">
        <v>46118</v>
      </c>
      <c r="H437">
        <f>COUNTIF(purchase_orders[PO Number], purchase_orders[[#This Row],[PO Number]])</f>
        <v>1</v>
      </c>
    </row>
    <row r="438" spans="1:8" x14ac:dyDescent="0.25">
      <c r="A438" t="s">
        <v>399</v>
      </c>
      <c r="B438" t="s">
        <v>1502</v>
      </c>
      <c r="C438" s="1">
        <v>46070</v>
      </c>
      <c r="D438">
        <v>396</v>
      </c>
      <c r="E438">
        <v>109.9</v>
      </c>
      <c r="F438" t="s">
        <v>1440</v>
      </c>
      <c r="G438" s="1">
        <v>46082</v>
      </c>
      <c r="H438">
        <f>COUNTIF(purchase_orders[PO Number], purchase_orders[[#This Row],[PO Number]])</f>
        <v>1</v>
      </c>
    </row>
    <row r="439" spans="1:8" x14ac:dyDescent="0.25">
      <c r="A439" t="s">
        <v>400</v>
      </c>
      <c r="B439" t="s">
        <v>1512</v>
      </c>
      <c r="C439" s="1">
        <v>46059</v>
      </c>
      <c r="D439">
        <v>422</v>
      </c>
      <c r="E439">
        <v>95.29</v>
      </c>
      <c r="F439" t="s">
        <v>1459</v>
      </c>
      <c r="G439" s="1">
        <v>46077</v>
      </c>
      <c r="H439">
        <f>COUNTIF(purchase_orders[PO Number], purchase_orders[[#This Row],[PO Number]])</f>
        <v>1</v>
      </c>
    </row>
    <row r="440" spans="1:8" x14ac:dyDescent="0.25">
      <c r="A440" t="s">
        <v>1143</v>
      </c>
      <c r="B440" t="s">
        <v>1495</v>
      </c>
      <c r="C440" s="1">
        <v>46165</v>
      </c>
      <c r="D440">
        <v>281</v>
      </c>
      <c r="E440">
        <v>31.15</v>
      </c>
      <c r="F440" t="s">
        <v>1440</v>
      </c>
      <c r="G440" s="1">
        <v>46178</v>
      </c>
      <c r="H440">
        <f>COUNTIF(purchase_orders[PO Number], purchase_orders[[#This Row],[PO Number]])</f>
        <v>1</v>
      </c>
    </row>
    <row r="441" spans="1:8" x14ac:dyDescent="0.25">
      <c r="A441" t="s">
        <v>401</v>
      </c>
      <c r="B441" t="s">
        <v>1463</v>
      </c>
      <c r="C441" s="1">
        <v>46107</v>
      </c>
      <c r="D441">
        <v>341</v>
      </c>
      <c r="E441">
        <v>20.420000000000002</v>
      </c>
      <c r="F441" t="s">
        <v>1469</v>
      </c>
      <c r="G441" s="1">
        <v>46123</v>
      </c>
      <c r="H441">
        <f>COUNTIF(purchase_orders[PO Number], purchase_orders[[#This Row],[PO Number]])</f>
        <v>1</v>
      </c>
    </row>
    <row r="442" spans="1:8" x14ac:dyDescent="0.25">
      <c r="A442" t="s">
        <v>402</v>
      </c>
      <c r="B442" t="s">
        <v>1457</v>
      </c>
      <c r="C442" s="1">
        <v>46160</v>
      </c>
      <c r="D442">
        <v>380</v>
      </c>
      <c r="E442">
        <v>166.73</v>
      </c>
      <c r="F442" t="s">
        <v>1462</v>
      </c>
      <c r="G442" s="1">
        <v>46173</v>
      </c>
      <c r="H442">
        <f>COUNTIF(purchase_orders[PO Number], purchase_orders[[#This Row],[PO Number]])</f>
        <v>1</v>
      </c>
    </row>
    <row r="443" spans="1:8" x14ac:dyDescent="0.25">
      <c r="A443" t="s">
        <v>403</v>
      </c>
      <c r="B443" t="s">
        <v>1502</v>
      </c>
      <c r="C443" s="1">
        <v>46033</v>
      </c>
      <c r="D443">
        <v>457</v>
      </c>
      <c r="E443">
        <v>19.190000000000001</v>
      </c>
      <c r="F443" t="s">
        <v>1456</v>
      </c>
      <c r="G443" s="1">
        <v>46044</v>
      </c>
      <c r="H443">
        <f>COUNTIF(purchase_orders[PO Number], purchase_orders[[#This Row],[PO Number]])</f>
        <v>1</v>
      </c>
    </row>
    <row r="444" spans="1:8" x14ac:dyDescent="0.25">
      <c r="A444" t="s">
        <v>404</v>
      </c>
      <c r="B444" t="s">
        <v>1510</v>
      </c>
      <c r="C444" s="1">
        <v>46076</v>
      </c>
      <c r="D444">
        <v>455</v>
      </c>
      <c r="E444">
        <v>181.87</v>
      </c>
      <c r="F444" t="s">
        <v>1459</v>
      </c>
      <c r="G444" s="1">
        <v>46081</v>
      </c>
      <c r="H444">
        <f>COUNTIF(purchase_orders[PO Number], purchase_orders[[#This Row],[PO Number]])</f>
        <v>1</v>
      </c>
    </row>
    <row r="445" spans="1:8" x14ac:dyDescent="0.25">
      <c r="A445" t="s">
        <v>405</v>
      </c>
      <c r="B445" t="s">
        <v>1463</v>
      </c>
      <c r="C445" s="1">
        <v>46071</v>
      </c>
      <c r="D445">
        <v>389</v>
      </c>
      <c r="E445">
        <v>27.88</v>
      </c>
      <c r="F445" t="s">
        <v>1456</v>
      </c>
      <c r="G445" s="1">
        <v>46091</v>
      </c>
      <c r="H445">
        <f>COUNTIF(purchase_orders[PO Number], purchase_orders[[#This Row],[PO Number]])</f>
        <v>1</v>
      </c>
    </row>
    <row r="446" spans="1:8" x14ac:dyDescent="0.25">
      <c r="A446" t="s">
        <v>406</v>
      </c>
      <c r="B446" t="s">
        <v>1482</v>
      </c>
      <c r="C446" s="1">
        <v>46075</v>
      </c>
      <c r="D446">
        <v>213</v>
      </c>
      <c r="E446">
        <v>183.45</v>
      </c>
      <c r="F446" t="s">
        <v>1442</v>
      </c>
      <c r="G446" s="1">
        <v>46090</v>
      </c>
      <c r="H446">
        <f>COUNTIF(purchase_orders[PO Number], purchase_orders[[#This Row],[PO Number]])</f>
        <v>1</v>
      </c>
    </row>
    <row r="447" spans="1:8" x14ac:dyDescent="0.25">
      <c r="A447" t="s">
        <v>407</v>
      </c>
      <c r="B447" t="s">
        <v>1506</v>
      </c>
      <c r="C447" s="1">
        <v>46120</v>
      </c>
      <c r="D447">
        <v>248</v>
      </c>
      <c r="E447">
        <v>109.06</v>
      </c>
      <c r="F447" t="s">
        <v>1459</v>
      </c>
      <c r="G447" s="1">
        <v>46134</v>
      </c>
      <c r="H447">
        <f>COUNTIF(purchase_orders[PO Number], purchase_orders[[#This Row],[PO Number]])</f>
        <v>1</v>
      </c>
    </row>
    <row r="448" spans="1:8" x14ac:dyDescent="0.25">
      <c r="A448" t="s">
        <v>408</v>
      </c>
      <c r="B448" t="s">
        <v>1470</v>
      </c>
      <c r="C448" s="1">
        <v>46115</v>
      </c>
      <c r="D448">
        <v>272</v>
      </c>
      <c r="E448">
        <v>177.15</v>
      </c>
      <c r="F448" t="s">
        <v>1469</v>
      </c>
      <c r="G448" s="1">
        <v>46123</v>
      </c>
      <c r="H448">
        <f>COUNTIF(purchase_orders[PO Number], purchase_orders[[#This Row],[PO Number]])</f>
        <v>1</v>
      </c>
    </row>
    <row r="449" spans="1:8" x14ac:dyDescent="0.25">
      <c r="A449" t="s">
        <v>409</v>
      </c>
      <c r="B449" t="s">
        <v>1477</v>
      </c>
      <c r="C449" s="1">
        <v>46143</v>
      </c>
      <c r="D449">
        <v>399</v>
      </c>
      <c r="E449">
        <v>168.75</v>
      </c>
      <c r="F449" t="s">
        <v>1444</v>
      </c>
      <c r="G449" s="1">
        <v>46159</v>
      </c>
      <c r="H449">
        <f>COUNTIF(purchase_orders[PO Number], purchase_orders[[#This Row],[PO Number]])</f>
        <v>1</v>
      </c>
    </row>
    <row r="450" spans="1:8" x14ac:dyDescent="0.25">
      <c r="A450" t="s">
        <v>410</v>
      </c>
      <c r="B450" t="s">
        <v>1509</v>
      </c>
      <c r="C450" s="1">
        <v>46128</v>
      </c>
      <c r="D450">
        <v>33</v>
      </c>
      <c r="E450">
        <v>114.69</v>
      </c>
      <c r="F450" t="s">
        <v>1440</v>
      </c>
      <c r="G450" s="1">
        <v>46137</v>
      </c>
      <c r="H450">
        <f>COUNTIF(purchase_orders[PO Number], purchase_orders[[#This Row],[PO Number]])</f>
        <v>1</v>
      </c>
    </row>
    <row r="451" spans="1:8" x14ac:dyDescent="0.25">
      <c r="A451" t="s">
        <v>411</v>
      </c>
      <c r="B451" t="s">
        <v>1473</v>
      </c>
      <c r="C451" s="1">
        <v>46089</v>
      </c>
      <c r="D451">
        <v>293</v>
      </c>
      <c r="E451">
        <v>187.28</v>
      </c>
      <c r="F451" t="s">
        <v>1480</v>
      </c>
      <c r="G451" s="1">
        <v>46107</v>
      </c>
      <c r="H451">
        <f>COUNTIF(purchase_orders[PO Number], purchase_orders[[#This Row],[PO Number]])</f>
        <v>1</v>
      </c>
    </row>
    <row r="452" spans="1:8" x14ac:dyDescent="0.25">
      <c r="A452" t="s">
        <v>412</v>
      </c>
      <c r="B452" t="s">
        <v>1506</v>
      </c>
      <c r="C452" s="1">
        <v>46062</v>
      </c>
      <c r="D452">
        <v>110</v>
      </c>
      <c r="E452">
        <v>69.319999999999993</v>
      </c>
      <c r="F452" t="s">
        <v>1453</v>
      </c>
      <c r="G452" s="1">
        <v>46074</v>
      </c>
      <c r="H452">
        <f>COUNTIF(purchase_orders[PO Number], purchase_orders[[#This Row],[PO Number]])</f>
        <v>1</v>
      </c>
    </row>
    <row r="453" spans="1:8" x14ac:dyDescent="0.25">
      <c r="A453" t="s">
        <v>413</v>
      </c>
      <c r="B453" t="s">
        <v>1498</v>
      </c>
      <c r="C453" s="1">
        <v>46163</v>
      </c>
      <c r="D453">
        <v>345</v>
      </c>
      <c r="E453">
        <v>188.98</v>
      </c>
      <c r="F453" t="s">
        <v>1472</v>
      </c>
      <c r="G453" s="1">
        <v>46176</v>
      </c>
      <c r="H453">
        <f>COUNTIF(purchase_orders[PO Number], purchase_orders[[#This Row],[PO Number]])</f>
        <v>1</v>
      </c>
    </row>
    <row r="454" spans="1:8" x14ac:dyDescent="0.25">
      <c r="A454" t="s">
        <v>414</v>
      </c>
      <c r="B454" t="s">
        <v>1498</v>
      </c>
      <c r="C454" s="1">
        <v>46148</v>
      </c>
      <c r="D454">
        <v>245</v>
      </c>
      <c r="E454">
        <v>37.81</v>
      </c>
      <c r="F454" t="s">
        <v>1451</v>
      </c>
      <c r="G454" s="1">
        <v>46158</v>
      </c>
      <c r="H454">
        <f>COUNTIF(purchase_orders[PO Number], purchase_orders[[#This Row],[PO Number]])</f>
        <v>1</v>
      </c>
    </row>
    <row r="455" spans="1:8" x14ac:dyDescent="0.25">
      <c r="A455" t="s">
        <v>415</v>
      </c>
      <c r="B455" t="s">
        <v>1441</v>
      </c>
      <c r="C455" s="1">
        <v>46162</v>
      </c>
      <c r="D455">
        <v>260</v>
      </c>
      <c r="E455">
        <v>40.89</v>
      </c>
      <c r="F455" t="s">
        <v>1442</v>
      </c>
      <c r="G455" s="1">
        <v>46168</v>
      </c>
      <c r="H455">
        <f>COUNTIF(purchase_orders[PO Number], purchase_orders[[#This Row],[PO Number]])</f>
        <v>1</v>
      </c>
    </row>
    <row r="456" spans="1:8" x14ac:dyDescent="0.25">
      <c r="A456" t="s">
        <v>416</v>
      </c>
      <c r="B456" t="s">
        <v>1491</v>
      </c>
      <c r="C456" s="1">
        <v>46031</v>
      </c>
      <c r="D456">
        <v>439</v>
      </c>
      <c r="E456">
        <v>170.11</v>
      </c>
      <c r="F456" t="s">
        <v>1467</v>
      </c>
      <c r="G456" s="1">
        <v>46037</v>
      </c>
      <c r="H456">
        <f>COUNTIF(purchase_orders[PO Number], purchase_orders[[#This Row],[PO Number]])</f>
        <v>1</v>
      </c>
    </row>
    <row r="457" spans="1:8" x14ac:dyDescent="0.25">
      <c r="A457" t="s">
        <v>417</v>
      </c>
      <c r="B457" t="s">
        <v>1481</v>
      </c>
      <c r="C457" s="1">
        <v>46128</v>
      </c>
      <c r="D457">
        <v>80</v>
      </c>
      <c r="E457">
        <v>169.3</v>
      </c>
      <c r="F457" t="s">
        <v>1440</v>
      </c>
      <c r="G457" s="1">
        <v>46135</v>
      </c>
      <c r="H457">
        <f>COUNTIF(purchase_orders[PO Number], purchase_orders[[#This Row],[PO Number]])</f>
        <v>1</v>
      </c>
    </row>
    <row r="458" spans="1:8" x14ac:dyDescent="0.25">
      <c r="A458" t="s">
        <v>418</v>
      </c>
      <c r="B458" t="s">
        <v>1455</v>
      </c>
      <c r="C458" s="1">
        <v>46061</v>
      </c>
      <c r="D458">
        <v>14</v>
      </c>
      <c r="E458">
        <v>47.65</v>
      </c>
      <c r="F458" t="s">
        <v>1469</v>
      </c>
      <c r="G458" s="1">
        <v>46077</v>
      </c>
      <c r="H458">
        <f>COUNTIF(purchase_orders[PO Number], purchase_orders[[#This Row],[PO Number]])</f>
        <v>1</v>
      </c>
    </row>
    <row r="459" spans="1:8" x14ac:dyDescent="0.25">
      <c r="A459" t="s">
        <v>1164</v>
      </c>
      <c r="B459" t="s">
        <v>1475</v>
      </c>
      <c r="C459" s="1">
        <v>46146</v>
      </c>
      <c r="D459">
        <v>347</v>
      </c>
      <c r="E459">
        <v>100.13</v>
      </c>
      <c r="F459" t="s">
        <v>1448</v>
      </c>
      <c r="G459" s="1">
        <v>46164</v>
      </c>
      <c r="H459">
        <f>COUNTIF(purchase_orders[PO Number], purchase_orders[[#This Row],[PO Number]])</f>
        <v>1</v>
      </c>
    </row>
    <row r="460" spans="1:8" x14ac:dyDescent="0.25">
      <c r="A460" t="s">
        <v>419</v>
      </c>
      <c r="B460" t="s">
        <v>1481</v>
      </c>
      <c r="C460" s="1">
        <v>46027</v>
      </c>
      <c r="D460">
        <v>281</v>
      </c>
      <c r="E460">
        <v>145.83000000000001</v>
      </c>
      <c r="F460" t="s">
        <v>1442</v>
      </c>
      <c r="G460" s="1">
        <v>46041</v>
      </c>
      <c r="H460">
        <f>COUNTIF(purchase_orders[PO Number], purchase_orders[[#This Row],[PO Number]])</f>
        <v>1</v>
      </c>
    </row>
    <row r="461" spans="1:8" x14ac:dyDescent="0.25">
      <c r="A461" t="s">
        <v>420</v>
      </c>
      <c r="B461" t="s">
        <v>1473</v>
      </c>
      <c r="C461" s="1">
        <v>46151</v>
      </c>
      <c r="D461">
        <v>426</v>
      </c>
      <c r="E461">
        <v>141.08000000000001</v>
      </c>
      <c r="F461" t="s">
        <v>1507</v>
      </c>
      <c r="G461" s="1">
        <v>46161</v>
      </c>
      <c r="H461">
        <f>COUNTIF(purchase_orders[PO Number], purchase_orders[[#This Row],[PO Number]])</f>
        <v>1</v>
      </c>
    </row>
    <row r="462" spans="1:8" x14ac:dyDescent="0.25">
      <c r="A462" t="s">
        <v>421</v>
      </c>
      <c r="B462" t="s">
        <v>1450</v>
      </c>
      <c r="C462" s="1">
        <v>46047</v>
      </c>
      <c r="D462">
        <v>278</v>
      </c>
      <c r="E462">
        <v>34.04</v>
      </c>
      <c r="F462" t="s">
        <v>1444</v>
      </c>
      <c r="G462" s="1">
        <v>46068</v>
      </c>
      <c r="H462">
        <f>COUNTIF(purchase_orders[PO Number], purchase_orders[[#This Row],[PO Number]])</f>
        <v>1</v>
      </c>
    </row>
    <row r="463" spans="1:8" x14ac:dyDescent="0.25">
      <c r="A463" t="s">
        <v>422</v>
      </c>
      <c r="B463" t="s">
        <v>1470</v>
      </c>
      <c r="C463" s="1">
        <v>46113</v>
      </c>
      <c r="D463">
        <v>146</v>
      </c>
      <c r="E463">
        <v>160.01</v>
      </c>
      <c r="F463" t="s">
        <v>1476</v>
      </c>
      <c r="G463" s="1">
        <v>46129</v>
      </c>
      <c r="H463">
        <f>COUNTIF(purchase_orders[PO Number], purchase_orders[[#This Row],[PO Number]])</f>
        <v>1</v>
      </c>
    </row>
    <row r="464" spans="1:8" x14ac:dyDescent="0.25">
      <c r="A464" t="s">
        <v>423</v>
      </c>
      <c r="B464" t="s">
        <v>1488</v>
      </c>
      <c r="C464" s="1">
        <v>46140</v>
      </c>
      <c r="D464">
        <v>299</v>
      </c>
      <c r="E464">
        <v>52.43</v>
      </c>
      <c r="F464" t="s">
        <v>1499</v>
      </c>
      <c r="G464" s="1">
        <v>46152</v>
      </c>
      <c r="H464">
        <f>COUNTIF(purchase_orders[PO Number], purchase_orders[[#This Row],[PO Number]])</f>
        <v>1</v>
      </c>
    </row>
    <row r="465" spans="1:8" x14ac:dyDescent="0.25">
      <c r="A465" t="s">
        <v>424</v>
      </c>
      <c r="B465" t="s">
        <v>1512</v>
      </c>
      <c r="C465" s="1">
        <v>46043</v>
      </c>
      <c r="D465">
        <v>344</v>
      </c>
      <c r="E465">
        <v>198.38</v>
      </c>
      <c r="F465" t="s">
        <v>1446</v>
      </c>
      <c r="G465" s="1">
        <v>46049</v>
      </c>
      <c r="H465">
        <f>COUNTIF(purchase_orders[PO Number], purchase_orders[[#This Row],[PO Number]])</f>
        <v>1</v>
      </c>
    </row>
    <row r="466" spans="1:8" x14ac:dyDescent="0.25">
      <c r="A466" t="s">
        <v>425</v>
      </c>
      <c r="B466" t="s">
        <v>1457</v>
      </c>
      <c r="C466" s="1">
        <v>46126</v>
      </c>
      <c r="D466">
        <v>204</v>
      </c>
      <c r="E466">
        <v>78.55</v>
      </c>
      <c r="F466" t="s">
        <v>1487</v>
      </c>
      <c r="G466" s="1">
        <v>46132</v>
      </c>
      <c r="H466">
        <f>COUNTIF(purchase_orders[PO Number], purchase_orders[[#This Row],[PO Number]])</f>
        <v>1</v>
      </c>
    </row>
    <row r="467" spans="1:8" x14ac:dyDescent="0.25">
      <c r="A467" t="s">
        <v>426</v>
      </c>
      <c r="B467" t="s">
        <v>1439</v>
      </c>
      <c r="C467" s="1">
        <v>46025</v>
      </c>
      <c r="D467">
        <v>369</v>
      </c>
      <c r="E467">
        <v>38.42</v>
      </c>
      <c r="F467" t="s">
        <v>1487</v>
      </c>
      <c r="G467" s="1">
        <v>46043</v>
      </c>
      <c r="H467">
        <f>COUNTIF(purchase_orders[PO Number], purchase_orders[[#This Row],[PO Number]])</f>
        <v>1</v>
      </c>
    </row>
    <row r="468" spans="1:8" x14ac:dyDescent="0.25">
      <c r="A468" t="s">
        <v>427</v>
      </c>
      <c r="B468" t="s">
        <v>1508</v>
      </c>
      <c r="C468" s="1">
        <v>46107</v>
      </c>
      <c r="D468">
        <v>299</v>
      </c>
      <c r="E468">
        <v>195.58</v>
      </c>
      <c r="F468" t="s">
        <v>1483</v>
      </c>
      <c r="G468" s="1">
        <v>46128</v>
      </c>
      <c r="H468">
        <f>COUNTIF(purchase_orders[PO Number], purchase_orders[[#This Row],[PO Number]])</f>
        <v>1</v>
      </c>
    </row>
    <row r="469" spans="1:8" x14ac:dyDescent="0.25">
      <c r="A469" t="s">
        <v>428</v>
      </c>
      <c r="B469" t="s">
        <v>1452</v>
      </c>
      <c r="C469" s="1">
        <v>46081</v>
      </c>
      <c r="D469">
        <v>118</v>
      </c>
      <c r="E469">
        <v>180.75</v>
      </c>
      <c r="F469" t="s">
        <v>1499</v>
      </c>
      <c r="G469" s="1">
        <v>46101</v>
      </c>
      <c r="H469">
        <f>COUNTIF(purchase_orders[PO Number], purchase_orders[[#This Row],[PO Number]])</f>
        <v>1</v>
      </c>
    </row>
    <row r="470" spans="1:8" x14ac:dyDescent="0.25">
      <c r="A470" t="s">
        <v>429</v>
      </c>
      <c r="B470" t="s">
        <v>1511</v>
      </c>
      <c r="C470" s="1">
        <v>46034</v>
      </c>
      <c r="D470">
        <v>483</v>
      </c>
      <c r="E470">
        <v>19.5</v>
      </c>
      <c r="F470" t="s">
        <v>1458</v>
      </c>
      <c r="G470" s="1">
        <v>46040</v>
      </c>
      <c r="H470">
        <f>COUNTIF(purchase_orders[PO Number], purchase_orders[[#This Row],[PO Number]])</f>
        <v>1</v>
      </c>
    </row>
    <row r="471" spans="1:8" x14ac:dyDescent="0.25">
      <c r="A471" t="s">
        <v>1178</v>
      </c>
      <c r="B471" t="s">
        <v>1486</v>
      </c>
      <c r="C471" s="1">
        <v>46103</v>
      </c>
      <c r="D471">
        <v>18</v>
      </c>
      <c r="E471">
        <v>192.49</v>
      </c>
      <c r="F471" t="s">
        <v>1480</v>
      </c>
      <c r="G471" s="1">
        <v>46112</v>
      </c>
      <c r="H471">
        <f>COUNTIF(purchase_orders[PO Number], purchase_orders[[#This Row],[PO Number]])</f>
        <v>1</v>
      </c>
    </row>
    <row r="472" spans="1:8" x14ac:dyDescent="0.25">
      <c r="A472" t="s">
        <v>430</v>
      </c>
      <c r="B472" t="s">
        <v>1455</v>
      </c>
      <c r="C472" s="1">
        <v>46124</v>
      </c>
      <c r="D472">
        <v>485</v>
      </c>
      <c r="E472">
        <v>20</v>
      </c>
      <c r="F472" t="s">
        <v>1501</v>
      </c>
      <c r="G472" s="1">
        <v>46136</v>
      </c>
      <c r="H472">
        <f>COUNTIF(purchase_orders[PO Number], purchase_orders[[#This Row],[PO Number]])</f>
        <v>1</v>
      </c>
    </row>
    <row r="473" spans="1:8" x14ac:dyDescent="0.25">
      <c r="A473" t="s">
        <v>431</v>
      </c>
      <c r="B473" t="s">
        <v>1493</v>
      </c>
      <c r="C473" s="1">
        <v>46122</v>
      </c>
      <c r="D473">
        <v>356</v>
      </c>
      <c r="E473">
        <v>179.82</v>
      </c>
      <c r="F473" t="s">
        <v>1472</v>
      </c>
      <c r="G473" s="1">
        <v>46139</v>
      </c>
      <c r="H473">
        <f>COUNTIF(purchase_orders[PO Number], purchase_orders[[#This Row],[PO Number]])</f>
        <v>1</v>
      </c>
    </row>
    <row r="474" spans="1:8" x14ac:dyDescent="0.25">
      <c r="A474" t="s">
        <v>432</v>
      </c>
      <c r="B474" t="s">
        <v>1465</v>
      </c>
      <c r="C474" s="1">
        <v>46058</v>
      </c>
      <c r="D474">
        <v>414</v>
      </c>
      <c r="E474">
        <v>197.75</v>
      </c>
      <c r="F474" t="s">
        <v>1490</v>
      </c>
      <c r="G474" s="1">
        <v>46065</v>
      </c>
      <c r="H474">
        <f>COUNTIF(purchase_orders[PO Number], purchase_orders[[#This Row],[PO Number]])</f>
        <v>1</v>
      </c>
    </row>
    <row r="475" spans="1:8" x14ac:dyDescent="0.25">
      <c r="A475" t="s">
        <v>433</v>
      </c>
      <c r="B475" t="s">
        <v>1445</v>
      </c>
      <c r="C475" s="1">
        <v>46111</v>
      </c>
      <c r="D475">
        <v>37</v>
      </c>
      <c r="E475">
        <v>24.05</v>
      </c>
      <c r="F475" t="s">
        <v>1440</v>
      </c>
      <c r="G475" s="1">
        <v>46118</v>
      </c>
      <c r="H475">
        <f>COUNTIF(purchase_orders[PO Number], purchase_orders[[#This Row],[PO Number]])</f>
        <v>1</v>
      </c>
    </row>
    <row r="476" spans="1:8" x14ac:dyDescent="0.25">
      <c r="A476" t="s">
        <v>434</v>
      </c>
      <c r="B476" t="s">
        <v>1479</v>
      </c>
      <c r="C476" s="1">
        <v>46124</v>
      </c>
      <c r="D476">
        <v>406</v>
      </c>
      <c r="E476">
        <v>68.64</v>
      </c>
      <c r="F476" t="s">
        <v>1446</v>
      </c>
      <c r="G476" s="1">
        <v>46137</v>
      </c>
      <c r="H476">
        <f>COUNTIF(purchase_orders[PO Number], purchase_orders[[#This Row],[PO Number]])</f>
        <v>1</v>
      </c>
    </row>
    <row r="477" spans="1:8" x14ac:dyDescent="0.25">
      <c r="A477" t="s">
        <v>435</v>
      </c>
      <c r="B477" t="s">
        <v>1478</v>
      </c>
      <c r="C477" s="1">
        <v>46148</v>
      </c>
      <c r="D477">
        <v>126</v>
      </c>
      <c r="E477">
        <v>74.38</v>
      </c>
      <c r="F477" t="s">
        <v>1453</v>
      </c>
      <c r="G477" s="1">
        <v>46166</v>
      </c>
      <c r="H477">
        <f>COUNTIF(purchase_orders[PO Number], purchase_orders[[#This Row],[PO Number]])</f>
        <v>1</v>
      </c>
    </row>
    <row r="478" spans="1:8" x14ac:dyDescent="0.25">
      <c r="A478" t="s">
        <v>1187</v>
      </c>
      <c r="B478" t="s">
        <v>1486</v>
      </c>
      <c r="C478" s="1">
        <v>46172</v>
      </c>
      <c r="D478">
        <v>348</v>
      </c>
      <c r="E478">
        <v>79.11</v>
      </c>
      <c r="F478" t="s">
        <v>1456</v>
      </c>
      <c r="G478" s="1">
        <v>46186</v>
      </c>
      <c r="H478">
        <f>COUNTIF(purchase_orders[PO Number], purchase_orders[[#This Row],[PO Number]])</f>
        <v>1</v>
      </c>
    </row>
    <row r="479" spans="1:8" x14ac:dyDescent="0.25">
      <c r="A479" t="s">
        <v>436</v>
      </c>
      <c r="B479" t="s">
        <v>1482</v>
      </c>
      <c r="C479" s="1">
        <v>46041</v>
      </c>
      <c r="D479">
        <v>52</v>
      </c>
      <c r="E479">
        <v>57.25</v>
      </c>
      <c r="F479" t="s">
        <v>1453</v>
      </c>
      <c r="G479" s="1">
        <v>46050</v>
      </c>
      <c r="H479">
        <f>COUNTIF(purchase_orders[PO Number], purchase_orders[[#This Row],[PO Number]])</f>
        <v>1</v>
      </c>
    </row>
    <row r="480" spans="1:8" x14ac:dyDescent="0.25">
      <c r="A480" t="s">
        <v>437</v>
      </c>
      <c r="B480" t="s">
        <v>1465</v>
      </c>
      <c r="C480" s="1">
        <v>46122</v>
      </c>
      <c r="D480">
        <v>172</v>
      </c>
      <c r="E480">
        <v>75.34</v>
      </c>
      <c r="F480" t="s">
        <v>1476</v>
      </c>
      <c r="G480" s="1">
        <v>46127</v>
      </c>
      <c r="H480">
        <f>COUNTIF(purchase_orders[PO Number], purchase_orders[[#This Row],[PO Number]])</f>
        <v>1</v>
      </c>
    </row>
    <row r="481" spans="1:8" x14ac:dyDescent="0.25">
      <c r="A481" t="s">
        <v>1191</v>
      </c>
      <c r="B481" t="s">
        <v>1512</v>
      </c>
      <c r="C481" s="1">
        <v>46136</v>
      </c>
      <c r="D481">
        <v>194</v>
      </c>
      <c r="E481">
        <v>153.46</v>
      </c>
      <c r="F481" t="s">
        <v>1483</v>
      </c>
      <c r="G481" s="1">
        <v>46145</v>
      </c>
      <c r="H481">
        <f>COUNTIF(purchase_orders[PO Number], purchase_orders[[#This Row],[PO Number]])</f>
        <v>1</v>
      </c>
    </row>
    <row r="482" spans="1:8" x14ac:dyDescent="0.25">
      <c r="A482" t="s">
        <v>438</v>
      </c>
      <c r="B482" t="s">
        <v>1457</v>
      </c>
      <c r="C482" s="1">
        <v>46070</v>
      </c>
      <c r="D482">
        <v>230</v>
      </c>
      <c r="E482">
        <v>92.52</v>
      </c>
      <c r="F482" t="s">
        <v>1459</v>
      </c>
      <c r="G482" s="1">
        <v>46091</v>
      </c>
      <c r="H482">
        <f>COUNTIF(purchase_orders[PO Number], purchase_orders[[#This Row],[PO Number]])</f>
        <v>1</v>
      </c>
    </row>
    <row r="483" spans="1:8" x14ac:dyDescent="0.25">
      <c r="A483" t="s">
        <v>439</v>
      </c>
      <c r="B483" t="s">
        <v>1495</v>
      </c>
      <c r="C483" s="1">
        <v>46049</v>
      </c>
      <c r="D483">
        <v>23</v>
      </c>
      <c r="E483">
        <v>22.48</v>
      </c>
      <c r="F483" t="s">
        <v>1442</v>
      </c>
      <c r="G483" s="1">
        <v>46056</v>
      </c>
      <c r="H483">
        <f>COUNTIF(purchase_orders[PO Number], purchase_orders[[#This Row],[PO Number]])</f>
        <v>1</v>
      </c>
    </row>
    <row r="484" spans="1:8" x14ac:dyDescent="0.25">
      <c r="A484" t="s">
        <v>440</v>
      </c>
      <c r="B484" t="s">
        <v>1468</v>
      </c>
      <c r="C484" s="1">
        <v>46106</v>
      </c>
      <c r="D484">
        <v>452</v>
      </c>
      <c r="E484">
        <v>80.12</v>
      </c>
      <c r="F484" t="s">
        <v>1474</v>
      </c>
      <c r="G484" s="1">
        <v>46124</v>
      </c>
      <c r="H484">
        <f>COUNTIF(purchase_orders[PO Number], purchase_orders[[#This Row],[PO Number]])</f>
        <v>1</v>
      </c>
    </row>
    <row r="485" spans="1:8" x14ac:dyDescent="0.25">
      <c r="A485" t="s">
        <v>441</v>
      </c>
      <c r="B485" t="s">
        <v>1502</v>
      </c>
      <c r="C485" s="1">
        <v>46044</v>
      </c>
      <c r="D485">
        <v>381</v>
      </c>
      <c r="E485">
        <v>180.72</v>
      </c>
      <c r="F485" t="s">
        <v>1440</v>
      </c>
      <c r="G485" s="1">
        <v>46065</v>
      </c>
      <c r="H485">
        <f>COUNTIF(purchase_orders[PO Number], purchase_orders[[#This Row],[PO Number]])</f>
        <v>1</v>
      </c>
    </row>
    <row r="486" spans="1:8" x14ac:dyDescent="0.25">
      <c r="A486" t="s">
        <v>442</v>
      </c>
      <c r="B486" t="s">
        <v>1460</v>
      </c>
      <c r="C486" s="1">
        <v>46120</v>
      </c>
      <c r="D486">
        <v>96</v>
      </c>
      <c r="E486">
        <v>32.07</v>
      </c>
      <c r="F486" t="s">
        <v>1474</v>
      </c>
      <c r="G486" s="1">
        <v>46133</v>
      </c>
      <c r="H486">
        <f>COUNTIF(purchase_orders[PO Number], purchase_orders[[#This Row],[PO Number]])</f>
        <v>1</v>
      </c>
    </row>
    <row r="487" spans="1:8" x14ac:dyDescent="0.25">
      <c r="A487" t="s">
        <v>443</v>
      </c>
      <c r="B487" t="s">
        <v>1498</v>
      </c>
      <c r="C487" s="1">
        <v>46060</v>
      </c>
      <c r="D487">
        <v>42</v>
      </c>
      <c r="E487">
        <v>37.61</v>
      </c>
      <c r="F487" t="s">
        <v>1458</v>
      </c>
      <c r="G487" s="1">
        <v>46078</v>
      </c>
      <c r="H487">
        <f>COUNTIF(purchase_orders[PO Number], purchase_orders[[#This Row],[PO Number]])</f>
        <v>1</v>
      </c>
    </row>
    <row r="488" spans="1:8" x14ac:dyDescent="0.25">
      <c r="A488" t="s">
        <v>444</v>
      </c>
      <c r="B488" t="s">
        <v>1512</v>
      </c>
      <c r="C488" s="1">
        <v>46146</v>
      </c>
      <c r="D488">
        <v>410</v>
      </c>
      <c r="E488">
        <v>20</v>
      </c>
      <c r="F488" t="s">
        <v>1458</v>
      </c>
      <c r="G488" s="1">
        <v>46158</v>
      </c>
      <c r="H488">
        <f>COUNTIF(purchase_orders[PO Number], purchase_orders[[#This Row],[PO Number]])</f>
        <v>1</v>
      </c>
    </row>
    <row r="489" spans="1:8" x14ac:dyDescent="0.25">
      <c r="A489" t="s">
        <v>445</v>
      </c>
      <c r="B489" t="s">
        <v>1477</v>
      </c>
      <c r="C489" s="1">
        <v>46149</v>
      </c>
      <c r="D489">
        <v>314</v>
      </c>
      <c r="E489">
        <v>125.25</v>
      </c>
      <c r="F489" t="s">
        <v>1459</v>
      </c>
      <c r="G489" s="1">
        <v>46157</v>
      </c>
      <c r="H489">
        <f>COUNTIF(purchase_orders[PO Number], purchase_orders[[#This Row],[PO Number]])</f>
        <v>1</v>
      </c>
    </row>
    <row r="490" spans="1:8" x14ac:dyDescent="0.25">
      <c r="A490" t="s">
        <v>446</v>
      </c>
      <c r="B490" t="s">
        <v>1441</v>
      </c>
      <c r="C490" s="1">
        <v>46100</v>
      </c>
      <c r="D490">
        <v>13</v>
      </c>
      <c r="E490">
        <v>190.02</v>
      </c>
      <c r="F490" t="s">
        <v>1472</v>
      </c>
      <c r="G490" s="1">
        <v>46117</v>
      </c>
      <c r="H490">
        <f>COUNTIF(purchase_orders[PO Number], purchase_orders[[#This Row],[PO Number]])</f>
        <v>1</v>
      </c>
    </row>
    <row r="491" spans="1:8" x14ac:dyDescent="0.25">
      <c r="A491" t="s">
        <v>447</v>
      </c>
      <c r="B491" t="s">
        <v>1479</v>
      </c>
      <c r="C491" s="1">
        <v>46135</v>
      </c>
      <c r="D491">
        <v>181</v>
      </c>
      <c r="E491">
        <v>88.97</v>
      </c>
      <c r="F491" t="s">
        <v>1446</v>
      </c>
      <c r="G491" s="1">
        <v>46144</v>
      </c>
      <c r="H491">
        <f>COUNTIF(purchase_orders[PO Number], purchase_orders[[#This Row],[PO Number]])</f>
        <v>1</v>
      </c>
    </row>
    <row r="492" spans="1:8" x14ac:dyDescent="0.25">
      <c r="A492" t="s">
        <v>448</v>
      </c>
      <c r="B492" t="s">
        <v>1512</v>
      </c>
      <c r="C492" s="1">
        <v>46105</v>
      </c>
      <c r="D492">
        <v>318</v>
      </c>
      <c r="E492">
        <v>189.72</v>
      </c>
      <c r="F492" t="s">
        <v>1444</v>
      </c>
      <c r="G492" s="1">
        <v>46125</v>
      </c>
      <c r="H492">
        <f>COUNTIF(purchase_orders[PO Number], purchase_orders[[#This Row],[PO Number]])</f>
        <v>1</v>
      </c>
    </row>
    <row r="493" spans="1:8" x14ac:dyDescent="0.25">
      <c r="A493" t="s">
        <v>449</v>
      </c>
      <c r="B493" t="s">
        <v>1509</v>
      </c>
      <c r="C493" s="1">
        <v>46068</v>
      </c>
      <c r="D493">
        <v>213</v>
      </c>
      <c r="E493">
        <v>193.9</v>
      </c>
      <c r="F493" t="s">
        <v>1474</v>
      </c>
      <c r="G493" s="1">
        <v>46088</v>
      </c>
      <c r="H493">
        <f>COUNTIF(purchase_orders[PO Number], purchase_orders[[#This Row],[PO Number]])</f>
        <v>1</v>
      </c>
    </row>
    <row r="494" spans="1:8" x14ac:dyDescent="0.25">
      <c r="A494" t="s">
        <v>450</v>
      </c>
      <c r="B494" t="s">
        <v>1493</v>
      </c>
      <c r="C494" s="1">
        <v>46085</v>
      </c>
      <c r="D494">
        <v>176</v>
      </c>
      <c r="E494">
        <v>78.33</v>
      </c>
      <c r="F494" t="s">
        <v>1453</v>
      </c>
      <c r="G494" s="1">
        <v>46101</v>
      </c>
      <c r="H494">
        <f>COUNTIF(purchase_orders[PO Number], purchase_orders[[#This Row],[PO Number]])</f>
        <v>1</v>
      </c>
    </row>
    <row r="495" spans="1:8" x14ac:dyDescent="0.25">
      <c r="A495" t="s">
        <v>451</v>
      </c>
      <c r="B495" t="s">
        <v>1466</v>
      </c>
      <c r="C495" s="1">
        <v>46167</v>
      </c>
      <c r="D495">
        <v>112</v>
      </c>
      <c r="E495">
        <v>120.48</v>
      </c>
      <c r="F495" t="s">
        <v>1442</v>
      </c>
      <c r="G495" s="1">
        <v>46177</v>
      </c>
      <c r="H495">
        <f>COUNTIF(purchase_orders[PO Number], purchase_orders[[#This Row],[PO Number]])</f>
        <v>1</v>
      </c>
    </row>
    <row r="496" spans="1:8" x14ac:dyDescent="0.25">
      <c r="A496" t="s">
        <v>452</v>
      </c>
      <c r="B496" t="s">
        <v>1461</v>
      </c>
      <c r="C496" s="1">
        <v>46163</v>
      </c>
      <c r="D496">
        <v>23</v>
      </c>
      <c r="E496">
        <v>190.84</v>
      </c>
      <c r="F496" t="s">
        <v>1469</v>
      </c>
      <c r="G496" s="1">
        <v>46174</v>
      </c>
      <c r="H496">
        <f>COUNTIF(purchase_orders[PO Number], purchase_orders[[#This Row],[PO Number]])</f>
        <v>1</v>
      </c>
    </row>
    <row r="497" spans="1:8" x14ac:dyDescent="0.25">
      <c r="A497" t="s">
        <v>453</v>
      </c>
      <c r="B497" t="s">
        <v>1478</v>
      </c>
      <c r="C497" s="1">
        <v>46097</v>
      </c>
      <c r="D497">
        <v>435</v>
      </c>
      <c r="E497">
        <v>140.1</v>
      </c>
      <c r="F497" t="s">
        <v>1507</v>
      </c>
      <c r="G497" s="1">
        <v>46117</v>
      </c>
      <c r="H497">
        <f>COUNTIF(purchase_orders[PO Number], purchase_orders[[#This Row],[PO Number]])</f>
        <v>1</v>
      </c>
    </row>
    <row r="498" spans="1:8" x14ac:dyDescent="0.25">
      <c r="A498" t="s">
        <v>454</v>
      </c>
      <c r="B498" t="s">
        <v>1441</v>
      </c>
      <c r="C498" s="1">
        <v>46100</v>
      </c>
      <c r="D498">
        <v>133</v>
      </c>
      <c r="E498">
        <v>54.27</v>
      </c>
      <c r="F498" t="s">
        <v>1485</v>
      </c>
      <c r="G498" s="1">
        <v>46118</v>
      </c>
      <c r="H498">
        <f>COUNTIF(purchase_orders[PO Number], purchase_orders[[#This Row],[PO Number]])</f>
        <v>1</v>
      </c>
    </row>
    <row r="499" spans="1:8" x14ac:dyDescent="0.25">
      <c r="A499" t="s">
        <v>455</v>
      </c>
      <c r="B499" t="s">
        <v>1502</v>
      </c>
      <c r="C499" s="1">
        <v>46041</v>
      </c>
      <c r="D499">
        <v>239</v>
      </c>
      <c r="E499">
        <v>198.19</v>
      </c>
      <c r="F499" t="s">
        <v>1487</v>
      </c>
      <c r="G499" s="1">
        <v>46058</v>
      </c>
      <c r="H499">
        <f>COUNTIF(purchase_orders[PO Number], purchase_orders[[#This Row],[PO Number]])</f>
        <v>1</v>
      </c>
    </row>
    <row r="500" spans="1:8" x14ac:dyDescent="0.25">
      <c r="A500" t="s">
        <v>456</v>
      </c>
      <c r="B500" t="s">
        <v>1471</v>
      </c>
      <c r="C500" s="1">
        <v>46152</v>
      </c>
      <c r="D500">
        <v>482</v>
      </c>
      <c r="E500">
        <v>184.48</v>
      </c>
      <c r="F500" t="s">
        <v>1499</v>
      </c>
      <c r="G500" s="1">
        <v>46170</v>
      </c>
      <c r="H500">
        <f>COUNTIF(purchase_orders[PO Number], purchase_orders[[#This Row],[PO Number]])</f>
        <v>1</v>
      </c>
    </row>
    <row r="501" spans="1:8" x14ac:dyDescent="0.25">
      <c r="A501" t="s">
        <v>457</v>
      </c>
      <c r="B501" t="s">
        <v>1471</v>
      </c>
      <c r="C501" s="1">
        <v>46032</v>
      </c>
      <c r="D501">
        <v>414</v>
      </c>
      <c r="E501">
        <v>193.84</v>
      </c>
      <c r="F501" t="s">
        <v>1499</v>
      </c>
      <c r="G501" s="1">
        <v>46039</v>
      </c>
      <c r="H501">
        <f>COUNTIF(purchase_orders[PO Number], purchase_orders[[#This Row],[PO Number]])</f>
        <v>1</v>
      </c>
    </row>
    <row r="502" spans="1:8" x14ac:dyDescent="0.25">
      <c r="A502" t="s">
        <v>1216</v>
      </c>
      <c r="B502" t="s">
        <v>1450</v>
      </c>
      <c r="C502" s="1">
        <v>46086</v>
      </c>
      <c r="D502">
        <v>346</v>
      </c>
      <c r="E502">
        <v>134.62</v>
      </c>
      <c r="F502" t="s">
        <v>1501</v>
      </c>
      <c r="G502" s="1">
        <v>46092</v>
      </c>
      <c r="H502">
        <f>COUNTIF(purchase_orders[PO Number], purchase_orders[[#This Row],[PO Number]])</f>
        <v>1</v>
      </c>
    </row>
    <row r="503" spans="1:8" x14ac:dyDescent="0.25">
      <c r="A503" t="s">
        <v>458</v>
      </c>
      <c r="B503" t="s">
        <v>1493</v>
      </c>
      <c r="C503" s="1">
        <v>46125</v>
      </c>
      <c r="D503">
        <v>395</v>
      </c>
      <c r="E503">
        <v>69.66</v>
      </c>
      <c r="F503" t="s">
        <v>1507</v>
      </c>
      <c r="G503" s="1">
        <v>46133</v>
      </c>
      <c r="H503">
        <f>COUNTIF(purchase_orders[PO Number], purchase_orders[[#This Row],[PO Number]])</f>
        <v>1</v>
      </c>
    </row>
    <row r="504" spans="1:8" x14ac:dyDescent="0.25">
      <c r="A504" t="s">
        <v>459</v>
      </c>
      <c r="B504" t="s">
        <v>1481</v>
      </c>
      <c r="C504" s="1">
        <v>46048</v>
      </c>
      <c r="D504">
        <v>142</v>
      </c>
      <c r="E504">
        <v>48.29</v>
      </c>
      <c r="F504" t="s">
        <v>1490</v>
      </c>
      <c r="G504" s="1">
        <v>46069</v>
      </c>
      <c r="H504">
        <f>COUNTIF(purchase_orders[PO Number], purchase_orders[[#This Row],[PO Number]])</f>
        <v>1</v>
      </c>
    </row>
    <row r="505" spans="1:8" x14ac:dyDescent="0.25">
      <c r="A505" t="s">
        <v>460</v>
      </c>
      <c r="B505" t="s">
        <v>1454</v>
      </c>
      <c r="C505" s="1">
        <v>46171</v>
      </c>
      <c r="D505">
        <v>362</v>
      </c>
      <c r="E505">
        <v>117.17</v>
      </c>
      <c r="F505" t="s">
        <v>1469</v>
      </c>
      <c r="G505" s="1">
        <v>46187</v>
      </c>
      <c r="H505">
        <f>COUNTIF(purchase_orders[PO Number], purchase_orders[[#This Row],[PO Number]])</f>
        <v>1</v>
      </c>
    </row>
    <row r="506" spans="1:8" x14ac:dyDescent="0.25">
      <c r="A506" t="s">
        <v>461</v>
      </c>
      <c r="B506" t="s">
        <v>1488</v>
      </c>
      <c r="C506" s="1">
        <v>46141</v>
      </c>
      <c r="D506">
        <v>405</v>
      </c>
      <c r="E506">
        <v>137.51</v>
      </c>
      <c r="F506" t="s">
        <v>1499</v>
      </c>
      <c r="G506" s="1">
        <v>46162</v>
      </c>
      <c r="H506">
        <f>COUNTIF(purchase_orders[PO Number], purchase_orders[[#This Row],[PO Number]])</f>
        <v>1</v>
      </c>
    </row>
    <row r="507" spans="1:8" x14ac:dyDescent="0.25">
      <c r="A507" t="s">
        <v>462</v>
      </c>
      <c r="B507" t="s">
        <v>1464</v>
      </c>
      <c r="C507" s="1">
        <v>46111</v>
      </c>
      <c r="D507">
        <v>22</v>
      </c>
      <c r="E507">
        <v>99.14</v>
      </c>
      <c r="F507" t="s">
        <v>1474</v>
      </c>
      <c r="G507" s="1">
        <v>46129</v>
      </c>
      <c r="H507">
        <f>COUNTIF(purchase_orders[PO Number], purchase_orders[[#This Row],[PO Number]])</f>
        <v>1</v>
      </c>
    </row>
    <row r="508" spans="1:8" x14ac:dyDescent="0.25">
      <c r="A508" t="s">
        <v>1223</v>
      </c>
      <c r="B508" t="s">
        <v>1457</v>
      </c>
      <c r="C508" s="1">
        <v>46052</v>
      </c>
      <c r="D508">
        <v>435</v>
      </c>
      <c r="E508">
        <v>188.43</v>
      </c>
      <c r="F508" t="s">
        <v>1485</v>
      </c>
      <c r="G508" s="1">
        <v>46068</v>
      </c>
      <c r="H508">
        <f>COUNTIF(purchase_orders[PO Number], purchase_orders[[#This Row],[PO Number]])</f>
        <v>1</v>
      </c>
    </row>
    <row r="509" spans="1:8" x14ac:dyDescent="0.25">
      <c r="A509" t="s">
        <v>463</v>
      </c>
      <c r="B509" t="s">
        <v>1512</v>
      </c>
      <c r="C509" s="1">
        <v>46110</v>
      </c>
      <c r="D509">
        <v>243</v>
      </c>
      <c r="E509">
        <v>157.93</v>
      </c>
      <c r="F509" t="s">
        <v>1504</v>
      </c>
      <c r="G509" s="1">
        <v>46130</v>
      </c>
      <c r="H509">
        <f>COUNTIF(purchase_orders[PO Number], purchase_orders[[#This Row],[PO Number]])</f>
        <v>1</v>
      </c>
    </row>
    <row r="510" spans="1:8" x14ac:dyDescent="0.25">
      <c r="A510" t="s">
        <v>464</v>
      </c>
      <c r="B510" t="s">
        <v>1503</v>
      </c>
      <c r="C510" s="1">
        <v>46144</v>
      </c>
      <c r="D510">
        <v>59</v>
      </c>
      <c r="E510">
        <v>90.44</v>
      </c>
      <c r="F510" t="s">
        <v>1499</v>
      </c>
      <c r="G510" s="1">
        <v>46163</v>
      </c>
      <c r="H510">
        <f>COUNTIF(purchase_orders[PO Number], purchase_orders[[#This Row],[PO Number]])</f>
        <v>1</v>
      </c>
    </row>
    <row r="511" spans="1:8" x14ac:dyDescent="0.25">
      <c r="A511" t="s">
        <v>465</v>
      </c>
      <c r="B511" t="s">
        <v>1509</v>
      </c>
      <c r="C511" s="1">
        <v>46040</v>
      </c>
      <c r="D511">
        <v>163</v>
      </c>
      <c r="E511">
        <v>13.71</v>
      </c>
      <c r="F511" t="s">
        <v>1499</v>
      </c>
      <c r="G511" s="1">
        <v>46048</v>
      </c>
      <c r="H511">
        <f>COUNTIF(purchase_orders[PO Number], purchase_orders[[#This Row],[PO Number]])</f>
        <v>1</v>
      </c>
    </row>
    <row r="512" spans="1:8" x14ac:dyDescent="0.25">
      <c r="A512" t="s">
        <v>466</v>
      </c>
      <c r="B512" t="s">
        <v>1473</v>
      </c>
      <c r="C512" s="1">
        <v>46110</v>
      </c>
      <c r="D512">
        <v>341</v>
      </c>
      <c r="E512">
        <v>26.33</v>
      </c>
      <c r="F512" t="s">
        <v>1501</v>
      </c>
      <c r="G512" s="1">
        <v>46122</v>
      </c>
      <c r="H512">
        <f>COUNTIF(purchase_orders[PO Number], purchase_orders[[#This Row],[PO Number]])</f>
        <v>1</v>
      </c>
    </row>
    <row r="513" spans="1:8" x14ac:dyDescent="0.25">
      <c r="A513" t="s">
        <v>467</v>
      </c>
      <c r="B513" t="s">
        <v>1491</v>
      </c>
      <c r="C513" s="1">
        <v>46067</v>
      </c>
      <c r="D513">
        <v>292</v>
      </c>
      <c r="E513">
        <v>36.229999999999997</v>
      </c>
      <c r="F513" t="s">
        <v>1442</v>
      </c>
      <c r="G513" s="1">
        <v>46085</v>
      </c>
      <c r="H513">
        <f>COUNTIF(purchase_orders[PO Number], purchase_orders[[#This Row],[PO Number]])</f>
        <v>1</v>
      </c>
    </row>
    <row r="514" spans="1:8" x14ac:dyDescent="0.25">
      <c r="A514" t="s">
        <v>468</v>
      </c>
      <c r="B514" t="s">
        <v>1489</v>
      </c>
      <c r="C514" s="1">
        <v>46082</v>
      </c>
      <c r="D514">
        <v>418</v>
      </c>
      <c r="E514">
        <v>83.98</v>
      </c>
      <c r="F514" t="s">
        <v>1501</v>
      </c>
      <c r="G514" s="1">
        <v>46092</v>
      </c>
      <c r="H514">
        <f>COUNTIF(purchase_orders[PO Number], purchase_orders[[#This Row],[PO Number]])</f>
        <v>1</v>
      </c>
    </row>
    <row r="515" spans="1:8" x14ac:dyDescent="0.25">
      <c r="A515" t="s">
        <v>469</v>
      </c>
      <c r="B515" t="s">
        <v>1439</v>
      </c>
      <c r="C515" s="1">
        <v>46133</v>
      </c>
      <c r="D515">
        <v>212</v>
      </c>
      <c r="E515">
        <v>10.69</v>
      </c>
      <c r="F515" t="s">
        <v>1494</v>
      </c>
      <c r="G515" s="1">
        <v>46144</v>
      </c>
      <c r="H515">
        <f>COUNTIF(purchase_orders[PO Number], purchase_orders[[#This Row],[PO Number]])</f>
        <v>1</v>
      </c>
    </row>
    <row r="516" spans="1:8" x14ac:dyDescent="0.25">
      <c r="A516" t="s">
        <v>470</v>
      </c>
      <c r="B516" t="s">
        <v>1478</v>
      </c>
      <c r="C516" s="1">
        <v>46132</v>
      </c>
      <c r="D516">
        <v>209</v>
      </c>
      <c r="E516">
        <v>5.87</v>
      </c>
      <c r="F516" t="s">
        <v>1444</v>
      </c>
      <c r="G516" s="1">
        <v>46143</v>
      </c>
      <c r="H516">
        <f>COUNTIF(purchase_orders[PO Number], purchase_orders[[#This Row],[PO Number]])</f>
        <v>1</v>
      </c>
    </row>
    <row r="517" spans="1:8" x14ac:dyDescent="0.25">
      <c r="A517" t="s">
        <v>471</v>
      </c>
      <c r="B517" t="s">
        <v>1511</v>
      </c>
      <c r="C517" s="1">
        <v>46039</v>
      </c>
      <c r="D517">
        <v>305</v>
      </c>
      <c r="E517">
        <v>24.84</v>
      </c>
      <c r="F517" t="s">
        <v>1459</v>
      </c>
      <c r="G517" s="1">
        <v>46049</v>
      </c>
      <c r="H517">
        <f>COUNTIF(purchase_orders[PO Number], purchase_orders[[#This Row],[PO Number]])</f>
        <v>1</v>
      </c>
    </row>
    <row r="518" spans="1:8" x14ac:dyDescent="0.25">
      <c r="A518" t="s">
        <v>472</v>
      </c>
      <c r="B518" t="s">
        <v>1496</v>
      </c>
      <c r="C518" s="1">
        <v>46106</v>
      </c>
      <c r="D518">
        <v>110</v>
      </c>
      <c r="E518">
        <v>94.22</v>
      </c>
      <c r="F518" t="s">
        <v>1458</v>
      </c>
      <c r="G518" s="1">
        <v>46126</v>
      </c>
      <c r="H518">
        <f>COUNTIF(purchase_orders[PO Number], purchase_orders[[#This Row],[PO Number]])</f>
        <v>1</v>
      </c>
    </row>
    <row r="519" spans="1:8" x14ac:dyDescent="0.25">
      <c r="A519" t="s">
        <v>473</v>
      </c>
      <c r="B519" t="s">
        <v>1491</v>
      </c>
      <c r="C519" s="1">
        <v>46103</v>
      </c>
      <c r="D519">
        <v>315</v>
      </c>
      <c r="E519">
        <v>80.78</v>
      </c>
      <c r="F519" t="s">
        <v>1459</v>
      </c>
      <c r="G519" s="1">
        <v>46111</v>
      </c>
      <c r="H519">
        <f>COUNTIF(purchase_orders[PO Number], purchase_orders[[#This Row],[PO Number]])</f>
        <v>1</v>
      </c>
    </row>
    <row r="520" spans="1:8" x14ac:dyDescent="0.25">
      <c r="A520" t="s">
        <v>474</v>
      </c>
      <c r="B520" t="s">
        <v>1503</v>
      </c>
      <c r="C520" s="1">
        <v>46113</v>
      </c>
      <c r="D520">
        <v>442</v>
      </c>
      <c r="E520">
        <v>94.28</v>
      </c>
      <c r="F520" t="s">
        <v>1501</v>
      </c>
      <c r="G520" s="1">
        <v>46127</v>
      </c>
      <c r="H520">
        <f>COUNTIF(purchase_orders[PO Number], purchase_orders[[#This Row],[PO Number]])</f>
        <v>1</v>
      </c>
    </row>
    <row r="521" spans="1:8" x14ac:dyDescent="0.25">
      <c r="A521" t="s">
        <v>475</v>
      </c>
      <c r="B521" t="s">
        <v>1497</v>
      </c>
      <c r="C521" s="1">
        <v>46044</v>
      </c>
      <c r="D521">
        <v>354</v>
      </c>
      <c r="E521">
        <v>31.12</v>
      </c>
      <c r="F521" t="s">
        <v>1483</v>
      </c>
      <c r="G521" s="1">
        <v>46056</v>
      </c>
      <c r="H521">
        <f>COUNTIF(purchase_orders[PO Number], purchase_orders[[#This Row],[PO Number]])</f>
        <v>1</v>
      </c>
    </row>
    <row r="522" spans="1:8" x14ac:dyDescent="0.25">
      <c r="A522" t="s">
        <v>476</v>
      </c>
      <c r="B522" t="s">
        <v>1512</v>
      </c>
      <c r="C522" s="1">
        <v>46052</v>
      </c>
      <c r="D522">
        <v>103</v>
      </c>
      <c r="E522">
        <v>77.790000000000006</v>
      </c>
      <c r="F522" t="s">
        <v>1485</v>
      </c>
      <c r="G522" s="1">
        <v>46073</v>
      </c>
      <c r="H522">
        <f>COUNTIF(purchase_orders[PO Number], purchase_orders[[#This Row],[PO Number]])</f>
        <v>1</v>
      </c>
    </row>
    <row r="523" spans="1:8" x14ac:dyDescent="0.25">
      <c r="A523" t="s">
        <v>477</v>
      </c>
      <c r="B523" t="s">
        <v>1502</v>
      </c>
      <c r="C523" s="1">
        <v>46130</v>
      </c>
      <c r="D523">
        <v>315</v>
      </c>
      <c r="E523">
        <v>31.88</v>
      </c>
      <c r="F523" t="s">
        <v>1453</v>
      </c>
      <c r="G523" s="1">
        <v>46148</v>
      </c>
      <c r="H523">
        <f>COUNTIF(purchase_orders[PO Number], purchase_orders[[#This Row],[PO Number]])</f>
        <v>1</v>
      </c>
    </row>
    <row r="524" spans="1:8" x14ac:dyDescent="0.25">
      <c r="A524" t="s">
        <v>478</v>
      </c>
      <c r="B524" t="s">
        <v>1486</v>
      </c>
      <c r="C524" s="1">
        <v>46147</v>
      </c>
      <c r="D524">
        <v>335</v>
      </c>
      <c r="E524">
        <v>109.79</v>
      </c>
      <c r="F524" t="s">
        <v>1446</v>
      </c>
      <c r="G524" s="1">
        <v>46157</v>
      </c>
      <c r="H524">
        <f>COUNTIF(purchase_orders[PO Number], purchase_orders[[#This Row],[PO Number]])</f>
        <v>1</v>
      </c>
    </row>
    <row r="525" spans="1:8" x14ac:dyDescent="0.25">
      <c r="A525" t="s">
        <v>479</v>
      </c>
      <c r="B525" t="s">
        <v>1454</v>
      </c>
      <c r="C525" s="1">
        <v>46065</v>
      </c>
      <c r="D525">
        <v>260</v>
      </c>
      <c r="E525">
        <v>61.32</v>
      </c>
      <c r="F525" t="s">
        <v>1501</v>
      </c>
      <c r="G525" s="1">
        <v>46080</v>
      </c>
      <c r="H525">
        <f>COUNTIF(purchase_orders[PO Number], purchase_orders[[#This Row],[PO Number]])</f>
        <v>1</v>
      </c>
    </row>
    <row r="526" spans="1:8" x14ac:dyDescent="0.25">
      <c r="A526" t="s">
        <v>480</v>
      </c>
      <c r="B526" t="s">
        <v>1478</v>
      </c>
      <c r="C526" s="1">
        <v>46036</v>
      </c>
      <c r="D526">
        <v>453</v>
      </c>
      <c r="E526">
        <v>75.010000000000005</v>
      </c>
      <c r="F526" t="s">
        <v>1448</v>
      </c>
      <c r="G526" s="1">
        <v>46056</v>
      </c>
      <c r="H526">
        <f>COUNTIF(purchase_orders[PO Number], purchase_orders[[#This Row],[PO Number]])</f>
        <v>1</v>
      </c>
    </row>
    <row r="527" spans="1:8" x14ac:dyDescent="0.25">
      <c r="A527" t="s">
        <v>481</v>
      </c>
      <c r="B527" t="s">
        <v>1441</v>
      </c>
      <c r="C527" s="1">
        <v>46072</v>
      </c>
      <c r="D527">
        <v>427</v>
      </c>
      <c r="E527">
        <v>79.87</v>
      </c>
      <c r="F527" t="s">
        <v>1442</v>
      </c>
      <c r="G527" s="1">
        <v>46093</v>
      </c>
      <c r="H527">
        <f>COUNTIF(purchase_orders[PO Number], purchase_orders[[#This Row],[PO Number]])</f>
        <v>1</v>
      </c>
    </row>
    <row r="528" spans="1:8" x14ac:dyDescent="0.25">
      <c r="A528" t="s">
        <v>482</v>
      </c>
      <c r="B528" t="s">
        <v>1508</v>
      </c>
      <c r="C528" s="1">
        <v>46149</v>
      </c>
      <c r="D528">
        <v>219</v>
      </c>
      <c r="E528">
        <v>138.52000000000001</v>
      </c>
      <c r="F528" t="s">
        <v>1507</v>
      </c>
      <c r="G528" s="1">
        <v>46168</v>
      </c>
      <c r="H528">
        <f>COUNTIF(purchase_orders[PO Number], purchase_orders[[#This Row],[PO Number]])</f>
        <v>1</v>
      </c>
    </row>
    <row r="529" spans="1:8" x14ac:dyDescent="0.25">
      <c r="A529" t="s">
        <v>483</v>
      </c>
      <c r="B529" t="s">
        <v>1498</v>
      </c>
      <c r="C529" s="1">
        <v>46065</v>
      </c>
      <c r="D529">
        <v>52</v>
      </c>
      <c r="E529">
        <v>115.25</v>
      </c>
      <c r="F529" t="s">
        <v>1456</v>
      </c>
      <c r="G529" s="1">
        <v>46077</v>
      </c>
      <c r="H529">
        <f>COUNTIF(purchase_orders[PO Number], purchase_orders[[#This Row],[PO Number]])</f>
        <v>1</v>
      </c>
    </row>
    <row r="530" spans="1:8" x14ac:dyDescent="0.25">
      <c r="A530" t="s">
        <v>484</v>
      </c>
      <c r="B530" t="s">
        <v>1506</v>
      </c>
      <c r="C530" s="1">
        <v>46031</v>
      </c>
      <c r="D530">
        <v>150</v>
      </c>
      <c r="E530">
        <v>48.84</v>
      </c>
      <c r="F530" t="s">
        <v>1474</v>
      </c>
      <c r="G530" s="1">
        <v>46041</v>
      </c>
      <c r="H530">
        <f>COUNTIF(purchase_orders[PO Number], purchase_orders[[#This Row],[PO Number]])</f>
        <v>1</v>
      </c>
    </row>
    <row r="531" spans="1:8" x14ac:dyDescent="0.25">
      <c r="A531" t="s">
        <v>485</v>
      </c>
      <c r="B531" t="s">
        <v>1489</v>
      </c>
      <c r="C531" s="1">
        <v>46167</v>
      </c>
      <c r="D531">
        <v>390</v>
      </c>
      <c r="E531">
        <v>155.65</v>
      </c>
      <c r="F531" t="s">
        <v>1487</v>
      </c>
      <c r="G531" s="1">
        <v>46188</v>
      </c>
      <c r="H531">
        <f>COUNTIF(purchase_orders[PO Number], purchase_orders[[#This Row],[PO Number]])</f>
        <v>1</v>
      </c>
    </row>
    <row r="532" spans="1:8" x14ac:dyDescent="0.25">
      <c r="A532" t="s">
        <v>486</v>
      </c>
      <c r="B532" t="s">
        <v>1466</v>
      </c>
      <c r="C532" s="1">
        <v>46169</v>
      </c>
      <c r="D532">
        <v>68</v>
      </c>
      <c r="E532">
        <v>57.24</v>
      </c>
      <c r="F532" t="s">
        <v>1459</v>
      </c>
      <c r="G532" s="1">
        <v>46185</v>
      </c>
      <c r="H532">
        <f>COUNTIF(purchase_orders[PO Number], purchase_orders[[#This Row],[PO Number]])</f>
        <v>1</v>
      </c>
    </row>
    <row r="533" spans="1:8" x14ac:dyDescent="0.25">
      <c r="A533" t="s">
        <v>487</v>
      </c>
      <c r="B533" t="s">
        <v>1471</v>
      </c>
      <c r="C533" s="1">
        <v>46033</v>
      </c>
      <c r="D533">
        <v>399</v>
      </c>
      <c r="E533">
        <v>145.19999999999999</v>
      </c>
      <c r="F533" t="s">
        <v>1442</v>
      </c>
      <c r="G533" s="1">
        <v>46044</v>
      </c>
      <c r="H533">
        <f>COUNTIF(purchase_orders[PO Number], purchase_orders[[#This Row],[PO Number]])</f>
        <v>1</v>
      </c>
    </row>
    <row r="534" spans="1:8" x14ac:dyDescent="0.25">
      <c r="A534" t="s">
        <v>1250</v>
      </c>
      <c r="B534" t="s">
        <v>1500</v>
      </c>
      <c r="C534" s="1">
        <v>46049</v>
      </c>
      <c r="D534">
        <v>386</v>
      </c>
      <c r="E534">
        <v>166.86</v>
      </c>
      <c r="F534" t="s">
        <v>1456</v>
      </c>
      <c r="G534" s="1">
        <v>46061</v>
      </c>
      <c r="H534">
        <f>COUNTIF(purchase_orders[PO Number], purchase_orders[[#This Row],[PO Number]])</f>
        <v>1</v>
      </c>
    </row>
    <row r="535" spans="1:8" x14ac:dyDescent="0.25">
      <c r="A535" t="s">
        <v>488</v>
      </c>
      <c r="B535" t="s">
        <v>1512</v>
      </c>
      <c r="C535" s="1">
        <v>46031</v>
      </c>
      <c r="D535">
        <v>240</v>
      </c>
      <c r="E535">
        <v>56.25</v>
      </c>
      <c r="F535" t="s">
        <v>1476</v>
      </c>
      <c r="G535" s="1">
        <v>46050</v>
      </c>
      <c r="H535">
        <f>COUNTIF(purchase_orders[PO Number], purchase_orders[[#This Row],[PO Number]])</f>
        <v>1</v>
      </c>
    </row>
    <row r="536" spans="1:8" x14ac:dyDescent="0.25">
      <c r="A536" t="s">
        <v>489</v>
      </c>
      <c r="B536" t="s">
        <v>1466</v>
      </c>
      <c r="C536" s="1">
        <v>46083</v>
      </c>
      <c r="D536">
        <v>117</v>
      </c>
      <c r="E536">
        <v>163.09</v>
      </c>
      <c r="F536" t="s">
        <v>1459</v>
      </c>
      <c r="G536" s="1">
        <v>46099</v>
      </c>
      <c r="H536">
        <f>COUNTIF(purchase_orders[PO Number], purchase_orders[[#This Row],[PO Number]])</f>
        <v>1</v>
      </c>
    </row>
    <row r="537" spans="1:8" x14ac:dyDescent="0.25">
      <c r="A537" t="s">
        <v>490</v>
      </c>
      <c r="B537" t="s">
        <v>1455</v>
      </c>
      <c r="C537" s="1">
        <v>46132</v>
      </c>
      <c r="D537">
        <v>94</v>
      </c>
      <c r="E537">
        <v>125.15</v>
      </c>
      <c r="F537" t="s">
        <v>1444</v>
      </c>
      <c r="G537" s="1">
        <v>46143</v>
      </c>
      <c r="H537">
        <f>COUNTIF(purchase_orders[PO Number], purchase_orders[[#This Row],[PO Number]])</f>
        <v>1</v>
      </c>
    </row>
    <row r="538" spans="1:8" x14ac:dyDescent="0.25">
      <c r="A538" t="s">
        <v>491</v>
      </c>
      <c r="B538" t="s">
        <v>1475</v>
      </c>
      <c r="C538" s="1">
        <v>46168</v>
      </c>
      <c r="D538">
        <v>189</v>
      </c>
      <c r="E538">
        <v>108.79</v>
      </c>
      <c r="F538" t="s">
        <v>1494</v>
      </c>
      <c r="G538" s="1">
        <v>46178</v>
      </c>
      <c r="H538">
        <f>COUNTIF(purchase_orders[PO Number], purchase_orders[[#This Row],[PO Number]])</f>
        <v>1</v>
      </c>
    </row>
    <row r="539" spans="1:8" x14ac:dyDescent="0.25">
      <c r="A539" t="s">
        <v>492</v>
      </c>
      <c r="B539" t="s">
        <v>1509</v>
      </c>
      <c r="C539" s="1">
        <v>46097</v>
      </c>
      <c r="D539">
        <v>158</v>
      </c>
      <c r="E539">
        <v>116.68</v>
      </c>
      <c r="F539" t="s">
        <v>1504</v>
      </c>
      <c r="G539" s="1">
        <v>46105</v>
      </c>
      <c r="H539">
        <f>COUNTIF(purchase_orders[PO Number], purchase_orders[[#This Row],[PO Number]])</f>
        <v>1</v>
      </c>
    </row>
    <row r="540" spans="1:8" x14ac:dyDescent="0.25">
      <c r="A540" t="s">
        <v>493</v>
      </c>
      <c r="B540" t="s">
        <v>1441</v>
      </c>
      <c r="C540" s="1">
        <v>46128</v>
      </c>
      <c r="D540">
        <v>480</v>
      </c>
      <c r="E540">
        <v>16.559999999999999</v>
      </c>
      <c r="F540" t="s">
        <v>1458</v>
      </c>
      <c r="G540" s="1">
        <v>46137</v>
      </c>
      <c r="H540">
        <f>COUNTIF(purchase_orders[PO Number], purchase_orders[[#This Row],[PO Number]])</f>
        <v>1</v>
      </c>
    </row>
    <row r="541" spans="1:8" x14ac:dyDescent="0.25">
      <c r="A541" t="s">
        <v>494</v>
      </c>
      <c r="B541" t="s">
        <v>1449</v>
      </c>
      <c r="C541" s="1">
        <v>46056</v>
      </c>
      <c r="D541">
        <v>137</v>
      </c>
      <c r="E541">
        <v>33.520000000000003</v>
      </c>
      <c r="F541" t="s">
        <v>1472</v>
      </c>
      <c r="G541" s="1">
        <v>46068</v>
      </c>
      <c r="H541">
        <f>COUNTIF(purchase_orders[PO Number], purchase_orders[[#This Row],[PO Number]])</f>
        <v>1</v>
      </c>
    </row>
    <row r="542" spans="1:8" x14ac:dyDescent="0.25">
      <c r="A542" t="s">
        <v>495</v>
      </c>
      <c r="B542" t="s">
        <v>1461</v>
      </c>
      <c r="C542" s="1">
        <v>46123</v>
      </c>
      <c r="D542">
        <v>260</v>
      </c>
      <c r="E542">
        <v>32.72</v>
      </c>
      <c r="F542" t="s">
        <v>1446</v>
      </c>
      <c r="G542" s="1">
        <v>46136</v>
      </c>
      <c r="H542">
        <f>COUNTIF(purchase_orders[PO Number], purchase_orders[[#This Row],[PO Number]])</f>
        <v>1</v>
      </c>
    </row>
    <row r="543" spans="1:8" x14ac:dyDescent="0.25">
      <c r="A543" t="s">
        <v>496</v>
      </c>
      <c r="B543" t="s">
        <v>1439</v>
      </c>
      <c r="C543" s="1">
        <v>46129</v>
      </c>
      <c r="D543">
        <v>202</v>
      </c>
      <c r="E543">
        <v>93.14</v>
      </c>
      <c r="F543" t="s">
        <v>1446</v>
      </c>
      <c r="G543" s="1">
        <v>46136</v>
      </c>
      <c r="H543">
        <f>COUNTIF(purchase_orders[PO Number], purchase_orders[[#This Row],[PO Number]])</f>
        <v>1</v>
      </c>
    </row>
    <row r="544" spans="1:8" x14ac:dyDescent="0.25">
      <c r="A544" t="s">
        <v>497</v>
      </c>
      <c r="B544" t="s">
        <v>1488</v>
      </c>
      <c r="C544" s="1">
        <v>46154</v>
      </c>
      <c r="D544">
        <v>393</v>
      </c>
      <c r="E544">
        <v>59.25</v>
      </c>
      <c r="F544" t="s">
        <v>1451</v>
      </c>
      <c r="G544" s="1">
        <v>46173</v>
      </c>
      <c r="H544">
        <f>COUNTIF(purchase_orders[PO Number], purchase_orders[[#This Row],[PO Number]])</f>
        <v>1</v>
      </c>
    </row>
    <row r="545" spans="1:8" x14ac:dyDescent="0.25">
      <c r="A545" t="s">
        <v>498</v>
      </c>
      <c r="B545" t="s">
        <v>1498</v>
      </c>
      <c r="C545" s="1">
        <v>46106</v>
      </c>
      <c r="D545">
        <v>307</v>
      </c>
      <c r="E545">
        <v>5.48</v>
      </c>
      <c r="F545" t="s">
        <v>1456</v>
      </c>
      <c r="G545" s="1">
        <v>46113</v>
      </c>
      <c r="H545">
        <f>COUNTIF(purchase_orders[PO Number], purchase_orders[[#This Row],[PO Number]])</f>
        <v>1</v>
      </c>
    </row>
    <row r="546" spans="1:8" x14ac:dyDescent="0.25">
      <c r="A546" t="s">
        <v>499</v>
      </c>
      <c r="B546" t="s">
        <v>1477</v>
      </c>
      <c r="C546" s="1">
        <v>46140</v>
      </c>
      <c r="D546">
        <v>335</v>
      </c>
      <c r="E546">
        <v>134.51</v>
      </c>
      <c r="F546" t="s">
        <v>1451</v>
      </c>
      <c r="G546" s="1">
        <v>46147</v>
      </c>
      <c r="H546">
        <f>COUNTIF(purchase_orders[PO Number], purchase_orders[[#This Row],[PO Number]])</f>
        <v>1</v>
      </c>
    </row>
    <row r="547" spans="1:8" x14ac:dyDescent="0.25">
      <c r="A547" t="s">
        <v>500</v>
      </c>
      <c r="B547" t="s">
        <v>1471</v>
      </c>
      <c r="C547" s="1">
        <v>46124</v>
      </c>
      <c r="D547">
        <v>121</v>
      </c>
      <c r="E547">
        <v>193.79</v>
      </c>
      <c r="F547" t="s">
        <v>1459</v>
      </c>
      <c r="G547" s="1">
        <v>46144</v>
      </c>
      <c r="H547">
        <f>COUNTIF(purchase_orders[PO Number], purchase_orders[[#This Row],[PO Number]])</f>
        <v>1</v>
      </c>
    </row>
    <row r="548" spans="1:8" x14ac:dyDescent="0.25">
      <c r="A548" t="s">
        <v>501</v>
      </c>
      <c r="B548" t="s">
        <v>1511</v>
      </c>
      <c r="C548" s="1">
        <v>46105</v>
      </c>
      <c r="D548">
        <v>434</v>
      </c>
      <c r="E548">
        <v>60.3</v>
      </c>
      <c r="F548" t="s">
        <v>1442</v>
      </c>
      <c r="G548" s="1">
        <v>46114</v>
      </c>
      <c r="H548">
        <f>COUNTIF(purchase_orders[PO Number], purchase_orders[[#This Row],[PO Number]])</f>
        <v>1</v>
      </c>
    </row>
    <row r="549" spans="1:8" x14ac:dyDescent="0.25">
      <c r="A549" t="s">
        <v>502</v>
      </c>
      <c r="B549" t="s">
        <v>1493</v>
      </c>
      <c r="C549" s="1">
        <v>46147</v>
      </c>
      <c r="D549">
        <v>413</v>
      </c>
      <c r="E549">
        <v>72.03</v>
      </c>
      <c r="F549" t="s">
        <v>1467</v>
      </c>
      <c r="G549" s="1">
        <v>46153</v>
      </c>
      <c r="H549">
        <f>COUNTIF(purchase_orders[PO Number], purchase_orders[[#This Row],[PO Number]])</f>
        <v>1</v>
      </c>
    </row>
    <row r="550" spans="1:8" x14ac:dyDescent="0.25">
      <c r="A550" t="s">
        <v>503</v>
      </c>
      <c r="B550" t="s">
        <v>1452</v>
      </c>
      <c r="C550" s="1">
        <v>46048</v>
      </c>
      <c r="D550">
        <v>330</v>
      </c>
      <c r="E550">
        <v>157.86000000000001</v>
      </c>
      <c r="F550" t="s">
        <v>1469</v>
      </c>
      <c r="G550" s="1">
        <v>46053</v>
      </c>
      <c r="H550">
        <f>COUNTIF(purchase_orders[PO Number], purchase_orders[[#This Row],[PO Number]])</f>
        <v>1</v>
      </c>
    </row>
    <row r="551" spans="1:8" x14ac:dyDescent="0.25">
      <c r="A551" t="s">
        <v>504</v>
      </c>
      <c r="B551" t="s">
        <v>1466</v>
      </c>
      <c r="C551" s="1">
        <v>46063</v>
      </c>
      <c r="D551">
        <v>235</v>
      </c>
      <c r="E551">
        <v>94.02</v>
      </c>
      <c r="F551" t="s">
        <v>1507</v>
      </c>
      <c r="G551" s="1">
        <v>46074</v>
      </c>
      <c r="H551">
        <f>COUNTIF(purchase_orders[PO Number], purchase_orders[[#This Row],[PO Number]])</f>
        <v>1</v>
      </c>
    </row>
    <row r="552" spans="1:8" x14ac:dyDescent="0.25">
      <c r="A552" t="s">
        <v>505</v>
      </c>
      <c r="B552" t="s">
        <v>1449</v>
      </c>
      <c r="C552" s="1">
        <v>46056</v>
      </c>
      <c r="D552">
        <v>461</v>
      </c>
      <c r="E552">
        <v>131.75</v>
      </c>
      <c r="F552" t="s">
        <v>1501</v>
      </c>
      <c r="G552" s="1">
        <v>46069</v>
      </c>
      <c r="H552">
        <f>COUNTIF(purchase_orders[PO Number], purchase_orders[[#This Row],[PO Number]])</f>
        <v>1</v>
      </c>
    </row>
    <row r="553" spans="1:8" x14ac:dyDescent="0.25">
      <c r="A553" t="s">
        <v>506</v>
      </c>
      <c r="B553" t="s">
        <v>1457</v>
      </c>
      <c r="C553" s="1">
        <v>46115</v>
      </c>
      <c r="D553">
        <v>138</v>
      </c>
      <c r="E553">
        <v>21.07</v>
      </c>
      <c r="F553" t="s">
        <v>1467</v>
      </c>
      <c r="G553" s="1">
        <v>46125</v>
      </c>
      <c r="H553">
        <f>COUNTIF(purchase_orders[PO Number], purchase_orders[[#This Row],[PO Number]])</f>
        <v>1</v>
      </c>
    </row>
    <row r="554" spans="1:8" x14ac:dyDescent="0.25">
      <c r="A554" t="s">
        <v>507</v>
      </c>
      <c r="B554" t="s">
        <v>1475</v>
      </c>
      <c r="C554" s="1">
        <v>46124</v>
      </c>
      <c r="D554">
        <v>330</v>
      </c>
      <c r="E554">
        <v>64.569999999999993</v>
      </c>
      <c r="F554" t="s">
        <v>1499</v>
      </c>
      <c r="G554" s="1">
        <v>46136</v>
      </c>
      <c r="H554">
        <f>COUNTIF(purchase_orders[PO Number], purchase_orders[[#This Row],[PO Number]])</f>
        <v>1</v>
      </c>
    </row>
    <row r="555" spans="1:8" x14ac:dyDescent="0.25">
      <c r="A555" t="s">
        <v>508</v>
      </c>
      <c r="B555" t="s">
        <v>1500</v>
      </c>
      <c r="C555" s="1">
        <v>46046</v>
      </c>
      <c r="D555">
        <v>370</v>
      </c>
      <c r="E555">
        <v>23.56</v>
      </c>
      <c r="F555" t="s">
        <v>1444</v>
      </c>
      <c r="G555" s="1">
        <v>46066</v>
      </c>
      <c r="H555">
        <f>COUNTIF(purchase_orders[PO Number], purchase_orders[[#This Row],[PO Number]])</f>
        <v>1</v>
      </c>
    </row>
    <row r="556" spans="1:8" x14ac:dyDescent="0.25">
      <c r="A556" t="s">
        <v>509</v>
      </c>
      <c r="B556" t="s">
        <v>1492</v>
      </c>
      <c r="C556" s="1">
        <v>46056</v>
      </c>
      <c r="D556">
        <v>313</v>
      </c>
      <c r="E556">
        <v>49.11</v>
      </c>
      <c r="F556" t="s">
        <v>1467</v>
      </c>
      <c r="G556" s="1">
        <v>46075</v>
      </c>
      <c r="H556">
        <f>COUNTIF(purchase_orders[PO Number], purchase_orders[[#This Row],[PO Number]])</f>
        <v>1</v>
      </c>
    </row>
    <row r="557" spans="1:8" x14ac:dyDescent="0.25">
      <c r="A557" t="s">
        <v>510</v>
      </c>
      <c r="B557" t="s">
        <v>1481</v>
      </c>
      <c r="C557" s="1">
        <v>46025</v>
      </c>
      <c r="D557">
        <v>366</v>
      </c>
      <c r="E557">
        <v>72</v>
      </c>
      <c r="F557" t="s">
        <v>1483</v>
      </c>
      <c r="G557" s="1">
        <v>46043</v>
      </c>
      <c r="H557">
        <f>COUNTIF(purchase_orders[PO Number], purchase_orders[[#This Row],[PO Number]])</f>
        <v>1</v>
      </c>
    </row>
    <row r="558" spans="1:8" x14ac:dyDescent="0.25">
      <c r="A558" t="s">
        <v>1275</v>
      </c>
      <c r="B558" t="s">
        <v>1449</v>
      </c>
      <c r="C558" s="1">
        <v>46056</v>
      </c>
      <c r="D558">
        <v>254</v>
      </c>
      <c r="E558">
        <v>18.809999999999999</v>
      </c>
      <c r="F558" t="s">
        <v>1453</v>
      </c>
      <c r="G558" s="1">
        <v>46063</v>
      </c>
      <c r="H558">
        <f>COUNTIF(purchase_orders[PO Number], purchase_orders[[#This Row],[PO Number]])</f>
        <v>1</v>
      </c>
    </row>
    <row r="559" spans="1:8" x14ac:dyDescent="0.25">
      <c r="A559" t="s">
        <v>511</v>
      </c>
      <c r="B559" t="s">
        <v>1477</v>
      </c>
      <c r="C559" s="1">
        <v>46049</v>
      </c>
      <c r="D559">
        <v>62</v>
      </c>
      <c r="E559">
        <v>66.099999999999994</v>
      </c>
      <c r="F559" t="s">
        <v>1474</v>
      </c>
      <c r="G559" s="1">
        <v>46058</v>
      </c>
      <c r="H559">
        <f>COUNTIF(purchase_orders[PO Number], purchase_orders[[#This Row],[PO Number]])</f>
        <v>1</v>
      </c>
    </row>
    <row r="560" spans="1:8" x14ac:dyDescent="0.25">
      <c r="A560" t="s">
        <v>512</v>
      </c>
      <c r="B560" t="s">
        <v>1502</v>
      </c>
      <c r="C560" s="1">
        <v>46057</v>
      </c>
      <c r="D560">
        <v>338</v>
      </c>
      <c r="E560">
        <v>198.62</v>
      </c>
      <c r="F560" t="s">
        <v>1485</v>
      </c>
      <c r="G560" s="1">
        <v>46064</v>
      </c>
      <c r="H560">
        <f>COUNTIF(purchase_orders[PO Number], purchase_orders[[#This Row],[PO Number]])</f>
        <v>1</v>
      </c>
    </row>
    <row r="561" spans="1:8" x14ac:dyDescent="0.25">
      <c r="A561" t="s">
        <v>513</v>
      </c>
      <c r="B561" t="s">
        <v>1491</v>
      </c>
      <c r="C561" s="1">
        <v>46167</v>
      </c>
      <c r="D561">
        <v>14</v>
      </c>
      <c r="E561">
        <v>124.01</v>
      </c>
      <c r="F561" t="s">
        <v>1459</v>
      </c>
      <c r="G561" s="1">
        <v>46186</v>
      </c>
      <c r="H561">
        <f>COUNTIF(purchase_orders[PO Number], purchase_orders[[#This Row],[PO Number]])</f>
        <v>1</v>
      </c>
    </row>
    <row r="562" spans="1:8" x14ac:dyDescent="0.25">
      <c r="A562" t="s">
        <v>514</v>
      </c>
      <c r="B562" t="s">
        <v>1503</v>
      </c>
      <c r="C562" s="1">
        <v>46077</v>
      </c>
      <c r="D562">
        <v>331</v>
      </c>
      <c r="E562">
        <v>150.91</v>
      </c>
      <c r="F562" t="s">
        <v>1507</v>
      </c>
      <c r="G562" s="1">
        <v>46096</v>
      </c>
      <c r="H562">
        <f>COUNTIF(purchase_orders[PO Number], purchase_orders[[#This Row],[PO Number]])</f>
        <v>1</v>
      </c>
    </row>
    <row r="563" spans="1:8" x14ac:dyDescent="0.25">
      <c r="A563" t="s">
        <v>515</v>
      </c>
      <c r="B563" t="s">
        <v>1463</v>
      </c>
      <c r="C563" s="1">
        <v>46045</v>
      </c>
      <c r="D563">
        <v>469</v>
      </c>
      <c r="E563">
        <v>24.59</v>
      </c>
      <c r="F563" t="s">
        <v>1456</v>
      </c>
      <c r="G563" s="1">
        <v>46053</v>
      </c>
      <c r="H563">
        <f>COUNTIF(purchase_orders[PO Number], purchase_orders[[#This Row],[PO Number]])</f>
        <v>1</v>
      </c>
    </row>
    <row r="564" spans="1:8" x14ac:dyDescent="0.25">
      <c r="A564" t="s">
        <v>516</v>
      </c>
      <c r="B564" t="s">
        <v>1443</v>
      </c>
      <c r="C564" s="1">
        <v>46121</v>
      </c>
      <c r="D564">
        <v>189</v>
      </c>
      <c r="E564">
        <v>192.83</v>
      </c>
      <c r="F564" t="s">
        <v>1459</v>
      </c>
      <c r="G564" s="1">
        <v>46130</v>
      </c>
      <c r="H564">
        <f>COUNTIF(purchase_orders[PO Number], purchase_orders[[#This Row],[PO Number]])</f>
        <v>1</v>
      </c>
    </row>
    <row r="565" spans="1:8" x14ac:dyDescent="0.25">
      <c r="A565" t="s">
        <v>517</v>
      </c>
      <c r="B565" t="s">
        <v>1482</v>
      </c>
      <c r="C565" s="1">
        <v>46093</v>
      </c>
      <c r="D565">
        <v>340</v>
      </c>
      <c r="E565">
        <v>21.43</v>
      </c>
      <c r="F565" t="s">
        <v>1442</v>
      </c>
      <c r="G565" s="1">
        <v>46107</v>
      </c>
      <c r="H565">
        <f>COUNTIF(purchase_orders[PO Number], purchase_orders[[#This Row],[PO Number]])</f>
        <v>1</v>
      </c>
    </row>
    <row r="566" spans="1:8" x14ac:dyDescent="0.25">
      <c r="A566" t="s">
        <v>1284</v>
      </c>
      <c r="B566" t="s">
        <v>1449</v>
      </c>
      <c r="C566" s="1">
        <v>46029</v>
      </c>
      <c r="D566">
        <v>444</v>
      </c>
      <c r="E566">
        <v>170.18</v>
      </c>
      <c r="F566" t="s">
        <v>1474</v>
      </c>
      <c r="G566" s="1">
        <v>46040</v>
      </c>
      <c r="H566">
        <f>COUNTIF(purchase_orders[PO Number], purchase_orders[[#This Row],[PO Number]])</f>
        <v>1</v>
      </c>
    </row>
    <row r="567" spans="1:8" x14ac:dyDescent="0.25">
      <c r="A567" t="s">
        <v>518</v>
      </c>
      <c r="B567" t="s">
        <v>1491</v>
      </c>
      <c r="C567" s="1">
        <v>46153</v>
      </c>
      <c r="D567">
        <v>106</v>
      </c>
      <c r="E567">
        <v>150.83000000000001</v>
      </c>
      <c r="F567" t="s">
        <v>1474</v>
      </c>
      <c r="G567" s="1">
        <v>46159</v>
      </c>
      <c r="H567">
        <f>COUNTIF(purchase_orders[PO Number], purchase_orders[[#This Row],[PO Number]])</f>
        <v>1</v>
      </c>
    </row>
    <row r="568" spans="1:8" x14ac:dyDescent="0.25">
      <c r="A568" t="s">
        <v>1288</v>
      </c>
      <c r="B568" t="s">
        <v>1482</v>
      </c>
      <c r="C568" s="1">
        <v>46149</v>
      </c>
      <c r="D568">
        <v>207</v>
      </c>
      <c r="E568">
        <v>26.99</v>
      </c>
      <c r="F568" t="s">
        <v>1487</v>
      </c>
      <c r="G568" s="1">
        <v>46156</v>
      </c>
      <c r="H568">
        <f>COUNTIF(purchase_orders[PO Number], purchase_orders[[#This Row],[PO Number]])</f>
        <v>1</v>
      </c>
    </row>
    <row r="569" spans="1:8" x14ac:dyDescent="0.25">
      <c r="A569" t="s">
        <v>519</v>
      </c>
      <c r="B569" t="s">
        <v>1491</v>
      </c>
      <c r="C569" s="1">
        <v>46026</v>
      </c>
      <c r="D569">
        <v>194</v>
      </c>
      <c r="E569">
        <v>187.12</v>
      </c>
      <c r="F569" t="s">
        <v>1485</v>
      </c>
      <c r="G569" s="1">
        <v>46043</v>
      </c>
      <c r="H569">
        <f>COUNTIF(purchase_orders[PO Number], purchase_orders[[#This Row],[PO Number]])</f>
        <v>1</v>
      </c>
    </row>
    <row r="570" spans="1:8" x14ac:dyDescent="0.25">
      <c r="A570" t="s">
        <v>520</v>
      </c>
      <c r="B570" t="s">
        <v>1493</v>
      </c>
      <c r="C570" s="1">
        <v>46130</v>
      </c>
      <c r="D570">
        <v>197</v>
      </c>
      <c r="E570">
        <v>111.54</v>
      </c>
      <c r="F570" t="s">
        <v>1501</v>
      </c>
      <c r="G570" s="1">
        <v>46150</v>
      </c>
      <c r="H570">
        <f>COUNTIF(purchase_orders[PO Number], purchase_orders[[#This Row],[PO Number]])</f>
        <v>1</v>
      </c>
    </row>
    <row r="571" spans="1:8" x14ac:dyDescent="0.25">
      <c r="A571" t="s">
        <v>521</v>
      </c>
      <c r="B571" t="s">
        <v>1492</v>
      </c>
      <c r="C571" s="1">
        <v>46027</v>
      </c>
      <c r="D571">
        <v>310</v>
      </c>
      <c r="E571">
        <v>18.170000000000002</v>
      </c>
      <c r="F571" t="s">
        <v>1458</v>
      </c>
      <c r="G571" s="1">
        <v>46038</v>
      </c>
      <c r="H571">
        <f>COUNTIF(purchase_orders[PO Number], purchase_orders[[#This Row],[PO Number]])</f>
        <v>1</v>
      </c>
    </row>
    <row r="572" spans="1:8" x14ac:dyDescent="0.25">
      <c r="A572" t="s">
        <v>522</v>
      </c>
      <c r="B572" t="s">
        <v>1452</v>
      </c>
      <c r="C572" s="1">
        <v>46038</v>
      </c>
      <c r="D572">
        <v>495</v>
      </c>
      <c r="E572">
        <v>158.91</v>
      </c>
      <c r="F572" t="s">
        <v>1504</v>
      </c>
      <c r="G572" s="1">
        <v>46052</v>
      </c>
      <c r="H572">
        <f>COUNTIF(purchase_orders[PO Number], purchase_orders[[#This Row],[PO Number]])</f>
        <v>1</v>
      </c>
    </row>
    <row r="573" spans="1:8" x14ac:dyDescent="0.25">
      <c r="A573" t="s">
        <v>523</v>
      </c>
      <c r="B573" t="s">
        <v>1439</v>
      </c>
      <c r="C573" s="1">
        <v>46151</v>
      </c>
      <c r="D573">
        <v>402</v>
      </c>
      <c r="E573">
        <v>86.01</v>
      </c>
      <c r="F573" t="s">
        <v>1499</v>
      </c>
      <c r="G573" s="1">
        <v>46168</v>
      </c>
      <c r="H573">
        <f>COUNTIF(purchase_orders[PO Number], purchase_orders[[#This Row],[PO Number]])</f>
        <v>1</v>
      </c>
    </row>
    <row r="574" spans="1:8" x14ac:dyDescent="0.25">
      <c r="A574" t="s">
        <v>524</v>
      </c>
      <c r="B574" t="s">
        <v>1457</v>
      </c>
      <c r="C574" s="1">
        <v>46160</v>
      </c>
      <c r="D574">
        <v>285</v>
      </c>
      <c r="E574">
        <v>125.13</v>
      </c>
      <c r="F574" t="s">
        <v>1458</v>
      </c>
      <c r="G574" s="1">
        <v>46167</v>
      </c>
      <c r="H574">
        <f>COUNTIF(purchase_orders[PO Number], purchase_orders[[#This Row],[PO Number]])</f>
        <v>1</v>
      </c>
    </row>
    <row r="575" spans="1:8" x14ac:dyDescent="0.25">
      <c r="A575" t="s">
        <v>525</v>
      </c>
      <c r="B575" t="s">
        <v>1512</v>
      </c>
      <c r="C575" s="1">
        <v>46043</v>
      </c>
      <c r="D575">
        <v>271</v>
      </c>
      <c r="E575">
        <v>184.58</v>
      </c>
      <c r="F575" t="s">
        <v>1485</v>
      </c>
      <c r="G575" s="1">
        <v>46058</v>
      </c>
      <c r="H575">
        <f>COUNTIF(purchase_orders[PO Number], purchase_orders[[#This Row],[PO Number]])</f>
        <v>1</v>
      </c>
    </row>
    <row r="576" spans="1:8" x14ac:dyDescent="0.25">
      <c r="A576" t="s">
        <v>526</v>
      </c>
      <c r="B576" t="s">
        <v>1488</v>
      </c>
      <c r="C576" s="1">
        <v>46173</v>
      </c>
      <c r="D576">
        <v>334</v>
      </c>
      <c r="E576">
        <v>153.83000000000001</v>
      </c>
      <c r="F576" t="s">
        <v>1446</v>
      </c>
      <c r="G576" s="1">
        <v>46180</v>
      </c>
      <c r="H576">
        <f>COUNTIF(purchase_orders[PO Number], purchase_orders[[#This Row],[PO Number]])</f>
        <v>1</v>
      </c>
    </row>
    <row r="577" spans="1:8" x14ac:dyDescent="0.25">
      <c r="A577" t="s">
        <v>527</v>
      </c>
      <c r="B577" t="s">
        <v>1512</v>
      </c>
      <c r="C577" s="1">
        <v>46134</v>
      </c>
      <c r="D577">
        <v>383</v>
      </c>
      <c r="E577">
        <v>190.92</v>
      </c>
      <c r="F577" t="s">
        <v>1440</v>
      </c>
      <c r="G577" s="1">
        <v>46140</v>
      </c>
      <c r="H577">
        <f>COUNTIF(purchase_orders[PO Number], purchase_orders[[#This Row],[PO Number]])</f>
        <v>1</v>
      </c>
    </row>
    <row r="578" spans="1:8" x14ac:dyDescent="0.25">
      <c r="A578" t="s">
        <v>528</v>
      </c>
      <c r="B578" t="s">
        <v>1482</v>
      </c>
      <c r="C578" s="1">
        <v>46045</v>
      </c>
      <c r="D578">
        <v>483</v>
      </c>
      <c r="E578">
        <v>89.72</v>
      </c>
      <c r="F578" t="s">
        <v>1469</v>
      </c>
      <c r="G578" s="1">
        <v>46051</v>
      </c>
      <c r="H578">
        <f>COUNTIF(purchase_orders[PO Number], purchase_orders[[#This Row],[PO Number]])</f>
        <v>1</v>
      </c>
    </row>
    <row r="579" spans="1:8" x14ac:dyDescent="0.25">
      <c r="A579" t="s">
        <v>529</v>
      </c>
      <c r="B579" t="s">
        <v>1512</v>
      </c>
      <c r="C579" s="1">
        <v>46067</v>
      </c>
      <c r="D579">
        <v>71</v>
      </c>
      <c r="E579">
        <v>7.47</v>
      </c>
      <c r="F579" t="s">
        <v>1485</v>
      </c>
      <c r="G579" s="1">
        <v>46072</v>
      </c>
      <c r="H579">
        <f>COUNTIF(purchase_orders[PO Number], purchase_orders[[#This Row],[PO Number]])</f>
        <v>1</v>
      </c>
    </row>
    <row r="580" spans="1:8" x14ac:dyDescent="0.25">
      <c r="A580" t="s">
        <v>530</v>
      </c>
      <c r="B580" t="s">
        <v>1460</v>
      </c>
      <c r="C580" s="1">
        <v>46150</v>
      </c>
      <c r="D580">
        <v>497</v>
      </c>
      <c r="E580">
        <v>72.61</v>
      </c>
      <c r="F580" t="s">
        <v>1504</v>
      </c>
      <c r="G580" s="1">
        <v>46163</v>
      </c>
      <c r="H580">
        <f>COUNTIF(purchase_orders[PO Number], purchase_orders[[#This Row],[PO Number]])</f>
        <v>1</v>
      </c>
    </row>
    <row r="581" spans="1:8" x14ac:dyDescent="0.25">
      <c r="A581" t="s">
        <v>531</v>
      </c>
      <c r="B581" t="s">
        <v>1460</v>
      </c>
      <c r="C581" s="1">
        <v>46118</v>
      </c>
      <c r="D581">
        <v>74</v>
      </c>
      <c r="E581">
        <v>151.21</v>
      </c>
      <c r="F581" t="s">
        <v>1458</v>
      </c>
      <c r="G581" s="1">
        <v>46126</v>
      </c>
      <c r="H581">
        <f>COUNTIF(purchase_orders[PO Number], purchase_orders[[#This Row],[PO Number]])</f>
        <v>1</v>
      </c>
    </row>
    <row r="582" spans="1:8" x14ac:dyDescent="0.25">
      <c r="A582" t="s">
        <v>532</v>
      </c>
      <c r="B582" t="s">
        <v>1473</v>
      </c>
      <c r="C582" s="1">
        <v>46108</v>
      </c>
      <c r="D582">
        <v>423</v>
      </c>
      <c r="E582">
        <v>88.72</v>
      </c>
      <c r="F582" t="s">
        <v>1504</v>
      </c>
      <c r="G582" s="1">
        <v>46115</v>
      </c>
      <c r="H582">
        <f>COUNTIF(purchase_orders[PO Number], purchase_orders[[#This Row],[PO Number]])</f>
        <v>1</v>
      </c>
    </row>
    <row r="583" spans="1:8" x14ac:dyDescent="0.25">
      <c r="A583" t="s">
        <v>533</v>
      </c>
      <c r="B583" t="s">
        <v>1470</v>
      </c>
      <c r="C583" s="1">
        <v>46170</v>
      </c>
      <c r="D583">
        <v>331</v>
      </c>
      <c r="E583">
        <v>20.03</v>
      </c>
      <c r="F583" t="s">
        <v>1469</v>
      </c>
      <c r="G583" s="1">
        <v>46191</v>
      </c>
      <c r="H583">
        <f>COUNTIF(purchase_orders[PO Number], purchase_orders[[#This Row],[PO Number]])</f>
        <v>1</v>
      </c>
    </row>
    <row r="584" spans="1:8" x14ac:dyDescent="0.25">
      <c r="A584" t="s">
        <v>534</v>
      </c>
      <c r="B584" t="s">
        <v>1496</v>
      </c>
      <c r="C584" s="1">
        <v>46037</v>
      </c>
      <c r="D584">
        <v>265</v>
      </c>
      <c r="E584">
        <v>172.58</v>
      </c>
      <c r="F584" t="s">
        <v>1501</v>
      </c>
      <c r="G584" s="1">
        <v>46053</v>
      </c>
      <c r="H584">
        <f>COUNTIF(purchase_orders[PO Number], purchase_orders[[#This Row],[PO Number]])</f>
        <v>1</v>
      </c>
    </row>
    <row r="585" spans="1:8" x14ac:dyDescent="0.25">
      <c r="A585" t="s">
        <v>535</v>
      </c>
      <c r="B585" t="s">
        <v>1460</v>
      </c>
      <c r="C585" s="1">
        <v>46088</v>
      </c>
      <c r="D585">
        <v>405</v>
      </c>
      <c r="E585">
        <v>25.07</v>
      </c>
      <c r="F585" t="s">
        <v>1480</v>
      </c>
      <c r="G585" s="1">
        <v>46096</v>
      </c>
      <c r="H585">
        <f>COUNTIF(purchase_orders[PO Number], purchase_orders[[#This Row],[PO Number]])</f>
        <v>1</v>
      </c>
    </row>
    <row r="586" spans="1:8" x14ac:dyDescent="0.25">
      <c r="A586" t="s">
        <v>536</v>
      </c>
      <c r="B586" t="s">
        <v>1447</v>
      </c>
      <c r="C586" s="1">
        <v>46153</v>
      </c>
      <c r="D586">
        <v>11</v>
      </c>
      <c r="E586">
        <v>13.59</v>
      </c>
      <c r="F586" t="s">
        <v>1448</v>
      </c>
      <c r="G586" s="1">
        <v>46165</v>
      </c>
      <c r="H586">
        <f>COUNTIF(purchase_orders[PO Number], purchase_orders[[#This Row],[PO Number]])</f>
        <v>1</v>
      </c>
    </row>
    <row r="587" spans="1:8" x14ac:dyDescent="0.25">
      <c r="A587" t="s">
        <v>537</v>
      </c>
      <c r="B587" t="s">
        <v>1452</v>
      </c>
      <c r="C587" s="1">
        <v>46143</v>
      </c>
      <c r="D587">
        <v>196</v>
      </c>
      <c r="E587">
        <v>79.680000000000007</v>
      </c>
      <c r="F587" t="s">
        <v>1485</v>
      </c>
      <c r="G587" s="1">
        <v>46153</v>
      </c>
      <c r="H587">
        <f>COUNTIF(purchase_orders[PO Number], purchase_orders[[#This Row],[PO Number]])</f>
        <v>1</v>
      </c>
    </row>
    <row r="588" spans="1:8" x14ac:dyDescent="0.25">
      <c r="A588" t="s">
        <v>538</v>
      </c>
      <c r="B588" t="s">
        <v>1452</v>
      </c>
      <c r="C588" s="1">
        <v>46164</v>
      </c>
      <c r="D588">
        <v>421</v>
      </c>
      <c r="E588">
        <v>183.22</v>
      </c>
      <c r="F588" t="s">
        <v>1490</v>
      </c>
      <c r="G588" s="1">
        <v>46182</v>
      </c>
      <c r="H588">
        <f>COUNTIF(purchase_orders[PO Number], purchase_orders[[#This Row],[PO Number]])</f>
        <v>1</v>
      </c>
    </row>
    <row r="589" spans="1:8" x14ac:dyDescent="0.25">
      <c r="A589" t="s">
        <v>539</v>
      </c>
      <c r="B589" t="s">
        <v>1447</v>
      </c>
      <c r="C589" s="1">
        <v>46105</v>
      </c>
      <c r="D589">
        <v>137</v>
      </c>
      <c r="E589">
        <v>86.17</v>
      </c>
      <c r="F589" t="s">
        <v>1490</v>
      </c>
      <c r="G589" s="1">
        <v>46120</v>
      </c>
      <c r="H589">
        <f>COUNTIF(purchase_orders[PO Number], purchase_orders[[#This Row],[PO Number]])</f>
        <v>1</v>
      </c>
    </row>
    <row r="590" spans="1:8" x14ac:dyDescent="0.25">
      <c r="A590" t="s">
        <v>540</v>
      </c>
      <c r="B590" t="s">
        <v>1511</v>
      </c>
      <c r="C590" s="1">
        <v>46042</v>
      </c>
      <c r="D590">
        <v>302</v>
      </c>
      <c r="E590">
        <v>77.7</v>
      </c>
      <c r="F590" t="s">
        <v>1504</v>
      </c>
      <c r="G590" s="1">
        <v>46048</v>
      </c>
      <c r="H590">
        <f>COUNTIF(purchase_orders[PO Number], purchase_orders[[#This Row],[PO Number]])</f>
        <v>1</v>
      </c>
    </row>
    <row r="591" spans="1:8" x14ac:dyDescent="0.25">
      <c r="A591" t="s">
        <v>541</v>
      </c>
      <c r="B591" t="s">
        <v>1486</v>
      </c>
      <c r="C591" s="1">
        <v>46080</v>
      </c>
      <c r="D591">
        <v>421</v>
      </c>
      <c r="E591">
        <v>105.58</v>
      </c>
      <c r="F591" t="s">
        <v>1462</v>
      </c>
      <c r="G591" s="1">
        <v>46097</v>
      </c>
      <c r="H591">
        <f>COUNTIF(purchase_orders[PO Number], purchase_orders[[#This Row],[PO Number]])</f>
        <v>1</v>
      </c>
    </row>
    <row r="592" spans="1:8" x14ac:dyDescent="0.25">
      <c r="A592" t="s">
        <v>542</v>
      </c>
      <c r="B592" t="s">
        <v>1492</v>
      </c>
      <c r="C592" s="1">
        <v>46142</v>
      </c>
      <c r="D592">
        <v>453</v>
      </c>
      <c r="E592">
        <v>60.05</v>
      </c>
      <c r="F592" t="s">
        <v>1474</v>
      </c>
      <c r="G592" s="1">
        <v>46157</v>
      </c>
      <c r="H592">
        <f>COUNTIF(purchase_orders[PO Number], purchase_orders[[#This Row],[PO Number]])</f>
        <v>1</v>
      </c>
    </row>
    <row r="593" spans="1:8" x14ac:dyDescent="0.25">
      <c r="A593" t="s">
        <v>543</v>
      </c>
      <c r="B593" t="s">
        <v>1457</v>
      </c>
      <c r="C593" s="1">
        <v>46164</v>
      </c>
      <c r="D593">
        <v>243</v>
      </c>
      <c r="E593">
        <v>6.55</v>
      </c>
      <c r="F593" t="s">
        <v>1444</v>
      </c>
      <c r="G593" s="1">
        <v>46178</v>
      </c>
      <c r="H593">
        <f>COUNTIF(purchase_orders[PO Number], purchase_orders[[#This Row],[PO Number]])</f>
        <v>1</v>
      </c>
    </row>
    <row r="594" spans="1:8" x14ac:dyDescent="0.25">
      <c r="A594" t="s">
        <v>544</v>
      </c>
      <c r="B594" t="s">
        <v>1493</v>
      </c>
      <c r="C594" s="1">
        <v>46100</v>
      </c>
      <c r="D594">
        <v>388</v>
      </c>
      <c r="E594">
        <v>126.43</v>
      </c>
      <c r="F594" t="s">
        <v>1469</v>
      </c>
      <c r="G594" s="1">
        <v>46116</v>
      </c>
      <c r="H594">
        <f>COUNTIF(purchase_orders[PO Number], purchase_orders[[#This Row],[PO Number]])</f>
        <v>1</v>
      </c>
    </row>
    <row r="595" spans="1:8" x14ac:dyDescent="0.25">
      <c r="A595" t="s">
        <v>545</v>
      </c>
      <c r="B595" t="s">
        <v>1443</v>
      </c>
      <c r="C595" s="1">
        <v>46149</v>
      </c>
      <c r="D595">
        <v>405</v>
      </c>
      <c r="E595">
        <v>156.30000000000001</v>
      </c>
      <c r="F595" t="s">
        <v>1490</v>
      </c>
      <c r="G595" s="1">
        <v>46161</v>
      </c>
      <c r="H595">
        <f>COUNTIF(purchase_orders[PO Number], purchase_orders[[#This Row],[PO Number]])</f>
        <v>1</v>
      </c>
    </row>
    <row r="596" spans="1:8" x14ac:dyDescent="0.25">
      <c r="A596" t="s">
        <v>546</v>
      </c>
      <c r="B596" t="s">
        <v>1464</v>
      </c>
      <c r="C596" s="1">
        <v>46024</v>
      </c>
      <c r="D596">
        <v>487</v>
      </c>
      <c r="E596">
        <v>84.96</v>
      </c>
      <c r="F596" t="s">
        <v>1440</v>
      </c>
      <c r="G596" s="1">
        <v>46040</v>
      </c>
      <c r="H596">
        <f>COUNTIF(purchase_orders[PO Number], purchase_orders[[#This Row],[PO Number]])</f>
        <v>1</v>
      </c>
    </row>
    <row r="597" spans="1:8" x14ac:dyDescent="0.25">
      <c r="A597" t="s">
        <v>547</v>
      </c>
      <c r="B597" t="s">
        <v>1439</v>
      </c>
      <c r="C597" s="1">
        <v>46025</v>
      </c>
      <c r="D597">
        <v>496</v>
      </c>
      <c r="E597">
        <v>70.33</v>
      </c>
      <c r="F597" t="s">
        <v>1456</v>
      </c>
      <c r="G597" s="1">
        <v>46042</v>
      </c>
      <c r="H597">
        <f>COUNTIF(purchase_orders[PO Number], purchase_orders[[#This Row],[PO Number]])</f>
        <v>1</v>
      </c>
    </row>
    <row r="598" spans="1:8" x14ac:dyDescent="0.25">
      <c r="A598" t="s">
        <v>548</v>
      </c>
      <c r="B598" t="s">
        <v>1465</v>
      </c>
      <c r="C598" s="1">
        <v>46101</v>
      </c>
      <c r="D598">
        <v>63</v>
      </c>
      <c r="E598">
        <v>45.01</v>
      </c>
      <c r="F598" t="s">
        <v>1440</v>
      </c>
      <c r="G598" s="1">
        <v>46119</v>
      </c>
      <c r="H598">
        <f>COUNTIF(purchase_orders[PO Number], purchase_orders[[#This Row],[PO Number]])</f>
        <v>1</v>
      </c>
    </row>
    <row r="599" spans="1:8" x14ac:dyDescent="0.25">
      <c r="A599" t="s">
        <v>549</v>
      </c>
      <c r="B599" t="s">
        <v>1498</v>
      </c>
      <c r="C599" s="1">
        <v>46038</v>
      </c>
      <c r="D599">
        <v>82</v>
      </c>
      <c r="E599">
        <v>143.77000000000001</v>
      </c>
      <c r="F599" t="s">
        <v>1476</v>
      </c>
      <c r="G599" s="1">
        <v>46044</v>
      </c>
      <c r="H599">
        <f>COUNTIF(purchase_orders[PO Number], purchase_orders[[#This Row],[PO Number]])</f>
        <v>1</v>
      </c>
    </row>
    <row r="600" spans="1:8" x14ac:dyDescent="0.25">
      <c r="A600" t="s">
        <v>550</v>
      </c>
      <c r="B600" t="s">
        <v>1447</v>
      </c>
      <c r="C600" s="1">
        <v>46156</v>
      </c>
      <c r="D600">
        <v>221</v>
      </c>
      <c r="E600">
        <v>141.66999999999999</v>
      </c>
      <c r="F600" t="s">
        <v>1451</v>
      </c>
      <c r="G600" s="1">
        <v>46175</v>
      </c>
      <c r="H600">
        <f>COUNTIF(purchase_orders[PO Number], purchase_orders[[#This Row],[PO Number]])</f>
        <v>1</v>
      </c>
    </row>
    <row r="601" spans="1:8" x14ac:dyDescent="0.25">
      <c r="A601" t="s">
        <v>551</v>
      </c>
      <c r="B601" t="s">
        <v>1465</v>
      </c>
      <c r="C601" s="1">
        <v>46044</v>
      </c>
      <c r="D601">
        <v>307</v>
      </c>
      <c r="E601">
        <v>23.64</v>
      </c>
      <c r="F601" t="s">
        <v>1485</v>
      </c>
      <c r="G601" s="1">
        <v>46061</v>
      </c>
      <c r="H601">
        <f>COUNTIF(purchase_orders[PO Number], purchase_orders[[#This Row],[PO Number]])</f>
        <v>1</v>
      </c>
    </row>
    <row r="602" spans="1:8" x14ac:dyDescent="0.25">
      <c r="A602" t="s">
        <v>552</v>
      </c>
      <c r="B602" t="s">
        <v>1492</v>
      </c>
      <c r="C602" s="1">
        <v>46168</v>
      </c>
      <c r="D602">
        <v>41</v>
      </c>
      <c r="E602">
        <v>89.82</v>
      </c>
      <c r="F602" t="s">
        <v>1485</v>
      </c>
      <c r="G602" s="1">
        <v>46180</v>
      </c>
      <c r="H602">
        <f>COUNTIF(purchase_orders[PO Number], purchase_orders[[#This Row],[PO Number]])</f>
        <v>1</v>
      </c>
    </row>
    <row r="603" spans="1:8" x14ac:dyDescent="0.25">
      <c r="A603" t="s">
        <v>553</v>
      </c>
      <c r="B603" t="s">
        <v>1506</v>
      </c>
      <c r="C603" s="1">
        <v>46089</v>
      </c>
      <c r="D603">
        <v>445</v>
      </c>
      <c r="E603">
        <v>66.430000000000007</v>
      </c>
      <c r="F603" t="s">
        <v>1453</v>
      </c>
      <c r="G603" s="1">
        <v>46104</v>
      </c>
      <c r="H603">
        <f>COUNTIF(purchase_orders[PO Number], purchase_orders[[#This Row],[PO Number]])</f>
        <v>1</v>
      </c>
    </row>
    <row r="604" spans="1:8" x14ac:dyDescent="0.25">
      <c r="A604" t="s">
        <v>554</v>
      </c>
      <c r="B604" t="s">
        <v>1509</v>
      </c>
      <c r="C604" s="1">
        <v>46138</v>
      </c>
      <c r="D604">
        <v>149</v>
      </c>
      <c r="E604">
        <v>50.55</v>
      </c>
      <c r="F604" t="s">
        <v>1444</v>
      </c>
      <c r="G604" s="1">
        <v>46147</v>
      </c>
      <c r="H604">
        <f>COUNTIF(purchase_orders[PO Number], purchase_orders[[#This Row],[PO Number]])</f>
        <v>1</v>
      </c>
    </row>
    <row r="605" spans="1:8" x14ac:dyDescent="0.25">
      <c r="A605" t="s">
        <v>555</v>
      </c>
      <c r="B605" t="s">
        <v>1443</v>
      </c>
      <c r="C605" s="1">
        <v>46050</v>
      </c>
      <c r="D605">
        <v>89</v>
      </c>
      <c r="E605">
        <v>25.6</v>
      </c>
      <c r="F605" t="s">
        <v>1469</v>
      </c>
      <c r="G605" s="1">
        <v>46069</v>
      </c>
      <c r="H605">
        <f>COUNTIF(purchase_orders[PO Number], purchase_orders[[#This Row],[PO Number]])</f>
        <v>1</v>
      </c>
    </row>
    <row r="606" spans="1:8" x14ac:dyDescent="0.25">
      <c r="A606" t="s">
        <v>1330</v>
      </c>
      <c r="B606" t="s">
        <v>1509</v>
      </c>
      <c r="C606" s="1">
        <v>46127</v>
      </c>
      <c r="D606">
        <v>71</v>
      </c>
      <c r="E606">
        <v>109.51</v>
      </c>
      <c r="F606" t="s">
        <v>1456</v>
      </c>
      <c r="G606" s="1">
        <v>46138</v>
      </c>
      <c r="H606">
        <f>COUNTIF(purchase_orders[PO Number], purchase_orders[[#This Row],[PO Number]])</f>
        <v>1</v>
      </c>
    </row>
    <row r="607" spans="1:8" x14ac:dyDescent="0.25">
      <c r="A607" t="s">
        <v>1333</v>
      </c>
      <c r="B607" t="s">
        <v>1478</v>
      </c>
      <c r="C607" s="1">
        <v>46101</v>
      </c>
      <c r="D607">
        <v>247</v>
      </c>
      <c r="E607">
        <v>56.68</v>
      </c>
      <c r="F607" t="s">
        <v>1483</v>
      </c>
      <c r="G607" s="1">
        <v>46108</v>
      </c>
      <c r="H607">
        <f>COUNTIF(purchase_orders[PO Number], purchase_orders[[#This Row],[PO Number]])</f>
        <v>1</v>
      </c>
    </row>
    <row r="608" spans="1:8" x14ac:dyDescent="0.25">
      <c r="A608" t="s">
        <v>556</v>
      </c>
      <c r="B608" t="s">
        <v>1460</v>
      </c>
      <c r="C608" s="1">
        <v>46100</v>
      </c>
      <c r="D608">
        <v>433</v>
      </c>
      <c r="E608">
        <v>142.41999999999999</v>
      </c>
      <c r="F608" t="s">
        <v>1494</v>
      </c>
      <c r="G608" s="1">
        <v>46106</v>
      </c>
      <c r="H608">
        <f>COUNTIF(purchase_orders[PO Number], purchase_orders[[#This Row],[PO Number]])</f>
        <v>1</v>
      </c>
    </row>
    <row r="609" spans="1:8" x14ac:dyDescent="0.25">
      <c r="A609" t="s">
        <v>557</v>
      </c>
      <c r="B609" t="s">
        <v>1463</v>
      </c>
      <c r="C609" s="1">
        <v>46106</v>
      </c>
      <c r="D609">
        <v>85</v>
      </c>
      <c r="E609">
        <v>22.79</v>
      </c>
      <c r="F609" t="s">
        <v>1440</v>
      </c>
      <c r="G609" s="1">
        <v>46122</v>
      </c>
      <c r="H609">
        <f>COUNTIF(purchase_orders[PO Number], purchase_orders[[#This Row],[PO Number]])</f>
        <v>1</v>
      </c>
    </row>
    <row r="610" spans="1:8" x14ac:dyDescent="0.25">
      <c r="A610" t="s">
        <v>1337</v>
      </c>
      <c r="B610" t="s">
        <v>1488</v>
      </c>
      <c r="C610" s="1">
        <v>46154</v>
      </c>
      <c r="D610">
        <v>35</v>
      </c>
      <c r="E610">
        <v>137.05000000000001</v>
      </c>
      <c r="F610" t="s">
        <v>1458</v>
      </c>
      <c r="G610" s="1">
        <v>46164</v>
      </c>
      <c r="H610">
        <f>COUNTIF(purchase_orders[PO Number], purchase_orders[[#This Row],[PO Number]])</f>
        <v>1</v>
      </c>
    </row>
    <row r="611" spans="1:8" x14ac:dyDescent="0.25">
      <c r="A611" t="s">
        <v>558</v>
      </c>
      <c r="B611" t="s">
        <v>1473</v>
      </c>
      <c r="C611" s="1">
        <v>46126</v>
      </c>
      <c r="D611">
        <v>447</v>
      </c>
      <c r="E611">
        <v>93.18</v>
      </c>
      <c r="F611" t="s">
        <v>1490</v>
      </c>
      <c r="G611" s="1">
        <v>46138</v>
      </c>
      <c r="H611">
        <f>COUNTIF(purchase_orders[PO Number], purchase_orders[[#This Row],[PO Number]])</f>
        <v>1</v>
      </c>
    </row>
    <row r="612" spans="1:8" x14ac:dyDescent="0.25">
      <c r="A612" t="s">
        <v>559</v>
      </c>
      <c r="B612" t="s">
        <v>1450</v>
      </c>
      <c r="C612" s="1">
        <v>46141</v>
      </c>
      <c r="D612">
        <v>62</v>
      </c>
      <c r="E612">
        <v>161.76</v>
      </c>
      <c r="F612" t="s">
        <v>1485</v>
      </c>
      <c r="G612" s="1">
        <v>46149</v>
      </c>
      <c r="H612">
        <f>COUNTIF(purchase_orders[PO Number], purchase_orders[[#This Row],[PO Number]])</f>
        <v>1</v>
      </c>
    </row>
    <row r="613" spans="1:8" x14ac:dyDescent="0.25">
      <c r="A613" t="s">
        <v>560</v>
      </c>
      <c r="B613" t="s">
        <v>1481</v>
      </c>
      <c r="C613" s="1">
        <v>46038</v>
      </c>
      <c r="D613">
        <v>435</v>
      </c>
      <c r="E613">
        <v>157.29</v>
      </c>
      <c r="F613" t="s">
        <v>1440</v>
      </c>
      <c r="G613" s="1">
        <v>46047</v>
      </c>
      <c r="H613">
        <f>COUNTIF(purchase_orders[PO Number], purchase_orders[[#This Row],[PO Number]])</f>
        <v>1</v>
      </c>
    </row>
    <row r="614" spans="1:8" x14ac:dyDescent="0.25">
      <c r="A614" t="s">
        <v>561</v>
      </c>
      <c r="B614" t="s">
        <v>1505</v>
      </c>
      <c r="C614" s="1">
        <v>46125</v>
      </c>
      <c r="D614">
        <v>200</v>
      </c>
      <c r="E614">
        <v>138.83000000000001</v>
      </c>
      <c r="F614" t="s">
        <v>1446</v>
      </c>
      <c r="G614" s="1">
        <v>46132</v>
      </c>
      <c r="H614">
        <f>COUNTIF(purchase_orders[PO Number], purchase_orders[[#This Row],[PO Number]])</f>
        <v>1</v>
      </c>
    </row>
    <row r="615" spans="1:8" x14ac:dyDescent="0.25">
      <c r="A615" t="s">
        <v>562</v>
      </c>
      <c r="B615" t="s">
        <v>1443</v>
      </c>
      <c r="C615" s="1">
        <v>46173</v>
      </c>
      <c r="D615">
        <v>142</v>
      </c>
      <c r="E615">
        <v>183.9</v>
      </c>
      <c r="F615" t="s">
        <v>1476</v>
      </c>
      <c r="G615" s="1">
        <v>46178</v>
      </c>
      <c r="H615">
        <f>COUNTIF(purchase_orders[PO Number], purchase_orders[[#This Row],[PO Number]])</f>
        <v>1</v>
      </c>
    </row>
    <row r="616" spans="1:8" x14ac:dyDescent="0.25">
      <c r="A616" t="s">
        <v>563</v>
      </c>
      <c r="B616" t="s">
        <v>1492</v>
      </c>
      <c r="C616" s="1">
        <v>46073</v>
      </c>
      <c r="D616">
        <v>472</v>
      </c>
      <c r="E616">
        <v>130.97</v>
      </c>
      <c r="F616" t="s">
        <v>1485</v>
      </c>
      <c r="G616" s="1">
        <v>46080</v>
      </c>
      <c r="H616">
        <f>COUNTIF(purchase_orders[PO Number], purchase_orders[[#This Row],[PO Number]])</f>
        <v>1</v>
      </c>
    </row>
    <row r="617" spans="1:8" x14ac:dyDescent="0.25">
      <c r="A617" t="s">
        <v>564</v>
      </c>
      <c r="B617" t="s">
        <v>1479</v>
      </c>
      <c r="C617" s="1">
        <v>46054</v>
      </c>
      <c r="D617">
        <v>31</v>
      </c>
      <c r="E617">
        <v>188.74</v>
      </c>
      <c r="F617" t="s">
        <v>1462</v>
      </c>
      <c r="G617" s="1">
        <v>46064</v>
      </c>
      <c r="H617">
        <f>COUNTIF(purchase_orders[PO Number], purchase_orders[[#This Row],[PO Number]])</f>
        <v>1</v>
      </c>
    </row>
    <row r="618" spans="1:8" x14ac:dyDescent="0.25">
      <c r="A618" t="s">
        <v>565</v>
      </c>
      <c r="B618" t="s">
        <v>1493</v>
      </c>
      <c r="C618" s="1">
        <v>46133</v>
      </c>
      <c r="D618">
        <v>430</v>
      </c>
      <c r="E618">
        <v>146.26</v>
      </c>
      <c r="F618" t="s">
        <v>1487</v>
      </c>
      <c r="G618" s="1">
        <v>46138</v>
      </c>
      <c r="H618">
        <f>COUNTIF(purchase_orders[PO Number], purchase_orders[[#This Row],[PO Number]])</f>
        <v>1</v>
      </c>
    </row>
    <row r="619" spans="1:8" x14ac:dyDescent="0.25">
      <c r="A619" t="s">
        <v>566</v>
      </c>
      <c r="B619" t="s">
        <v>1502</v>
      </c>
      <c r="C619" s="1">
        <v>46132</v>
      </c>
      <c r="D619">
        <v>98</v>
      </c>
      <c r="E619">
        <v>74.02</v>
      </c>
      <c r="F619" t="s">
        <v>1501</v>
      </c>
      <c r="G619" s="1">
        <v>46145</v>
      </c>
      <c r="H619">
        <f>COUNTIF(purchase_orders[PO Number], purchase_orders[[#This Row],[PO Number]])</f>
        <v>1</v>
      </c>
    </row>
    <row r="620" spans="1:8" x14ac:dyDescent="0.25">
      <c r="A620" t="s">
        <v>567</v>
      </c>
      <c r="B620" t="s">
        <v>1511</v>
      </c>
      <c r="C620" s="1">
        <v>46137</v>
      </c>
      <c r="D620">
        <v>462</v>
      </c>
      <c r="E620">
        <v>33.979999999999997</v>
      </c>
      <c r="F620" t="s">
        <v>1494</v>
      </c>
      <c r="G620" s="1">
        <v>46149</v>
      </c>
      <c r="H620">
        <f>COUNTIF(purchase_orders[PO Number], purchase_orders[[#This Row],[PO Number]])</f>
        <v>1</v>
      </c>
    </row>
    <row r="621" spans="1:8" x14ac:dyDescent="0.25">
      <c r="A621" t="s">
        <v>568</v>
      </c>
      <c r="B621" t="s">
        <v>1508</v>
      </c>
      <c r="C621" s="1">
        <v>46098</v>
      </c>
      <c r="D621">
        <v>265</v>
      </c>
      <c r="E621">
        <v>85.34</v>
      </c>
      <c r="F621" t="s">
        <v>1442</v>
      </c>
      <c r="G621" s="1">
        <v>46118</v>
      </c>
      <c r="H621">
        <f>COUNTIF(purchase_orders[PO Number], purchase_orders[[#This Row],[PO Number]])</f>
        <v>1</v>
      </c>
    </row>
    <row r="622" spans="1:8" x14ac:dyDescent="0.25">
      <c r="A622" t="s">
        <v>569</v>
      </c>
      <c r="B622" t="s">
        <v>1475</v>
      </c>
      <c r="C622" s="1">
        <v>46045</v>
      </c>
      <c r="D622">
        <v>153</v>
      </c>
      <c r="E622">
        <v>79.69</v>
      </c>
      <c r="F622" t="s">
        <v>1507</v>
      </c>
      <c r="G622" s="1">
        <v>46056</v>
      </c>
      <c r="H622">
        <f>COUNTIF(purchase_orders[PO Number], purchase_orders[[#This Row],[PO Number]])</f>
        <v>1</v>
      </c>
    </row>
    <row r="623" spans="1:8" x14ac:dyDescent="0.25">
      <c r="A623" t="s">
        <v>570</v>
      </c>
      <c r="B623" t="s">
        <v>1508</v>
      </c>
      <c r="C623" s="1">
        <v>46157</v>
      </c>
      <c r="D623">
        <v>137</v>
      </c>
      <c r="E623">
        <v>128</v>
      </c>
      <c r="F623" t="s">
        <v>1442</v>
      </c>
      <c r="G623" s="1">
        <v>46162</v>
      </c>
      <c r="H623">
        <f>COUNTIF(purchase_orders[PO Number], purchase_orders[[#This Row],[PO Number]])</f>
        <v>1</v>
      </c>
    </row>
    <row r="624" spans="1:8" x14ac:dyDescent="0.25">
      <c r="A624" t="s">
        <v>571</v>
      </c>
      <c r="B624" t="s">
        <v>1502</v>
      </c>
      <c r="C624" s="1">
        <v>46114</v>
      </c>
      <c r="D624">
        <v>255</v>
      </c>
      <c r="E624">
        <v>111.18</v>
      </c>
      <c r="F624" t="s">
        <v>1487</v>
      </c>
      <c r="G624" s="1">
        <v>46130</v>
      </c>
      <c r="H624">
        <f>COUNTIF(purchase_orders[PO Number], purchase_orders[[#This Row],[PO Number]])</f>
        <v>1</v>
      </c>
    </row>
    <row r="625" spans="1:8" x14ac:dyDescent="0.25">
      <c r="A625" t="s">
        <v>572</v>
      </c>
      <c r="B625" t="s">
        <v>1493</v>
      </c>
      <c r="C625" s="1">
        <v>46151</v>
      </c>
      <c r="D625">
        <v>174</v>
      </c>
      <c r="E625">
        <v>80.73</v>
      </c>
      <c r="F625" t="s">
        <v>1501</v>
      </c>
      <c r="G625" s="1">
        <v>46156</v>
      </c>
      <c r="H625">
        <f>COUNTIF(purchase_orders[PO Number], purchase_orders[[#This Row],[PO Number]])</f>
        <v>1</v>
      </c>
    </row>
    <row r="626" spans="1:8" x14ac:dyDescent="0.25">
      <c r="A626" t="s">
        <v>573</v>
      </c>
      <c r="B626" t="s">
        <v>1509</v>
      </c>
      <c r="C626" s="1">
        <v>46079</v>
      </c>
      <c r="D626">
        <v>25</v>
      </c>
      <c r="E626">
        <v>179.67</v>
      </c>
      <c r="F626" t="s">
        <v>1456</v>
      </c>
      <c r="G626" s="1">
        <v>46092</v>
      </c>
      <c r="H626">
        <f>COUNTIF(purchase_orders[PO Number], purchase_orders[[#This Row],[PO Number]])</f>
        <v>1</v>
      </c>
    </row>
    <row r="627" spans="1:8" x14ac:dyDescent="0.25">
      <c r="A627" t="s">
        <v>574</v>
      </c>
      <c r="B627" t="s">
        <v>1475</v>
      </c>
      <c r="C627" s="1">
        <v>46143</v>
      </c>
      <c r="D627">
        <v>281</v>
      </c>
      <c r="E627">
        <v>74.7</v>
      </c>
      <c r="F627" t="s">
        <v>1480</v>
      </c>
      <c r="G627" s="1">
        <v>46155</v>
      </c>
      <c r="H627">
        <f>COUNTIF(purchase_orders[PO Number], purchase_orders[[#This Row],[PO Number]])</f>
        <v>1</v>
      </c>
    </row>
    <row r="628" spans="1:8" x14ac:dyDescent="0.25">
      <c r="A628" t="s">
        <v>575</v>
      </c>
      <c r="B628" t="s">
        <v>1460</v>
      </c>
      <c r="C628" s="1">
        <v>46048</v>
      </c>
      <c r="D628">
        <v>136</v>
      </c>
      <c r="E628">
        <v>133.09</v>
      </c>
      <c r="F628" t="s">
        <v>1458</v>
      </c>
      <c r="G628" s="1">
        <v>46054</v>
      </c>
      <c r="H628">
        <f>COUNTIF(purchase_orders[PO Number], purchase_orders[[#This Row],[PO Number]])</f>
        <v>1</v>
      </c>
    </row>
    <row r="629" spans="1:8" x14ac:dyDescent="0.25">
      <c r="A629" t="s">
        <v>576</v>
      </c>
      <c r="B629" t="s">
        <v>1447</v>
      </c>
      <c r="C629" s="1">
        <v>46170</v>
      </c>
      <c r="D629">
        <v>443</v>
      </c>
      <c r="E629">
        <v>196.62</v>
      </c>
      <c r="F629" t="s">
        <v>1453</v>
      </c>
      <c r="G629" s="1">
        <v>46186</v>
      </c>
      <c r="H629">
        <f>COUNTIF(purchase_orders[PO Number], purchase_orders[[#This Row],[PO Number]])</f>
        <v>1</v>
      </c>
    </row>
    <row r="630" spans="1:8" x14ac:dyDescent="0.25">
      <c r="A630" t="s">
        <v>577</v>
      </c>
      <c r="B630" t="s">
        <v>1486</v>
      </c>
      <c r="C630" s="1">
        <v>46068</v>
      </c>
      <c r="D630">
        <v>131</v>
      </c>
      <c r="E630">
        <v>120.54</v>
      </c>
      <c r="F630" t="s">
        <v>1490</v>
      </c>
      <c r="G630" s="1">
        <v>46084</v>
      </c>
      <c r="H630">
        <f>COUNTIF(purchase_orders[PO Number], purchase_orders[[#This Row],[PO Number]])</f>
        <v>1</v>
      </c>
    </row>
    <row r="631" spans="1:8" x14ac:dyDescent="0.25">
      <c r="A631" t="s">
        <v>578</v>
      </c>
      <c r="B631" t="s">
        <v>1443</v>
      </c>
      <c r="C631" s="1">
        <v>46030</v>
      </c>
      <c r="D631">
        <v>370</v>
      </c>
      <c r="E631">
        <v>141.61000000000001</v>
      </c>
      <c r="F631" t="s">
        <v>1480</v>
      </c>
      <c r="G631" s="1">
        <v>46039</v>
      </c>
      <c r="H631">
        <f>COUNTIF(purchase_orders[PO Number], purchase_orders[[#This Row],[PO Number]])</f>
        <v>1</v>
      </c>
    </row>
    <row r="632" spans="1:8" x14ac:dyDescent="0.25">
      <c r="A632" t="s">
        <v>579</v>
      </c>
      <c r="B632" t="s">
        <v>1493</v>
      </c>
      <c r="C632" s="1">
        <v>46071</v>
      </c>
      <c r="D632">
        <v>438</v>
      </c>
      <c r="E632">
        <v>197.66</v>
      </c>
      <c r="F632" t="s">
        <v>1487</v>
      </c>
      <c r="G632" s="1">
        <v>46085</v>
      </c>
      <c r="H632">
        <f>COUNTIF(purchase_orders[PO Number], purchase_orders[[#This Row],[PO Number]])</f>
        <v>1</v>
      </c>
    </row>
    <row r="633" spans="1:8" x14ac:dyDescent="0.25">
      <c r="A633" t="s">
        <v>580</v>
      </c>
      <c r="B633" t="s">
        <v>1486</v>
      </c>
      <c r="C633" s="1">
        <v>46148</v>
      </c>
      <c r="D633">
        <v>29</v>
      </c>
      <c r="E633">
        <v>22.6</v>
      </c>
      <c r="F633" t="s">
        <v>1440</v>
      </c>
      <c r="G633" s="1">
        <v>46160</v>
      </c>
      <c r="H633">
        <f>COUNTIF(purchase_orders[PO Number], purchase_orders[[#This Row],[PO Number]])</f>
        <v>1</v>
      </c>
    </row>
    <row r="634" spans="1:8" x14ac:dyDescent="0.25">
      <c r="A634" t="s">
        <v>581</v>
      </c>
      <c r="B634" t="s">
        <v>1473</v>
      </c>
      <c r="C634" s="1">
        <v>46157</v>
      </c>
      <c r="D634">
        <v>254</v>
      </c>
      <c r="E634">
        <v>5.13</v>
      </c>
      <c r="F634" t="s">
        <v>1494</v>
      </c>
      <c r="G634" s="1">
        <v>46168</v>
      </c>
      <c r="H634">
        <f>COUNTIF(purchase_orders[PO Number], purchase_orders[[#This Row],[PO Number]])</f>
        <v>1</v>
      </c>
    </row>
    <row r="635" spans="1:8" x14ac:dyDescent="0.25">
      <c r="A635" t="s">
        <v>582</v>
      </c>
      <c r="B635" t="s">
        <v>1441</v>
      </c>
      <c r="C635" s="1">
        <v>46110</v>
      </c>
      <c r="D635">
        <v>377</v>
      </c>
      <c r="E635">
        <v>39.6</v>
      </c>
      <c r="F635" t="s">
        <v>1472</v>
      </c>
      <c r="G635" s="1">
        <v>46116</v>
      </c>
      <c r="H635">
        <f>COUNTIF(purchase_orders[PO Number], purchase_orders[[#This Row],[PO Number]])</f>
        <v>1</v>
      </c>
    </row>
    <row r="636" spans="1:8" x14ac:dyDescent="0.25">
      <c r="A636" t="s">
        <v>583</v>
      </c>
      <c r="B636" t="s">
        <v>1473</v>
      </c>
      <c r="C636" s="1">
        <v>46060</v>
      </c>
      <c r="D636">
        <v>310</v>
      </c>
      <c r="E636">
        <v>142.41999999999999</v>
      </c>
      <c r="F636" t="s">
        <v>1485</v>
      </c>
      <c r="G636" s="1">
        <v>46068</v>
      </c>
      <c r="H636">
        <f>COUNTIF(purchase_orders[PO Number], purchase_orders[[#This Row],[PO Number]])</f>
        <v>1</v>
      </c>
    </row>
    <row r="637" spans="1:8" x14ac:dyDescent="0.25">
      <c r="A637" t="s">
        <v>1365</v>
      </c>
      <c r="B637" t="s">
        <v>1491</v>
      </c>
      <c r="C637" s="1">
        <v>46116</v>
      </c>
      <c r="D637">
        <v>47</v>
      </c>
      <c r="E637">
        <v>77.849999999999994</v>
      </c>
      <c r="F637" t="s">
        <v>1459</v>
      </c>
      <c r="G637" s="1">
        <v>46133</v>
      </c>
      <c r="H637">
        <f>COUNTIF(purchase_orders[PO Number], purchase_orders[[#This Row],[PO Number]])</f>
        <v>1</v>
      </c>
    </row>
    <row r="638" spans="1:8" x14ac:dyDescent="0.25">
      <c r="A638" t="s">
        <v>584</v>
      </c>
      <c r="B638" t="s">
        <v>1443</v>
      </c>
      <c r="C638" s="1">
        <v>46048</v>
      </c>
      <c r="D638">
        <v>182</v>
      </c>
      <c r="E638">
        <v>63.84</v>
      </c>
      <c r="F638" t="s">
        <v>1485</v>
      </c>
      <c r="G638" s="1">
        <v>46058</v>
      </c>
      <c r="H638">
        <f>COUNTIF(purchase_orders[PO Number], purchase_orders[[#This Row],[PO Number]])</f>
        <v>1</v>
      </c>
    </row>
    <row r="639" spans="1:8" x14ac:dyDescent="0.25">
      <c r="A639" t="s">
        <v>585</v>
      </c>
      <c r="B639" t="s">
        <v>1477</v>
      </c>
      <c r="C639" s="1">
        <v>46134</v>
      </c>
      <c r="D639">
        <v>415</v>
      </c>
      <c r="E639">
        <v>129.66</v>
      </c>
      <c r="F639" t="s">
        <v>1487</v>
      </c>
      <c r="G639" s="1">
        <v>46149</v>
      </c>
      <c r="H639">
        <f>COUNTIF(purchase_orders[PO Number], purchase_orders[[#This Row],[PO Number]])</f>
        <v>1</v>
      </c>
    </row>
    <row r="640" spans="1:8" x14ac:dyDescent="0.25">
      <c r="A640" t="s">
        <v>586</v>
      </c>
      <c r="B640" t="s">
        <v>1486</v>
      </c>
      <c r="C640" s="1">
        <v>46166</v>
      </c>
      <c r="D640">
        <v>365</v>
      </c>
      <c r="E640">
        <v>178.47</v>
      </c>
      <c r="F640" t="s">
        <v>1494</v>
      </c>
      <c r="G640" s="1">
        <v>46182</v>
      </c>
      <c r="H640">
        <f>COUNTIF(purchase_orders[PO Number], purchase_orders[[#This Row],[PO Number]])</f>
        <v>1</v>
      </c>
    </row>
    <row r="641" spans="1:8" x14ac:dyDescent="0.25">
      <c r="A641" t="s">
        <v>587</v>
      </c>
      <c r="B641" t="s">
        <v>1447</v>
      </c>
      <c r="C641" s="1">
        <v>46173</v>
      </c>
      <c r="D641">
        <v>427</v>
      </c>
      <c r="E641">
        <v>39.19</v>
      </c>
      <c r="F641" t="s">
        <v>1474</v>
      </c>
      <c r="G641" s="1">
        <v>46187</v>
      </c>
      <c r="H641">
        <f>COUNTIF(purchase_orders[PO Number], purchase_orders[[#This Row],[PO Number]])</f>
        <v>1</v>
      </c>
    </row>
    <row r="642" spans="1:8" x14ac:dyDescent="0.25">
      <c r="A642" t="s">
        <v>588</v>
      </c>
      <c r="B642" t="s">
        <v>1441</v>
      </c>
      <c r="C642" s="1">
        <v>46068</v>
      </c>
      <c r="D642">
        <v>383</v>
      </c>
      <c r="E642">
        <v>5.35</v>
      </c>
      <c r="F642" t="s">
        <v>1499</v>
      </c>
      <c r="G642" s="1">
        <v>46085</v>
      </c>
      <c r="H642">
        <f>COUNTIF(purchase_orders[PO Number], purchase_orders[[#This Row],[PO Number]])</f>
        <v>1</v>
      </c>
    </row>
    <row r="643" spans="1:8" x14ac:dyDescent="0.25">
      <c r="A643" t="s">
        <v>589</v>
      </c>
      <c r="B643" t="s">
        <v>1493</v>
      </c>
      <c r="C643" s="1">
        <v>46031</v>
      </c>
      <c r="D643">
        <v>103</v>
      </c>
      <c r="E643">
        <v>122.47</v>
      </c>
      <c r="F643" t="s">
        <v>1494</v>
      </c>
      <c r="G643" s="1">
        <v>46043</v>
      </c>
      <c r="H643">
        <f>COUNTIF(purchase_orders[PO Number], purchase_orders[[#This Row],[PO Number]])</f>
        <v>1</v>
      </c>
    </row>
    <row r="644" spans="1:8" x14ac:dyDescent="0.25">
      <c r="A644" t="s">
        <v>590</v>
      </c>
      <c r="B644" t="s">
        <v>1439</v>
      </c>
      <c r="C644" s="1">
        <v>46167</v>
      </c>
      <c r="D644">
        <v>63</v>
      </c>
      <c r="E644">
        <v>187.65</v>
      </c>
      <c r="F644" t="s">
        <v>1485</v>
      </c>
      <c r="G644" s="1">
        <v>46182</v>
      </c>
      <c r="H644">
        <f>COUNTIF(purchase_orders[PO Number], purchase_orders[[#This Row],[PO Number]])</f>
        <v>1</v>
      </c>
    </row>
    <row r="645" spans="1:8" x14ac:dyDescent="0.25">
      <c r="A645" t="s">
        <v>591</v>
      </c>
      <c r="B645" t="s">
        <v>1465</v>
      </c>
      <c r="C645" s="1">
        <v>46042</v>
      </c>
      <c r="D645">
        <v>131</v>
      </c>
      <c r="E645">
        <v>72.63</v>
      </c>
      <c r="F645" t="s">
        <v>1472</v>
      </c>
      <c r="G645" s="1">
        <v>46052</v>
      </c>
      <c r="H645">
        <f>COUNTIF(purchase_orders[PO Number], purchase_orders[[#This Row],[PO Number]])</f>
        <v>1</v>
      </c>
    </row>
    <row r="646" spans="1:8" x14ac:dyDescent="0.25">
      <c r="A646" t="s">
        <v>592</v>
      </c>
      <c r="B646" t="s">
        <v>1439</v>
      </c>
      <c r="C646" s="1">
        <v>46045</v>
      </c>
      <c r="D646">
        <v>430</v>
      </c>
      <c r="E646">
        <v>143.25</v>
      </c>
      <c r="F646" t="s">
        <v>1446</v>
      </c>
      <c r="G646" s="1">
        <v>46060</v>
      </c>
      <c r="H646">
        <f>COUNTIF(purchase_orders[PO Number], purchase_orders[[#This Row],[PO Number]])</f>
        <v>1</v>
      </c>
    </row>
    <row r="647" spans="1:8" x14ac:dyDescent="0.25">
      <c r="A647" t="s">
        <v>593</v>
      </c>
      <c r="B647" t="s">
        <v>1478</v>
      </c>
      <c r="C647" s="1">
        <v>46025</v>
      </c>
      <c r="D647">
        <v>145</v>
      </c>
      <c r="E647">
        <v>45.89</v>
      </c>
      <c r="F647" t="s">
        <v>1499</v>
      </c>
      <c r="G647" s="1">
        <v>46032</v>
      </c>
      <c r="H647">
        <f>COUNTIF(purchase_orders[PO Number], purchase_orders[[#This Row],[PO Number]])</f>
        <v>1</v>
      </c>
    </row>
    <row r="648" spans="1:8" x14ac:dyDescent="0.25">
      <c r="A648" t="s">
        <v>594</v>
      </c>
      <c r="B648" t="s">
        <v>1503</v>
      </c>
      <c r="C648" s="1">
        <v>46088</v>
      </c>
      <c r="D648">
        <v>412</v>
      </c>
      <c r="E648">
        <v>26.07</v>
      </c>
      <c r="F648" t="s">
        <v>1448</v>
      </c>
      <c r="G648" s="1">
        <v>46094</v>
      </c>
      <c r="H648">
        <f>COUNTIF(purchase_orders[PO Number], purchase_orders[[#This Row],[PO Number]])</f>
        <v>1</v>
      </c>
    </row>
    <row r="649" spans="1:8" x14ac:dyDescent="0.25">
      <c r="A649" t="s">
        <v>595</v>
      </c>
      <c r="B649" t="s">
        <v>1502</v>
      </c>
      <c r="C649" s="1">
        <v>46135</v>
      </c>
      <c r="D649">
        <v>385</v>
      </c>
      <c r="E649">
        <v>86.83</v>
      </c>
      <c r="F649" t="s">
        <v>1501</v>
      </c>
      <c r="G649" s="1">
        <v>46153</v>
      </c>
      <c r="H649">
        <f>COUNTIF(purchase_orders[PO Number], purchase_orders[[#This Row],[PO Number]])</f>
        <v>1</v>
      </c>
    </row>
    <row r="650" spans="1:8" x14ac:dyDescent="0.25">
      <c r="A650" t="s">
        <v>596</v>
      </c>
      <c r="B650" t="s">
        <v>1498</v>
      </c>
      <c r="C650" s="1">
        <v>46119</v>
      </c>
      <c r="D650">
        <v>189</v>
      </c>
      <c r="E650">
        <v>111.47</v>
      </c>
      <c r="F650" t="s">
        <v>1483</v>
      </c>
      <c r="G650" s="1">
        <v>46139</v>
      </c>
      <c r="H650">
        <f>COUNTIF(purchase_orders[PO Number], purchase_orders[[#This Row],[PO Number]])</f>
        <v>1</v>
      </c>
    </row>
    <row r="651" spans="1:8" x14ac:dyDescent="0.25">
      <c r="A651" t="s">
        <v>597</v>
      </c>
      <c r="B651" t="s">
        <v>1493</v>
      </c>
      <c r="C651" s="1">
        <v>46080</v>
      </c>
      <c r="D651">
        <v>93</v>
      </c>
      <c r="E651">
        <v>93</v>
      </c>
      <c r="F651" t="s">
        <v>1459</v>
      </c>
      <c r="G651" s="1">
        <v>46094</v>
      </c>
      <c r="H651">
        <f>COUNTIF(purchase_orders[PO Number], purchase_orders[[#This Row],[PO Number]])</f>
        <v>1</v>
      </c>
    </row>
    <row r="652" spans="1:8" x14ac:dyDescent="0.25">
      <c r="A652" t="s">
        <v>598</v>
      </c>
      <c r="B652" t="s">
        <v>1473</v>
      </c>
      <c r="C652" s="1">
        <v>46104</v>
      </c>
      <c r="D652">
        <v>143</v>
      </c>
      <c r="E652">
        <v>190.57</v>
      </c>
      <c r="F652" t="s">
        <v>1476</v>
      </c>
      <c r="G652" s="1">
        <v>46119</v>
      </c>
      <c r="H652">
        <f>COUNTIF(purchase_orders[PO Number], purchase_orders[[#This Row],[PO Number]])</f>
        <v>1</v>
      </c>
    </row>
    <row r="653" spans="1:8" x14ac:dyDescent="0.25">
      <c r="A653" t="s">
        <v>599</v>
      </c>
      <c r="B653" t="s">
        <v>1460</v>
      </c>
      <c r="C653" s="1">
        <v>46119</v>
      </c>
      <c r="D653">
        <v>92</v>
      </c>
      <c r="E653">
        <v>147.74</v>
      </c>
      <c r="F653" t="s">
        <v>1442</v>
      </c>
      <c r="G653" s="1">
        <v>46126</v>
      </c>
      <c r="H653">
        <f>COUNTIF(purchase_orders[PO Number], purchase_orders[[#This Row],[PO Number]])</f>
        <v>1</v>
      </c>
    </row>
    <row r="654" spans="1:8" x14ac:dyDescent="0.25">
      <c r="A654" t="s">
        <v>600</v>
      </c>
      <c r="B654" t="s">
        <v>1479</v>
      </c>
      <c r="C654" s="1">
        <v>46146</v>
      </c>
      <c r="D654">
        <v>370</v>
      </c>
      <c r="E654">
        <v>11.04</v>
      </c>
      <c r="F654" t="s">
        <v>1446</v>
      </c>
      <c r="G654" s="1">
        <v>46156</v>
      </c>
      <c r="H654">
        <f>COUNTIF(purchase_orders[PO Number], purchase_orders[[#This Row],[PO Number]])</f>
        <v>1</v>
      </c>
    </row>
    <row r="655" spans="1:8" x14ac:dyDescent="0.25">
      <c r="A655" t="s">
        <v>601</v>
      </c>
      <c r="B655" t="s">
        <v>1468</v>
      </c>
      <c r="C655" s="1">
        <v>46134</v>
      </c>
      <c r="D655">
        <v>90</v>
      </c>
      <c r="E655">
        <v>15.44</v>
      </c>
      <c r="F655" t="s">
        <v>1472</v>
      </c>
      <c r="G655" s="1">
        <v>46145</v>
      </c>
      <c r="H655">
        <f>COUNTIF(purchase_orders[PO Number], purchase_orders[[#This Row],[PO Number]])</f>
        <v>1</v>
      </c>
    </row>
    <row r="656" spans="1:8" x14ac:dyDescent="0.25">
      <c r="A656" t="s">
        <v>602</v>
      </c>
      <c r="B656" t="s">
        <v>1505</v>
      </c>
      <c r="C656" s="1">
        <v>46127</v>
      </c>
      <c r="D656">
        <v>366</v>
      </c>
      <c r="E656">
        <v>113.05</v>
      </c>
      <c r="F656" t="s">
        <v>1490</v>
      </c>
      <c r="G656" s="1">
        <v>46140</v>
      </c>
      <c r="H656">
        <f>COUNTIF(purchase_orders[PO Number], purchase_orders[[#This Row],[PO Number]])</f>
        <v>1</v>
      </c>
    </row>
    <row r="657" spans="1:8" x14ac:dyDescent="0.25">
      <c r="A657" t="s">
        <v>603</v>
      </c>
      <c r="B657" t="s">
        <v>1484</v>
      </c>
      <c r="C657" s="1">
        <v>46095</v>
      </c>
      <c r="D657">
        <v>162</v>
      </c>
      <c r="E657">
        <v>51.32</v>
      </c>
      <c r="F657" t="s">
        <v>1462</v>
      </c>
      <c r="G657" s="1">
        <v>46112</v>
      </c>
      <c r="H657">
        <f>COUNTIF(purchase_orders[PO Number], purchase_orders[[#This Row],[PO Number]])</f>
        <v>1</v>
      </c>
    </row>
    <row r="658" spans="1:8" x14ac:dyDescent="0.25">
      <c r="A658" t="s">
        <v>604</v>
      </c>
      <c r="B658" t="s">
        <v>1493</v>
      </c>
      <c r="C658" s="1">
        <v>46163</v>
      </c>
      <c r="D658">
        <v>440</v>
      </c>
      <c r="E658">
        <v>100.73</v>
      </c>
      <c r="F658" t="s">
        <v>1462</v>
      </c>
      <c r="G658" s="1">
        <v>46179</v>
      </c>
      <c r="H658">
        <f>COUNTIF(purchase_orders[PO Number], purchase_orders[[#This Row],[PO Number]])</f>
        <v>1</v>
      </c>
    </row>
    <row r="659" spans="1:8" x14ac:dyDescent="0.25">
      <c r="A659" t="s">
        <v>605</v>
      </c>
      <c r="B659" t="s">
        <v>1481</v>
      </c>
      <c r="C659" s="1">
        <v>46132</v>
      </c>
      <c r="D659">
        <v>54</v>
      </c>
      <c r="E659">
        <v>62.44</v>
      </c>
      <c r="F659" t="s">
        <v>1467</v>
      </c>
      <c r="G659" s="1">
        <v>46152</v>
      </c>
      <c r="H659">
        <f>COUNTIF(purchase_orders[PO Number], purchase_orders[[#This Row],[PO Number]])</f>
        <v>1</v>
      </c>
    </row>
    <row r="660" spans="1:8" x14ac:dyDescent="0.25">
      <c r="A660" t="s">
        <v>606</v>
      </c>
      <c r="B660" t="s">
        <v>1505</v>
      </c>
      <c r="C660" s="1">
        <v>46047</v>
      </c>
      <c r="D660">
        <v>23</v>
      </c>
      <c r="E660">
        <v>45.36</v>
      </c>
      <c r="F660" t="s">
        <v>1446</v>
      </c>
      <c r="G660" s="1">
        <v>46061</v>
      </c>
      <c r="H660">
        <f>COUNTIF(purchase_orders[PO Number], purchase_orders[[#This Row],[PO Number]])</f>
        <v>1</v>
      </c>
    </row>
    <row r="661" spans="1:8" x14ac:dyDescent="0.25">
      <c r="A661" t="s">
        <v>607</v>
      </c>
      <c r="B661" t="s">
        <v>1457</v>
      </c>
      <c r="C661" s="1">
        <v>46144</v>
      </c>
      <c r="D661">
        <v>442</v>
      </c>
      <c r="E661">
        <v>27.52</v>
      </c>
      <c r="F661" t="s">
        <v>1453</v>
      </c>
      <c r="G661" s="1">
        <v>46164</v>
      </c>
      <c r="H661">
        <f>COUNTIF(purchase_orders[PO Number], purchase_orders[[#This Row],[PO Number]])</f>
        <v>1</v>
      </c>
    </row>
    <row r="662" spans="1:8" x14ac:dyDescent="0.25">
      <c r="A662" t="s">
        <v>608</v>
      </c>
      <c r="B662" t="s">
        <v>1498</v>
      </c>
      <c r="C662" s="1">
        <v>46090</v>
      </c>
      <c r="D662">
        <v>56</v>
      </c>
      <c r="E662">
        <v>130.16</v>
      </c>
      <c r="F662" t="s">
        <v>1453</v>
      </c>
      <c r="G662" s="1">
        <v>46100</v>
      </c>
      <c r="H662">
        <f>COUNTIF(purchase_orders[PO Number], purchase_orders[[#This Row],[PO Number]])</f>
        <v>1</v>
      </c>
    </row>
    <row r="663" spans="1:8" x14ac:dyDescent="0.25">
      <c r="A663" t="s">
        <v>609</v>
      </c>
      <c r="B663" t="s">
        <v>1496</v>
      </c>
      <c r="C663" s="1">
        <v>46120</v>
      </c>
      <c r="D663">
        <v>199</v>
      </c>
      <c r="E663">
        <v>41.38</v>
      </c>
      <c r="F663" t="s">
        <v>1462</v>
      </c>
      <c r="G663" s="1">
        <v>46133</v>
      </c>
      <c r="H663">
        <f>COUNTIF(purchase_orders[PO Number], purchase_orders[[#This Row],[PO Number]])</f>
        <v>1</v>
      </c>
    </row>
    <row r="664" spans="1:8" x14ac:dyDescent="0.25">
      <c r="A664" t="s">
        <v>610</v>
      </c>
      <c r="B664" t="s">
        <v>1478</v>
      </c>
      <c r="C664" s="1">
        <v>46142</v>
      </c>
      <c r="D664">
        <v>144</v>
      </c>
      <c r="E664">
        <v>49.12</v>
      </c>
      <c r="F664" t="s">
        <v>1458</v>
      </c>
      <c r="G664" s="1">
        <v>46148</v>
      </c>
      <c r="H664">
        <f>COUNTIF(purchase_orders[PO Number], purchase_orders[[#This Row],[PO Number]])</f>
        <v>1</v>
      </c>
    </row>
    <row r="665" spans="1:8" x14ac:dyDescent="0.25">
      <c r="A665" t="s">
        <v>611</v>
      </c>
      <c r="B665" t="s">
        <v>1464</v>
      </c>
      <c r="C665" s="1">
        <v>46047</v>
      </c>
      <c r="D665">
        <v>53</v>
      </c>
      <c r="E665">
        <v>135.29</v>
      </c>
      <c r="F665" t="s">
        <v>1459</v>
      </c>
      <c r="G665" s="1">
        <v>46065</v>
      </c>
      <c r="H665">
        <f>COUNTIF(purchase_orders[PO Number], purchase_orders[[#This Row],[PO Number]])</f>
        <v>1</v>
      </c>
    </row>
    <row r="666" spans="1:8" x14ac:dyDescent="0.25">
      <c r="A666" t="s">
        <v>612</v>
      </c>
      <c r="B666" t="s">
        <v>1443</v>
      </c>
      <c r="C666" s="1">
        <v>46081</v>
      </c>
      <c r="D666">
        <v>293</v>
      </c>
      <c r="E666">
        <v>16.89</v>
      </c>
      <c r="F666" t="s">
        <v>1453</v>
      </c>
      <c r="G666" s="1">
        <v>46102</v>
      </c>
      <c r="H666">
        <f>COUNTIF(purchase_orders[PO Number], purchase_orders[[#This Row],[PO Number]])</f>
        <v>1</v>
      </c>
    </row>
    <row r="667" spans="1:8" x14ac:dyDescent="0.25">
      <c r="A667" t="s">
        <v>613</v>
      </c>
      <c r="B667" t="s">
        <v>1495</v>
      </c>
      <c r="C667" s="1">
        <v>46160</v>
      </c>
      <c r="D667">
        <v>361</v>
      </c>
      <c r="E667">
        <v>174.04</v>
      </c>
      <c r="F667" t="s">
        <v>1487</v>
      </c>
      <c r="G667" s="1">
        <v>46172</v>
      </c>
      <c r="H667">
        <f>COUNTIF(purchase_orders[PO Number], purchase_orders[[#This Row],[PO Number]])</f>
        <v>1</v>
      </c>
    </row>
    <row r="668" spans="1:8" x14ac:dyDescent="0.25">
      <c r="A668" t="s">
        <v>614</v>
      </c>
      <c r="B668" t="s">
        <v>1510</v>
      </c>
      <c r="C668" s="1">
        <v>46099</v>
      </c>
      <c r="D668">
        <v>50</v>
      </c>
      <c r="E668">
        <v>81.99</v>
      </c>
      <c r="F668" t="s">
        <v>1499</v>
      </c>
      <c r="G668" s="1">
        <v>46105</v>
      </c>
      <c r="H668">
        <f>COUNTIF(purchase_orders[PO Number], purchase_orders[[#This Row],[PO Number]])</f>
        <v>1</v>
      </c>
    </row>
    <row r="669" spans="1:8" x14ac:dyDescent="0.25">
      <c r="A669" t="s">
        <v>615</v>
      </c>
      <c r="B669" t="s">
        <v>1445</v>
      </c>
      <c r="C669" s="1">
        <v>46169</v>
      </c>
      <c r="D669">
        <v>471</v>
      </c>
      <c r="E669">
        <v>105.78</v>
      </c>
      <c r="F669" t="s">
        <v>1480</v>
      </c>
      <c r="G669" s="1">
        <v>46178</v>
      </c>
      <c r="H669">
        <f>COUNTIF(purchase_orders[PO Number], purchase_orders[[#This Row],[PO Number]])</f>
        <v>1</v>
      </c>
    </row>
    <row r="670" spans="1:8" x14ac:dyDescent="0.25">
      <c r="A670" t="s">
        <v>616</v>
      </c>
      <c r="B670" t="s">
        <v>1466</v>
      </c>
      <c r="C670" s="1">
        <v>46137</v>
      </c>
      <c r="D670">
        <v>98</v>
      </c>
      <c r="E670">
        <v>190.07</v>
      </c>
      <c r="F670" t="s">
        <v>1501</v>
      </c>
      <c r="G670" s="1">
        <v>46148</v>
      </c>
      <c r="H670">
        <f>COUNTIF(purchase_orders[PO Number], purchase_orders[[#This Row],[PO Number]])</f>
        <v>1</v>
      </c>
    </row>
    <row r="671" spans="1:8" x14ac:dyDescent="0.25">
      <c r="A671" t="s">
        <v>617</v>
      </c>
      <c r="B671" t="s">
        <v>1505</v>
      </c>
      <c r="C671" s="1">
        <v>46055</v>
      </c>
      <c r="D671">
        <v>31</v>
      </c>
      <c r="E671">
        <v>87.56</v>
      </c>
      <c r="F671" t="s">
        <v>1467</v>
      </c>
      <c r="G671" s="1">
        <v>46073</v>
      </c>
      <c r="H671">
        <f>COUNTIF(purchase_orders[PO Number], purchase_orders[[#This Row],[PO Number]])</f>
        <v>1</v>
      </c>
    </row>
    <row r="672" spans="1:8" x14ac:dyDescent="0.25">
      <c r="A672" t="s">
        <v>618</v>
      </c>
      <c r="B672" t="s">
        <v>1505</v>
      </c>
      <c r="C672" s="1">
        <v>46060</v>
      </c>
      <c r="D672">
        <v>437</v>
      </c>
      <c r="E672">
        <v>121.03</v>
      </c>
      <c r="F672" t="s">
        <v>1472</v>
      </c>
      <c r="G672" s="1">
        <v>46067</v>
      </c>
      <c r="H672">
        <f>COUNTIF(purchase_orders[PO Number], purchase_orders[[#This Row],[PO Number]])</f>
        <v>1</v>
      </c>
    </row>
    <row r="673" spans="1:8" x14ac:dyDescent="0.25">
      <c r="A673" t="s">
        <v>619</v>
      </c>
      <c r="B673" t="s">
        <v>1457</v>
      </c>
      <c r="C673" s="1">
        <v>46122</v>
      </c>
      <c r="D673">
        <v>294</v>
      </c>
      <c r="E673">
        <v>82.48</v>
      </c>
      <c r="F673" t="s">
        <v>1472</v>
      </c>
      <c r="G673" s="1">
        <v>46135</v>
      </c>
      <c r="H673">
        <f>COUNTIF(purchase_orders[PO Number], purchase_orders[[#This Row],[PO Number]])</f>
        <v>1</v>
      </c>
    </row>
    <row r="674" spans="1:8" x14ac:dyDescent="0.25">
      <c r="A674" t="s">
        <v>620</v>
      </c>
      <c r="B674" t="s">
        <v>1491</v>
      </c>
      <c r="C674" s="1">
        <v>46140</v>
      </c>
      <c r="D674">
        <v>479</v>
      </c>
      <c r="E674">
        <v>175.33</v>
      </c>
      <c r="F674" t="s">
        <v>1499</v>
      </c>
      <c r="G674" s="1">
        <v>46161</v>
      </c>
      <c r="H674">
        <f>COUNTIF(purchase_orders[PO Number], purchase_orders[[#This Row],[PO Number]])</f>
        <v>1</v>
      </c>
    </row>
    <row r="675" spans="1:8" x14ac:dyDescent="0.25">
      <c r="A675" t="s">
        <v>621</v>
      </c>
      <c r="B675" t="s">
        <v>1495</v>
      </c>
      <c r="C675" s="1">
        <v>46051</v>
      </c>
      <c r="D675">
        <v>222</v>
      </c>
      <c r="E675">
        <v>34.18</v>
      </c>
      <c r="F675" t="s">
        <v>1480</v>
      </c>
      <c r="G675" s="1">
        <v>46059</v>
      </c>
      <c r="H675">
        <f>COUNTIF(purchase_orders[PO Number], purchase_orders[[#This Row],[PO Number]])</f>
        <v>1</v>
      </c>
    </row>
    <row r="676" spans="1:8" x14ac:dyDescent="0.25">
      <c r="A676" t="s">
        <v>622</v>
      </c>
      <c r="B676" t="s">
        <v>1450</v>
      </c>
      <c r="C676" s="1">
        <v>46167</v>
      </c>
      <c r="D676">
        <v>409</v>
      </c>
      <c r="E676">
        <v>24.69</v>
      </c>
      <c r="F676" t="s">
        <v>1459</v>
      </c>
      <c r="G676" s="1">
        <v>46183</v>
      </c>
      <c r="H676">
        <f>COUNTIF(purchase_orders[PO Number], purchase_orders[[#This Row],[PO Number]])</f>
        <v>1</v>
      </c>
    </row>
    <row r="677" spans="1:8" x14ac:dyDescent="0.25">
      <c r="A677" t="s">
        <v>623</v>
      </c>
      <c r="B677" t="s">
        <v>1495</v>
      </c>
      <c r="C677" s="1">
        <v>46090</v>
      </c>
      <c r="D677">
        <v>206</v>
      </c>
      <c r="E677">
        <v>132.68</v>
      </c>
      <c r="F677" t="s">
        <v>1480</v>
      </c>
      <c r="G677" s="1">
        <v>46110</v>
      </c>
      <c r="H677">
        <f>COUNTIF(purchase_orders[PO Number], purchase_orders[[#This Row],[PO Number]])</f>
        <v>1</v>
      </c>
    </row>
    <row r="678" spans="1:8" x14ac:dyDescent="0.25">
      <c r="A678" t="s">
        <v>624</v>
      </c>
      <c r="B678" t="s">
        <v>1452</v>
      </c>
      <c r="C678" s="1">
        <v>46067</v>
      </c>
      <c r="D678">
        <v>151</v>
      </c>
      <c r="E678">
        <v>83.58</v>
      </c>
      <c r="F678" t="s">
        <v>1494</v>
      </c>
      <c r="G678" s="1">
        <v>46084</v>
      </c>
      <c r="H678">
        <f>COUNTIF(purchase_orders[PO Number], purchase_orders[[#This Row],[PO Number]])</f>
        <v>1</v>
      </c>
    </row>
    <row r="679" spans="1:8" x14ac:dyDescent="0.25">
      <c r="A679" t="s">
        <v>625</v>
      </c>
      <c r="B679" t="s">
        <v>1452</v>
      </c>
      <c r="C679" s="1">
        <v>46124</v>
      </c>
      <c r="D679">
        <v>465</v>
      </c>
      <c r="E679">
        <v>176.4</v>
      </c>
      <c r="F679" t="s">
        <v>1499</v>
      </c>
      <c r="G679" s="1">
        <v>46136</v>
      </c>
      <c r="H679">
        <f>COUNTIF(purchase_orders[PO Number], purchase_orders[[#This Row],[PO Number]])</f>
        <v>1</v>
      </c>
    </row>
    <row r="680" spans="1:8" x14ac:dyDescent="0.25">
      <c r="A680" t="s">
        <v>626</v>
      </c>
      <c r="B680" t="s">
        <v>1475</v>
      </c>
      <c r="C680" s="1">
        <v>46144</v>
      </c>
      <c r="D680">
        <v>481</v>
      </c>
      <c r="E680">
        <v>57.37</v>
      </c>
      <c r="F680" t="s">
        <v>1451</v>
      </c>
      <c r="G680" s="1">
        <v>46149</v>
      </c>
      <c r="H680">
        <f>COUNTIF(purchase_orders[PO Number], purchase_orders[[#This Row],[PO Number]])</f>
        <v>1</v>
      </c>
    </row>
    <row r="681" spans="1:8" x14ac:dyDescent="0.25">
      <c r="A681" t="s">
        <v>627</v>
      </c>
      <c r="B681" t="s">
        <v>1479</v>
      </c>
      <c r="C681" s="1">
        <v>46100</v>
      </c>
      <c r="D681">
        <v>169</v>
      </c>
      <c r="E681">
        <v>59.67</v>
      </c>
      <c r="F681" t="s">
        <v>1487</v>
      </c>
      <c r="G681" s="1">
        <v>46108</v>
      </c>
      <c r="H681">
        <f>COUNTIF(purchase_orders[PO Number], purchase_orders[[#This Row],[PO Number]])</f>
        <v>1</v>
      </c>
    </row>
    <row r="682" spans="1:8" x14ac:dyDescent="0.25">
      <c r="A682" t="s">
        <v>628</v>
      </c>
      <c r="B682" t="s">
        <v>1447</v>
      </c>
      <c r="C682" s="1">
        <v>46057</v>
      </c>
      <c r="D682">
        <v>163</v>
      </c>
      <c r="E682">
        <v>194.97</v>
      </c>
      <c r="F682" t="s">
        <v>1469</v>
      </c>
      <c r="G682" s="1">
        <v>46072</v>
      </c>
      <c r="H682">
        <f>COUNTIF(purchase_orders[PO Number], purchase_orders[[#This Row],[PO Number]])</f>
        <v>1</v>
      </c>
    </row>
    <row r="683" spans="1:8" x14ac:dyDescent="0.25">
      <c r="A683" t="s">
        <v>629</v>
      </c>
      <c r="B683" t="s">
        <v>1511</v>
      </c>
      <c r="C683" s="1">
        <v>46129</v>
      </c>
      <c r="D683">
        <v>319</v>
      </c>
      <c r="E683">
        <v>130.88</v>
      </c>
      <c r="F683" t="s">
        <v>1444</v>
      </c>
      <c r="G683" s="1">
        <v>46148</v>
      </c>
      <c r="H683">
        <f>COUNTIF(purchase_orders[PO Number], purchase_orders[[#This Row],[PO Number]])</f>
        <v>1</v>
      </c>
    </row>
    <row r="684" spans="1:8" x14ac:dyDescent="0.25">
      <c r="A684" t="s">
        <v>630</v>
      </c>
      <c r="B684" t="s">
        <v>1463</v>
      </c>
      <c r="C684" s="1">
        <v>46127</v>
      </c>
      <c r="D684">
        <v>389</v>
      </c>
      <c r="E684">
        <v>99.47</v>
      </c>
      <c r="F684" t="s">
        <v>1504</v>
      </c>
      <c r="G684" s="1">
        <v>46143</v>
      </c>
      <c r="H684">
        <f>COUNTIF(purchase_orders[PO Number], purchase_orders[[#This Row],[PO Number]])</f>
        <v>1</v>
      </c>
    </row>
    <row r="685" spans="1:8" x14ac:dyDescent="0.25">
      <c r="A685" t="s">
        <v>631</v>
      </c>
      <c r="B685" t="s">
        <v>1475</v>
      </c>
      <c r="C685" s="1">
        <v>46154</v>
      </c>
      <c r="D685">
        <v>415</v>
      </c>
      <c r="E685">
        <v>36</v>
      </c>
      <c r="F685" t="s">
        <v>1474</v>
      </c>
      <c r="G685" s="1">
        <v>46175</v>
      </c>
      <c r="H685">
        <f>COUNTIF(purchase_orders[PO Number], purchase_orders[[#This Row],[PO Number]])</f>
        <v>1</v>
      </c>
    </row>
    <row r="686" spans="1:8" x14ac:dyDescent="0.25">
      <c r="A686" t="s">
        <v>632</v>
      </c>
      <c r="B686" t="s">
        <v>1488</v>
      </c>
      <c r="C686" s="1">
        <v>46057</v>
      </c>
      <c r="D686">
        <v>409</v>
      </c>
      <c r="E686">
        <v>171</v>
      </c>
      <c r="F686" t="s">
        <v>1480</v>
      </c>
      <c r="G686" s="1">
        <v>46062</v>
      </c>
      <c r="H686">
        <f>COUNTIF(purchase_orders[PO Number], purchase_orders[[#This Row],[PO Number]])</f>
        <v>1</v>
      </c>
    </row>
    <row r="687" spans="1:8" x14ac:dyDescent="0.25">
      <c r="A687" t="s">
        <v>633</v>
      </c>
      <c r="B687" t="s">
        <v>1486</v>
      </c>
      <c r="C687" s="1">
        <v>46072</v>
      </c>
      <c r="D687">
        <v>458</v>
      </c>
      <c r="E687">
        <v>167.42</v>
      </c>
      <c r="F687" t="s">
        <v>1462</v>
      </c>
      <c r="G687" s="1">
        <v>46084</v>
      </c>
      <c r="H687">
        <f>COUNTIF(purchase_orders[PO Number], purchase_orders[[#This Row],[PO Number]])</f>
        <v>1</v>
      </c>
    </row>
    <row r="688" spans="1:8" x14ac:dyDescent="0.25">
      <c r="A688" t="s">
        <v>634</v>
      </c>
      <c r="B688" t="s">
        <v>1452</v>
      </c>
      <c r="C688" s="1">
        <v>46139</v>
      </c>
      <c r="D688">
        <v>35</v>
      </c>
      <c r="E688">
        <v>184.02</v>
      </c>
      <c r="F688" t="s">
        <v>1499</v>
      </c>
      <c r="G688" s="1">
        <v>46150</v>
      </c>
      <c r="H688">
        <f>COUNTIF(purchase_orders[PO Number], purchase_orders[[#This Row],[PO Number]])</f>
        <v>1</v>
      </c>
    </row>
    <row r="689" spans="1:8" x14ac:dyDescent="0.25">
      <c r="A689" t="s">
        <v>635</v>
      </c>
      <c r="B689" t="s">
        <v>1511</v>
      </c>
      <c r="C689" s="1">
        <v>46117</v>
      </c>
      <c r="D689">
        <v>431</v>
      </c>
      <c r="E689">
        <v>95.52</v>
      </c>
      <c r="F689" t="s">
        <v>1453</v>
      </c>
      <c r="G689" s="1">
        <v>46125</v>
      </c>
      <c r="H689">
        <f>COUNTIF(purchase_orders[PO Number], purchase_orders[[#This Row],[PO Number]])</f>
        <v>1</v>
      </c>
    </row>
    <row r="690" spans="1:8" x14ac:dyDescent="0.25">
      <c r="A690" t="s">
        <v>636</v>
      </c>
      <c r="B690" t="s">
        <v>1461</v>
      </c>
      <c r="C690" s="1">
        <v>46030</v>
      </c>
      <c r="D690">
        <v>133</v>
      </c>
      <c r="E690">
        <v>77.63</v>
      </c>
      <c r="F690" t="s">
        <v>1494</v>
      </c>
      <c r="G690" s="1">
        <v>46049</v>
      </c>
      <c r="H690">
        <f>COUNTIF(purchase_orders[PO Number], purchase_orders[[#This Row],[PO Number]])</f>
        <v>1</v>
      </c>
    </row>
    <row r="691" spans="1:8" x14ac:dyDescent="0.25">
      <c r="A691" t="s">
        <v>637</v>
      </c>
      <c r="B691" t="s">
        <v>1486</v>
      </c>
      <c r="C691" s="1">
        <v>46144</v>
      </c>
      <c r="D691">
        <v>310</v>
      </c>
      <c r="E691">
        <v>112.51</v>
      </c>
      <c r="F691" t="s">
        <v>1451</v>
      </c>
      <c r="G691" s="1">
        <v>46154</v>
      </c>
      <c r="H691">
        <f>COUNTIF(purchase_orders[PO Number], purchase_orders[[#This Row],[PO Number]])</f>
        <v>1</v>
      </c>
    </row>
    <row r="692" spans="1:8" x14ac:dyDescent="0.25">
      <c r="A692" t="s">
        <v>638</v>
      </c>
      <c r="B692" t="s">
        <v>1470</v>
      </c>
      <c r="C692" s="1">
        <v>46046</v>
      </c>
      <c r="D692">
        <v>155</v>
      </c>
      <c r="E692">
        <v>10.35</v>
      </c>
      <c r="F692" t="s">
        <v>1462</v>
      </c>
      <c r="G692" s="1">
        <v>46056</v>
      </c>
      <c r="H692">
        <f>COUNTIF(purchase_orders[PO Number], purchase_orders[[#This Row],[PO Number]])</f>
        <v>1</v>
      </c>
    </row>
    <row r="693" spans="1:8" x14ac:dyDescent="0.25">
      <c r="A693" t="s">
        <v>639</v>
      </c>
      <c r="B693" t="s">
        <v>1493</v>
      </c>
      <c r="C693" s="1">
        <v>46077</v>
      </c>
      <c r="D693">
        <v>448</v>
      </c>
      <c r="E693">
        <v>48.16</v>
      </c>
      <c r="F693" t="s">
        <v>1440</v>
      </c>
      <c r="G693" s="1">
        <v>46088</v>
      </c>
      <c r="H693">
        <f>COUNTIF(purchase_orders[PO Number], purchase_orders[[#This Row],[PO Number]])</f>
        <v>1</v>
      </c>
    </row>
    <row r="694" spans="1:8" x14ac:dyDescent="0.25">
      <c r="A694" t="s">
        <v>640</v>
      </c>
      <c r="B694" t="s">
        <v>1511</v>
      </c>
      <c r="C694" s="1">
        <v>46127</v>
      </c>
      <c r="D694">
        <v>272</v>
      </c>
      <c r="E694">
        <v>8.91</v>
      </c>
      <c r="F694" t="s">
        <v>1456</v>
      </c>
      <c r="G694" s="1">
        <v>46132</v>
      </c>
      <c r="H694">
        <f>COUNTIF(purchase_orders[PO Number], purchase_orders[[#This Row],[PO Number]])</f>
        <v>1</v>
      </c>
    </row>
    <row r="695" spans="1:8" x14ac:dyDescent="0.25">
      <c r="A695" t="s">
        <v>641</v>
      </c>
      <c r="B695" t="s">
        <v>1510</v>
      </c>
      <c r="C695" s="1">
        <v>46056</v>
      </c>
      <c r="D695">
        <v>341</v>
      </c>
      <c r="E695">
        <v>38.770000000000003</v>
      </c>
      <c r="F695" t="s">
        <v>1448</v>
      </c>
      <c r="G695" s="1">
        <v>46068</v>
      </c>
      <c r="H695">
        <f>COUNTIF(purchase_orders[PO Number], purchase_orders[[#This Row],[PO Number]])</f>
        <v>1</v>
      </c>
    </row>
    <row r="696" spans="1:8" x14ac:dyDescent="0.25">
      <c r="A696" t="s">
        <v>1426</v>
      </c>
      <c r="B696" t="s">
        <v>1470</v>
      </c>
      <c r="C696" s="1">
        <v>46101</v>
      </c>
      <c r="D696">
        <v>374</v>
      </c>
      <c r="E696">
        <v>193.57</v>
      </c>
      <c r="F696" t="s">
        <v>1446</v>
      </c>
      <c r="G696" s="1">
        <v>46114</v>
      </c>
      <c r="H696">
        <f>COUNTIF(purchase_orders[PO Number], purchase_orders[[#This Row],[PO Number]])</f>
        <v>1</v>
      </c>
    </row>
    <row r="697" spans="1:8" x14ac:dyDescent="0.25">
      <c r="A697" t="s">
        <v>642</v>
      </c>
      <c r="B697" t="s">
        <v>1500</v>
      </c>
      <c r="C697" s="1">
        <v>46119</v>
      </c>
      <c r="D697">
        <v>446</v>
      </c>
      <c r="E697">
        <v>73</v>
      </c>
      <c r="F697" t="s">
        <v>1458</v>
      </c>
      <c r="G697" s="1">
        <v>46130</v>
      </c>
      <c r="H697">
        <f>COUNTIF(purchase_orders[PO Number], purchase_orders[[#This Row],[PO Number]])</f>
        <v>1</v>
      </c>
    </row>
    <row r="698" spans="1:8" x14ac:dyDescent="0.25">
      <c r="A698" t="s">
        <v>643</v>
      </c>
      <c r="B698" t="s">
        <v>1489</v>
      </c>
      <c r="C698" s="1">
        <v>46100</v>
      </c>
      <c r="D698">
        <v>356</v>
      </c>
      <c r="E698">
        <v>106.52</v>
      </c>
      <c r="F698" t="s">
        <v>1459</v>
      </c>
      <c r="G698" s="1">
        <v>46117</v>
      </c>
      <c r="H698">
        <f>COUNTIF(purchase_orders[PO Number], purchase_orders[[#This Row],[PO Number]])</f>
        <v>1</v>
      </c>
    </row>
    <row r="699" spans="1:8" x14ac:dyDescent="0.25">
      <c r="A699" t="s">
        <v>644</v>
      </c>
      <c r="B699" t="s">
        <v>1443</v>
      </c>
      <c r="C699" s="1">
        <v>46049</v>
      </c>
      <c r="D699">
        <v>13</v>
      </c>
      <c r="E699">
        <v>104.75</v>
      </c>
      <c r="F699" t="s">
        <v>1467</v>
      </c>
      <c r="G699" s="1">
        <v>46065</v>
      </c>
      <c r="H699">
        <f>COUNTIF(purchase_orders[PO Number], purchase_orders[[#This Row],[PO Number]])</f>
        <v>1</v>
      </c>
    </row>
    <row r="700" spans="1:8" x14ac:dyDescent="0.25">
      <c r="A700" t="s">
        <v>645</v>
      </c>
      <c r="B700" t="s">
        <v>1454</v>
      </c>
      <c r="C700" s="1">
        <v>46095</v>
      </c>
      <c r="D700">
        <v>162</v>
      </c>
      <c r="E700">
        <v>138.46</v>
      </c>
      <c r="F700" t="s">
        <v>1487</v>
      </c>
      <c r="G700" s="1">
        <v>46102</v>
      </c>
      <c r="H700">
        <f>COUNTIF(purchase_orders[PO Number], purchase_orders[[#This Row],[PO Number]])</f>
        <v>1</v>
      </c>
    </row>
    <row r="701" spans="1:8" x14ac:dyDescent="0.25">
      <c r="A701" t="s">
        <v>646</v>
      </c>
      <c r="B701" t="s">
        <v>1479</v>
      </c>
      <c r="C701" s="1">
        <v>46093</v>
      </c>
      <c r="D701">
        <v>337</v>
      </c>
      <c r="E701">
        <v>68.400000000000006</v>
      </c>
      <c r="F701" t="s">
        <v>1458</v>
      </c>
      <c r="G701" s="1">
        <v>46106</v>
      </c>
      <c r="H701">
        <f>COUNTIF(purchase_orders[PO Number], purchase_orders[[#This Row],[PO Number]])</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088A7-D804-4DA4-9E27-9D146ED6C335}">
  <dimension ref="A1:E727"/>
  <sheetViews>
    <sheetView workbookViewId="0"/>
  </sheetViews>
  <sheetFormatPr defaultRowHeight="15" x14ac:dyDescent="0.25"/>
  <cols>
    <col min="1" max="1" width="13.5703125" bestFit="1" customWidth="1"/>
    <col min="2" max="2" width="17.7109375" bestFit="1" customWidth="1"/>
    <col min="3" max="3" width="18.140625" bestFit="1" customWidth="1"/>
    <col min="4" max="4" width="19.140625" bestFit="1" customWidth="1"/>
    <col min="5" max="5" width="14.5703125" bestFit="1" customWidth="1"/>
  </cols>
  <sheetData>
    <row r="1" spans="1:5" x14ac:dyDescent="0.25">
      <c r="A1" t="s">
        <v>0</v>
      </c>
      <c r="B1" t="s">
        <v>647</v>
      </c>
      <c r="C1" t="s">
        <v>648</v>
      </c>
      <c r="D1" t="s">
        <v>649</v>
      </c>
      <c r="E1" t="s">
        <v>650</v>
      </c>
    </row>
    <row r="2" spans="1:5" x14ac:dyDescent="0.25">
      <c r="A2" t="s">
        <v>3</v>
      </c>
      <c r="B2" t="s">
        <v>651</v>
      </c>
      <c r="C2">
        <v>22</v>
      </c>
      <c r="D2">
        <v>149.6</v>
      </c>
      <c r="E2" s="1">
        <v>46073</v>
      </c>
    </row>
    <row r="3" spans="1:5" x14ac:dyDescent="0.25">
      <c r="A3" t="s">
        <v>4</v>
      </c>
      <c r="B3" t="s">
        <v>652</v>
      </c>
      <c r="C3">
        <v>356</v>
      </c>
      <c r="D3">
        <v>149.43</v>
      </c>
      <c r="E3" s="1">
        <v>46066</v>
      </c>
    </row>
    <row r="4" spans="1:5" x14ac:dyDescent="0.25">
      <c r="A4" t="s">
        <v>5</v>
      </c>
      <c r="B4" t="s">
        <v>653</v>
      </c>
      <c r="C4">
        <v>26</v>
      </c>
      <c r="D4">
        <v>12.59</v>
      </c>
      <c r="E4" s="1">
        <v>46146</v>
      </c>
    </row>
    <row r="5" spans="1:5" x14ac:dyDescent="0.25">
      <c r="A5" t="s">
        <v>6</v>
      </c>
      <c r="B5" t="s">
        <v>654</v>
      </c>
      <c r="C5">
        <v>297</v>
      </c>
      <c r="D5">
        <v>51</v>
      </c>
      <c r="E5" s="1">
        <v>46049</v>
      </c>
    </row>
    <row r="6" spans="1:5" x14ac:dyDescent="0.25">
      <c r="A6" t="s">
        <v>7</v>
      </c>
      <c r="B6" t="s">
        <v>655</v>
      </c>
      <c r="C6">
        <v>311</v>
      </c>
      <c r="D6">
        <v>68.27</v>
      </c>
      <c r="E6" s="1">
        <v>46149</v>
      </c>
    </row>
    <row r="7" spans="1:5" x14ac:dyDescent="0.25">
      <c r="A7" t="s">
        <v>8</v>
      </c>
      <c r="B7" t="s">
        <v>656</v>
      </c>
      <c r="C7">
        <v>184</v>
      </c>
      <c r="D7">
        <v>59.18</v>
      </c>
      <c r="E7" s="1">
        <v>46148</v>
      </c>
    </row>
    <row r="8" spans="1:5" x14ac:dyDescent="0.25">
      <c r="A8" t="s">
        <v>9</v>
      </c>
      <c r="B8" t="s">
        <v>657</v>
      </c>
      <c r="C8">
        <v>204</v>
      </c>
      <c r="D8">
        <v>23.86</v>
      </c>
      <c r="E8" s="1">
        <v>46061</v>
      </c>
    </row>
    <row r="9" spans="1:5" x14ac:dyDescent="0.25">
      <c r="A9" t="s">
        <v>10</v>
      </c>
      <c r="B9" t="s">
        <v>658</v>
      </c>
      <c r="C9">
        <v>284</v>
      </c>
      <c r="D9">
        <v>29.34</v>
      </c>
      <c r="E9" s="1">
        <v>46155</v>
      </c>
    </row>
    <row r="10" spans="1:5" x14ac:dyDescent="0.25">
      <c r="A10" t="s">
        <v>11</v>
      </c>
      <c r="B10" t="s">
        <v>659</v>
      </c>
      <c r="C10">
        <v>434</v>
      </c>
      <c r="D10">
        <v>127.58</v>
      </c>
      <c r="E10" s="1">
        <v>46119</v>
      </c>
    </row>
    <row r="11" spans="1:5" x14ac:dyDescent="0.25">
      <c r="A11" t="s">
        <v>12</v>
      </c>
      <c r="B11" t="s">
        <v>660</v>
      </c>
      <c r="C11">
        <v>33</v>
      </c>
      <c r="D11">
        <v>133.94999999999999</v>
      </c>
      <c r="E11" s="1">
        <v>46055</v>
      </c>
    </row>
    <row r="12" spans="1:5" x14ac:dyDescent="0.25">
      <c r="A12" t="s">
        <v>13</v>
      </c>
      <c r="B12" t="s">
        <v>661</v>
      </c>
      <c r="C12">
        <v>453</v>
      </c>
      <c r="D12">
        <v>24.7</v>
      </c>
      <c r="E12" s="1">
        <v>46107</v>
      </c>
    </row>
    <row r="13" spans="1:5" x14ac:dyDescent="0.25">
      <c r="A13" t="s">
        <v>14</v>
      </c>
      <c r="B13" t="s">
        <v>662</v>
      </c>
      <c r="C13">
        <v>93</v>
      </c>
      <c r="D13">
        <v>77.19</v>
      </c>
      <c r="E13" s="1">
        <v>46139</v>
      </c>
    </row>
    <row r="14" spans="1:5" x14ac:dyDescent="0.25">
      <c r="A14" t="s">
        <v>15</v>
      </c>
      <c r="B14" t="s">
        <v>663</v>
      </c>
      <c r="C14">
        <v>321</v>
      </c>
      <c r="D14">
        <v>128.82</v>
      </c>
      <c r="E14" s="1">
        <v>46058</v>
      </c>
    </row>
    <row r="15" spans="1:5" x14ac:dyDescent="0.25">
      <c r="A15" t="s">
        <v>16</v>
      </c>
      <c r="B15" t="s">
        <v>664</v>
      </c>
      <c r="C15">
        <v>204</v>
      </c>
      <c r="D15">
        <v>61.13</v>
      </c>
      <c r="E15" s="1">
        <v>46163</v>
      </c>
    </row>
    <row r="16" spans="1:5" x14ac:dyDescent="0.25">
      <c r="A16" t="s">
        <v>17</v>
      </c>
      <c r="B16" t="s">
        <v>665</v>
      </c>
      <c r="C16">
        <v>441</v>
      </c>
      <c r="D16">
        <v>154.82</v>
      </c>
      <c r="E16" s="1">
        <v>46121</v>
      </c>
    </row>
    <row r="17" spans="1:5" x14ac:dyDescent="0.25">
      <c r="A17" t="s">
        <v>18</v>
      </c>
      <c r="B17" t="s">
        <v>666</v>
      </c>
      <c r="C17">
        <v>215</v>
      </c>
      <c r="D17">
        <v>57.21</v>
      </c>
      <c r="E17" s="1">
        <v>46125</v>
      </c>
    </row>
    <row r="18" spans="1:5" x14ac:dyDescent="0.25">
      <c r="A18" t="s">
        <v>19</v>
      </c>
      <c r="B18" t="s">
        <v>667</v>
      </c>
      <c r="C18">
        <v>212</v>
      </c>
      <c r="D18">
        <v>177.51</v>
      </c>
      <c r="E18" s="1">
        <v>46172</v>
      </c>
    </row>
    <row r="19" spans="1:5" x14ac:dyDescent="0.25">
      <c r="A19" t="s">
        <v>20</v>
      </c>
      <c r="B19" t="s">
        <v>668</v>
      </c>
      <c r="C19">
        <v>81</v>
      </c>
      <c r="D19">
        <v>53.09</v>
      </c>
      <c r="E19" s="1">
        <v>46106</v>
      </c>
    </row>
    <row r="20" spans="1:5" x14ac:dyDescent="0.25">
      <c r="A20" t="s">
        <v>21</v>
      </c>
      <c r="B20" t="s">
        <v>669</v>
      </c>
      <c r="C20">
        <v>229</v>
      </c>
      <c r="D20">
        <v>180.08</v>
      </c>
      <c r="E20" s="1">
        <v>46195</v>
      </c>
    </row>
    <row r="21" spans="1:5" x14ac:dyDescent="0.25">
      <c r="A21" t="s">
        <v>22</v>
      </c>
      <c r="B21" t="s">
        <v>670</v>
      </c>
      <c r="C21">
        <v>270</v>
      </c>
      <c r="D21">
        <v>101.24</v>
      </c>
      <c r="E21" s="1">
        <v>46074</v>
      </c>
    </row>
    <row r="22" spans="1:5" x14ac:dyDescent="0.25">
      <c r="A22" t="s">
        <v>23</v>
      </c>
      <c r="B22" t="s">
        <v>671</v>
      </c>
      <c r="C22">
        <v>331</v>
      </c>
      <c r="D22">
        <v>36.200000000000003</v>
      </c>
      <c r="E22" s="1">
        <v>46086</v>
      </c>
    </row>
    <row r="23" spans="1:5" x14ac:dyDescent="0.25">
      <c r="A23" t="s">
        <v>24</v>
      </c>
      <c r="B23" t="s">
        <v>672</v>
      </c>
      <c r="C23">
        <v>207</v>
      </c>
      <c r="D23">
        <v>79.42</v>
      </c>
      <c r="E23" s="1">
        <v>46067</v>
      </c>
    </row>
    <row r="24" spans="1:5" x14ac:dyDescent="0.25">
      <c r="A24" t="s">
        <v>25</v>
      </c>
      <c r="B24" t="s">
        <v>673</v>
      </c>
      <c r="C24">
        <v>450</v>
      </c>
      <c r="D24">
        <v>188.77</v>
      </c>
      <c r="E24" s="1">
        <v>46179</v>
      </c>
    </row>
    <row r="25" spans="1:5" x14ac:dyDescent="0.25">
      <c r="A25" t="s">
        <v>26</v>
      </c>
      <c r="B25" t="s">
        <v>674</v>
      </c>
      <c r="C25">
        <v>394</v>
      </c>
      <c r="D25">
        <v>57.03</v>
      </c>
      <c r="E25" s="1">
        <v>46181</v>
      </c>
    </row>
    <row r="26" spans="1:5" x14ac:dyDescent="0.25">
      <c r="A26" t="s">
        <v>27</v>
      </c>
      <c r="B26" t="s">
        <v>675</v>
      </c>
      <c r="C26">
        <v>232</v>
      </c>
      <c r="D26">
        <v>35.840000000000003</v>
      </c>
      <c r="E26" s="1">
        <v>46118</v>
      </c>
    </row>
    <row r="27" spans="1:5" x14ac:dyDescent="0.25">
      <c r="A27" t="s">
        <v>28</v>
      </c>
      <c r="B27" t="s">
        <v>676</v>
      </c>
      <c r="C27">
        <v>269</v>
      </c>
      <c r="D27">
        <v>182.96</v>
      </c>
      <c r="E27" s="1">
        <v>46090</v>
      </c>
    </row>
    <row r="28" spans="1:5" x14ac:dyDescent="0.25">
      <c r="A28" t="s">
        <v>29</v>
      </c>
      <c r="B28" t="s">
        <v>677</v>
      </c>
      <c r="C28">
        <v>321</v>
      </c>
      <c r="D28">
        <v>43.79</v>
      </c>
      <c r="E28" s="1">
        <v>46165</v>
      </c>
    </row>
    <row r="29" spans="1:5" x14ac:dyDescent="0.25">
      <c r="A29" t="s">
        <v>30</v>
      </c>
      <c r="B29" t="s">
        <v>678</v>
      </c>
      <c r="C29">
        <v>480</v>
      </c>
      <c r="D29">
        <v>5.1100000000000003</v>
      </c>
      <c r="E29" s="1">
        <v>46187</v>
      </c>
    </row>
    <row r="30" spans="1:5" x14ac:dyDescent="0.25">
      <c r="A30" t="s">
        <v>31</v>
      </c>
      <c r="B30" t="s">
        <v>679</v>
      </c>
      <c r="C30">
        <v>485</v>
      </c>
      <c r="D30">
        <v>75.78</v>
      </c>
      <c r="E30" s="1">
        <v>46065</v>
      </c>
    </row>
    <row r="31" spans="1:5" x14ac:dyDescent="0.25">
      <c r="A31" t="s">
        <v>32</v>
      </c>
      <c r="B31" t="s">
        <v>680</v>
      </c>
      <c r="C31">
        <v>459</v>
      </c>
      <c r="D31">
        <v>115.63</v>
      </c>
      <c r="E31" s="1">
        <v>46094</v>
      </c>
    </row>
    <row r="32" spans="1:5" x14ac:dyDescent="0.25">
      <c r="A32" t="s">
        <v>33</v>
      </c>
      <c r="B32" t="s">
        <v>681</v>
      </c>
      <c r="C32">
        <v>427</v>
      </c>
      <c r="D32">
        <v>18.5</v>
      </c>
      <c r="E32" s="1">
        <v>46161</v>
      </c>
    </row>
    <row r="33" spans="1:5" x14ac:dyDescent="0.25">
      <c r="A33" t="s">
        <v>34</v>
      </c>
      <c r="B33" t="s">
        <v>682</v>
      </c>
      <c r="C33">
        <v>494</v>
      </c>
      <c r="D33">
        <v>112.21</v>
      </c>
      <c r="E33" s="1">
        <v>46170</v>
      </c>
    </row>
    <row r="34" spans="1:5" x14ac:dyDescent="0.25">
      <c r="A34" t="s">
        <v>35</v>
      </c>
      <c r="B34" t="s">
        <v>683</v>
      </c>
      <c r="C34">
        <v>118</v>
      </c>
      <c r="D34">
        <v>186.14</v>
      </c>
      <c r="E34" s="1">
        <v>46143</v>
      </c>
    </row>
    <row r="35" spans="1:5" x14ac:dyDescent="0.25">
      <c r="A35" t="s">
        <v>36</v>
      </c>
      <c r="B35" t="s">
        <v>684</v>
      </c>
      <c r="C35">
        <v>214</v>
      </c>
      <c r="D35">
        <v>199.05</v>
      </c>
      <c r="E35" s="1">
        <v>46125</v>
      </c>
    </row>
    <row r="36" spans="1:5" x14ac:dyDescent="0.25">
      <c r="A36" t="s">
        <v>37</v>
      </c>
      <c r="B36" t="s">
        <v>685</v>
      </c>
      <c r="C36">
        <v>241</v>
      </c>
      <c r="D36">
        <v>28.6</v>
      </c>
      <c r="E36" s="1">
        <v>46172</v>
      </c>
    </row>
    <row r="37" spans="1:5" x14ac:dyDescent="0.25">
      <c r="A37" t="s">
        <v>686</v>
      </c>
      <c r="B37" t="s">
        <v>687</v>
      </c>
      <c r="C37">
        <v>311</v>
      </c>
      <c r="D37">
        <v>113.01</v>
      </c>
      <c r="E37" s="1">
        <v>46050</v>
      </c>
    </row>
    <row r="38" spans="1:5" x14ac:dyDescent="0.25">
      <c r="A38" t="s">
        <v>38</v>
      </c>
      <c r="B38" t="s">
        <v>688</v>
      </c>
      <c r="C38">
        <v>372</v>
      </c>
      <c r="D38">
        <v>128.07</v>
      </c>
      <c r="E38" s="1">
        <v>46050</v>
      </c>
    </row>
    <row r="39" spans="1:5" x14ac:dyDescent="0.25">
      <c r="A39" t="s">
        <v>39</v>
      </c>
      <c r="B39" t="s">
        <v>689</v>
      </c>
      <c r="C39">
        <v>46</v>
      </c>
      <c r="D39">
        <v>105.26</v>
      </c>
      <c r="E39" s="1">
        <v>46130</v>
      </c>
    </row>
    <row r="40" spans="1:5" x14ac:dyDescent="0.25">
      <c r="A40" t="s">
        <v>40</v>
      </c>
      <c r="B40" t="s">
        <v>690</v>
      </c>
      <c r="C40">
        <v>77</v>
      </c>
      <c r="D40">
        <v>162.47</v>
      </c>
      <c r="E40" s="1">
        <v>46186</v>
      </c>
    </row>
    <row r="41" spans="1:5" x14ac:dyDescent="0.25">
      <c r="A41" t="s">
        <v>41</v>
      </c>
      <c r="B41" t="s">
        <v>691</v>
      </c>
      <c r="C41">
        <v>423</v>
      </c>
      <c r="D41">
        <v>84.38</v>
      </c>
      <c r="E41" s="1">
        <v>46160</v>
      </c>
    </row>
    <row r="42" spans="1:5" x14ac:dyDescent="0.25">
      <c r="A42" t="s">
        <v>42</v>
      </c>
      <c r="B42" t="s">
        <v>692</v>
      </c>
      <c r="C42">
        <v>191</v>
      </c>
      <c r="D42">
        <v>87.6</v>
      </c>
      <c r="E42" s="1">
        <v>46142</v>
      </c>
    </row>
    <row r="43" spans="1:5" x14ac:dyDescent="0.25">
      <c r="A43" t="s">
        <v>43</v>
      </c>
      <c r="B43" t="s">
        <v>693</v>
      </c>
      <c r="C43">
        <v>41</v>
      </c>
      <c r="D43">
        <v>99.99</v>
      </c>
      <c r="E43" s="1">
        <v>46061</v>
      </c>
    </row>
    <row r="44" spans="1:5" x14ac:dyDescent="0.25">
      <c r="A44" t="s">
        <v>44</v>
      </c>
      <c r="B44" t="s">
        <v>694</v>
      </c>
      <c r="C44">
        <v>107</v>
      </c>
      <c r="D44">
        <v>109.58</v>
      </c>
      <c r="E44" s="1">
        <v>46099</v>
      </c>
    </row>
    <row r="45" spans="1:5" x14ac:dyDescent="0.25">
      <c r="A45" t="s">
        <v>44</v>
      </c>
      <c r="B45" t="s">
        <v>695</v>
      </c>
      <c r="C45">
        <v>107</v>
      </c>
      <c r="D45">
        <v>109.58</v>
      </c>
      <c r="E45" s="1">
        <v>46103</v>
      </c>
    </row>
    <row r="46" spans="1:5" x14ac:dyDescent="0.25">
      <c r="A46" t="s">
        <v>45</v>
      </c>
      <c r="B46" t="s">
        <v>696</v>
      </c>
      <c r="C46">
        <v>246</v>
      </c>
      <c r="D46">
        <v>53.71</v>
      </c>
      <c r="E46" s="1">
        <v>46116</v>
      </c>
    </row>
    <row r="47" spans="1:5" x14ac:dyDescent="0.25">
      <c r="A47" t="s">
        <v>46</v>
      </c>
      <c r="B47" t="s">
        <v>697</v>
      </c>
      <c r="C47">
        <v>35</v>
      </c>
      <c r="D47">
        <v>132.16999999999999</v>
      </c>
      <c r="E47" s="1">
        <v>46060</v>
      </c>
    </row>
    <row r="48" spans="1:5" x14ac:dyDescent="0.25">
      <c r="A48" t="s">
        <v>47</v>
      </c>
      <c r="B48" t="s">
        <v>698</v>
      </c>
      <c r="C48">
        <v>95</v>
      </c>
      <c r="D48">
        <v>84.25</v>
      </c>
      <c r="E48" s="1">
        <v>46104</v>
      </c>
    </row>
    <row r="49" spans="1:5" x14ac:dyDescent="0.25">
      <c r="A49" t="s">
        <v>48</v>
      </c>
      <c r="B49" t="s">
        <v>699</v>
      </c>
      <c r="C49">
        <v>94</v>
      </c>
      <c r="D49">
        <v>78.900000000000006</v>
      </c>
      <c r="E49" s="1">
        <v>46061</v>
      </c>
    </row>
    <row r="50" spans="1:5" x14ac:dyDescent="0.25">
      <c r="A50" t="s">
        <v>49</v>
      </c>
      <c r="B50" t="s">
        <v>700</v>
      </c>
      <c r="C50">
        <v>226</v>
      </c>
      <c r="D50">
        <v>140.84</v>
      </c>
      <c r="E50" s="1">
        <v>46123</v>
      </c>
    </row>
    <row r="51" spans="1:5" x14ac:dyDescent="0.25">
      <c r="A51" t="s">
        <v>50</v>
      </c>
      <c r="B51" t="s">
        <v>701</v>
      </c>
      <c r="C51">
        <v>161</v>
      </c>
      <c r="D51">
        <v>50.78</v>
      </c>
      <c r="E51" s="1">
        <v>46081</v>
      </c>
    </row>
    <row r="52" spans="1:5" x14ac:dyDescent="0.25">
      <c r="A52" t="s">
        <v>51</v>
      </c>
      <c r="B52" t="s">
        <v>702</v>
      </c>
      <c r="C52">
        <v>39</v>
      </c>
      <c r="D52">
        <v>17.670000000000002</v>
      </c>
      <c r="E52" s="1">
        <v>46125</v>
      </c>
    </row>
    <row r="53" spans="1:5" x14ac:dyDescent="0.25">
      <c r="A53" t="s">
        <v>52</v>
      </c>
      <c r="B53" t="s">
        <v>703</v>
      </c>
      <c r="C53">
        <v>39</v>
      </c>
      <c r="D53">
        <v>192.35</v>
      </c>
      <c r="E53" s="1">
        <v>46077</v>
      </c>
    </row>
    <row r="54" spans="1:5" x14ac:dyDescent="0.25">
      <c r="A54" t="s">
        <v>53</v>
      </c>
      <c r="B54" t="s">
        <v>704</v>
      </c>
      <c r="C54">
        <v>355</v>
      </c>
      <c r="D54">
        <v>173.05</v>
      </c>
      <c r="E54" s="1">
        <v>46057</v>
      </c>
    </row>
    <row r="55" spans="1:5" x14ac:dyDescent="0.25">
      <c r="A55" t="s">
        <v>54</v>
      </c>
      <c r="B55" t="s">
        <v>705</v>
      </c>
      <c r="C55">
        <v>306</v>
      </c>
      <c r="D55">
        <v>120.93</v>
      </c>
      <c r="E55" s="1">
        <v>46101</v>
      </c>
    </row>
    <row r="56" spans="1:5" x14ac:dyDescent="0.25">
      <c r="A56" t="s">
        <v>55</v>
      </c>
      <c r="B56" t="s">
        <v>706</v>
      </c>
      <c r="C56">
        <v>299</v>
      </c>
      <c r="D56">
        <v>106.94</v>
      </c>
      <c r="E56" s="1">
        <v>46185</v>
      </c>
    </row>
    <row r="57" spans="1:5" x14ac:dyDescent="0.25">
      <c r="A57" t="s">
        <v>707</v>
      </c>
      <c r="B57" t="s">
        <v>708</v>
      </c>
      <c r="C57">
        <v>132</v>
      </c>
      <c r="D57">
        <v>56.79</v>
      </c>
      <c r="E57" s="1">
        <v>46125</v>
      </c>
    </row>
    <row r="58" spans="1:5" x14ac:dyDescent="0.25">
      <c r="A58" t="s">
        <v>56</v>
      </c>
      <c r="B58" t="s">
        <v>709</v>
      </c>
      <c r="C58">
        <v>485</v>
      </c>
      <c r="D58">
        <v>151.61000000000001</v>
      </c>
      <c r="E58" s="1">
        <v>46116</v>
      </c>
    </row>
    <row r="59" spans="1:5" x14ac:dyDescent="0.25">
      <c r="A59" t="s">
        <v>57</v>
      </c>
      <c r="B59" t="s">
        <v>710</v>
      </c>
      <c r="C59">
        <v>61</v>
      </c>
      <c r="D59">
        <v>19.29</v>
      </c>
      <c r="E59" s="1">
        <v>46198</v>
      </c>
    </row>
    <row r="60" spans="1:5" x14ac:dyDescent="0.25">
      <c r="A60" t="s">
        <v>58</v>
      </c>
      <c r="B60" t="s">
        <v>711</v>
      </c>
      <c r="C60">
        <v>487</v>
      </c>
      <c r="D60">
        <v>73.06</v>
      </c>
      <c r="E60" s="1">
        <v>46074</v>
      </c>
    </row>
    <row r="61" spans="1:5" x14ac:dyDescent="0.25">
      <c r="A61" t="s">
        <v>58</v>
      </c>
      <c r="B61" t="s">
        <v>712</v>
      </c>
      <c r="C61">
        <v>487</v>
      </c>
      <c r="D61">
        <v>73.06</v>
      </c>
      <c r="E61" s="1">
        <v>46078</v>
      </c>
    </row>
    <row r="62" spans="1:5" x14ac:dyDescent="0.25">
      <c r="A62" t="s">
        <v>59</v>
      </c>
      <c r="B62" t="s">
        <v>713</v>
      </c>
      <c r="C62">
        <v>90</v>
      </c>
      <c r="D62">
        <v>90.45</v>
      </c>
      <c r="E62" s="1">
        <v>46117</v>
      </c>
    </row>
    <row r="63" spans="1:5" x14ac:dyDescent="0.25">
      <c r="A63" t="s">
        <v>60</v>
      </c>
      <c r="B63" t="s">
        <v>714</v>
      </c>
      <c r="C63">
        <v>14</v>
      </c>
      <c r="D63">
        <v>135.22999999999999</v>
      </c>
      <c r="E63" s="1">
        <v>46181</v>
      </c>
    </row>
    <row r="64" spans="1:5" x14ac:dyDescent="0.25">
      <c r="A64" t="s">
        <v>61</v>
      </c>
      <c r="B64" t="s">
        <v>715</v>
      </c>
      <c r="C64">
        <v>490</v>
      </c>
      <c r="D64">
        <v>195.61</v>
      </c>
      <c r="E64" s="1">
        <v>46066</v>
      </c>
    </row>
    <row r="65" spans="1:5" x14ac:dyDescent="0.25">
      <c r="A65" t="s">
        <v>62</v>
      </c>
      <c r="B65" t="s">
        <v>716</v>
      </c>
      <c r="C65">
        <v>89</v>
      </c>
      <c r="D65">
        <v>58.11</v>
      </c>
      <c r="E65" s="1">
        <v>46183</v>
      </c>
    </row>
    <row r="66" spans="1:5" x14ac:dyDescent="0.25">
      <c r="A66" t="s">
        <v>63</v>
      </c>
      <c r="B66" t="s">
        <v>717</v>
      </c>
      <c r="C66">
        <v>114</v>
      </c>
      <c r="D66">
        <v>146.41</v>
      </c>
      <c r="E66" s="1">
        <v>46141</v>
      </c>
    </row>
    <row r="67" spans="1:5" x14ac:dyDescent="0.25">
      <c r="A67" t="s">
        <v>64</v>
      </c>
      <c r="B67" t="s">
        <v>718</v>
      </c>
      <c r="C67">
        <v>473</v>
      </c>
      <c r="D67">
        <v>215.58</v>
      </c>
      <c r="E67" s="1">
        <v>46101</v>
      </c>
    </row>
    <row r="68" spans="1:5" x14ac:dyDescent="0.25">
      <c r="A68" t="s">
        <v>65</v>
      </c>
      <c r="B68" t="s">
        <v>719</v>
      </c>
      <c r="C68">
        <v>434</v>
      </c>
      <c r="D68">
        <v>58.95</v>
      </c>
      <c r="E68" s="1">
        <v>46156</v>
      </c>
    </row>
    <row r="69" spans="1:5" x14ac:dyDescent="0.25">
      <c r="A69" t="s">
        <v>66</v>
      </c>
      <c r="B69" t="s">
        <v>720</v>
      </c>
      <c r="C69">
        <v>92</v>
      </c>
      <c r="D69">
        <v>149.54</v>
      </c>
      <c r="E69" s="1">
        <v>46115</v>
      </c>
    </row>
    <row r="70" spans="1:5" x14ac:dyDescent="0.25">
      <c r="A70" t="s">
        <v>66</v>
      </c>
      <c r="B70" t="s">
        <v>721</v>
      </c>
      <c r="C70">
        <v>92</v>
      </c>
      <c r="D70">
        <v>149.54</v>
      </c>
      <c r="E70" s="1">
        <v>46118</v>
      </c>
    </row>
    <row r="71" spans="1:5" x14ac:dyDescent="0.25">
      <c r="A71" t="s">
        <v>67</v>
      </c>
      <c r="B71" t="s">
        <v>722</v>
      </c>
      <c r="C71">
        <v>67</v>
      </c>
      <c r="D71">
        <v>19.670000000000002</v>
      </c>
      <c r="E71" s="1">
        <v>46042</v>
      </c>
    </row>
    <row r="72" spans="1:5" x14ac:dyDescent="0.25">
      <c r="A72" t="s">
        <v>68</v>
      </c>
      <c r="B72" t="s">
        <v>723</v>
      </c>
      <c r="C72">
        <v>437</v>
      </c>
      <c r="D72">
        <v>77</v>
      </c>
      <c r="E72" s="1">
        <v>46045</v>
      </c>
    </row>
    <row r="73" spans="1:5" x14ac:dyDescent="0.25">
      <c r="A73" t="s">
        <v>69</v>
      </c>
      <c r="B73" t="s">
        <v>724</v>
      </c>
      <c r="C73">
        <v>31</v>
      </c>
      <c r="D73">
        <v>65.11</v>
      </c>
      <c r="E73" s="1">
        <v>46081</v>
      </c>
    </row>
    <row r="74" spans="1:5" x14ac:dyDescent="0.25">
      <c r="A74" t="s">
        <v>70</v>
      </c>
      <c r="B74" t="s">
        <v>725</v>
      </c>
      <c r="C74">
        <v>351</v>
      </c>
      <c r="D74">
        <v>25.04</v>
      </c>
      <c r="E74" s="1">
        <v>46112</v>
      </c>
    </row>
    <row r="75" spans="1:5" x14ac:dyDescent="0.25">
      <c r="A75" t="s">
        <v>71</v>
      </c>
      <c r="B75" t="s">
        <v>726</v>
      </c>
      <c r="C75">
        <v>483</v>
      </c>
      <c r="D75">
        <v>186.33</v>
      </c>
      <c r="E75" s="1">
        <v>46079</v>
      </c>
    </row>
    <row r="76" spans="1:5" x14ac:dyDescent="0.25">
      <c r="A76" t="s">
        <v>72</v>
      </c>
      <c r="B76" t="s">
        <v>727</v>
      </c>
      <c r="C76">
        <v>101</v>
      </c>
      <c r="D76">
        <v>148.63</v>
      </c>
      <c r="E76" s="1">
        <v>46053</v>
      </c>
    </row>
    <row r="77" spans="1:5" x14ac:dyDescent="0.25">
      <c r="A77" t="s">
        <v>73</v>
      </c>
      <c r="B77" t="s">
        <v>728</v>
      </c>
      <c r="C77">
        <v>146</v>
      </c>
      <c r="D77">
        <v>36.04</v>
      </c>
      <c r="E77" s="1">
        <v>46097</v>
      </c>
    </row>
    <row r="78" spans="1:5" x14ac:dyDescent="0.25">
      <c r="A78" t="s">
        <v>74</v>
      </c>
      <c r="B78" t="s">
        <v>729</v>
      </c>
      <c r="C78">
        <v>449</v>
      </c>
      <c r="D78">
        <v>96.78</v>
      </c>
      <c r="E78" s="1">
        <v>46053</v>
      </c>
    </row>
    <row r="79" spans="1:5" x14ac:dyDescent="0.25">
      <c r="A79" t="s">
        <v>75</v>
      </c>
      <c r="B79" t="s">
        <v>730</v>
      </c>
      <c r="C79">
        <v>430</v>
      </c>
      <c r="D79">
        <v>160.09</v>
      </c>
      <c r="E79" s="1">
        <v>46117</v>
      </c>
    </row>
    <row r="80" spans="1:5" x14ac:dyDescent="0.25">
      <c r="A80" t="s">
        <v>76</v>
      </c>
      <c r="B80" t="s">
        <v>731</v>
      </c>
      <c r="C80">
        <v>214</v>
      </c>
      <c r="D80">
        <v>69.010000000000005</v>
      </c>
      <c r="E80" s="1">
        <v>46092</v>
      </c>
    </row>
    <row r="81" spans="1:5" x14ac:dyDescent="0.25">
      <c r="A81" t="s">
        <v>77</v>
      </c>
      <c r="B81" t="s">
        <v>732</v>
      </c>
      <c r="C81">
        <v>214</v>
      </c>
      <c r="D81">
        <v>137.51</v>
      </c>
      <c r="E81" s="1">
        <v>46172</v>
      </c>
    </row>
    <row r="82" spans="1:5" x14ac:dyDescent="0.25">
      <c r="A82" t="s">
        <v>733</v>
      </c>
      <c r="B82" t="s">
        <v>734</v>
      </c>
      <c r="C82">
        <v>459</v>
      </c>
      <c r="D82">
        <v>204.47</v>
      </c>
      <c r="E82" s="1">
        <v>46070</v>
      </c>
    </row>
    <row r="83" spans="1:5" x14ac:dyDescent="0.25">
      <c r="A83" t="s">
        <v>78</v>
      </c>
      <c r="B83" t="s">
        <v>735</v>
      </c>
      <c r="C83">
        <v>315</v>
      </c>
      <c r="D83">
        <v>89.74</v>
      </c>
      <c r="E83" s="1">
        <v>46074</v>
      </c>
    </row>
    <row r="84" spans="1:5" x14ac:dyDescent="0.25">
      <c r="A84" t="s">
        <v>78</v>
      </c>
      <c r="B84" t="s">
        <v>736</v>
      </c>
      <c r="C84">
        <v>315</v>
      </c>
      <c r="D84">
        <v>89.74</v>
      </c>
      <c r="E84" s="1">
        <v>46075</v>
      </c>
    </row>
    <row r="85" spans="1:5" x14ac:dyDescent="0.25">
      <c r="A85" t="s">
        <v>79</v>
      </c>
      <c r="B85" t="s">
        <v>737</v>
      </c>
      <c r="C85">
        <v>69</v>
      </c>
      <c r="D85">
        <v>80.11</v>
      </c>
      <c r="E85" s="1">
        <v>46166</v>
      </c>
    </row>
    <row r="86" spans="1:5" x14ac:dyDescent="0.25">
      <c r="A86" t="s">
        <v>80</v>
      </c>
      <c r="B86" t="s">
        <v>738</v>
      </c>
      <c r="C86">
        <v>372</v>
      </c>
      <c r="D86">
        <v>90.03</v>
      </c>
      <c r="E86" s="1">
        <v>46049</v>
      </c>
    </row>
    <row r="87" spans="1:5" x14ac:dyDescent="0.25">
      <c r="A87" t="s">
        <v>81</v>
      </c>
      <c r="B87" t="s">
        <v>739</v>
      </c>
      <c r="C87">
        <v>45</v>
      </c>
      <c r="D87">
        <v>190.03</v>
      </c>
      <c r="E87" s="1">
        <v>46154</v>
      </c>
    </row>
    <row r="88" spans="1:5" x14ac:dyDescent="0.25">
      <c r="A88" t="s">
        <v>82</v>
      </c>
      <c r="B88" t="s">
        <v>740</v>
      </c>
      <c r="C88">
        <v>378</v>
      </c>
      <c r="D88">
        <v>180.51</v>
      </c>
      <c r="E88" s="1">
        <v>46077</v>
      </c>
    </row>
    <row r="89" spans="1:5" x14ac:dyDescent="0.25">
      <c r="A89" t="s">
        <v>83</v>
      </c>
      <c r="B89" t="s">
        <v>741</v>
      </c>
      <c r="C89">
        <v>177</v>
      </c>
      <c r="D89">
        <v>83.47</v>
      </c>
      <c r="E89" s="1">
        <v>46145</v>
      </c>
    </row>
    <row r="90" spans="1:5" x14ac:dyDescent="0.25">
      <c r="A90" t="s">
        <v>84</v>
      </c>
      <c r="B90" t="s">
        <v>742</v>
      </c>
      <c r="C90">
        <v>350</v>
      </c>
      <c r="D90">
        <v>188.37</v>
      </c>
      <c r="E90" s="1">
        <v>46141</v>
      </c>
    </row>
    <row r="91" spans="1:5" x14ac:dyDescent="0.25">
      <c r="A91" t="s">
        <v>85</v>
      </c>
      <c r="B91" t="s">
        <v>743</v>
      </c>
      <c r="C91">
        <v>164</v>
      </c>
      <c r="D91">
        <v>84.18</v>
      </c>
      <c r="E91" s="1">
        <v>46190</v>
      </c>
    </row>
    <row r="92" spans="1:5" x14ac:dyDescent="0.25">
      <c r="A92" t="s">
        <v>86</v>
      </c>
      <c r="B92" t="s">
        <v>744</v>
      </c>
      <c r="C92">
        <v>230</v>
      </c>
      <c r="D92">
        <v>158.22</v>
      </c>
      <c r="E92" s="1">
        <v>46093</v>
      </c>
    </row>
    <row r="93" spans="1:5" x14ac:dyDescent="0.25">
      <c r="A93" t="s">
        <v>87</v>
      </c>
      <c r="B93" t="s">
        <v>745</v>
      </c>
      <c r="C93">
        <v>236</v>
      </c>
      <c r="D93">
        <v>136.75</v>
      </c>
      <c r="E93" s="1">
        <v>46158</v>
      </c>
    </row>
    <row r="94" spans="1:5" x14ac:dyDescent="0.25">
      <c r="A94" t="s">
        <v>88</v>
      </c>
      <c r="B94" t="s">
        <v>746</v>
      </c>
      <c r="C94">
        <v>347</v>
      </c>
      <c r="D94">
        <v>22.96</v>
      </c>
      <c r="E94" s="1">
        <v>46083</v>
      </c>
    </row>
    <row r="95" spans="1:5" x14ac:dyDescent="0.25">
      <c r="A95" t="s">
        <v>89</v>
      </c>
      <c r="B95" t="s">
        <v>747</v>
      </c>
      <c r="C95">
        <v>354</v>
      </c>
      <c r="D95">
        <v>65.53</v>
      </c>
      <c r="E95" s="1">
        <v>46095</v>
      </c>
    </row>
    <row r="96" spans="1:5" x14ac:dyDescent="0.25">
      <c r="A96" t="s">
        <v>90</v>
      </c>
      <c r="B96" t="s">
        <v>748</v>
      </c>
      <c r="C96">
        <v>135</v>
      </c>
      <c r="D96">
        <v>196.87</v>
      </c>
      <c r="E96" s="1">
        <v>46050</v>
      </c>
    </row>
    <row r="97" spans="1:5" x14ac:dyDescent="0.25">
      <c r="A97" t="s">
        <v>91</v>
      </c>
      <c r="B97" t="s">
        <v>749</v>
      </c>
      <c r="C97">
        <v>463</v>
      </c>
      <c r="D97">
        <v>127.8</v>
      </c>
      <c r="E97" s="1">
        <v>46149</v>
      </c>
    </row>
    <row r="98" spans="1:5" x14ac:dyDescent="0.25">
      <c r="A98" t="s">
        <v>92</v>
      </c>
      <c r="B98" t="s">
        <v>750</v>
      </c>
      <c r="C98">
        <v>134</v>
      </c>
      <c r="D98">
        <v>33.78</v>
      </c>
      <c r="E98" s="1">
        <v>46133</v>
      </c>
    </row>
    <row r="99" spans="1:5" x14ac:dyDescent="0.25">
      <c r="A99" t="s">
        <v>751</v>
      </c>
      <c r="B99" t="s">
        <v>752</v>
      </c>
      <c r="C99">
        <v>122</v>
      </c>
      <c r="D99">
        <v>39.299999999999997</v>
      </c>
      <c r="E99" s="1">
        <v>46159</v>
      </c>
    </row>
    <row r="100" spans="1:5" x14ac:dyDescent="0.25">
      <c r="A100" t="s">
        <v>93</v>
      </c>
      <c r="B100" t="s">
        <v>753</v>
      </c>
      <c r="C100">
        <v>295</v>
      </c>
      <c r="D100">
        <v>62.98</v>
      </c>
      <c r="E100" s="1">
        <v>46062</v>
      </c>
    </row>
    <row r="101" spans="1:5" x14ac:dyDescent="0.25">
      <c r="A101" t="s">
        <v>94</v>
      </c>
      <c r="B101" t="s">
        <v>754</v>
      </c>
      <c r="C101">
        <v>351</v>
      </c>
      <c r="D101">
        <v>108.57</v>
      </c>
      <c r="E101" s="1">
        <v>46158</v>
      </c>
    </row>
    <row r="102" spans="1:5" x14ac:dyDescent="0.25">
      <c r="A102" t="s">
        <v>755</v>
      </c>
      <c r="B102" t="s">
        <v>756</v>
      </c>
      <c r="C102">
        <v>228</v>
      </c>
      <c r="D102">
        <v>166.96</v>
      </c>
      <c r="E102" s="1">
        <v>46178</v>
      </c>
    </row>
    <row r="103" spans="1:5" x14ac:dyDescent="0.25">
      <c r="A103" t="s">
        <v>95</v>
      </c>
      <c r="B103" t="s">
        <v>757</v>
      </c>
      <c r="C103">
        <v>240</v>
      </c>
      <c r="D103">
        <v>55.54</v>
      </c>
      <c r="E103" s="1">
        <v>46160</v>
      </c>
    </row>
    <row r="104" spans="1:5" x14ac:dyDescent="0.25">
      <c r="A104" t="s">
        <v>96</v>
      </c>
      <c r="B104" t="s">
        <v>758</v>
      </c>
      <c r="C104">
        <v>330</v>
      </c>
      <c r="D104">
        <v>51.65</v>
      </c>
      <c r="E104" s="1">
        <v>46158</v>
      </c>
    </row>
    <row r="105" spans="1:5" x14ac:dyDescent="0.25">
      <c r="A105" t="s">
        <v>97</v>
      </c>
      <c r="B105" t="s">
        <v>759</v>
      </c>
      <c r="C105">
        <v>130</v>
      </c>
      <c r="D105">
        <v>57.98</v>
      </c>
      <c r="E105" s="1">
        <v>46110</v>
      </c>
    </row>
    <row r="106" spans="1:5" x14ac:dyDescent="0.25">
      <c r="A106" t="s">
        <v>760</v>
      </c>
      <c r="B106" t="s">
        <v>761</v>
      </c>
      <c r="C106">
        <v>128</v>
      </c>
      <c r="D106">
        <v>79.69</v>
      </c>
      <c r="E106" s="1">
        <v>46081</v>
      </c>
    </row>
    <row r="107" spans="1:5" x14ac:dyDescent="0.25">
      <c r="A107" t="s">
        <v>98</v>
      </c>
      <c r="B107" t="s">
        <v>762</v>
      </c>
      <c r="C107">
        <v>218</v>
      </c>
      <c r="D107">
        <v>69.52</v>
      </c>
      <c r="E107" s="1">
        <v>46148</v>
      </c>
    </row>
    <row r="108" spans="1:5" x14ac:dyDescent="0.25">
      <c r="A108" t="s">
        <v>99</v>
      </c>
      <c r="B108" t="s">
        <v>763</v>
      </c>
      <c r="C108">
        <v>436</v>
      </c>
      <c r="D108">
        <v>86.93</v>
      </c>
      <c r="E108" s="1">
        <v>46089</v>
      </c>
    </row>
    <row r="109" spans="1:5" x14ac:dyDescent="0.25">
      <c r="A109" t="s">
        <v>100</v>
      </c>
      <c r="B109" t="s">
        <v>764</v>
      </c>
      <c r="C109">
        <v>254</v>
      </c>
      <c r="D109">
        <v>6.75</v>
      </c>
      <c r="E109" s="1">
        <v>46137</v>
      </c>
    </row>
    <row r="110" spans="1:5" x14ac:dyDescent="0.25">
      <c r="A110" t="s">
        <v>101</v>
      </c>
      <c r="B110" t="s">
        <v>765</v>
      </c>
      <c r="C110">
        <v>285</v>
      </c>
      <c r="D110">
        <v>150.77000000000001</v>
      </c>
      <c r="E110" s="1">
        <v>46143</v>
      </c>
    </row>
    <row r="111" spans="1:5" x14ac:dyDescent="0.25">
      <c r="A111" t="s">
        <v>102</v>
      </c>
      <c r="B111" t="s">
        <v>766</v>
      </c>
      <c r="C111">
        <v>149</v>
      </c>
      <c r="D111">
        <v>89.99</v>
      </c>
      <c r="E111" s="1">
        <v>46106</v>
      </c>
    </row>
    <row r="112" spans="1:5" x14ac:dyDescent="0.25">
      <c r="A112" t="s">
        <v>103</v>
      </c>
      <c r="B112" t="s">
        <v>767</v>
      </c>
      <c r="C112">
        <v>380</v>
      </c>
      <c r="D112">
        <v>37.18</v>
      </c>
      <c r="E112" s="1">
        <v>46144</v>
      </c>
    </row>
    <row r="113" spans="1:5" x14ac:dyDescent="0.25">
      <c r="A113" t="s">
        <v>104</v>
      </c>
      <c r="B113" t="s">
        <v>768</v>
      </c>
      <c r="C113">
        <v>23</v>
      </c>
      <c r="D113">
        <v>181.85</v>
      </c>
      <c r="E113" s="1">
        <v>46173</v>
      </c>
    </row>
    <row r="114" spans="1:5" x14ac:dyDescent="0.25">
      <c r="A114" t="s">
        <v>105</v>
      </c>
      <c r="B114" t="s">
        <v>769</v>
      </c>
      <c r="C114">
        <v>79</v>
      </c>
      <c r="D114">
        <v>174.04</v>
      </c>
      <c r="E114" s="1">
        <v>46144</v>
      </c>
    </row>
    <row r="115" spans="1:5" x14ac:dyDescent="0.25">
      <c r="A115" t="s">
        <v>770</v>
      </c>
      <c r="B115" t="s">
        <v>771</v>
      </c>
      <c r="C115">
        <v>177</v>
      </c>
      <c r="D115">
        <v>50.53</v>
      </c>
      <c r="E115" s="1">
        <v>46144</v>
      </c>
    </row>
    <row r="116" spans="1:5" x14ac:dyDescent="0.25">
      <c r="A116" t="s">
        <v>106</v>
      </c>
      <c r="B116" t="s">
        <v>772</v>
      </c>
      <c r="C116">
        <v>395</v>
      </c>
      <c r="D116">
        <v>190.48</v>
      </c>
      <c r="E116" s="1">
        <v>46114</v>
      </c>
    </row>
    <row r="117" spans="1:5" x14ac:dyDescent="0.25">
      <c r="A117" t="s">
        <v>107</v>
      </c>
      <c r="B117" t="s">
        <v>773</v>
      </c>
      <c r="C117">
        <v>19</v>
      </c>
      <c r="D117">
        <v>151.06</v>
      </c>
      <c r="E117" s="1">
        <v>46168</v>
      </c>
    </row>
    <row r="118" spans="1:5" x14ac:dyDescent="0.25">
      <c r="A118" t="s">
        <v>774</v>
      </c>
      <c r="B118" t="s">
        <v>775</v>
      </c>
      <c r="C118">
        <v>409</v>
      </c>
      <c r="D118">
        <v>191.67</v>
      </c>
      <c r="E118" s="1">
        <v>46053</v>
      </c>
    </row>
    <row r="119" spans="1:5" x14ac:dyDescent="0.25">
      <c r="A119" t="s">
        <v>108</v>
      </c>
      <c r="B119" t="s">
        <v>776</v>
      </c>
      <c r="C119">
        <v>439</v>
      </c>
      <c r="D119">
        <v>8.9700000000000006</v>
      </c>
      <c r="E119" s="1">
        <v>46093</v>
      </c>
    </row>
    <row r="120" spans="1:5" x14ac:dyDescent="0.25">
      <c r="A120" t="s">
        <v>109</v>
      </c>
      <c r="B120" t="s">
        <v>777</v>
      </c>
      <c r="C120">
        <v>352</v>
      </c>
      <c r="D120">
        <v>27.31</v>
      </c>
      <c r="E120" s="1">
        <v>46165</v>
      </c>
    </row>
    <row r="121" spans="1:5" x14ac:dyDescent="0.25">
      <c r="A121" t="s">
        <v>109</v>
      </c>
      <c r="B121" t="s">
        <v>778</v>
      </c>
      <c r="C121">
        <v>352</v>
      </c>
      <c r="D121">
        <v>27.31</v>
      </c>
      <c r="E121" s="1">
        <v>46168</v>
      </c>
    </row>
    <row r="122" spans="1:5" x14ac:dyDescent="0.25">
      <c r="A122" t="s">
        <v>110</v>
      </c>
      <c r="B122" t="s">
        <v>779</v>
      </c>
      <c r="C122">
        <v>402</v>
      </c>
      <c r="D122">
        <v>76.930000000000007</v>
      </c>
      <c r="E122" s="1">
        <v>46099</v>
      </c>
    </row>
    <row r="123" spans="1:5" x14ac:dyDescent="0.25">
      <c r="A123" t="s">
        <v>111</v>
      </c>
      <c r="B123" t="s">
        <v>780</v>
      </c>
      <c r="C123">
        <v>65</v>
      </c>
      <c r="D123">
        <v>117.84</v>
      </c>
      <c r="E123" s="1">
        <v>46123</v>
      </c>
    </row>
    <row r="124" spans="1:5" x14ac:dyDescent="0.25">
      <c r="A124" t="s">
        <v>112</v>
      </c>
      <c r="B124" t="s">
        <v>781</v>
      </c>
      <c r="C124">
        <v>48</v>
      </c>
      <c r="D124">
        <v>120.46</v>
      </c>
      <c r="E124" s="1">
        <v>46094</v>
      </c>
    </row>
    <row r="125" spans="1:5" x14ac:dyDescent="0.25">
      <c r="A125" t="s">
        <v>113</v>
      </c>
      <c r="B125" t="s">
        <v>782</v>
      </c>
      <c r="C125">
        <v>445</v>
      </c>
      <c r="D125">
        <v>138.43</v>
      </c>
      <c r="E125" s="1">
        <v>46107</v>
      </c>
    </row>
    <row r="126" spans="1:5" x14ac:dyDescent="0.25">
      <c r="A126" t="s">
        <v>113</v>
      </c>
      <c r="B126" t="s">
        <v>783</v>
      </c>
      <c r="C126">
        <v>445</v>
      </c>
      <c r="D126">
        <v>138.43</v>
      </c>
      <c r="E126" s="1">
        <v>46112</v>
      </c>
    </row>
    <row r="127" spans="1:5" x14ac:dyDescent="0.25">
      <c r="A127" t="s">
        <v>114</v>
      </c>
      <c r="B127" t="s">
        <v>784</v>
      </c>
      <c r="C127">
        <v>229</v>
      </c>
      <c r="D127">
        <v>134</v>
      </c>
      <c r="E127" s="1">
        <v>46184</v>
      </c>
    </row>
    <row r="128" spans="1:5" x14ac:dyDescent="0.25">
      <c r="A128" t="s">
        <v>115</v>
      </c>
      <c r="B128" t="s">
        <v>785</v>
      </c>
      <c r="C128">
        <v>16</v>
      </c>
      <c r="D128">
        <v>170.67</v>
      </c>
      <c r="E128" s="1">
        <v>46125</v>
      </c>
    </row>
    <row r="129" spans="1:5" x14ac:dyDescent="0.25">
      <c r="A129" t="s">
        <v>116</v>
      </c>
      <c r="B129" t="s">
        <v>786</v>
      </c>
      <c r="C129">
        <v>335</v>
      </c>
      <c r="D129">
        <v>178.86</v>
      </c>
      <c r="E129" s="1">
        <v>46125</v>
      </c>
    </row>
    <row r="130" spans="1:5" x14ac:dyDescent="0.25">
      <c r="A130" t="s">
        <v>117</v>
      </c>
      <c r="B130" t="s">
        <v>787</v>
      </c>
      <c r="C130">
        <v>385</v>
      </c>
      <c r="D130">
        <v>106.74</v>
      </c>
      <c r="E130" s="1">
        <v>46090</v>
      </c>
    </row>
    <row r="131" spans="1:5" x14ac:dyDescent="0.25">
      <c r="A131" t="s">
        <v>118</v>
      </c>
      <c r="B131" t="s">
        <v>788</v>
      </c>
      <c r="C131">
        <v>406</v>
      </c>
      <c r="D131">
        <v>113.94</v>
      </c>
      <c r="E131" s="1">
        <v>46175</v>
      </c>
    </row>
    <row r="132" spans="1:5" x14ac:dyDescent="0.25">
      <c r="A132" t="s">
        <v>789</v>
      </c>
      <c r="B132" t="s">
        <v>790</v>
      </c>
      <c r="C132">
        <v>435</v>
      </c>
      <c r="D132">
        <v>187.25</v>
      </c>
      <c r="E132" s="1">
        <v>46105</v>
      </c>
    </row>
    <row r="133" spans="1:5" x14ac:dyDescent="0.25">
      <c r="A133" t="s">
        <v>119</v>
      </c>
      <c r="B133" t="s">
        <v>791</v>
      </c>
      <c r="C133">
        <v>301</v>
      </c>
      <c r="D133">
        <v>124.01</v>
      </c>
      <c r="E133" s="1">
        <v>46166</v>
      </c>
    </row>
    <row r="134" spans="1:5" x14ac:dyDescent="0.25">
      <c r="A134" t="s">
        <v>120</v>
      </c>
      <c r="B134" t="s">
        <v>792</v>
      </c>
      <c r="C134">
        <v>445</v>
      </c>
      <c r="D134">
        <v>68.38</v>
      </c>
      <c r="E134" s="1">
        <v>46169</v>
      </c>
    </row>
    <row r="135" spans="1:5" x14ac:dyDescent="0.25">
      <c r="A135" t="s">
        <v>121</v>
      </c>
      <c r="B135" t="s">
        <v>793</v>
      </c>
      <c r="C135">
        <v>184</v>
      </c>
      <c r="D135">
        <v>59.53</v>
      </c>
      <c r="E135" s="1">
        <v>46107</v>
      </c>
    </row>
    <row r="136" spans="1:5" x14ac:dyDescent="0.25">
      <c r="A136" t="s">
        <v>794</v>
      </c>
      <c r="B136" t="s">
        <v>795</v>
      </c>
      <c r="C136">
        <v>274</v>
      </c>
      <c r="D136">
        <v>189.87</v>
      </c>
      <c r="E136" s="1">
        <v>46047</v>
      </c>
    </row>
    <row r="137" spans="1:5" x14ac:dyDescent="0.25">
      <c r="A137" t="s">
        <v>122</v>
      </c>
      <c r="B137" t="s">
        <v>796</v>
      </c>
      <c r="C137">
        <v>260</v>
      </c>
      <c r="D137">
        <v>113.26</v>
      </c>
      <c r="E137" s="1">
        <v>46156</v>
      </c>
    </row>
    <row r="138" spans="1:5" x14ac:dyDescent="0.25">
      <c r="A138" t="s">
        <v>123</v>
      </c>
      <c r="B138" t="s">
        <v>797</v>
      </c>
      <c r="C138">
        <v>239</v>
      </c>
      <c r="D138">
        <v>159.62</v>
      </c>
      <c r="E138" s="1">
        <v>46171</v>
      </c>
    </row>
    <row r="139" spans="1:5" x14ac:dyDescent="0.25">
      <c r="A139" t="s">
        <v>124</v>
      </c>
      <c r="B139" t="s">
        <v>798</v>
      </c>
      <c r="C139">
        <v>364</v>
      </c>
      <c r="D139">
        <v>52.44</v>
      </c>
      <c r="E139" s="1">
        <v>46148</v>
      </c>
    </row>
    <row r="140" spans="1:5" x14ac:dyDescent="0.25">
      <c r="A140" t="s">
        <v>125</v>
      </c>
      <c r="B140" t="s">
        <v>799</v>
      </c>
      <c r="C140">
        <v>281</v>
      </c>
      <c r="D140">
        <v>72.03</v>
      </c>
      <c r="E140" s="1">
        <v>46186</v>
      </c>
    </row>
    <row r="141" spans="1:5" x14ac:dyDescent="0.25">
      <c r="A141" t="s">
        <v>800</v>
      </c>
      <c r="B141" t="s">
        <v>801</v>
      </c>
      <c r="C141">
        <v>148</v>
      </c>
      <c r="D141">
        <v>68.63</v>
      </c>
      <c r="E141" s="1">
        <v>46150</v>
      </c>
    </row>
    <row r="142" spans="1:5" x14ac:dyDescent="0.25">
      <c r="A142" t="s">
        <v>126</v>
      </c>
      <c r="B142" t="s">
        <v>802</v>
      </c>
      <c r="C142">
        <v>171</v>
      </c>
      <c r="D142">
        <v>28.31</v>
      </c>
      <c r="E142" s="1">
        <v>46088</v>
      </c>
    </row>
    <row r="143" spans="1:5" x14ac:dyDescent="0.25">
      <c r="A143" t="s">
        <v>127</v>
      </c>
      <c r="B143" t="s">
        <v>803</v>
      </c>
      <c r="C143">
        <v>388</v>
      </c>
      <c r="D143">
        <v>99.42</v>
      </c>
      <c r="E143" s="1">
        <v>46108</v>
      </c>
    </row>
    <row r="144" spans="1:5" x14ac:dyDescent="0.25">
      <c r="A144" t="s">
        <v>128</v>
      </c>
      <c r="B144" t="s">
        <v>804</v>
      </c>
      <c r="C144">
        <v>61</v>
      </c>
      <c r="D144">
        <v>167.36</v>
      </c>
      <c r="E144" s="1">
        <v>46112</v>
      </c>
    </row>
    <row r="145" spans="1:5" x14ac:dyDescent="0.25">
      <c r="A145" t="s">
        <v>129</v>
      </c>
      <c r="B145" t="s">
        <v>805</v>
      </c>
      <c r="C145">
        <v>164</v>
      </c>
      <c r="D145">
        <v>7.76</v>
      </c>
      <c r="E145" s="1">
        <v>46085</v>
      </c>
    </row>
    <row r="146" spans="1:5" x14ac:dyDescent="0.25">
      <c r="A146" t="s">
        <v>130</v>
      </c>
      <c r="B146" t="s">
        <v>806</v>
      </c>
      <c r="C146">
        <v>37</v>
      </c>
      <c r="D146">
        <v>112.9</v>
      </c>
      <c r="E146" s="1">
        <v>46050</v>
      </c>
    </row>
    <row r="147" spans="1:5" x14ac:dyDescent="0.25">
      <c r="A147" t="s">
        <v>131</v>
      </c>
      <c r="B147" t="s">
        <v>807</v>
      </c>
      <c r="C147">
        <v>62</v>
      </c>
      <c r="D147">
        <v>175.18</v>
      </c>
      <c r="E147" s="1">
        <v>46165</v>
      </c>
    </row>
    <row r="148" spans="1:5" x14ac:dyDescent="0.25">
      <c r="A148" t="s">
        <v>132</v>
      </c>
      <c r="B148" t="s">
        <v>808</v>
      </c>
      <c r="C148">
        <v>235</v>
      </c>
      <c r="D148">
        <v>71.44</v>
      </c>
      <c r="E148" s="1">
        <v>46167</v>
      </c>
    </row>
    <row r="149" spans="1:5" x14ac:dyDescent="0.25">
      <c r="A149" t="s">
        <v>133</v>
      </c>
      <c r="B149" t="s">
        <v>809</v>
      </c>
      <c r="C149">
        <v>430</v>
      </c>
      <c r="D149">
        <v>17.739999999999998</v>
      </c>
      <c r="E149" s="1">
        <v>46063</v>
      </c>
    </row>
    <row r="150" spans="1:5" x14ac:dyDescent="0.25">
      <c r="A150" t="s">
        <v>134</v>
      </c>
      <c r="B150" t="s">
        <v>810</v>
      </c>
      <c r="C150">
        <v>87</v>
      </c>
      <c r="D150">
        <v>36.6</v>
      </c>
      <c r="E150" s="1">
        <v>46059</v>
      </c>
    </row>
    <row r="151" spans="1:5" x14ac:dyDescent="0.25">
      <c r="A151" t="s">
        <v>135</v>
      </c>
      <c r="B151" t="s">
        <v>811</v>
      </c>
      <c r="C151">
        <v>70</v>
      </c>
      <c r="D151">
        <v>113.82</v>
      </c>
      <c r="E151" s="1">
        <v>46108</v>
      </c>
    </row>
    <row r="152" spans="1:5" x14ac:dyDescent="0.25">
      <c r="A152" t="s">
        <v>136</v>
      </c>
      <c r="B152" t="s">
        <v>812</v>
      </c>
      <c r="C152">
        <v>240</v>
      </c>
      <c r="D152">
        <v>182.16</v>
      </c>
      <c r="E152" s="1">
        <v>46144</v>
      </c>
    </row>
    <row r="153" spans="1:5" x14ac:dyDescent="0.25">
      <c r="A153" t="s">
        <v>137</v>
      </c>
      <c r="B153" t="s">
        <v>813</v>
      </c>
      <c r="C153">
        <v>327</v>
      </c>
      <c r="D153">
        <v>17.96</v>
      </c>
      <c r="E153" s="1">
        <v>46182</v>
      </c>
    </row>
    <row r="154" spans="1:5" x14ac:dyDescent="0.25">
      <c r="A154" t="s">
        <v>138</v>
      </c>
      <c r="B154" t="s">
        <v>814</v>
      </c>
      <c r="C154">
        <v>145</v>
      </c>
      <c r="D154">
        <v>133.78</v>
      </c>
      <c r="E154" s="1">
        <v>46094</v>
      </c>
    </row>
    <row r="155" spans="1:5" x14ac:dyDescent="0.25">
      <c r="A155" t="s">
        <v>139</v>
      </c>
      <c r="B155" t="s">
        <v>815</v>
      </c>
      <c r="C155">
        <v>48</v>
      </c>
      <c r="D155">
        <v>35.520000000000003</v>
      </c>
      <c r="E155" s="1">
        <v>46186</v>
      </c>
    </row>
    <row r="156" spans="1:5" x14ac:dyDescent="0.25">
      <c r="A156" t="s">
        <v>140</v>
      </c>
      <c r="B156" t="s">
        <v>816</v>
      </c>
      <c r="C156">
        <v>159</v>
      </c>
      <c r="D156">
        <v>11.36</v>
      </c>
      <c r="E156" s="1">
        <v>46162</v>
      </c>
    </row>
    <row r="157" spans="1:5" x14ac:dyDescent="0.25">
      <c r="A157" t="s">
        <v>141</v>
      </c>
      <c r="B157" t="s">
        <v>817</v>
      </c>
      <c r="C157">
        <v>46</v>
      </c>
      <c r="D157">
        <v>139.04</v>
      </c>
      <c r="E157" s="1">
        <v>46158</v>
      </c>
    </row>
    <row r="158" spans="1:5" x14ac:dyDescent="0.25">
      <c r="A158" t="s">
        <v>141</v>
      </c>
      <c r="B158" t="s">
        <v>818</v>
      </c>
      <c r="C158">
        <v>46</v>
      </c>
      <c r="D158">
        <v>139.04</v>
      </c>
      <c r="E158" s="1">
        <v>46163</v>
      </c>
    </row>
    <row r="159" spans="1:5" x14ac:dyDescent="0.25">
      <c r="A159" t="s">
        <v>819</v>
      </c>
      <c r="B159" t="s">
        <v>820</v>
      </c>
      <c r="C159">
        <v>288</v>
      </c>
      <c r="D159">
        <v>48.84</v>
      </c>
      <c r="E159" s="1">
        <v>46066</v>
      </c>
    </row>
    <row r="160" spans="1:5" x14ac:dyDescent="0.25">
      <c r="A160" t="s">
        <v>142</v>
      </c>
      <c r="B160" t="s">
        <v>821</v>
      </c>
      <c r="C160">
        <v>40</v>
      </c>
      <c r="D160">
        <v>37.35</v>
      </c>
      <c r="E160" s="1">
        <v>46065</v>
      </c>
    </row>
    <row r="161" spans="1:5" x14ac:dyDescent="0.25">
      <c r="A161" t="s">
        <v>143</v>
      </c>
      <c r="B161" t="s">
        <v>822</v>
      </c>
      <c r="C161">
        <v>249</v>
      </c>
      <c r="D161">
        <v>139.29</v>
      </c>
      <c r="E161" s="1">
        <v>46078</v>
      </c>
    </row>
    <row r="162" spans="1:5" x14ac:dyDescent="0.25">
      <c r="A162" t="s">
        <v>144</v>
      </c>
      <c r="B162" t="s">
        <v>823</v>
      </c>
      <c r="C162">
        <v>286</v>
      </c>
      <c r="D162">
        <v>101.29</v>
      </c>
      <c r="E162" s="1">
        <v>46167</v>
      </c>
    </row>
    <row r="163" spans="1:5" x14ac:dyDescent="0.25">
      <c r="A163" t="s">
        <v>824</v>
      </c>
      <c r="B163" t="s">
        <v>825</v>
      </c>
      <c r="C163">
        <v>319</v>
      </c>
      <c r="D163">
        <v>53.82</v>
      </c>
      <c r="E163" s="1">
        <v>46125</v>
      </c>
    </row>
    <row r="164" spans="1:5" x14ac:dyDescent="0.25">
      <c r="A164" t="s">
        <v>145</v>
      </c>
      <c r="B164" t="s">
        <v>826</v>
      </c>
      <c r="C164">
        <v>310</v>
      </c>
      <c r="D164">
        <v>190.4</v>
      </c>
      <c r="E164" s="1">
        <v>46186</v>
      </c>
    </row>
    <row r="165" spans="1:5" x14ac:dyDescent="0.25">
      <c r="A165" t="s">
        <v>146</v>
      </c>
      <c r="B165" t="s">
        <v>827</v>
      </c>
      <c r="C165">
        <v>400</v>
      </c>
      <c r="D165">
        <v>152.47</v>
      </c>
      <c r="E165" s="1">
        <v>46064</v>
      </c>
    </row>
    <row r="166" spans="1:5" x14ac:dyDescent="0.25">
      <c r="A166" t="s">
        <v>147</v>
      </c>
      <c r="B166" t="s">
        <v>828</v>
      </c>
      <c r="C166">
        <v>479</v>
      </c>
      <c r="D166">
        <v>59.24</v>
      </c>
      <c r="E166" s="1">
        <v>46158</v>
      </c>
    </row>
    <row r="167" spans="1:5" x14ac:dyDescent="0.25">
      <c r="A167" t="s">
        <v>148</v>
      </c>
      <c r="B167" t="s">
        <v>829</v>
      </c>
      <c r="C167">
        <v>56</v>
      </c>
      <c r="D167">
        <v>96.65</v>
      </c>
      <c r="E167" s="1">
        <v>46164</v>
      </c>
    </row>
    <row r="168" spans="1:5" x14ac:dyDescent="0.25">
      <c r="A168" t="s">
        <v>830</v>
      </c>
      <c r="B168" t="s">
        <v>831</v>
      </c>
      <c r="C168">
        <v>449</v>
      </c>
      <c r="D168">
        <v>36.36</v>
      </c>
      <c r="E168" s="1">
        <v>46074</v>
      </c>
    </row>
    <row r="169" spans="1:5" x14ac:dyDescent="0.25">
      <c r="A169" t="s">
        <v>149</v>
      </c>
      <c r="B169" t="s">
        <v>832</v>
      </c>
      <c r="C169">
        <v>426</v>
      </c>
      <c r="D169">
        <v>153.30000000000001</v>
      </c>
      <c r="E169" s="1">
        <v>46145</v>
      </c>
    </row>
    <row r="170" spans="1:5" x14ac:dyDescent="0.25">
      <c r="A170" t="s">
        <v>150</v>
      </c>
      <c r="B170" t="s">
        <v>833</v>
      </c>
      <c r="C170">
        <v>139</v>
      </c>
      <c r="D170">
        <v>68.040000000000006</v>
      </c>
      <c r="E170" s="1">
        <v>46125</v>
      </c>
    </row>
    <row r="171" spans="1:5" x14ac:dyDescent="0.25">
      <c r="A171" t="s">
        <v>151</v>
      </c>
      <c r="B171" t="s">
        <v>834</v>
      </c>
      <c r="C171">
        <v>346</v>
      </c>
      <c r="D171">
        <v>174.53</v>
      </c>
      <c r="E171" s="1">
        <v>46050</v>
      </c>
    </row>
    <row r="172" spans="1:5" x14ac:dyDescent="0.25">
      <c r="A172" t="s">
        <v>152</v>
      </c>
      <c r="B172" t="s">
        <v>835</v>
      </c>
      <c r="C172">
        <v>275</v>
      </c>
      <c r="D172">
        <v>75.55</v>
      </c>
      <c r="E172" s="1">
        <v>46100</v>
      </c>
    </row>
    <row r="173" spans="1:5" x14ac:dyDescent="0.25">
      <c r="A173" t="s">
        <v>153</v>
      </c>
      <c r="B173" t="s">
        <v>836</v>
      </c>
      <c r="C173">
        <v>399</v>
      </c>
      <c r="D173">
        <v>17.100000000000001</v>
      </c>
      <c r="E173" s="1">
        <v>46149</v>
      </c>
    </row>
    <row r="174" spans="1:5" x14ac:dyDescent="0.25">
      <c r="A174" t="s">
        <v>154</v>
      </c>
      <c r="B174" t="s">
        <v>837</v>
      </c>
      <c r="C174">
        <v>460</v>
      </c>
      <c r="D174">
        <v>141.16</v>
      </c>
      <c r="E174" s="1">
        <v>46141</v>
      </c>
    </row>
    <row r="175" spans="1:5" x14ac:dyDescent="0.25">
      <c r="A175" t="s">
        <v>155</v>
      </c>
      <c r="B175" t="s">
        <v>838</v>
      </c>
      <c r="C175">
        <v>373</v>
      </c>
      <c r="D175">
        <v>35.880000000000003</v>
      </c>
      <c r="E175" s="1">
        <v>46092</v>
      </c>
    </row>
    <row r="176" spans="1:5" x14ac:dyDescent="0.25">
      <c r="A176" t="s">
        <v>156</v>
      </c>
      <c r="B176" t="s">
        <v>839</v>
      </c>
      <c r="C176">
        <v>57</v>
      </c>
      <c r="D176">
        <v>48.82</v>
      </c>
      <c r="E176" s="1">
        <v>46150</v>
      </c>
    </row>
    <row r="177" spans="1:5" x14ac:dyDescent="0.25">
      <c r="A177" t="s">
        <v>157</v>
      </c>
      <c r="B177" t="s">
        <v>840</v>
      </c>
      <c r="C177">
        <v>265</v>
      </c>
      <c r="D177">
        <v>186.87</v>
      </c>
      <c r="E177" s="1">
        <v>46093</v>
      </c>
    </row>
    <row r="178" spans="1:5" x14ac:dyDescent="0.25">
      <c r="A178" t="s">
        <v>158</v>
      </c>
      <c r="B178" t="s">
        <v>841</v>
      </c>
      <c r="C178">
        <v>222</v>
      </c>
      <c r="D178">
        <v>167.77</v>
      </c>
      <c r="E178" s="1">
        <v>46114</v>
      </c>
    </row>
    <row r="179" spans="1:5" x14ac:dyDescent="0.25">
      <c r="A179" t="s">
        <v>159</v>
      </c>
      <c r="B179" t="s">
        <v>842</v>
      </c>
      <c r="C179">
        <v>84</v>
      </c>
      <c r="D179">
        <v>79.8</v>
      </c>
      <c r="E179" s="1">
        <v>46193</v>
      </c>
    </row>
    <row r="180" spans="1:5" x14ac:dyDescent="0.25">
      <c r="A180" t="s">
        <v>160</v>
      </c>
      <c r="B180" t="s">
        <v>843</v>
      </c>
      <c r="C180">
        <v>452</v>
      </c>
      <c r="D180">
        <v>20.76</v>
      </c>
      <c r="E180" s="1">
        <v>46082</v>
      </c>
    </row>
    <row r="181" spans="1:5" x14ac:dyDescent="0.25">
      <c r="A181" t="s">
        <v>160</v>
      </c>
      <c r="B181" t="s">
        <v>844</v>
      </c>
      <c r="C181">
        <v>452</v>
      </c>
      <c r="D181">
        <v>20.76</v>
      </c>
      <c r="E181" s="1">
        <v>46087</v>
      </c>
    </row>
    <row r="182" spans="1:5" x14ac:dyDescent="0.25">
      <c r="A182" t="s">
        <v>161</v>
      </c>
      <c r="B182" t="s">
        <v>845</v>
      </c>
      <c r="C182">
        <v>146</v>
      </c>
      <c r="D182">
        <v>165.01</v>
      </c>
      <c r="E182" s="1">
        <v>46171</v>
      </c>
    </row>
    <row r="183" spans="1:5" x14ac:dyDescent="0.25">
      <c r="A183" t="s">
        <v>162</v>
      </c>
      <c r="B183" t="s">
        <v>846</v>
      </c>
      <c r="C183">
        <v>347</v>
      </c>
      <c r="D183">
        <v>100.48</v>
      </c>
      <c r="E183" s="1">
        <v>46199</v>
      </c>
    </row>
    <row r="184" spans="1:5" x14ac:dyDescent="0.25">
      <c r="A184" t="s">
        <v>847</v>
      </c>
      <c r="B184" t="s">
        <v>848</v>
      </c>
      <c r="C184">
        <v>186</v>
      </c>
      <c r="D184">
        <v>69.83</v>
      </c>
      <c r="E184" s="1">
        <v>46168</v>
      </c>
    </row>
    <row r="185" spans="1:5" x14ac:dyDescent="0.25">
      <c r="A185" t="s">
        <v>849</v>
      </c>
      <c r="B185" t="s">
        <v>850</v>
      </c>
      <c r="C185">
        <v>455</v>
      </c>
      <c r="D185">
        <v>41.79</v>
      </c>
      <c r="E185" s="1">
        <v>46124</v>
      </c>
    </row>
    <row r="186" spans="1:5" x14ac:dyDescent="0.25">
      <c r="A186" t="s">
        <v>163</v>
      </c>
      <c r="B186" t="s">
        <v>851</v>
      </c>
      <c r="C186">
        <v>129</v>
      </c>
      <c r="D186">
        <v>205.3</v>
      </c>
      <c r="E186" s="1">
        <v>46130</v>
      </c>
    </row>
    <row r="187" spans="1:5" x14ac:dyDescent="0.25">
      <c r="A187" t="s">
        <v>163</v>
      </c>
      <c r="B187" t="s">
        <v>852</v>
      </c>
      <c r="C187">
        <v>129</v>
      </c>
      <c r="D187">
        <v>205.3</v>
      </c>
      <c r="E187" s="1">
        <v>46131</v>
      </c>
    </row>
    <row r="188" spans="1:5" x14ac:dyDescent="0.25">
      <c r="A188" t="s">
        <v>164</v>
      </c>
      <c r="B188" t="s">
        <v>853</v>
      </c>
      <c r="C188">
        <v>371</v>
      </c>
      <c r="D188">
        <v>183.12</v>
      </c>
      <c r="E188" s="1">
        <v>46163</v>
      </c>
    </row>
    <row r="189" spans="1:5" x14ac:dyDescent="0.25">
      <c r="A189" t="s">
        <v>165</v>
      </c>
      <c r="B189" t="s">
        <v>854</v>
      </c>
      <c r="C189">
        <v>263</v>
      </c>
      <c r="D189">
        <v>193.14</v>
      </c>
      <c r="E189" s="1">
        <v>46088</v>
      </c>
    </row>
    <row r="190" spans="1:5" x14ac:dyDescent="0.25">
      <c r="A190" t="s">
        <v>166</v>
      </c>
      <c r="B190" t="s">
        <v>855</v>
      </c>
      <c r="C190">
        <v>455</v>
      </c>
      <c r="D190">
        <v>24.57</v>
      </c>
      <c r="E190" s="1">
        <v>46117</v>
      </c>
    </row>
    <row r="191" spans="1:5" x14ac:dyDescent="0.25">
      <c r="A191" t="s">
        <v>167</v>
      </c>
      <c r="B191" t="s">
        <v>856</v>
      </c>
      <c r="C191">
        <v>17</v>
      </c>
      <c r="D191">
        <v>145.88</v>
      </c>
      <c r="E191" s="1">
        <v>46158</v>
      </c>
    </row>
    <row r="192" spans="1:5" x14ac:dyDescent="0.25">
      <c r="A192" t="s">
        <v>168</v>
      </c>
      <c r="B192" t="s">
        <v>857</v>
      </c>
      <c r="C192">
        <v>410</v>
      </c>
      <c r="D192">
        <v>193.99</v>
      </c>
      <c r="E192" s="1">
        <v>46169</v>
      </c>
    </row>
    <row r="193" spans="1:5" x14ac:dyDescent="0.25">
      <c r="A193" t="s">
        <v>169</v>
      </c>
      <c r="B193" t="s">
        <v>858</v>
      </c>
      <c r="C193">
        <v>446</v>
      </c>
      <c r="D193">
        <v>69.069999999999993</v>
      </c>
      <c r="E193" s="1">
        <v>46061</v>
      </c>
    </row>
    <row r="194" spans="1:5" x14ac:dyDescent="0.25">
      <c r="A194" t="s">
        <v>170</v>
      </c>
      <c r="B194" t="s">
        <v>859</v>
      </c>
      <c r="C194">
        <v>456</v>
      </c>
      <c r="D194">
        <v>110.5</v>
      </c>
      <c r="E194" s="1">
        <v>46156</v>
      </c>
    </row>
    <row r="195" spans="1:5" x14ac:dyDescent="0.25">
      <c r="A195" t="s">
        <v>171</v>
      </c>
      <c r="B195" t="s">
        <v>860</v>
      </c>
      <c r="C195">
        <v>126</v>
      </c>
      <c r="D195">
        <v>150.62</v>
      </c>
      <c r="E195" s="1">
        <v>46108</v>
      </c>
    </row>
    <row r="196" spans="1:5" x14ac:dyDescent="0.25">
      <c r="A196" t="s">
        <v>172</v>
      </c>
      <c r="B196" t="s">
        <v>861</v>
      </c>
      <c r="C196">
        <v>237</v>
      </c>
      <c r="D196">
        <v>42.42</v>
      </c>
      <c r="E196" s="1">
        <v>46063</v>
      </c>
    </row>
    <row r="197" spans="1:5" x14ac:dyDescent="0.25">
      <c r="A197" t="s">
        <v>173</v>
      </c>
      <c r="B197" t="s">
        <v>862</v>
      </c>
      <c r="C197">
        <v>417</v>
      </c>
      <c r="D197">
        <v>15.94</v>
      </c>
      <c r="E197" s="1">
        <v>46131</v>
      </c>
    </row>
    <row r="198" spans="1:5" x14ac:dyDescent="0.25">
      <c r="A198" t="s">
        <v>174</v>
      </c>
      <c r="B198" t="s">
        <v>863</v>
      </c>
      <c r="C198">
        <v>135</v>
      </c>
      <c r="D198">
        <v>108.58</v>
      </c>
      <c r="E198" s="1">
        <v>46080</v>
      </c>
    </row>
    <row r="199" spans="1:5" x14ac:dyDescent="0.25">
      <c r="A199" t="s">
        <v>175</v>
      </c>
      <c r="B199" t="s">
        <v>864</v>
      </c>
      <c r="C199">
        <v>50</v>
      </c>
      <c r="D199">
        <v>141.85</v>
      </c>
      <c r="E199" s="1">
        <v>46083</v>
      </c>
    </row>
    <row r="200" spans="1:5" x14ac:dyDescent="0.25">
      <c r="A200" t="s">
        <v>865</v>
      </c>
      <c r="B200" t="s">
        <v>866</v>
      </c>
      <c r="C200">
        <v>83</v>
      </c>
      <c r="D200">
        <v>50.28</v>
      </c>
      <c r="E200" s="1">
        <v>46194</v>
      </c>
    </row>
    <row r="201" spans="1:5" x14ac:dyDescent="0.25">
      <c r="A201" t="s">
        <v>176</v>
      </c>
      <c r="B201" t="s">
        <v>867</v>
      </c>
      <c r="C201">
        <v>351</v>
      </c>
      <c r="D201">
        <v>6.83</v>
      </c>
      <c r="E201" s="1">
        <v>46111</v>
      </c>
    </row>
    <row r="202" spans="1:5" x14ac:dyDescent="0.25">
      <c r="A202" t="s">
        <v>177</v>
      </c>
      <c r="B202" t="s">
        <v>868</v>
      </c>
      <c r="C202">
        <v>90</v>
      </c>
      <c r="D202">
        <v>19.399999999999999</v>
      </c>
      <c r="E202" s="1">
        <v>46185</v>
      </c>
    </row>
    <row r="203" spans="1:5" x14ac:dyDescent="0.25">
      <c r="A203" t="s">
        <v>178</v>
      </c>
      <c r="B203" t="s">
        <v>869</v>
      </c>
      <c r="C203">
        <v>363</v>
      </c>
      <c r="D203">
        <v>60.21</v>
      </c>
      <c r="E203" s="1">
        <v>46152</v>
      </c>
    </row>
    <row r="204" spans="1:5" x14ac:dyDescent="0.25">
      <c r="A204" t="s">
        <v>179</v>
      </c>
      <c r="B204" t="s">
        <v>870</v>
      </c>
      <c r="C204">
        <v>64</v>
      </c>
      <c r="D204">
        <v>51.26</v>
      </c>
      <c r="E204" s="1">
        <v>46163</v>
      </c>
    </row>
    <row r="205" spans="1:5" x14ac:dyDescent="0.25">
      <c r="A205" t="s">
        <v>180</v>
      </c>
      <c r="B205" t="s">
        <v>871</v>
      </c>
      <c r="C205">
        <v>368</v>
      </c>
      <c r="D205">
        <v>62.57</v>
      </c>
      <c r="E205" s="1">
        <v>46120</v>
      </c>
    </row>
    <row r="206" spans="1:5" x14ac:dyDescent="0.25">
      <c r="A206" t="s">
        <v>181</v>
      </c>
      <c r="B206" t="s">
        <v>872</v>
      </c>
      <c r="C206">
        <v>299</v>
      </c>
      <c r="D206">
        <v>173.69</v>
      </c>
      <c r="E206" s="1">
        <v>46038</v>
      </c>
    </row>
    <row r="207" spans="1:5" x14ac:dyDescent="0.25">
      <c r="A207" t="s">
        <v>182</v>
      </c>
      <c r="B207" t="s">
        <v>873</v>
      </c>
      <c r="C207">
        <v>436</v>
      </c>
      <c r="D207">
        <v>181.31</v>
      </c>
      <c r="E207" s="1">
        <v>46166</v>
      </c>
    </row>
    <row r="208" spans="1:5" x14ac:dyDescent="0.25">
      <c r="A208" t="s">
        <v>183</v>
      </c>
      <c r="B208" t="s">
        <v>874</v>
      </c>
      <c r="C208">
        <v>122</v>
      </c>
      <c r="D208">
        <v>129.13999999999999</v>
      </c>
      <c r="E208" s="1">
        <v>46127</v>
      </c>
    </row>
    <row r="209" spans="1:5" x14ac:dyDescent="0.25">
      <c r="A209" t="s">
        <v>875</v>
      </c>
      <c r="B209" t="s">
        <v>876</v>
      </c>
      <c r="C209">
        <v>331</v>
      </c>
      <c r="D209">
        <v>23.95</v>
      </c>
      <c r="E209" s="1">
        <v>46066</v>
      </c>
    </row>
    <row r="210" spans="1:5" x14ac:dyDescent="0.25">
      <c r="A210" t="s">
        <v>184</v>
      </c>
      <c r="B210" t="s">
        <v>877</v>
      </c>
      <c r="C210">
        <v>27</v>
      </c>
      <c r="D210">
        <v>118.02</v>
      </c>
      <c r="E210" s="1">
        <v>46146</v>
      </c>
    </row>
    <row r="211" spans="1:5" x14ac:dyDescent="0.25">
      <c r="A211" t="s">
        <v>185</v>
      </c>
      <c r="B211" t="s">
        <v>878</v>
      </c>
      <c r="C211">
        <v>177</v>
      </c>
      <c r="D211">
        <v>150.76</v>
      </c>
      <c r="E211" s="1">
        <v>46114</v>
      </c>
    </row>
    <row r="212" spans="1:5" x14ac:dyDescent="0.25">
      <c r="A212" t="s">
        <v>186</v>
      </c>
      <c r="B212" t="s">
        <v>879</v>
      </c>
      <c r="C212">
        <v>458</v>
      </c>
      <c r="D212">
        <v>194.44</v>
      </c>
      <c r="E212" s="1">
        <v>46191</v>
      </c>
    </row>
    <row r="213" spans="1:5" x14ac:dyDescent="0.25">
      <c r="A213" t="s">
        <v>187</v>
      </c>
      <c r="B213" t="s">
        <v>880</v>
      </c>
      <c r="C213">
        <v>141</v>
      </c>
      <c r="D213">
        <v>183.24</v>
      </c>
      <c r="E213" s="1">
        <v>46085</v>
      </c>
    </row>
    <row r="214" spans="1:5" x14ac:dyDescent="0.25">
      <c r="A214" t="s">
        <v>188</v>
      </c>
      <c r="B214" t="s">
        <v>881</v>
      </c>
      <c r="C214">
        <v>421</v>
      </c>
      <c r="D214">
        <v>27.46</v>
      </c>
      <c r="E214" s="1">
        <v>46126</v>
      </c>
    </row>
    <row r="215" spans="1:5" x14ac:dyDescent="0.25">
      <c r="A215" t="s">
        <v>189</v>
      </c>
      <c r="B215" t="s">
        <v>882</v>
      </c>
      <c r="C215">
        <v>443</v>
      </c>
      <c r="D215">
        <v>161.88999999999999</v>
      </c>
      <c r="E215" s="1">
        <v>46137</v>
      </c>
    </row>
    <row r="216" spans="1:5" x14ac:dyDescent="0.25">
      <c r="A216" t="s">
        <v>190</v>
      </c>
      <c r="B216" t="s">
        <v>883</v>
      </c>
      <c r="C216">
        <v>145</v>
      </c>
      <c r="D216">
        <v>109.63</v>
      </c>
      <c r="E216" s="1">
        <v>46052</v>
      </c>
    </row>
    <row r="217" spans="1:5" x14ac:dyDescent="0.25">
      <c r="A217" t="s">
        <v>191</v>
      </c>
      <c r="B217" t="s">
        <v>884</v>
      </c>
      <c r="C217">
        <v>309</v>
      </c>
      <c r="D217">
        <v>79.3</v>
      </c>
      <c r="E217" s="1">
        <v>46109</v>
      </c>
    </row>
    <row r="218" spans="1:5" x14ac:dyDescent="0.25">
      <c r="A218" t="s">
        <v>192</v>
      </c>
      <c r="B218" t="s">
        <v>885</v>
      </c>
      <c r="C218">
        <v>251</v>
      </c>
      <c r="D218">
        <v>11.08</v>
      </c>
      <c r="E218" s="1">
        <v>46098</v>
      </c>
    </row>
    <row r="219" spans="1:5" x14ac:dyDescent="0.25">
      <c r="A219" t="s">
        <v>193</v>
      </c>
      <c r="B219" t="s">
        <v>886</v>
      </c>
      <c r="C219">
        <v>341</v>
      </c>
      <c r="D219">
        <v>17.329999999999998</v>
      </c>
      <c r="E219" s="1">
        <v>46101</v>
      </c>
    </row>
    <row r="220" spans="1:5" x14ac:dyDescent="0.25">
      <c r="A220" t="s">
        <v>194</v>
      </c>
      <c r="B220" t="s">
        <v>887</v>
      </c>
      <c r="C220">
        <v>69</v>
      </c>
      <c r="D220">
        <v>32.26</v>
      </c>
      <c r="E220" s="1">
        <v>46143</v>
      </c>
    </row>
    <row r="221" spans="1:5" x14ac:dyDescent="0.25">
      <c r="A221" t="s">
        <v>195</v>
      </c>
      <c r="B221" t="s">
        <v>888</v>
      </c>
      <c r="C221">
        <v>59</v>
      </c>
      <c r="D221">
        <v>50.79</v>
      </c>
      <c r="E221" s="1">
        <v>46069</v>
      </c>
    </row>
    <row r="222" spans="1:5" x14ac:dyDescent="0.25">
      <c r="A222" t="s">
        <v>196</v>
      </c>
      <c r="B222" t="s">
        <v>889</v>
      </c>
      <c r="C222">
        <v>199</v>
      </c>
      <c r="D222">
        <v>135.74</v>
      </c>
      <c r="E222" s="1">
        <v>46164</v>
      </c>
    </row>
    <row r="223" spans="1:5" x14ac:dyDescent="0.25">
      <c r="A223" t="s">
        <v>197</v>
      </c>
      <c r="B223" t="s">
        <v>890</v>
      </c>
      <c r="C223">
        <v>463</v>
      </c>
      <c r="D223">
        <v>85.9</v>
      </c>
      <c r="E223" s="1">
        <v>46085</v>
      </c>
    </row>
    <row r="224" spans="1:5" x14ac:dyDescent="0.25">
      <c r="A224" t="s">
        <v>198</v>
      </c>
      <c r="B224" t="s">
        <v>891</v>
      </c>
      <c r="C224">
        <v>490</v>
      </c>
      <c r="D224">
        <v>190.55</v>
      </c>
      <c r="E224" s="1">
        <v>46144</v>
      </c>
    </row>
    <row r="225" spans="1:5" x14ac:dyDescent="0.25">
      <c r="A225" t="s">
        <v>892</v>
      </c>
      <c r="B225" t="s">
        <v>893</v>
      </c>
      <c r="C225">
        <v>237</v>
      </c>
      <c r="D225">
        <v>190.36</v>
      </c>
      <c r="E225" s="1">
        <v>46148</v>
      </c>
    </row>
    <row r="226" spans="1:5" x14ac:dyDescent="0.25">
      <c r="A226" t="s">
        <v>199</v>
      </c>
      <c r="B226" t="s">
        <v>894</v>
      </c>
      <c r="C226">
        <v>288</v>
      </c>
      <c r="D226">
        <v>180.83</v>
      </c>
      <c r="E226" s="1">
        <v>46134</v>
      </c>
    </row>
    <row r="227" spans="1:5" x14ac:dyDescent="0.25">
      <c r="A227" t="s">
        <v>200</v>
      </c>
      <c r="B227" t="s">
        <v>895</v>
      </c>
      <c r="C227">
        <v>151</v>
      </c>
      <c r="D227">
        <v>42.01</v>
      </c>
      <c r="E227" s="1">
        <v>46149</v>
      </c>
    </row>
    <row r="228" spans="1:5" x14ac:dyDescent="0.25">
      <c r="A228" t="s">
        <v>201</v>
      </c>
      <c r="B228" t="s">
        <v>896</v>
      </c>
      <c r="C228">
        <v>338</v>
      </c>
      <c r="D228">
        <v>129.69999999999999</v>
      </c>
      <c r="E228" s="1">
        <v>46088</v>
      </c>
    </row>
    <row r="229" spans="1:5" x14ac:dyDescent="0.25">
      <c r="A229" t="s">
        <v>202</v>
      </c>
      <c r="B229" t="s">
        <v>897</v>
      </c>
      <c r="C229">
        <v>74</v>
      </c>
      <c r="D229">
        <v>158.46</v>
      </c>
      <c r="E229" s="1">
        <v>46100</v>
      </c>
    </row>
    <row r="230" spans="1:5" x14ac:dyDescent="0.25">
      <c r="A230" t="s">
        <v>203</v>
      </c>
      <c r="B230" t="s">
        <v>898</v>
      </c>
      <c r="C230">
        <v>310</v>
      </c>
      <c r="D230">
        <v>52.95</v>
      </c>
      <c r="E230" s="1">
        <v>46101</v>
      </c>
    </row>
    <row r="231" spans="1:5" x14ac:dyDescent="0.25">
      <c r="A231" t="s">
        <v>204</v>
      </c>
      <c r="B231" t="s">
        <v>899</v>
      </c>
      <c r="C231">
        <v>151</v>
      </c>
      <c r="D231">
        <v>172.39</v>
      </c>
      <c r="E231" s="1">
        <v>46039</v>
      </c>
    </row>
    <row r="232" spans="1:5" x14ac:dyDescent="0.25">
      <c r="A232" t="s">
        <v>900</v>
      </c>
      <c r="B232" t="s">
        <v>901</v>
      </c>
      <c r="C232">
        <v>418</v>
      </c>
      <c r="D232">
        <v>39.03</v>
      </c>
      <c r="E232" s="1">
        <v>46101</v>
      </c>
    </row>
    <row r="233" spans="1:5" x14ac:dyDescent="0.25">
      <c r="A233" t="s">
        <v>205</v>
      </c>
      <c r="B233" t="s">
        <v>902</v>
      </c>
      <c r="C233">
        <v>193</v>
      </c>
      <c r="D233">
        <v>159.05000000000001</v>
      </c>
      <c r="E233" s="1">
        <v>46051</v>
      </c>
    </row>
    <row r="234" spans="1:5" x14ac:dyDescent="0.25">
      <c r="A234" t="s">
        <v>206</v>
      </c>
      <c r="B234" t="s">
        <v>903</v>
      </c>
      <c r="C234">
        <v>145</v>
      </c>
      <c r="D234">
        <v>15.22</v>
      </c>
      <c r="E234" s="1">
        <v>46088</v>
      </c>
    </row>
    <row r="235" spans="1:5" x14ac:dyDescent="0.25">
      <c r="A235" t="s">
        <v>207</v>
      </c>
      <c r="B235" t="s">
        <v>904</v>
      </c>
      <c r="C235">
        <v>391</v>
      </c>
      <c r="D235">
        <v>17.39</v>
      </c>
      <c r="E235" s="1">
        <v>46070</v>
      </c>
    </row>
    <row r="236" spans="1:5" x14ac:dyDescent="0.25">
      <c r="A236" t="s">
        <v>208</v>
      </c>
      <c r="B236" t="s">
        <v>905</v>
      </c>
      <c r="C236">
        <v>241</v>
      </c>
      <c r="D236">
        <v>103.25</v>
      </c>
      <c r="E236" s="1">
        <v>46060</v>
      </c>
    </row>
    <row r="237" spans="1:5" x14ac:dyDescent="0.25">
      <c r="A237" t="s">
        <v>209</v>
      </c>
      <c r="B237" t="s">
        <v>906</v>
      </c>
      <c r="C237">
        <v>164</v>
      </c>
      <c r="D237">
        <v>94.32</v>
      </c>
      <c r="E237" s="1">
        <v>46167</v>
      </c>
    </row>
    <row r="238" spans="1:5" x14ac:dyDescent="0.25">
      <c r="A238" t="s">
        <v>210</v>
      </c>
      <c r="B238" t="s">
        <v>907</v>
      </c>
      <c r="C238">
        <v>228</v>
      </c>
      <c r="D238">
        <v>138.79</v>
      </c>
      <c r="E238" s="1">
        <v>46153</v>
      </c>
    </row>
    <row r="239" spans="1:5" x14ac:dyDescent="0.25">
      <c r="A239" t="s">
        <v>211</v>
      </c>
      <c r="B239" t="s">
        <v>908</v>
      </c>
      <c r="C239">
        <v>174</v>
      </c>
      <c r="D239">
        <v>123.62</v>
      </c>
      <c r="E239" s="1">
        <v>46060</v>
      </c>
    </row>
    <row r="240" spans="1:5" x14ac:dyDescent="0.25">
      <c r="A240" t="s">
        <v>211</v>
      </c>
      <c r="B240" t="s">
        <v>909</v>
      </c>
      <c r="C240">
        <v>174</v>
      </c>
      <c r="D240">
        <v>123.62</v>
      </c>
      <c r="E240" s="1">
        <v>46064</v>
      </c>
    </row>
    <row r="241" spans="1:5" x14ac:dyDescent="0.25">
      <c r="A241" t="s">
        <v>212</v>
      </c>
      <c r="B241" t="s">
        <v>910</v>
      </c>
      <c r="C241">
        <v>290</v>
      </c>
      <c r="D241">
        <v>143.87</v>
      </c>
      <c r="E241" s="1">
        <v>46194</v>
      </c>
    </row>
    <row r="242" spans="1:5" x14ac:dyDescent="0.25">
      <c r="A242" t="s">
        <v>213</v>
      </c>
      <c r="B242" t="s">
        <v>911</v>
      </c>
      <c r="C242">
        <v>268</v>
      </c>
      <c r="D242">
        <v>123.06</v>
      </c>
      <c r="E242" s="1">
        <v>46154</v>
      </c>
    </row>
    <row r="243" spans="1:5" x14ac:dyDescent="0.25">
      <c r="A243" t="s">
        <v>214</v>
      </c>
      <c r="B243" t="s">
        <v>912</v>
      </c>
      <c r="C243">
        <v>379</v>
      </c>
      <c r="D243">
        <v>173.77</v>
      </c>
      <c r="E243" s="1">
        <v>46191</v>
      </c>
    </row>
    <row r="244" spans="1:5" x14ac:dyDescent="0.25">
      <c r="A244" t="s">
        <v>215</v>
      </c>
      <c r="B244" t="s">
        <v>913</v>
      </c>
      <c r="C244">
        <v>183</v>
      </c>
      <c r="D244">
        <v>166.35</v>
      </c>
      <c r="E244" s="1">
        <v>46147</v>
      </c>
    </row>
    <row r="245" spans="1:5" x14ac:dyDescent="0.25">
      <c r="A245" t="s">
        <v>216</v>
      </c>
      <c r="B245" t="s">
        <v>914</v>
      </c>
      <c r="C245">
        <v>170</v>
      </c>
      <c r="D245">
        <v>88.22</v>
      </c>
      <c r="E245" s="1">
        <v>46065</v>
      </c>
    </row>
    <row r="246" spans="1:5" x14ac:dyDescent="0.25">
      <c r="A246" t="s">
        <v>217</v>
      </c>
      <c r="B246" t="s">
        <v>915</v>
      </c>
      <c r="C246">
        <v>361</v>
      </c>
      <c r="D246">
        <v>184.98</v>
      </c>
      <c r="E246" s="1">
        <v>46075</v>
      </c>
    </row>
    <row r="247" spans="1:5" x14ac:dyDescent="0.25">
      <c r="A247" t="s">
        <v>217</v>
      </c>
      <c r="B247" t="s">
        <v>916</v>
      </c>
      <c r="C247">
        <v>361</v>
      </c>
      <c r="D247">
        <v>184.98</v>
      </c>
      <c r="E247" s="1">
        <v>46077</v>
      </c>
    </row>
    <row r="248" spans="1:5" x14ac:dyDescent="0.25">
      <c r="A248" t="s">
        <v>218</v>
      </c>
      <c r="B248" t="s">
        <v>917</v>
      </c>
      <c r="C248">
        <v>231</v>
      </c>
      <c r="D248">
        <v>23.83</v>
      </c>
      <c r="E248" s="1">
        <v>46072</v>
      </c>
    </row>
    <row r="249" spans="1:5" x14ac:dyDescent="0.25">
      <c r="A249" t="s">
        <v>219</v>
      </c>
      <c r="B249" t="s">
        <v>918</v>
      </c>
      <c r="C249">
        <v>40</v>
      </c>
      <c r="D249">
        <v>119.36</v>
      </c>
      <c r="E249" s="1">
        <v>46184</v>
      </c>
    </row>
    <row r="250" spans="1:5" x14ac:dyDescent="0.25">
      <c r="A250" t="s">
        <v>220</v>
      </c>
      <c r="B250" t="s">
        <v>919</v>
      </c>
      <c r="C250">
        <v>220</v>
      </c>
      <c r="D250">
        <v>73.95</v>
      </c>
      <c r="E250" s="1">
        <v>46074</v>
      </c>
    </row>
    <row r="251" spans="1:5" x14ac:dyDescent="0.25">
      <c r="A251" t="s">
        <v>221</v>
      </c>
      <c r="B251" t="s">
        <v>920</v>
      </c>
      <c r="C251">
        <v>157</v>
      </c>
      <c r="D251">
        <v>122.08</v>
      </c>
      <c r="E251" s="1">
        <v>46050</v>
      </c>
    </row>
    <row r="252" spans="1:5" x14ac:dyDescent="0.25">
      <c r="A252" t="s">
        <v>222</v>
      </c>
      <c r="B252" t="s">
        <v>921</v>
      </c>
      <c r="C252">
        <v>118</v>
      </c>
      <c r="D252">
        <v>35.17</v>
      </c>
      <c r="E252" s="1">
        <v>46166</v>
      </c>
    </row>
    <row r="253" spans="1:5" x14ac:dyDescent="0.25">
      <c r="A253" t="s">
        <v>222</v>
      </c>
      <c r="B253" t="s">
        <v>922</v>
      </c>
      <c r="C253">
        <v>118</v>
      </c>
      <c r="D253">
        <v>35.17</v>
      </c>
      <c r="E253" s="1">
        <v>46170</v>
      </c>
    </row>
    <row r="254" spans="1:5" x14ac:dyDescent="0.25">
      <c r="A254" t="s">
        <v>223</v>
      </c>
      <c r="B254" t="s">
        <v>923</v>
      </c>
      <c r="C254">
        <v>442</v>
      </c>
      <c r="D254">
        <v>113.47</v>
      </c>
      <c r="E254" s="1">
        <v>46135</v>
      </c>
    </row>
    <row r="255" spans="1:5" x14ac:dyDescent="0.25">
      <c r="A255" t="s">
        <v>224</v>
      </c>
      <c r="B255" t="s">
        <v>924</v>
      </c>
      <c r="C255">
        <v>423</v>
      </c>
      <c r="D255">
        <v>88.68</v>
      </c>
      <c r="E255" s="1">
        <v>46090</v>
      </c>
    </row>
    <row r="256" spans="1:5" x14ac:dyDescent="0.25">
      <c r="A256" t="s">
        <v>225</v>
      </c>
      <c r="B256" t="s">
        <v>925</v>
      </c>
      <c r="C256">
        <v>24</v>
      </c>
      <c r="D256">
        <v>40.18</v>
      </c>
      <c r="E256" s="1">
        <v>46111</v>
      </c>
    </row>
    <row r="257" spans="1:5" x14ac:dyDescent="0.25">
      <c r="A257" t="s">
        <v>926</v>
      </c>
      <c r="B257" t="s">
        <v>927</v>
      </c>
      <c r="C257">
        <v>13</v>
      </c>
      <c r="D257">
        <v>40.369999999999997</v>
      </c>
      <c r="E257" s="1">
        <v>46138</v>
      </c>
    </row>
    <row r="258" spans="1:5" x14ac:dyDescent="0.25">
      <c r="A258" t="s">
        <v>226</v>
      </c>
      <c r="B258" t="s">
        <v>928</v>
      </c>
      <c r="C258">
        <v>389</v>
      </c>
      <c r="D258">
        <v>128.47</v>
      </c>
      <c r="E258" s="1">
        <v>46076</v>
      </c>
    </row>
    <row r="259" spans="1:5" x14ac:dyDescent="0.25">
      <c r="A259" t="s">
        <v>227</v>
      </c>
      <c r="B259" t="s">
        <v>929</v>
      </c>
      <c r="C259">
        <v>120</v>
      </c>
      <c r="D259">
        <v>78.36</v>
      </c>
      <c r="E259" s="1">
        <v>46181</v>
      </c>
    </row>
    <row r="260" spans="1:5" x14ac:dyDescent="0.25">
      <c r="A260" t="s">
        <v>228</v>
      </c>
      <c r="B260" t="s">
        <v>930</v>
      </c>
      <c r="C260">
        <v>169</v>
      </c>
      <c r="D260">
        <v>154.32</v>
      </c>
      <c r="E260" s="1">
        <v>46125</v>
      </c>
    </row>
    <row r="261" spans="1:5" x14ac:dyDescent="0.25">
      <c r="A261" t="s">
        <v>229</v>
      </c>
      <c r="B261" t="s">
        <v>931</v>
      </c>
      <c r="C261">
        <v>90</v>
      </c>
      <c r="D261">
        <v>152.11000000000001</v>
      </c>
      <c r="E261" s="1">
        <v>46071</v>
      </c>
    </row>
    <row r="262" spans="1:5" x14ac:dyDescent="0.25">
      <c r="A262" t="s">
        <v>230</v>
      </c>
      <c r="B262" t="s">
        <v>932</v>
      </c>
      <c r="C262">
        <v>348</v>
      </c>
      <c r="D262">
        <v>102.62</v>
      </c>
      <c r="E262" s="1">
        <v>46156</v>
      </c>
    </row>
    <row r="263" spans="1:5" x14ac:dyDescent="0.25">
      <c r="A263" t="s">
        <v>231</v>
      </c>
      <c r="B263" t="s">
        <v>933</v>
      </c>
      <c r="C263">
        <v>120</v>
      </c>
      <c r="D263">
        <v>152.21</v>
      </c>
      <c r="E263" s="1">
        <v>46110</v>
      </c>
    </row>
    <row r="264" spans="1:5" x14ac:dyDescent="0.25">
      <c r="A264" t="s">
        <v>232</v>
      </c>
      <c r="B264" t="s">
        <v>934</v>
      </c>
      <c r="C264">
        <v>155</v>
      </c>
      <c r="D264">
        <v>145.19</v>
      </c>
      <c r="E264" s="1">
        <v>46078</v>
      </c>
    </row>
    <row r="265" spans="1:5" x14ac:dyDescent="0.25">
      <c r="A265" t="s">
        <v>233</v>
      </c>
      <c r="B265" t="s">
        <v>935</v>
      </c>
      <c r="C265">
        <v>33</v>
      </c>
      <c r="D265">
        <v>48</v>
      </c>
      <c r="E265" s="1">
        <v>46114</v>
      </c>
    </row>
    <row r="266" spans="1:5" x14ac:dyDescent="0.25">
      <c r="A266" t="s">
        <v>234</v>
      </c>
      <c r="B266" t="s">
        <v>936</v>
      </c>
      <c r="C266">
        <v>164</v>
      </c>
      <c r="D266">
        <v>189.34</v>
      </c>
      <c r="E266" s="1">
        <v>46094</v>
      </c>
    </row>
    <row r="267" spans="1:5" x14ac:dyDescent="0.25">
      <c r="A267" t="s">
        <v>234</v>
      </c>
      <c r="B267" t="s">
        <v>937</v>
      </c>
      <c r="C267">
        <v>164</v>
      </c>
      <c r="D267">
        <v>189.34</v>
      </c>
      <c r="E267" s="1">
        <v>46098</v>
      </c>
    </row>
    <row r="268" spans="1:5" x14ac:dyDescent="0.25">
      <c r="A268" t="s">
        <v>235</v>
      </c>
      <c r="B268" t="s">
        <v>938</v>
      </c>
      <c r="C268">
        <v>177</v>
      </c>
      <c r="D268">
        <v>28.4</v>
      </c>
      <c r="E268" s="1">
        <v>46122</v>
      </c>
    </row>
    <row r="269" spans="1:5" x14ac:dyDescent="0.25">
      <c r="A269" t="s">
        <v>236</v>
      </c>
      <c r="B269" t="s">
        <v>939</v>
      </c>
      <c r="C269">
        <v>204</v>
      </c>
      <c r="D269">
        <v>108.85</v>
      </c>
      <c r="E269" s="1">
        <v>46083</v>
      </c>
    </row>
    <row r="270" spans="1:5" x14ac:dyDescent="0.25">
      <c r="A270" t="s">
        <v>237</v>
      </c>
      <c r="B270" t="s">
        <v>940</v>
      </c>
      <c r="C270">
        <v>46</v>
      </c>
      <c r="D270">
        <v>82.43</v>
      </c>
      <c r="E270" s="1">
        <v>46120</v>
      </c>
    </row>
    <row r="271" spans="1:5" x14ac:dyDescent="0.25">
      <c r="A271" t="s">
        <v>238</v>
      </c>
      <c r="B271" t="s">
        <v>941</v>
      </c>
      <c r="C271">
        <v>245</v>
      </c>
      <c r="D271">
        <v>184.63</v>
      </c>
      <c r="E271" s="1">
        <v>46049</v>
      </c>
    </row>
    <row r="272" spans="1:5" x14ac:dyDescent="0.25">
      <c r="A272" t="s">
        <v>239</v>
      </c>
      <c r="B272" t="s">
        <v>942</v>
      </c>
      <c r="C272">
        <v>373</v>
      </c>
      <c r="D272">
        <v>150.21</v>
      </c>
      <c r="E272" s="1">
        <v>46144</v>
      </c>
    </row>
    <row r="273" spans="1:5" x14ac:dyDescent="0.25">
      <c r="A273" t="s">
        <v>240</v>
      </c>
      <c r="B273" t="s">
        <v>943</v>
      </c>
      <c r="C273">
        <v>176</v>
      </c>
      <c r="D273">
        <v>38.520000000000003</v>
      </c>
      <c r="E273" s="1">
        <v>46057</v>
      </c>
    </row>
    <row r="274" spans="1:5" x14ac:dyDescent="0.25">
      <c r="A274" t="s">
        <v>241</v>
      </c>
      <c r="B274" t="s">
        <v>944</v>
      </c>
      <c r="C274">
        <v>55</v>
      </c>
      <c r="D274">
        <v>90.16</v>
      </c>
      <c r="E274" s="1">
        <v>46133</v>
      </c>
    </row>
    <row r="275" spans="1:5" x14ac:dyDescent="0.25">
      <c r="A275" t="s">
        <v>242</v>
      </c>
      <c r="B275" t="s">
        <v>945</v>
      </c>
      <c r="C275">
        <v>215</v>
      </c>
      <c r="D275">
        <v>107.17</v>
      </c>
      <c r="E275" s="1">
        <v>46195</v>
      </c>
    </row>
    <row r="276" spans="1:5" x14ac:dyDescent="0.25">
      <c r="A276" t="s">
        <v>243</v>
      </c>
      <c r="B276" t="s">
        <v>946</v>
      </c>
      <c r="C276">
        <v>123</v>
      </c>
      <c r="D276">
        <v>69.95</v>
      </c>
      <c r="E276" s="1">
        <v>46117</v>
      </c>
    </row>
    <row r="277" spans="1:5" x14ac:dyDescent="0.25">
      <c r="A277" t="s">
        <v>244</v>
      </c>
      <c r="B277" t="s">
        <v>947</v>
      </c>
      <c r="C277">
        <v>281</v>
      </c>
      <c r="D277">
        <v>104.44</v>
      </c>
      <c r="E277" s="1">
        <v>46075</v>
      </c>
    </row>
    <row r="278" spans="1:5" x14ac:dyDescent="0.25">
      <c r="A278" t="s">
        <v>245</v>
      </c>
      <c r="B278" t="s">
        <v>948</v>
      </c>
      <c r="C278">
        <v>130</v>
      </c>
      <c r="D278">
        <v>25.05</v>
      </c>
      <c r="E278" s="1">
        <v>46077</v>
      </c>
    </row>
    <row r="279" spans="1:5" x14ac:dyDescent="0.25">
      <c r="A279" t="s">
        <v>246</v>
      </c>
      <c r="B279" t="s">
        <v>949</v>
      </c>
      <c r="C279">
        <v>399</v>
      </c>
      <c r="D279">
        <v>153.03</v>
      </c>
      <c r="E279" s="1">
        <v>46075</v>
      </c>
    </row>
    <row r="280" spans="1:5" x14ac:dyDescent="0.25">
      <c r="A280" t="s">
        <v>950</v>
      </c>
      <c r="B280" t="s">
        <v>951</v>
      </c>
      <c r="C280">
        <v>247</v>
      </c>
      <c r="D280">
        <v>152.12</v>
      </c>
      <c r="E280" s="1">
        <v>46174</v>
      </c>
    </row>
    <row r="281" spans="1:5" x14ac:dyDescent="0.25">
      <c r="A281" t="s">
        <v>247</v>
      </c>
      <c r="B281" t="s">
        <v>952</v>
      </c>
      <c r="C281">
        <v>339</v>
      </c>
      <c r="D281">
        <v>128.88</v>
      </c>
      <c r="E281" s="1">
        <v>46191</v>
      </c>
    </row>
    <row r="282" spans="1:5" x14ac:dyDescent="0.25">
      <c r="A282" t="s">
        <v>248</v>
      </c>
      <c r="B282" t="s">
        <v>953</v>
      </c>
      <c r="C282">
        <v>87</v>
      </c>
      <c r="D282">
        <v>90.75</v>
      </c>
      <c r="E282" s="1">
        <v>46123</v>
      </c>
    </row>
    <row r="283" spans="1:5" x14ac:dyDescent="0.25">
      <c r="A283" t="s">
        <v>249</v>
      </c>
      <c r="B283" t="s">
        <v>954</v>
      </c>
      <c r="C283">
        <v>417</v>
      </c>
      <c r="D283">
        <v>58.56</v>
      </c>
      <c r="E283" s="1">
        <v>46125</v>
      </c>
    </row>
    <row r="284" spans="1:5" x14ac:dyDescent="0.25">
      <c r="A284" t="s">
        <v>250</v>
      </c>
      <c r="B284" t="s">
        <v>955</v>
      </c>
      <c r="C284">
        <v>168</v>
      </c>
      <c r="D284">
        <v>95.04</v>
      </c>
      <c r="E284" s="1">
        <v>46051</v>
      </c>
    </row>
    <row r="285" spans="1:5" x14ac:dyDescent="0.25">
      <c r="A285" t="s">
        <v>251</v>
      </c>
      <c r="B285" t="s">
        <v>956</v>
      </c>
      <c r="C285">
        <v>49</v>
      </c>
      <c r="D285">
        <v>130.71</v>
      </c>
      <c r="E285" s="1">
        <v>46121</v>
      </c>
    </row>
    <row r="286" spans="1:5" x14ac:dyDescent="0.25">
      <c r="A286" t="s">
        <v>957</v>
      </c>
      <c r="B286" t="s">
        <v>958</v>
      </c>
      <c r="C286">
        <v>307</v>
      </c>
      <c r="D286">
        <v>113.09</v>
      </c>
      <c r="E286" s="1">
        <v>46155</v>
      </c>
    </row>
    <row r="287" spans="1:5" x14ac:dyDescent="0.25">
      <c r="A287" t="s">
        <v>252</v>
      </c>
      <c r="B287" t="s">
        <v>959</v>
      </c>
      <c r="C287">
        <v>343</v>
      </c>
      <c r="D287">
        <v>41.71</v>
      </c>
      <c r="E287" s="1">
        <v>46199</v>
      </c>
    </row>
    <row r="288" spans="1:5" x14ac:dyDescent="0.25">
      <c r="A288" t="s">
        <v>253</v>
      </c>
      <c r="B288" t="s">
        <v>960</v>
      </c>
      <c r="C288">
        <v>500</v>
      </c>
      <c r="D288">
        <v>17.07</v>
      </c>
      <c r="E288" s="1">
        <v>46086</v>
      </c>
    </row>
    <row r="289" spans="1:5" x14ac:dyDescent="0.25">
      <c r="A289" t="s">
        <v>254</v>
      </c>
      <c r="B289" t="s">
        <v>961</v>
      </c>
      <c r="C289">
        <v>268</v>
      </c>
      <c r="D289">
        <v>130.99</v>
      </c>
      <c r="E289" s="1">
        <v>46063</v>
      </c>
    </row>
    <row r="290" spans="1:5" x14ac:dyDescent="0.25">
      <c r="A290" t="s">
        <v>255</v>
      </c>
      <c r="B290" t="s">
        <v>962</v>
      </c>
      <c r="C290">
        <v>234</v>
      </c>
      <c r="D290">
        <v>107.19</v>
      </c>
      <c r="E290" s="1">
        <v>46146</v>
      </c>
    </row>
    <row r="291" spans="1:5" x14ac:dyDescent="0.25">
      <c r="A291" t="s">
        <v>963</v>
      </c>
      <c r="B291" t="s">
        <v>964</v>
      </c>
      <c r="C291">
        <v>479</v>
      </c>
      <c r="D291">
        <v>60.16</v>
      </c>
      <c r="E291" s="1">
        <v>46137</v>
      </c>
    </row>
    <row r="292" spans="1:5" x14ac:dyDescent="0.25">
      <c r="A292" t="s">
        <v>256</v>
      </c>
      <c r="B292" t="s">
        <v>965</v>
      </c>
      <c r="C292">
        <v>414</v>
      </c>
      <c r="D292">
        <v>128.02000000000001</v>
      </c>
      <c r="E292" s="1">
        <v>46047</v>
      </c>
    </row>
    <row r="293" spans="1:5" x14ac:dyDescent="0.25">
      <c r="A293" t="s">
        <v>257</v>
      </c>
      <c r="B293" t="s">
        <v>966</v>
      </c>
      <c r="C293">
        <v>295</v>
      </c>
      <c r="D293">
        <v>137.28</v>
      </c>
      <c r="E293" s="1">
        <v>46066</v>
      </c>
    </row>
    <row r="294" spans="1:5" x14ac:dyDescent="0.25">
      <c r="A294" t="s">
        <v>258</v>
      </c>
      <c r="B294" t="s">
        <v>967</v>
      </c>
      <c r="C294">
        <v>180</v>
      </c>
      <c r="D294">
        <v>20.89</v>
      </c>
      <c r="E294" s="1">
        <v>46077</v>
      </c>
    </row>
    <row r="295" spans="1:5" x14ac:dyDescent="0.25">
      <c r="A295" t="s">
        <v>259</v>
      </c>
      <c r="B295" t="s">
        <v>968</v>
      </c>
      <c r="C295">
        <v>345</v>
      </c>
      <c r="D295">
        <v>141.19999999999999</v>
      </c>
      <c r="E295" s="1">
        <v>46117</v>
      </c>
    </row>
    <row r="296" spans="1:5" x14ac:dyDescent="0.25">
      <c r="A296" t="s">
        <v>259</v>
      </c>
      <c r="B296" t="s">
        <v>969</v>
      </c>
      <c r="C296">
        <v>345</v>
      </c>
      <c r="D296">
        <v>141.19999999999999</v>
      </c>
      <c r="E296" s="1">
        <v>46120</v>
      </c>
    </row>
    <row r="297" spans="1:5" x14ac:dyDescent="0.25">
      <c r="A297" t="s">
        <v>260</v>
      </c>
      <c r="B297" t="s">
        <v>970</v>
      </c>
      <c r="C297">
        <v>168</v>
      </c>
      <c r="D297">
        <v>121.66</v>
      </c>
      <c r="E297" s="1">
        <v>46064</v>
      </c>
    </row>
    <row r="298" spans="1:5" x14ac:dyDescent="0.25">
      <c r="A298" t="s">
        <v>261</v>
      </c>
      <c r="B298" t="s">
        <v>971</v>
      </c>
      <c r="C298">
        <v>57</v>
      </c>
      <c r="D298">
        <v>130.97</v>
      </c>
      <c r="E298" s="1">
        <v>46184</v>
      </c>
    </row>
    <row r="299" spans="1:5" x14ac:dyDescent="0.25">
      <c r="A299" t="s">
        <v>262</v>
      </c>
      <c r="B299" t="s">
        <v>972</v>
      </c>
      <c r="C299">
        <v>195</v>
      </c>
      <c r="D299">
        <v>70.430000000000007</v>
      </c>
      <c r="E299" s="1">
        <v>46045</v>
      </c>
    </row>
    <row r="300" spans="1:5" x14ac:dyDescent="0.25">
      <c r="A300" t="s">
        <v>263</v>
      </c>
      <c r="B300" t="s">
        <v>973</v>
      </c>
      <c r="C300">
        <v>125</v>
      </c>
      <c r="D300">
        <v>200</v>
      </c>
      <c r="E300" s="1">
        <v>46082</v>
      </c>
    </row>
    <row r="301" spans="1:5" x14ac:dyDescent="0.25">
      <c r="A301" t="s">
        <v>264</v>
      </c>
      <c r="B301" t="s">
        <v>974</v>
      </c>
      <c r="C301">
        <v>269</v>
      </c>
      <c r="D301">
        <v>155.32</v>
      </c>
      <c r="E301" s="1">
        <v>46072</v>
      </c>
    </row>
    <row r="302" spans="1:5" x14ac:dyDescent="0.25">
      <c r="A302" t="s">
        <v>265</v>
      </c>
      <c r="B302" t="s">
        <v>975</v>
      </c>
      <c r="C302">
        <v>458</v>
      </c>
      <c r="D302">
        <v>154.43</v>
      </c>
      <c r="E302" s="1">
        <v>46131</v>
      </c>
    </row>
    <row r="303" spans="1:5" x14ac:dyDescent="0.25">
      <c r="A303" t="s">
        <v>266</v>
      </c>
      <c r="B303" t="s">
        <v>976</v>
      </c>
      <c r="C303">
        <v>102</v>
      </c>
      <c r="D303">
        <v>192.45</v>
      </c>
      <c r="E303" s="1">
        <v>46081</v>
      </c>
    </row>
    <row r="304" spans="1:5" x14ac:dyDescent="0.25">
      <c r="A304" t="s">
        <v>267</v>
      </c>
      <c r="B304" t="s">
        <v>977</v>
      </c>
      <c r="C304">
        <v>32</v>
      </c>
      <c r="D304">
        <v>85.12</v>
      </c>
      <c r="E304" s="1">
        <v>46153</v>
      </c>
    </row>
    <row r="305" spans="1:5" x14ac:dyDescent="0.25">
      <c r="A305" t="s">
        <v>268</v>
      </c>
      <c r="B305" t="s">
        <v>978</v>
      </c>
      <c r="C305">
        <v>395</v>
      </c>
      <c r="D305">
        <v>150.96</v>
      </c>
      <c r="E305" s="1">
        <v>46111</v>
      </c>
    </row>
    <row r="306" spans="1:5" x14ac:dyDescent="0.25">
      <c r="A306" t="s">
        <v>269</v>
      </c>
      <c r="B306" t="s">
        <v>979</v>
      </c>
      <c r="C306">
        <v>168</v>
      </c>
      <c r="D306">
        <v>193.29</v>
      </c>
      <c r="E306" s="1">
        <v>46098</v>
      </c>
    </row>
    <row r="307" spans="1:5" x14ac:dyDescent="0.25">
      <c r="A307" t="s">
        <v>980</v>
      </c>
      <c r="B307" t="s">
        <v>981</v>
      </c>
      <c r="C307">
        <v>235</v>
      </c>
      <c r="D307">
        <v>95.03</v>
      </c>
      <c r="E307" s="1">
        <v>46196</v>
      </c>
    </row>
    <row r="308" spans="1:5" x14ac:dyDescent="0.25">
      <c r="A308" t="s">
        <v>270</v>
      </c>
      <c r="B308" t="s">
        <v>982</v>
      </c>
      <c r="C308">
        <v>224</v>
      </c>
      <c r="D308">
        <v>193.42</v>
      </c>
      <c r="E308" s="1">
        <v>46169</v>
      </c>
    </row>
    <row r="309" spans="1:5" x14ac:dyDescent="0.25">
      <c r="A309" t="s">
        <v>983</v>
      </c>
      <c r="B309" t="s">
        <v>984</v>
      </c>
      <c r="C309">
        <v>338</v>
      </c>
      <c r="D309">
        <v>98.72</v>
      </c>
      <c r="E309" s="1">
        <v>46047</v>
      </c>
    </row>
    <row r="310" spans="1:5" x14ac:dyDescent="0.25">
      <c r="A310" t="s">
        <v>271</v>
      </c>
      <c r="B310" t="s">
        <v>985</v>
      </c>
      <c r="C310">
        <v>445</v>
      </c>
      <c r="D310">
        <v>29.31</v>
      </c>
      <c r="E310" s="1">
        <v>46172</v>
      </c>
    </row>
    <row r="311" spans="1:5" x14ac:dyDescent="0.25">
      <c r="A311" t="s">
        <v>272</v>
      </c>
      <c r="B311" t="s">
        <v>986</v>
      </c>
      <c r="C311">
        <v>473</v>
      </c>
      <c r="D311">
        <v>105.1</v>
      </c>
      <c r="E311" s="1">
        <v>46152</v>
      </c>
    </row>
    <row r="312" spans="1:5" x14ac:dyDescent="0.25">
      <c r="A312" t="s">
        <v>273</v>
      </c>
      <c r="B312" t="s">
        <v>987</v>
      </c>
      <c r="C312">
        <v>462</v>
      </c>
      <c r="D312">
        <v>73.17</v>
      </c>
      <c r="E312" s="1">
        <v>46157</v>
      </c>
    </row>
    <row r="313" spans="1:5" x14ac:dyDescent="0.25">
      <c r="A313" t="s">
        <v>274</v>
      </c>
      <c r="B313" t="s">
        <v>988</v>
      </c>
      <c r="C313">
        <v>267</v>
      </c>
      <c r="D313">
        <v>77.92</v>
      </c>
      <c r="E313" s="1">
        <v>46140</v>
      </c>
    </row>
    <row r="314" spans="1:5" x14ac:dyDescent="0.25">
      <c r="A314" t="s">
        <v>275</v>
      </c>
      <c r="B314" t="s">
        <v>989</v>
      </c>
      <c r="C314">
        <v>24</v>
      </c>
      <c r="D314">
        <v>67.14</v>
      </c>
      <c r="E314" s="1">
        <v>46099</v>
      </c>
    </row>
    <row r="315" spans="1:5" x14ac:dyDescent="0.25">
      <c r="A315" t="s">
        <v>990</v>
      </c>
      <c r="B315" t="s">
        <v>991</v>
      </c>
      <c r="C315">
        <v>29</v>
      </c>
      <c r="D315">
        <v>60.94</v>
      </c>
      <c r="E315" s="1">
        <v>46070</v>
      </c>
    </row>
    <row r="316" spans="1:5" x14ac:dyDescent="0.25">
      <c r="A316" t="s">
        <v>276</v>
      </c>
      <c r="B316" t="s">
        <v>992</v>
      </c>
      <c r="C316">
        <v>239</v>
      </c>
      <c r="D316">
        <v>124.99</v>
      </c>
      <c r="E316" s="1">
        <v>46156</v>
      </c>
    </row>
    <row r="317" spans="1:5" x14ac:dyDescent="0.25">
      <c r="A317" t="s">
        <v>277</v>
      </c>
      <c r="B317" t="s">
        <v>993</v>
      </c>
      <c r="C317">
        <v>437</v>
      </c>
      <c r="D317">
        <v>38.28</v>
      </c>
      <c r="E317" s="1">
        <v>46109</v>
      </c>
    </row>
    <row r="318" spans="1:5" x14ac:dyDescent="0.25">
      <c r="A318" t="s">
        <v>278</v>
      </c>
      <c r="B318" t="s">
        <v>994</v>
      </c>
      <c r="C318">
        <v>407</v>
      </c>
      <c r="D318">
        <v>61.18</v>
      </c>
      <c r="E318" s="1">
        <v>46068</v>
      </c>
    </row>
    <row r="319" spans="1:5" x14ac:dyDescent="0.25">
      <c r="A319" t="s">
        <v>279</v>
      </c>
      <c r="B319" t="s">
        <v>995</v>
      </c>
      <c r="C319">
        <v>224</v>
      </c>
      <c r="D319">
        <v>129.6</v>
      </c>
      <c r="E319" s="1">
        <v>46106</v>
      </c>
    </row>
    <row r="320" spans="1:5" x14ac:dyDescent="0.25">
      <c r="A320" t="s">
        <v>280</v>
      </c>
      <c r="B320" t="s">
        <v>996</v>
      </c>
      <c r="C320">
        <v>438</v>
      </c>
      <c r="D320">
        <v>181.5</v>
      </c>
      <c r="E320" s="1">
        <v>46064</v>
      </c>
    </row>
    <row r="321" spans="1:5" x14ac:dyDescent="0.25">
      <c r="A321" t="s">
        <v>281</v>
      </c>
      <c r="B321" t="s">
        <v>997</v>
      </c>
      <c r="C321">
        <v>304</v>
      </c>
      <c r="D321">
        <v>52.18</v>
      </c>
      <c r="E321" s="1">
        <v>46173</v>
      </c>
    </row>
    <row r="322" spans="1:5" x14ac:dyDescent="0.25">
      <c r="A322" t="s">
        <v>282</v>
      </c>
      <c r="B322" t="s">
        <v>998</v>
      </c>
      <c r="C322">
        <v>324</v>
      </c>
      <c r="D322">
        <v>73.8</v>
      </c>
      <c r="E322" s="1">
        <v>46051</v>
      </c>
    </row>
    <row r="323" spans="1:5" x14ac:dyDescent="0.25">
      <c r="A323" t="s">
        <v>283</v>
      </c>
      <c r="B323" t="s">
        <v>999</v>
      </c>
      <c r="C323">
        <v>278</v>
      </c>
      <c r="D323">
        <v>195.06</v>
      </c>
      <c r="E323" s="1">
        <v>46069</v>
      </c>
    </row>
    <row r="324" spans="1:5" x14ac:dyDescent="0.25">
      <c r="A324" t="s">
        <v>284</v>
      </c>
      <c r="B324" t="s">
        <v>1000</v>
      </c>
      <c r="C324">
        <v>412</v>
      </c>
      <c r="D324">
        <v>197.72</v>
      </c>
      <c r="E324" s="1">
        <v>46161</v>
      </c>
    </row>
    <row r="325" spans="1:5" x14ac:dyDescent="0.25">
      <c r="A325" t="s">
        <v>285</v>
      </c>
      <c r="B325" t="s">
        <v>1001</v>
      </c>
      <c r="C325">
        <v>32</v>
      </c>
      <c r="D325">
        <v>128.96</v>
      </c>
      <c r="E325" s="1">
        <v>46166</v>
      </c>
    </row>
    <row r="326" spans="1:5" x14ac:dyDescent="0.25">
      <c r="A326" t="s">
        <v>1002</v>
      </c>
      <c r="B326" t="s">
        <v>1003</v>
      </c>
      <c r="C326">
        <v>192</v>
      </c>
      <c r="D326">
        <v>158.76</v>
      </c>
      <c r="E326" s="1">
        <v>46044</v>
      </c>
    </row>
    <row r="327" spans="1:5" x14ac:dyDescent="0.25">
      <c r="A327" t="s">
        <v>286</v>
      </c>
      <c r="B327" t="s">
        <v>1004</v>
      </c>
      <c r="C327">
        <v>405</v>
      </c>
      <c r="D327">
        <v>118.47</v>
      </c>
      <c r="E327" s="1">
        <v>46066</v>
      </c>
    </row>
    <row r="328" spans="1:5" x14ac:dyDescent="0.25">
      <c r="A328" t="s">
        <v>287</v>
      </c>
      <c r="B328" t="s">
        <v>1005</v>
      </c>
      <c r="C328">
        <v>190</v>
      </c>
      <c r="D328">
        <v>111.47</v>
      </c>
      <c r="E328" s="1">
        <v>46048</v>
      </c>
    </row>
    <row r="329" spans="1:5" x14ac:dyDescent="0.25">
      <c r="A329" t="s">
        <v>288</v>
      </c>
      <c r="B329" t="s">
        <v>1006</v>
      </c>
      <c r="C329">
        <v>366</v>
      </c>
      <c r="D329">
        <v>98.31</v>
      </c>
      <c r="E329" s="1">
        <v>46160</v>
      </c>
    </row>
    <row r="330" spans="1:5" x14ac:dyDescent="0.25">
      <c r="A330" t="s">
        <v>289</v>
      </c>
      <c r="B330" t="s">
        <v>1007</v>
      </c>
      <c r="C330">
        <v>28</v>
      </c>
      <c r="D330">
        <v>62.22</v>
      </c>
      <c r="E330" s="1">
        <v>46158</v>
      </c>
    </row>
    <row r="331" spans="1:5" x14ac:dyDescent="0.25">
      <c r="A331" t="s">
        <v>290</v>
      </c>
      <c r="B331" t="s">
        <v>1008</v>
      </c>
      <c r="C331">
        <v>487</v>
      </c>
      <c r="D331">
        <v>65.459999999999994</v>
      </c>
      <c r="E331" s="1">
        <v>46129</v>
      </c>
    </row>
    <row r="332" spans="1:5" x14ac:dyDescent="0.25">
      <c r="A332" t="s">
        <v>291</v>
      </c>
      <c r="B332" t="s">
        <v>1009</v>
      </c>
      <c r="C332">
        <v>395</v>
      </c>
      <c r="D332">
        <v>146.4</v>
      </c>
      <c r="E332" s="1">
        <v>46053</v>
      </c>
    </row>
    <row r="333" spans="1:5" x14ac:dyDescent="0.25">
      <c r="A333" t="s">
        <v>292</v>
      </c>
      <c r="B333" t="s">
        <v>1010</v>
      </c>
      <c r="C333">
        <v>149</v>
      </c>
      <c r="D333">
        <v>29.27</v>
      </c>
      <c r="E333" s="1">
        <v>46127</v>
      </c>
    </row>
    <row r="334" spans="1:5" x14ac:dyDescent="0.25">
      <c r="A334" t="s">
        <v>293</v>
      </c>
      <c r="B334" t="s">
        <v>1011</v>
      </c>
      <c r="C334">
        <v>468</v>
      </c>
      <c r="D334">
        <v>191.51</v>
      </c>
      <c r="E334" s="1">
        <v>46154</v>
      </c>
    </row>
    <row r="335" spans="1:5" x14ac:dyDescent="0.25">
      <c r="A335" t="s">
        <v>1012</v>
      </c>
      <c r="B335" t="s">
        <v>1013</v>
      </c>
      <c r="C335">
        <v>198</v>
      </c>
      <c r="D335">
        <v>185.24</v>
      </c>
      <c r="E335" s="1">
        <v>46167</v>
      </c>
    </row>
    <row r="336" spans="1:5" x14ac:dyDescent="0.25">
      <c r="A336" t="s">
        <v>294</v>
      </c>
      <c r="B336" t="s">
        <v>1014</v>
      </c>
      <c r="C336">
        <v>50</v>
      </c>
      <c r="D336">
        <v>93.93</v>
      </c>
      <c r="E336" s="1">
        <v>46149</v>
      </c>
    </row>
    <row r="337" spans="1:5" x14ac:dyDescent="0.25">
      <c r="A337" t="s">
        <v>295</v>
      </c>
      <c r="B337" t="s">
        <v>1015</v>
      </c>
      <c r="C337">
        <v>50</v>
      </c>
      <c r="D337">
        <v>68.94</v>
      </c>
      <c r="E337" s="1">
        <v>46068</v>
      </c>
    </row>
    <row r="338" spans="1:5" x14ac:dyDescent="0.25">
      <c r="A338" t="s">
        <v>296</v>
      </c>
      <c r="B338" t="s">
        <v>1016</v>
      </c>
      <c r="C338">
        <v>95</v>
      </c>
      <c r="D338">
        <v>139.5</v>
      </c>
      <c r="E338" s="1">
        <v>46156</v>
      </c>
    </row>
    <row r="339" spans="1:5" x14ac:dyDescent="0.25">
      <c r="A339" t="s">
        <v>297</v>
      </c>
      <c r="B339" t="s">
        <v>1017</v>
      </c>
      <c r="C339">
        <v>324</v>
      </c>
      <c r="D339">
        <v>199.64</v>
      </c>
      <c r="E339" s="1">
        <v>46122</v>
      </c>
    </row>
    <row r="340" spans="1:5" x14ac:dyDescent="0.25">
      <c r="A340" t="s">
        <v>298</v>
      </c>
      <c r="B340" t="s">
        <v>1018</v>
      </c>
      <c r="C340">
        <v>196</v>
      </c>
      <c r="D340">
        <v>105.05</v>
      </c>
      <c r="E340" s="1">
        <v>46145</v>
      </c>
    </row>
    <row r="341" spans="1:5" x14ac:dyDescent="0.25">
      <c r="A341" t="s">
        <v>299</v>
      </c>
      <c r="B341" t="s">
        <v>1019</v>
      </c>
      <c r="C341">
        <v>444</v>
      </c>
      <c r="D341">
        <v>135.19999999999999</v>
      </c>
      <c r="E341" s="1">
        <v>46071</v>
      </c>
    </row>
    <row r="342" spans="1:5" x14ac:dyDescent="0.25">
      <c r="A342" t="s">
        <v>300</v>
      </c>
      <c r="B342" t="s">
        <v>1020</v>
      </c>
      <c r="C342">
        <v>130</v>
      </c>
      <c r="D342">
        <v>156.81</v>
      </c>
      <c r="E342" s="1">
        <v>46063</v>
      </c>
    </row>
    <row r="343" spans="1:5" x14ac:dyDescent="0.25">
      <c r="A343" t="s">
        <v>301</v>
      </c>
      <c r="B343" t="s">
        <v>1021</v>
      </c>
      <c r="C343">
        <v>26</v>
      </c>
      <c r="D343">
        <v>122.99</v>
      </c>
      <c r="E343" s="1">
        <v>46188</v>
      </c>
    </row>
    <row r="344" spans="1:5" x14ac:dyDescent="0.25">
      <c r="A344" t="s">
        <v>302</v>
      </c>
      <c r="B344" t="s">
        <v>1022</v>
      </c>
      <c r="C344">
        <v>237</v>
      </c>
      <c r="D344">
        <v>153.80000000000001</v>
      </c>
      <c r="E344" s="1">
        <v>46130</v>
      </c>
    </row>
    <row r="345" spans="1:5" x14ac:dyDescent="0.25">
      <c r="A345" t="s">
        <v>303</v>
      </c>
      <c r="B345" t="s">
        <v>1023</v>
      </c>
      <c r="C345">
        <v>213</v>
      </c>
      <c r="D345">
        <v>66.31</v>
      </c>
      <c r="E345" s="1">
        <v>46132</v>
      </c>
    </row>
    <row r="346" spans="1:5" x14ac:dyDescent="0.25">
      <c r="A346" t="s">
        <v>304</v>
      </c>
      <c r="B346" t="s">
        <v>1024</v>
      </c>
      <c r="C346">
        <v>386</v>
      </c>
      <c r="D346">
        <v>41.28</v>
      </c>
      <c r="E346" s="1">
        <v>46055</v>
      </c>
    </row>
    <row r="347" spans="1:5" x14ac:dyDescent="0.25">
      <c r="A347" t="s">
        <v>305</v>
      </c>
      <c r="B347" t="s">
        <v>1025</v>
      </c>
      <c r="C347">
        <v>144</v>
      </c>
      <c r="D347">
        <v>156.12</v>
      </c>
      <c r="E347" s="1">
        <v>46080</v>
      </c>
    </row>
    <row r="348" spans="1:5" x14ac:dyDescent="0.25">
      <c r="A348" t="s">
        <v>306</v>
      </c>
      <c r="B348" t="s">
        <v>1026</v>
      </c>
      <c r="C348">
        <v>365</v>
      </c>
      <c r="D348">
        <v>216.2</v>
      </c>
      <c r="E348" s="1">
        <v>46114</v>
      </c>
    </row>
    <row r="349" spans="1:5" x14ac:dyDescent="0.25">
      <c r="A349" t="s">
        <v>307</v>
      </c>
      <c r="B349" t="s">
        <v>1027</v>
      </c>
      <c r="C349">
        <v>446</v>
      </c>
      <c r="D349">
        <v>19.440000000000001</v>
      </c>
      <c r="E349" s="1">
        <v>46080</v>
      </c>
    </row>
    <row r="350" spans="1:5" x14ac:dyDescent="0.25">
      <c r="A350" t="s">
        <v>308</v>
      </c>
      <c r="B350" t="s">
        <v>1028</v>
      </c>
      <c r="C350">
        <v>351</v>
      </c>
      <c r="D350">
        <v>72.75</v>
      </c>
      <c r="E350" s="1">
        <v>46119</v>
      </c>
    </row>
    <row r="351" spans="1:5" x14ac:dyDescent="0.25">
      <c r="A351" t="s">
        <v>309</v>
      </c>
      <c r="B351" t="s">
        <v>1029</v>
      </c>
      <c r="C351">
        <v>374</v>
      </c>
      <c r="D351">
        <v>143.36000000000001</v>
      </c>
      <c r="E351" s="1">
        <v>46076</v>
      </c>
    </row>
    <row r="352" spans="1:5" x14ac:dyDescent="0.25">
      <c r="A352" t="s">
        <v>310</v>
      </c>
      <c r="B352" t="s">
        <v>1030</v>
      </c>
      <c r="C352">
        <v>124</v>
      </c>
      <c r="D352">
        <v>28.67</v>
      </c>
      <c r="E352" s="1">
        <v>46170</v>
      </c>
    </row>
    <row r="353" spans="1:5" x14ac:dyDescent="0.25">
      <c r="A353" t="s">
        <v>1031</v>
      </c>
      <c r="B353" t="s">
        <v>1032</v>
      </c>
      <c r="C353">
        <v>23</v>
      </c>
      <c r="D353">
        <v>75.37</v>
      </c>
      <c r="E353" s="1">
        <v>46171</v>
      </c>
    </row>
    <row r="354" spans="1:5" x14ac:dyDescent="0.25">
      <c r="A354" t="s">
        <v>311</v>
      </c>
      <c r="B354" t="s">
        <v>1033</v>
      </c>
      <c r="C354">
        <v>76</v>
      </c>
      <c r="D354">
        <v>124.33</v>
      </c>
      <c r="E354" s="1">
        <v>46178</v>
      </c>
    </row>
    <row r="355" spans="1:5" x14ac:dyDescent="0.25">
      <c r="A355" t="s">
        <v>312</v>
      </c>
      <c r="B355" t="s">
        <v>1034</v>
      </c>
      <c r="C355">
        <v>377</v>
      </c>
      <c r="D355">
        <v>145.18</v>
      </c>
      <c r="E355" s="1">
        <v>46147</v>
      </c>
    </row>
    <row r="356" spans="1:5" x14ac:dyDescent="0.25">
      <c r="A356" t="s">
        <v>313</v>
      </c>
      <c r="B356" t="s">
        <v>1035</v>
      </c>
      <c r="C356">
        <v>47</v>
      </c>
      <c r="D356">
        <v>34.380000000000003</v>
      </c>
      <c r="E356" s="1">
        <v>46180</v>
      </c>
    </row>
    <row r="357" spans="1:5" x14ac:dyDescent="0.25">
      <c r="A357" t="s">
        <v>314</v>
      </c>
      <c r="B357" t="s">
        <v>1036</v>
      </c>
      <c r="C357">
        <v>358</v>
      </c>
      <c r="D357">
        <v>105.89</v>
      </c>
      <c r="E357" s="1">
        <v>46158</v>
      </c>
    </row>
    <row r="358" spans="1:5" x14ac:dyDescent="0.25">
      <c r="A358" t="s">
        <v>315</v>
      </c>
      <c r="B358" t="s">
        <v>1037</v>
      </c>
      <c r="C358">
        <v>267</v>
      </c>
      <c r="D358">
        <v>182.59</v>
      </c>
      <c r="E358" s="1">
        <v>46151</v>
      </c>
    </row>
    <row r="359" spans="1:5" x14ac:dyDescent="0.25">
      <c r="A359" t="s">
        <v>316</v>
      </c>
      <c r="B359" t="s">
        <v>1038</v>
      </c>
      <c r="C359">
        <v>165</v>
      </c>
      <c r="D359">
        <v>37.11</v>
      </c>
      <c r="E359" s="1">
        <v>46081</v>
      </c>
    </row>
    <row r="360" spans="1:5" x14ac:dyDescent="0.25">
      <c r="A360" t="s">
        <v>317</v>
      </c>
      <c r="B360" t="s">
        <v>1039</v>
      </c>
      <c r="C360">
        <v>468</v>
      </c>
      <c r="D360">
        <v>60.39</v>
      </c>
      <c r="E360" s="1">
        <v>46177</v>
      </c>
    </row>
    <row r="361" spans="1:5" x14ac:dyDescent="0.25">
      <c r="A361" t="s">
        <v>318</v>
      </c>
      <c r="B361" t="s">
        <v>1040</v>
      </c>
      <c r="C361">
        <v>150</v>
      </c>
      <c r="D361">
        <v>29.41</v>
      </c>
      <c r="E361" s="1">
        <v>46177</v>
      </c>
    </row>
    <row r="362" spans="1:5" x14ac:dyDescent="0.25">
      <c r="A362" t="s">
        <v>319</v>
      </c>
      <c r="B362" t="s">
        <v>1041</v>
      </c>
      <c r="C362">
        <v>313</v>
      </c>
      <c r="D362">
        <v>188.61</v>
      </c>
      <c r="E362" s="1">
        <v>46081</v>
      </c>
    </row>
    <row r="363" spans="1:5" x14ac:dyDescent="0.25">
      <c r="A363" t="s">
        <v>320</v>
      </c>
      <c r="B363" t="s">
        <v>1042</v>
      </c>
      <c r="C363">
        <v>441</v>
      </c>
      <c r="D363">
        <v>185.17</v>
      </c>
      <c r="E363" s="1">
        <v>46123</v>
      </c>
    </row>
    <row r="364" spans="1:5" x14ac:dyDescent="0.25">
      <c r="A364" t="s">
        <v>321</v>
      </c>
      <c r="B364" t="s">
        <v>1043</v>
      </c>
      <c r="C364">
        <v>495</v>
      </c>
      <c r="D364">
        <v>130.08000000000001</v>
      </c>
      <c r="E364" s="1">
        <v>46057</v>
      </c>
    </row>
    <row r="365" spans="1:5" x14ac:dyDescent="0.25">
      <c r="A365" t="s">
        <v>322</v>
      </c>
      <c r="B365" t="s">
        <v>1044</v>
      </c>
      <c r="C365">
        <v>402</v>
      </c>
      <c r="D365">
        <v>116.57</v>
      </c>
      <c r="E365" s="1">
        <v>46083</v>
      </c>
    </row>
    <row r="366" spans="1:5" x14ac:dyDescent="0.25">
      <c r="A366" t="s">
        <v>323</v>
      </c>
      <c r="B366" t="s">
        <v>1045</v>
      </c>
      <c r="C366">
        <v>158</v>
      </c>
      <c r="D366">
        <v>130.16999999999999</v>
      </c>
      <c r="E366" s="1">
        <v>46186</v>
      </c>
    </row>
    <row r="367" spans="1:5" x14ac:dyDescent="0.25">
      <c r="A367" t="s">
        <v>324</v>
      </c>
      <c r="B367" t="s">
        <v>1046</v>
      </c>
      <c r="C367">
        <v>162</v>
      </c>
      <c r="D367">
        <v>93.44</v>
      </c>
      <c r="E367" s="1">
        <v>46134</v>
      </c>
    </row>
    <row r="368" spans="1:5" x14ac:dyDescent="0.25">
      <c r="A368" t="s">
        <v>325</v>
      </c>
      <c r="B368" t="s">
        <v>1047</v>
      </c>
      <c r="C368">
        <v>222</v>
      </c>
      <c r="D368">
        <v>99.43</v>
      </c>
      <c r="E368" s="1">
        <v>46151</v>
      </c>
    </row>
    <row r="369" spans="1:5" x14ac:dyDescent="0.25">
      <c r="A369" t="s">
        <v>326</v>
      </c>
      <c r="B369" t="s">
        <v>1048</v>
      </c>
      <c r="C369">
        <v>170</v>
      </c>
      <c r="D369">
        <v>172.99</v>
      </c>
      <c r="E369" s="1">
        <v>46082</v>
      </c>
    </row>
    <row r="370" spans="1:5" x14ac:dyDescent="0.25">
      <c r="A370" t="s">
        <v>327</v>
      </c>
      <c r="B370" t="s">
        <v>1049</v>
      </c>
      <c r="C370">
        <v>399</v>
      </c>
      <c r="D370">
        <v>77.260000000000005</v>
      </c>
      <c r="E370" s="1">
        <v>46067</v>
      </c>
    </row>
    <row r="371" spans="1:5" x14ac:dyDescent="0.25">
      <c r="A371" t="s">
        <v>328</v>
      </c>
      <c r="B371" t="s">
        <v>1050</v>
      </c>
      <c r="C371">
        <v>248</v>
      </c>
      <c r="D371">
        <v>28.89</v>
      </c>
      <c r="E371" s="1">
        <v>46098</v>
      </c>
    </row>
    <row r="372" spans="1:5" x14ac:dyDescent="0.25">
      <c r="A372" t="s">
        <v>329</v>
      </c>
      <c r="B372" t="s">
        <v>1051</v>
      </c>
      <c r="C372">
        <v>35</v>
      </c>
      <c r="D372">
        <v>61.59</v>
      </c>
      <c r="E372" s="1">
        <v>46069</v>
      </c>
    </row>
    <row r="373" spans="1:5" x14ac:dyDescent="0.25">
      <c r="A373" t="s">
        <v>330</v>
      </c>
      <c r="B373" t="s">
        <v>1052</v>
      </c>
      <c r="C373">
        <v>426</v>
      </c>
      <c r="D373">
        <v>68.849999999999994</v>
      </c>
      <c r="E373" s="1">
        <v>46085</v>
      </c>
    </row>
    <row r="374" spans="1:5" x14ac:dyDescent="0.25">
      <c r="A374" t="s">
        <v>331</v>
      </c>
      <c r="B374" t="s">
        <v>1053</v>
      </c>
      <c r="C374">
        <v>265</v>
      </c>
      <c r="D374">
        <v>199.21</v>
      </c>
      <c r="E374" s="1">
        <v>46086</v>
      </c>
    </row>
    <row r="375" spans="1:5" x14ac:dyDescent="0.25">
      <c r="A375" t="s">
        <v>332</v>
      </c>
      <c r="B375" t="s">
        <v>1054</v>
      </c>
      <c r="C375">
        <v>21</v>
      </c>
      <c r="D375">
        <v>22.56</v>
      </c>
      <c r="E375" s="1">
        <v>46181</v>
      </c>
    </row>
    <row r="376" spans="1:5" x14ac:dyDescent="0.25">
      <c r="A376" t="s">
        <v>333</v>
      </c>
      <c r="B376" t="s">
        <v>1055</v>
      </c>
      <c r="C376">
        <v>120</v>
      </c>
      <c r="D376">
        <v>118.75</v>
      </c>
      <c r="E376" s="1">
        <v>46098</v>
      </c>
    </row>
    <row r="377" spans="1:5" x14ac:dyDescent="0.25">
      <c r="A377" t="s">
        <v>334</v>
      </c>
      <c r="B377" t="s">
        <v>1056</v>
      </c>
      <c r="C377">
        <v>315</v>
      </c>
      <c r="D377">
        <v>189.7</v>
      </c>
      <c r="E377" s="1">
        <v>46171</v>
      </c>
    </row>
    <row r="378" spans="1:5" x14ac:dyDescent="0.25">
      <c r="A378" t="s">
        <v>335</v>
      </c>
      <c r="B378" t="s">
        <v>1057</v>
      </c>
      <c r="C378">
        <v>14</v>
      </c>
      <c r="D378">
        <v>170.2</v>
      </c>
      <c r="E378" s="1">
        <v>46173</v>
      </c>
    </row>
    <row r="379" spans="1:5" x14ac:dyDescent="0.25">
      <c r="A379" t="s">
        <v>336</v>
      </c>
      <c r="B379" t="s">
        <v>1058</v>
      </c>
      <c r="C379">
        <v>401</v>
      </c>
      <c r="D379">
        <v>83.63</v>
      </c>
      <c r="E379" s="1">
        <v>46141</v>
      </c>
    </row>
    <row r="380" spans="1:5" x14ac:dyDescent="0.25">
      <c r="A380" t="s">
        <v>337</v>
      </c>
      <c r="B380" t="s">
        <v>1059</v>
      </c>
      <c r="C380">
        <v>297</v>
      </c>
      <c r="D380">
        <v>42.96</v>
      </c>
      <c r="E380" s="1">
        <v>46184</v>
      </c>
    </row>
    <row r="381" spans="1:5" x14ac:dyDescent="0.25">
      <c r="A381" t="s">
        <v>338</v>
      </c>
      <c r="B381" t="s">
        <v>1060</v>
      </c>
      <c r="C381">
        <v>268</v>
      </c>
      <c r="D381">
        <v>92.82</v>
      </c>
      <c r="E381" s="1">
        <v>46142</v>
      </c>
    </row>
    <row r="382" spans="1:5" x14ac:dyDescent="0.25">
      <c r="A382" t="s">
        <v>339</v>
      </c>
      <c r="B382" t="s">
        <v>1061</v>
      </c>
      <c r="C382">
        <v>75</v>
      </c>
      <c r="D382">
        <v>195.14</v>
      </c>
      <c r="E382" s="1">
        <v>46074</v>
      </c>
    </row>
    <row r="383" spans="1:5" x14ac:dyDescent="0.25">
      <c r="A383" t="s">
        <v>340</v>
      </c>
      <c r="B383" t="s">
        <v>1062</v>
      </c>
      <c r="C383">
        <v>490</v>
      </c>
      <c r="D383">
        <v>76.290000000000006</v>
      </c>
      <c r="E383" s="1">
        <v>46179</v>
      </c>
    </row>
    <row r="384" spans="1:5" x14ac:dyDescent="0.25">
      <c r="A384" t="s">
        <v>341</v>
      </c>
      <c r="B384" t="s">
        <v>1063</v>
      </c>
      <c r="C384">
        <v>215</v>
      </c>
      <c r="D384">
        <v>102.52</v>
      </c>
      <c r="E384" s="1">
        <v>46169</v>
      </c>
    </row>
    <row r="385" spans="1:5" x14ac:dyDescent="0.25">
      <c r="A385" t="s">
        <v>1064</v>
      </c>
      <c r="B385" t="s">
        <v>1065</v>
      </c>
      <c r="C385">
        <v>421</v>
      </c>
      <c r="D385">
        <v>97.38</v>
      </c>
      <c r="E385" s="1">
        <v>46120</v>
      </c>
    </row>
    <row r="386" spans="1:5" x14ac:dyDescent="0.25">
      <c r="A386" t="s">
        <v>342</v>
      </c>
      <c r="B386" t="s">
        <v>1066</v>
      </c>
      <c r="C386">
        <v>81</v>
      </c>
      <c r="D386">
        <v>79.62</v>
      </c>
      <c r="E386" s="1">
        <v>46170</v>
      </c>
    </row>
    <row r="387" spans="1:5" x14ac:dyDescent="0.25">
      <c r="A387" t="s">
        <v>343</v>
      </c>
      <c r="B387" t="s">
        <v>1067</v>
      </c>
      <c r="C387">
        <v>325</v>
      </c>
      <c r="D387">
        <v>149.16999999999999</v>
      </c>
      <c r="E387" s="1">
        <v>46143</v>
      </c>
    </row>
    <row r="388" spans="1:5" x14ac:dyDescent="0.25">
      <c r="A388" t="s">
        <v>344</v>
      </c>
      <c r="B388" t="s">
        <v>1068</v>
      </c>
      <c r="C388">
        <v>282</v>
      </c>
      <c r="D388">
        <v>100.52</v>
      </c>
      <c r="E388" s="1">
        <v>46169</v>
      </c>
    </row>
    <row r="389" spans="1:5" x14ac:dyDescent="0.25">
      <c r="A389" t="s">
        <v>345</v>
      </c>
      <c r="B389" t="s">
        <v>1069</v>
      </c>
      <c r="C389">
        <v>198</v>
      </c>
      <c r="D389">
        <v>69.59</v>
      </c>
      <c r="E389" s="1">
        <v>46049</v>
      </c>
    </row>
    <row r="390" spans="1:5" x14ac:dyDescent="0.25">
      <c r="A390" t="s">
        <v>346</v>
      </c>
      <c r="B390" t="s">
        <v>1070</v>
      </c>
      <c r="C390">
        <v>417</v>
      </c>
      <c r="D390">
        <v>180.26</v>
      </c>
      <c r="E390" s="1">
        <v>46115</v>
      </c>
    </row>
    <row r="391" spans="1:5" x14ac:dyDescent="0.25">
      <c r="A391" t="s">
        <v>347</v>
      </c>
      <c r="B391" t="s">
        <v>1071</v>
      </c>
      <c r="C391">
        <v>145</v>
      </c>
      <c r="D391">
        <v>193.58</v>
      </c>
      <c r="E391" s="1">
        <v>46158</v>
      </c>
    </row>
    <row r="392" spans="1:5" x14ac:dyDescent="0.25">
      <c r="A392" t="s">
        <v>348</v>
      </c>
      <c r="B392" t="s">
        <v>1072</v>
      </c>
      <c r="C392">
        <v>308</v>
      </c>
      <c r="D392">
        <v>98.69</v>
      </c>
      <c r="E392" s="1">
        <v>46060</v>
      </c>
    </row>
    <row r="393" spans="1:5" x14ac:dyDescent="0.25">
      <c r="A393" t="s">
        <v>349</v>
      </c>
      <c r="B393" t="s">
        <v>1073</v>
      </c>
      <c r="C393">
        <v>26</v>
      </c>
      <c r="D393">
        <v>116.65</v>
      </c>
      <c r="E393" s="1">
        <v>46102</v>
      </c>
    </row>
    <row r="394" spans="1:5" x14ac:dyDescent="0.25">
      <c r="A394" t="s">
        <v>350</v>
      </c>
      <c r="B394" t="s">
        <v>1074</v>
      </c>
      <c r="C394">
        <v>235</v>
      </c>
      <c r="D394">
        <v>75.819999999999993</v>
      </c>
      <c r="E394" s="1">
        <v>46053</v>
      </c>
    </row>
    <row r="395" spans="1:5" x14ac:dyDescent="0.25">
      <c r="A395" t="s">
        <v>351</v>
      </c>
      <c r="B395" t="s">
        <v>1075</v>
      </c>
      <c r="C395">
        <v>220</v>
      </c>
      <c r="D395">
        <v>102.85</v>
      </c>
      <c r="E395" s="1">
        <v>46099</v>
      </c>
    </row>
    <row r="396" spans="1:5" x14ac:dyDescent="0.25">
      <c r="A396" t="s">
        <v>352</v>
      </c>
      <c r="B396" t="s">
        <v>1076</v>
      </c>
      <c r="C396">
        <v>371</v>
      </c>
      <c r="D396">
        <v>34.08</v>
      </c>
      <c r="E396" s="1">
        <v>46056</v>
      </c>
    </row>
    <row r="397" spans="1:5" x14ac:dyDescent="0.25">
      <c r="A397" t="s">
        <v>353</v>
      </c>
      <c r="B397" t="s">
        <v>1077</v>
      </c>
      <c r="C397">
        <v>279</v>
      </c>
      <c r="D397">
        <v>78.48</v>
      </c>
      <c r="E397" s="1">
        <v>46172</v>
      </c>
    </row>
    <row r="398" spans="1:5" x14ac:dyDescent="0.25">
      <c r="A398" t="s">
        <v>354</v>
      </c>
      <c r="B398" t="s">
        <v>1078</v>
      </c>
      <c r="C398">
        <v>289</v>
      </c>
      <c r="D398">
        <v>85.1</v>
      </c>
      <c r="E398" s="1">
        <v>46131</v>
      </c>
    </row>
    <row r="399" spans="1:5" x14ac:dyDescent="0.25">
      <c r="A399" t="s">
        <v>355</v>
      </c>
      <c r="B399" t="s">
        <v>1079</v>
      </c>
      <c r="C399">
        <v>108</v>
      </c>
      <c r="D399">
        <v>191.68</v>
      </c>
      <c r="E399" s="1">
        <v>46163</v>
      </c>
    </row>
    <row r="400" spans="1:5" x14ac:dyDescent="0.25">
      <c r="A400" t="s">
        <v>1080</v>
      </c>
      <c r="B400" t="s">
        <v>1081</v>
      </c>
      <c r="C400">
        <v>404</v>
      </c>
      <c r="D400">
        <v>65.349999999999994</v>
      </c>
      <c r="E400" s="1">
        <v>46124</v>
      </c>
    </row>
    <row r="401" spans="1:5" x14ac:dyDescent="0.25">
      <c r="A401" t="s">
        <v>356</v>
      </c>
      <c r="B401" t="s">
        <v>1082</v>
      </c>
      <c r="C401">
        <v>188</v>
      </c>
      <c r="D401">
        <v>114.3</v>
      </c>
      <c r="E401" s="1">
        <v>46161</v>
      </c>
    </row>
    <row r="402" spans="1:5" x14ac:dyDescent="0.25">
      <c r="A402" t="s">
        <v>357</v>
      </c>
      <c r="B402" t="s">
        <v>1083</v>
      </c>
      <c r="C402">
        <v>303</v>
      </c>
      <c r="D402">
        <v>136.94</v>
      </c>
      <c r="E402" s="1">
        <v>46076</v>
      </c>
    </row>
    <row r="403" spans="1:5" x14ac:dyDescent="0.25">
      <c r="A403" t="s">
        <v>358</v>
      </c>
      <c r="B403" t="s">
        <v>1084</v>
      </c>
      <c r="C403">
        <v>158</v>
      </c>
      <c r="D403">
        <v>13.2</v>
      </c>
      <c r="E403" s="1">
        <v>46071</v>
      </c>
    </row>
    <row r="404" spans="1:5" x14ac:dyDescent="0.25">
      <c r="A404" t="s">
        <v>359</v>
      </c>
      <c r="B404" t="s">
        <v>1085</v>
      </c>
      <c r="C404">
        <v>345</v>
      </c>
      <c r="D404">
        <v>55.01</v>
      </c>
      <c r="E404" s="1">
        <v>46156</v>
      </c>
    </row>
    <row r="405" spans="1:5" x14ac:dyDescent="0.25">
      <c r="A405" t="s">
        <v>360</v>
      </c>
      <c r="B405" t="s">
        <v>1086</v>
      </c>
      <c r="C405">
        <v>148</v>
      </c>
      <c r="D405">
        <v>186.94</v>
      </c>
      <c r="E405" s="1">
        <v>46182</v>
      </c>
    </row>
    <row r="406" spans="1:5" x14ac:dyDescent="0.25">
      <c r="A406" t="s">
        <v>361</v>
      </c>
      <c r="B406" t="s">
        <v>1087</v>
      </c>
      <c r="C406">
        <v>325</v>
      </c>
      <c r="D406">
        <v>149.47</v>
      </c>
      <c r="E406" s="1">
        <v>46064</v>
      </c>
    </row>
    <row r="407" spans="1:5" x14ac:dyDescent="0.25">
      <c r="A407" t="s">
        <v>1088</v>
      </c>
      <c r="B407" t="s">
        <v>1089</v>
      </c>
      <c r="C407">
        <v>125</v>
      </c>
      <c r="D407">
        <v>129.4</v>
      </c>
      <c r="E407" s="1">
        <v>46167</v>
      </c>
    </row>
    <row r="408" spans="1:5" x14ac:dyDescent="0.25">
      <c r="A408" t="s">
        <v>1090</v>
      </c>
      <c r="B408" t="s">
        <v>1091</v>
      </c>
      <c r="C408">
        <v>377</v>
      </c>
      <c r="D408">
        <v>107.47</v>
      </c>
      <c r="E408" s="1">
        <v>46120</v>
      </c>
    </row>
    <row r="409" spans="1:5" x14ac:dyDescent="0.25">
      <c r="A409" t="s">
        <v>1092</v>
      </c>
      <c r="B409" t="s">
        <v>1093</v>
      </c>
      <c r="C409">
        <v>485</v>
      </c>
      <c r="D409">
        <v>35.799999999999997</v>
      </c>
      <c r="E409" s="1">
        <v>46187</v>
      </c>
    </row>
    <row r="410" spans="1:5" x14ac:dyDescent="0.25">
      <c r="A410" t="s">
        <v>362</v>
      </c>
      <c r="B410" t="s">
        <v>1094</v>
      </c>
      <c r="C410">
        <v>397</v>
      </c>
      <c r="D410">
        <v>203.42</v>
      </c>
      <c r="E410" s="1">
        <v>46089</v>
      </c>
    </row>
    <row r="411" spans="1:5" x14ac:dyDescent="0.25">
      <c r="A411" t="s">
        <v>363</v>
      </c>
      <c r="B411" t="s">
        <v>1095</v>
      </c>
      <c r="C411">
        <v>474</v>
      </c>
      <c r="D411">
        <v>154.9</v>
      </c>
      <c r="E411" s="1">
        <v>46052</v>
      </c>
    </row>
    <row r="412" spans="1:5" x14ac:dyDescent="0.25">
      <c r="A412" t="s">
        <v>1096</v>
      </c>
      <c r="B412" t="s">
        <v>1097</v>
      </c>
      <c r="C412">
        <v>477</v>
      </c>
      <c r="D412">
        <v>184.69</v>
      </c>
      <c r="E412" s="1">
        <v>46045</v>
      </c>
    </row>
    <row r="413" spans="1:5" x14ac:dyDescent="0.25">
      <c r="A413" t="s">
        <v>364</v>
      </c>
      <c r="B413" t="s">
        <v>1098</v>
      </c>
      <c r="C413">
        <v>413</v>
      </c>
      <c r="D413">
        <v>114.49</v>
      </c>
      <c r="E413" s="1">
        <v>46144</v>
      </c>
    </row>
    <row r="414" spans="1:5" x14ac:dyDescent="0.25">
      <c r="A414" t="s">
        <v>365</v>
      </c>
      <c r="B414" t="s">
        <v>1099</v>
      </c>
      <c r="C414">
        <v>162</v>
      </c>
      <c r="D414">
        <v>115.75</v>
      </c>
      <c r="E414" s="1">
        <v>46050</v>
      </c>
    </row>
    <row r="415" spans="1:5" x14ac:dyDescent="0.25">
      <c r="A415" t="s">
        <v>366</v>
      </c>
      <c r="B415" t="s">
        <v>1100</v>
      </c>
      <c r="C415">
        <v>338</v>
      </c>
      <c r="D415">
        <v>110.94</v>
      </c>
      <c r="E415" s="1">
        <v>46155</v>
      </c>
    </row>
    <row r="416" spans="1:5" x14ac:dyDescent="0.25">
      <c r="A416" t="s">
        <v>367</v>
      </c>
      <c r="B416" t="s">
        <v>1101</v>
      </c>
      <c r="C416">
        <v>149</v>
      </c>
      <c r="D416">
        <v>42.6</v>
      </c>
      <c r="E416" s="1">
        <v>46163</v>
      </c>
    </row>
    <row r="417" spans="1:5" x14ac:dyDescent="0.25">
      <c r="A417" t="s">
        <v>368</v>
      </c>
      <c r="B417" t="s">
        <v>1102</v>
      </c>
      <c r="C417">
        <v>341</v>
      </c>
      <c r="D417">
        <v>63.34</v>
      </c>
      <c r="E417" s="1">
        <v>46146</v>
      </c>
    </row>
    <row r="418" spans="1:5" x14ac:dyDescent="0.25">
      <c r="A418" t="s">
        <v>369</v>
      </c>
      <c r="B418" t="s">
        <v>1103</v>
      </c>
      <c r="C418">
        <v>414</v>
      </c>
      <c r="D418">
        <v>62.53</v>
      </c>
      <c r="E418" s="1">
        <v>46122</v>
      </c>
    </row>
    <row r="419" spans="1:5" x14ac:dyDescent="0.25">
      <c r="A419" t="s">
        <v>370</v>
      </c>
      <c r="B419" t="s">
        <v>1104</v>
      </c>
      <c r="C419">
        <v>433</v>
      </c>
      <c r="D419">
        <v>88.4</v>
      </c>
      <c r="E419" s="1">
        <v>46143</v>
      </c>
    </row>
    <row r="420" spans="1:5" x14ac:dyDescent="0.25">
      <c r="A420" t="s">
        <v>371</v>
      </c>
      <c r="B420" t="s">
        <v>1105</v>
      </c>
      <c r="C420">
        <v>104</v>
      </c>
      <c r="D420">
        <v>212.69</v>
      </c>
      <c r="E420" s="1">
        <v>46067</v>
      </c>
    </row>
    <row r="421" spans="1:5" x14ac:dyDescent="0.25">
      <c r="A421" t="s">
        <v>372</v>
      </c>
      <c r="B421" t="s">
        <v>1106</v>
      </c>
      <c r="C421">
        <v>143</v>
      </c>
      <c r="D421">
        <v>79.8</v>
      </c>
      <c r="E421" s="1">
        <v>46039</v>
      </c>
    </row>
    <row r="422" spans="1:5" x14ac:dyDescent="0.25">
      <c r="A422" t="s">
        <v>373</v>
      </c>
      <c r="B422" t="s">
        <v>1107</v>
      </c>
      <c r="C422">
        <v>308</v>
      </c>
      <c r="D422">
        <v>145.96</v>
      </c>
      <c r="E422" s="1">
        <v>46123</v>
      </c>
    </row>
    <row r="423" spans="1:5" x14ac:dyDescent="0.25">
      <c r="A423" t="s">
        <v>374</v>
      </c>
      <c r="B423" t="s">
        <v>1108</v>
      </c>
      <c r="C423">
        <v>364</v>
      </c>
      <c r="D423">
        <v>51.08</v>
      </c>
      <c r="E423" s="1">
        <v>46133</v>
      </c>
    </row>
    <row r="424" spans="1:5" x14ac:dyDescent="0.25">
      <c r="A424" t="s">
        <v>375</v>
      </c>
      <c r="B424" t="s">
        <v>1109</v>
      </c>
      <c r="C424">
        <v>91</v>
      </c>
      <c r="D424">
        <v>84.06</v>
      </c>
      <c r="E424" s="1">
        <v>46122</v>
      </c>
    </row>
    <row r="425" spans="1:5" x14ac:dyDescent="0.25">
      <c r="A425" t="s">
        <v>376</v>
      </c>
      <c r="B425" t="s">
        <v>1110</v>
      </c>
      <c r="C425">
        <v>337</v>
      </c>
      <c r="D425">
        <v>183.65</v>
      </c>
      <c r="E425" s="1">
        <v>46072</v>
      </c>
    </row>
    <row r="426" spans="1:5" x14ac:dyDescent="0.25">
      <c r="A426" t="s">
        <v>377</v>
      </c>
      <c r="B426" t="s">
        <v>1111</v>
      </c>
      <c r="C426">
        <v>122</v>
      </c>
      <c r="D426">
        <v>191.69</v>
      </c>
      <c r="E426" s="1">
        <v>46094</v>
      </c>
    </row>
    <row r="427" spans="1:5" x14ac:dyDescent="0.25">
      <c r="A427" t="s">
        <v>378</v>
      </c>
      <c r="B427" t="s">
        <v>1112</v>
      </c>
      <c r="C427">
        <v>222</v>
      </c>
      <c r="D427">
        <v>141.88</v>
      </c>
      <c r="E427" s="1">
        <v>46131</v>
      </c>
    </row>
    <row r="428" spans="1:5" x14ac:dyDescent="0.25">
      <c r="A428" t="s">
        <v>1113</v>
      </c>
      <c r="B428" t="s">
        <v>1114</v>
      </c>
      <c r="C428">
        <v>279</v>
      </c>
      <c r="D428">
        <v>92.12</v>
      </c>
      <c r="E428" s="1">
        <v>46069</v>
      </c>
    </row>
    <row r="429" spans="1:5" x14ac:dyDescent="0.25">
      <c r="A429" t="s">
        <v>379</v>
      </c>
      <c r="B429" t="s">
        <v>1115</v>
      </c>
      <c r="C429">
        <v>67</v>
      </c>
      <c r="D429">
        <v>17.04</v>
      </c>
      <c r="E429" s="1">
        <v>46192</v>
      </c>
    </row>
    <row r="430" spans="1:5" x14ac:dyDescent="0.25">
      <c r="A430" t="s">
        <v>380</v>
      </c>
      <c r="B430" t="s">
        <v>1116</v>
      </c>
      <c r="C430">
        <v>284</v>
      </c>
      <c r="D430">
        <v>34.22</v>
      </c>
      <c r="E430" s="1">
        <v>46191</v>
      </c>
    </row>
    <row r="431" spans="1:5" x14ac:dyDescent="0.25">
      <c r="A431" t="s">
        <v>381</v>
      </c>
      <c r="B431" t="s">
        <v>1117</v>
      </c>
      <c r="C431">
        <v>358</v>
      </c>
      <c r="D431">
        <v>45.05</v>
      </c>
      <c r="E431" s="1">
        <v>46074</v>
      </c>
    </row>
    <row r="432" spans="1:5" x14ac:dyDescent="0.25">
      <c r="A432" t="s">
        <v>382</v>
      </c>
      <c r="B432" t="s">
        <v>1118</v>
      </c>
      <c r="C432">
        <v>238</v>
      </c>
      <c r="D432">
        <v>162.69</v>
      </c>
      <c r="E432" s="1">
        <v>46166</v>
      </c>
    </row>
    <row r="433" spans="1:5" x14ac:dyDescent="0.25">
      <c r="A433" t="s">
        <v>383</v>
      </c>
      <c r="B433" t="s">
        <v>1119</v>
      </c>
      <c r="C433">
        <v>243</v>
      </c>
      <c r="D433">
        <v>127.17</v>
      </c>
      <c r="E433" s="1">
        <v>46153</v>
      </c>
    </row>
    <row r="434" spans="1:5" x14ac:dyDescent="0.25">
      <c r="A434" t="s">
        <v>384</v>
      </c>
      <c r="B434" t="s">
        <v>1120</v>
      </c>
      <c r="C434">
        <v>380</v>
      </c>
      <c r="D434">
        <v>9.25</v>
      </c>
      <c r="E434" s="1">
        <v>46107</v>
      </c>
    </row>
    <row r="435" spans="1:5" x14ac:dyDescent="0.25">
      <c r="A435" t="s">
        <v>385</v>
      </c>
      <c r="B435" t="s">
        <v>1121</v>
      </c>
      <c r="C435">
        <v>306</v>
      </c>
      <c r="D435">
        <v>19.239999999999998</v>
      </c>
      <c r="E435" s="1">
        <v>46102</v>
      </c>
    </row>
    <row r="436" spans="1:5" x14ac:dyDescent="0.25">
      <c r="A436" t="s">
        <v>1122</v>
      </c>
      <c r="B436" t="s">
        <v>1123</v>
      </c>
      <c r="C436">
        <v>287</v>
      </c>
      <c r="D436">
        <v>198.85</v>
      </c>
      <c r="E436" s="1">
        <v>46064</v>
      </c>
    </row>
    <row r="437" spans="1:5" x14ac:dyDescent="0.25">
      <c r="A437" t="s">
        <v>386</v>
      </c>
      <c r="B437" t="s">
        <v>1124</v>
      </c>
      <c r="C437">
        <v>219</v>
      </c>
      <c r="D437">
        <v>40.1</v>
      </c>
      <c r="E437" s="1">
        <v>46115</v>
      </c>
    </row>
    <row r="438" spans="1:5" x14ac:dyDescent="0.25">
      <c r="A438" t="s">
        <v>387</v>
      </c>
      <c r="B438" t="s">
        <v>1125</v>
      </c>
      <c r="C438">
        <v>239</v>
      </c>
      <c r="D438">
        <v>174.58</v>
      </c>
      <c r="E438" s="1">
        <v>46142</v>
      </c>
    </row>
    <row r="439" spans="1:5" x14ac:dyDescent="0.25">
      <c r="A439" t="s">
        <v>1126</v>
      </c>
      <c r="B439" t="s">
        <v>1127</v>
      </c>
      <c r="C439">
        <v>78</v>
      </c>
      <c r="D439">
        <v>132.44</v>
      </c>
      <c r="E439" s="1">
        <v>46175</v>
      </c>
    </row>
    <row r="440" spans="1:5" x14ac:dyDescent="0.25">
      <c r="A440" t="s">
        <v>388</v>
      </c>
      <c r="B440" t="s">
        <v>1128</v>
      </c>
      <c r="C440">
        <v>211</v>
      </c>
      <c r="D440">
        <v>108.12</v>
      </c>
      <c r="E440" s="1">
        <v>46173</v>
      </c>
    </row>
    <row r="441" spans="1:5" x14ac:dyDescent="0.25">
      <c r="A441" t="s">
        <v>389</v>
      </c>
      <c r="B441" t="s">
        <v>1129</v>
      </c>
      <c r="C441">
        <v>162</v>
      </c>
      <c r="D441">
        <v>95.29</v>
      </c>
      <c r="E441" s="1">
        <v>46050</v>
      </c>
    </row>
    <row r="442" spans="1:5" x14ac:dyDescent="0.25">
      <c r="A442" t="s">
        <v>390</v>
      </c>
      <c r="B442" t="s">
        <v>1130</v>
      </c>
      <c r="C442">
        <v>431</v>
      </c>
      <c r="D442">
        <v>49.78</v>
      </c>
      <c r="E442" s="1">
        <v>46140</v>
      </c>
    </row>
    <row r="443" spans="1:5" x14ac:dyDescent="0.25">
      <c r="A443" t="s">
        <v>391</v>
      </c>
      <c r="B443" t="s">
        <v>1131</v>
      </c>
      <c r="C443">
        <v>106</v>
      </c>
      <c r="D443">
        <v>187.8</v>
      </c>
      <c r="E443" s="1">
        <v>46107</v>
      </c>
    </row>
    <row r="444" spans="1:5" x14ac:dyDescent="0.25">
      <c r="A444" t="s">
        <v>392</v>
      </c>
      <c r="B444" t="s">
        <v>1132</v>
      </c>
      <c r="C444">
        <v>324</v>
      </c>
      <c r="D444">
        <v>154.38</v>
      </c>
      <c r="E444" s="1">
        <v>46144</v>
      </c>
    </row>
    <row r="445" spans="1:5" x14ac:dyDescent="0.25">
      <c r="A445" t="s">
        <v>393</v>
      </c>
      <c r="B445" t="s">
        <v>1133</v>
      </c>
      <c r="C445">
        <v>61</v>
      </c>
      <c r="D445">
        <v>130.35</v>
      </c>
      <c r="E445" s="1">
        <v>46049</v>
      </c>
    </row>
    <row r="446" spans="1:5" x14ac:dyDescent="0.25">
      <c r="A446" t="s">
        <v>394</v>
      </c>
      <c r="B446" t="s">
        <v>1134</v>
      </c>
      <c r="C446">
        <v>215</v>
      </c>
      <c r="D446">
        <v>90.6</v>
      </c>
      <c r="E446" s="1">
        <v>46048</v>
      </c>
    </row>
    <row r="447" spans="1:5" x14ac:dyDescent="0.25">
      <c r="A447" t="s">
        <v>1135</v>
      </c>
      <c r="B447" t="s">
        <v>1136</v>
      </c>
      <c r="C447">
        <v>267</v>
      </c>
      <c r="D447">
        <v>198.73</v>
      </c>
      <c r="E447" s="1">
        <v>46077</v>
      </c>
    </row>
    <row r="448" spans="1:5" x14ac:dyDescent="0.25">
      <c r="A448" t="s">
        <v>395</v>
      </c>
      <c r="B448" t="s">
        <v>1137</v>
      </c>
      <c r="C448">
        <v>131</v>
      </c>
      <c r="D448">
        <v>73.97</v>
      </c>
      <c r="E448" s="1">
        <v>46131</v>
      </c>
    </row>
    <row r="449" spans="1:5" x14ac:dyDescent="0.25">
      <c r="A449" t="s">
        <v>396</v>
      </c>
      <c r="B449" t="s">
        <v>1138</v>
      </c>
      <c r="C449">
        <v>163</v>
      </c>
      <c r="D449">
        <v>58.66</v>
      </c>
      <c r="E449" s="1">
        <v>46145</v>
      </c>
    </row>
    <row r="450" spans="1:5" x14ac:dyDescent="0.25">
      <c r="A450" t="s">
        <v>397</v>
      </c>
      <c r="B450" t="s">
        <v>1139</v>
      </c>
      <c r="C450">
        <v>294</v>
      </c>
      <c r="D450">
        <v>101.65</v>
      </c>
      <c r="E450" s="1">
        <v>46154</v>
      </c>
    </row>
    <row r="451" spans="1:5" x14ac:dyDescent="0.25">
      <c r="A451" t="s">
        <v>398</v>
      </c>
      <c r="B451" t="s">
        <v>1140</v>
      </c>
      <c r="C451">
        <v>366</v>
      </c>
      <c r="D451">
        <v>86.18</v>
      </c>
      <c r="E451" s="1">
        <v>46122</v>
      </c>
    </row>
    <row r="452" spans="1:5" x14ac:dyDescent="0.25">
      <c r="A452" t="s">
        <v>399</v>
      </c>
      <c r="B452" t="s">
        <v>1141</v>
      </c>
      <c r="C452">
        <v>396</v>
      </c>
      <c r="D452">
        <v>109.9</v>
      </c>
      <c r="E452" s="1">
        <v>46084</v>
      </c>
    </row>
    <row r="453" spans="1:5" x14ac:dyDescent="0.25">
      <c r="A453" t="s">
        <v>400</v>
      </c>
      <c r="B453" t="s">
        <v>1142</v>
      </c>
      <c r="C453">
        <v>422</v>
      </c>
      <c r="D453">
        <v>95.29</v>
      </c>
      <c r="E453" s="1">
        <v>46084</v>
      </c>
    </row>
    <row r="454" spans="1:5" x14ac:dyDescent="0.25">
      <c r="A454" t="s">
        <v>1143</v>
      </c>
      <c r="B454" t="s">
        <v>1144</v>
      </c>
      <c r="C454">
        <v>281</v>
      </c>
      <c r="D454">
        <v>31.15</v>
      </c>
      <c r="E454" s="1">
        <v>46187</v>
      </c>
    </row>
    <row r="455" spans="1:5" x14ac:dyDescent="0.25">
      <c r="A455" t="s">
        <v>401</v>
      </c>
      <c r="B455" t="s">
        <v>1145</v>
      </c>
      <c r="C455">
        <v>341</v>
      </c>
      <c r="D455">
        <v>20.420000000000002</v>
      </c>
      <c r="E455" s="1">
        <v>46126</v>
      </c>
    </row>
    <row r="456" spans="1:5" x14ac:dyDescent="0.25">
      <c r="A456" t="s">
        <v>402</v>
      </c>
      <c r="B456" t="s">
        <v>1146</v>
      </c>
      <c r="C456">
        <v>380</v>
      </c>
      <c r="D456">
        <v>166.73</v>
      </c>
      <c r="E456" s="1">
        <v>46174</v>
      </c>
    </row>
    <row r="457" spans="1:5" x14ac:dyDescent="0.25">
      <c r="A457" t="s">
        <v>403</v>
      </c>
      <c r="B457" t="s">
        <v>1147</v>
      </c>
      <c r="C457">
        <v>457</v>
      </c>
      <c r="D457">
        <v>19.190000000000001</v>
      </c>
      <c r="E457" s="1">
        <v>46046</v>
      </c>
    </row>
    <row r="458" spans="1:5" x14ac:dyDescent="0.25">
      <c r="A458" t="s">
        <v>404</v>
      </c>
      <c r="B458" t="s">
        <v>1148</v>
      </c>
      <c r="C458">
        <v>455</v>
      </c>
      <c r="D458">
        <v>181.87</v>
      </c>
      <c r="E458" s="1">
        <v>46091</v>
      </c>
    </row>
    <row r="459" spans="1:5" x14ac:dyDescent="0.25">
      <c r="A459" t="s">
        <v>405</v>
      </c>
      <c r="B459" t="s">
        <v>1149</v>
      </c>
      <c r="C459">
        <v>389</v>
      </c>
      <c r="D459">
        <v>27.88</v>
      </c>
      <c r="E459" s="1">
        <v>46094</v>
      </c>
    </row>
    <row r="460" spans="1:5" x14ac:dyDescent="0.25">
      <c r="A460" t="s">
        <v>406</v>
      </c>
      <c r="B460" t="s">
        <v>1150</v>
      </c>
      <c r="C460">
        <v>213</v>
      </c>
      <c r="D460">
        <v>183.45</v>
      </c>
      <c r="E460" s="1">
        <v>46098</v>
      </c>
    </row>
    <row r="461" spans="1:5" x14ac:dyDescent="0.25">
      <c r="A461" t="s">
        <v>407</v>
      </c>
      <c r="B461" t="s">
        <v>1151</v>
      </c>
      <c r="C461">
        <v>248</v>
      </c>
      <c r="D461">
        <v>109.06</v>
      </c>
      <c r="E461" s="1">
        <v>46142</v>
      </c>
    </row>
    <row r="462" spans="1:5" x14ac:dyDescent="0.25">
      <c r="A462" t="s">
        <v>408</v>
      </c>
      <c r="B462" t="s">
        <v>1152</v>
      </c>
      <c r="C462">
        <v>272</v>
      </c>
      <c r="D462">
        <v>177.15</v>
      </c>
      <c r="E462" s="1">
        <v>46131</v>
      </c>
    </row>
    <row r="463" spans="1:5" x14ac:dyDescent="0.25">
      <c r="A463" t="s">
        <v>409</v>
      </c>
      <c r="B463" t="s">
        <v>1153</v>
      </c>
      <c r="C463">
        <v>399</v>
      </c>
      <c r="D463">
        <v>168.75</v>
      </c>
      <c r="E463" s="1">
        <v>46160</v>
      </c>
    </row>
    <row r="464" spans="1:5" x14ac:dyDescent="0.25">
      <c r="A464" t="s">
        <v>409</v>
      </c>
      <c r="B464" t="s">
        <v>1154</v>
      </c>
      <c r="C464">
        <v>399</v>
      </c>
      <c r="D464">
        <v>168.75</v>
      </c>
      <c r="E464" s="1">
        <v>46165</v>
      </c>
    </row>
    <row r="465" spans="1:5" x14ac:dyDescent="0.25">
      <c r="A465" t="s">
        <v>410</v>
      </c>
      <c r="B465" t="s">
        <v>1155</v>
      </c>
      <c r="C465">
        <v>33</v>
      </c>
      <c r="D465">
        <v>114.69</v>
      </c>
      <c r="E465" s="1">
        <v>46143</v>
      </c>
    </row>
    <row r="466" spans="1:5" x14ac:dyDescent="0.25">
      <c r="A466" t="s">
        <v>411</v>
      </c>
      <c r="B466" t="s">
        <v>1156</v>
      </c>
      <c r="C466">
        <v>293</v>
      </c>
      <c r="D466">
        <v>187.28</v>
      </c>
      <c r="E466" s="1">
        <v>46114</v>
      </c>
    </row>
    <row r="467" spans="1:5" x14ac:dyDescent="0.25">
      <c r="A467" t="s">
        <v>412</v>
      </c>
      <c r="B467" t="s">
        <v>1157</v>
      </c>
      <c r="C467">
        <v>110</v>
      </c>
      <c r="D467">
        <v>69.319999999999993</v>
      </c>
      <c r="E467" s="1">
        <v>46082</v>
      </c>
    </row>
    <row r="468" spans="1:5" x14ac:dyDescent="0.25">
      <c r="A468" t="s">
        <v>413</v>
      </c>
      <c r="B468" t="s">
        <v>1158</v>
      </c>
      <c r="C468">
        <v>345</v>
      </c>
      <c r="D468">
        <v>188.98</v>
      </c>
      <c r="E468" s="1">
        <v>46178</v>
      </c>
    </row>
    <row r="469" spans="1:5" x14ac:dyDescent="0.25">
      <c r="A469" t="s">
        <v>414</v>
      </c>
      <c r="B469" t="s">
        <v>1159</v>
      </c>
      <c r="C469">
        <v>245</v>
      </c>
      <c r="D469">
        <v>44.93</v>
      </c>
      <c r="E469" s="1">
        <v>46165</v>
      </c>
    </row>
    <row r="470" spans="1:5" x14ac:dyDescent="0.25">
      <c r="A470" t="s">
        <v>415</v>
      </c>
      <c r="B470" t="s">
        <v>1160</v>
      </c>
      <c r="C470">
        <v>260</v>
      </c>
      <c r="D470">
        <v>40.89</v>
      </c>
      <c r="E470" s="1">
        <v>46175</v>
      </c>
    </row>
    <row r="471" spans="1:5" x14ac:dyDescent="0.25">
      <c r="A471" t="s">
        <v>416</v>
      </c>
      <c r="B471" t="s">
        <v>1161</v>
      </c>
      <c r="C471">
        <v>439</v>
      </c>
      <c r="D471">
        <v>170.11</v>
      </c>
      <c r="E471" s="1">
        <v>46043</v>
      </c>
    </row>
    <row r="472" spans="1:5" x14ac:dyDescent="0.25">
      <c r="A472" t="s">
        <v>417</v>
      </c>
      <c r="B472" t="s">
        <v>1162</v>
      </c>
      <c r="C472">
        <v>80</v>
      </c>
      <c r="D472">
        <v>169.3</v>
      </c>
      <c r="E472" s="1">
        <v>46141</v>
      </c>
    </row>
    <row r="473" spans="1:5" x14ac:dyDescent="0.25">
      <c r="A473" t="s">
        <v>418</v>
      </c>
      <c r="B473" t="s">
        <v>1163</v>
      </c>
      <c r="C473">
        <v>14</v>
      </c>
      <c r="D473">
        <v>47.65</v>
      </c>
      <c r="E473" s="1">
        <v>46084</v>
      </c>
    </row>
    <row r="474" spans="1:5" x14ac:dyDescent="0.25">
      <c r="A474" t="s">
        <v>1164</v>
      </c>
      <c r="B474" t="s">
        <v>1165</v>
      </c>
      <c r="C474">
        <v>347</v>
      </c>
      <c r="D474">
        <v>100.13</v>
      </c>
      <c r="E474" s="1">
        <v>46165</v>
      </c>
    </row>
    <row r="475" spans="1:5" x14ac:dyDescent="0.25">
      <c r="A475" t="s">
        <v>419</v>
      </c>
      <c r="B475" t="s">
        <v>1166</v>
      </c>
      <c r="C475">
        <v>281</v>
      </c>
      <c r="D475">
        <v>145.83000000000001</v>
      </c>
      <c r="E475" s="1">
        <v>46042</v>
      </c>
    </row>
    <row r="476" spans="1:5" x14ac:dyDescent="0.25">
      <c r="A476" t="s">
        <v>420</v>
      </c>
      <c r="B476" t="s">
        <v>1167</v>
      </c>
      <c r="C476">
        <v>426</v>
      </c>
      <c r="D476">
        <v>141.08000000000001</v>
      </c>
      <c r="E476" s="1">
        <v>46166</v>
      </c>
    </row>
    <row r="477" spans="1:5" x14ac:dyDescent="0.25">
      <c r="A477" t="s">
        <v>421</v>
      </c>
      <c r="B477" t="s">
        <v>1168</v>
      </c>
      <c r="C477">
        <v>278</v>
      </c>
      <c r="D477">
        <v>34.04</v>
      </c>
      <c r="E477" s="1">
        <v>46071</v>
      </c>
    </row>
    <row r="478" spans="1:5" x14ac:dyDescent="0.25">
      <c r="A478" t="s">
        <v>422</v>
      </c>
      <c r="B478" t="s">
        <v>1169</v>
      </c>
      <c r="C478">
        <v>146</v>
      </c>
      <c r="D478">
        <v>160.01</v>
      </c>
      <c r="E478" s="1">
        <v>46132</v>
      </c>
    </row>
    <row r="479" spans="1:5" x14ac:dyDescent="0.25">
      <c r="A479" t="s">
        <v>422</v>
      </c>
      <c r="B479" t="s">
        <v>1170</v>
      </c>
      <c r="C479">
        <v>146</v>
      </c>
      <c r="D479">
        <v>160.01</v>
      </c>
      <c r="E479" s="1">
        <v>46133</v>
      </c>
    </row>
    <row r="480" spans="1:5" x14ac:dyDescent="0.25">
      <c r="A480" t="s">
        <v>423</v>
      </c>
      <c r="B480" t="s">
        <v>1171</v>
      </c>
      <c r="C480">
        <v>299</v>
      </c>
      <c r="D480">
        <v>52.43</v>
      </c>
      <c r="E480" s="1">
        <v>46159</v>
      </c>
    </row>
    <row r="481" spans="1:5" x14ac:dyDescent="0.25">
      <c r="A481" t="s">
        <v>424</v>
      </c>
      <c r="B481" t="s">
        <v>1172</v>
      </c>
      <c r="C481">
        <v>344</v>
      </c>
      <c r="D481">
        <v>198.38</v>
      </c>
      <c r="E481" s="1">
        <v>46051</v>
      </c>
    </row>
    <row r="482" spans="1:5" x14ac:dyDescent="0.25">
      <c r="A482" t="s">
        <v>425</v>
      </c>
      <c r="B482" t="s">
        <v>1173</v>
      </c>
      <c r="C482">
        <v>204</v>
      </c>
      <c r="D482">
        <v>78.55</v>
      </c>
      <c r="E482" s="1">
        <v>46139</v>
      </c>
    </row>
    <row r="483" spans="1:5" x14ac:dyDescent="0.25">
      <c r="A483" t="s">
        <v>426</v>
      </c>
      <c r="B483" t="s">
        <v>1174</v>
      </c>
      <c r="C483">
        <v>369</v>
      </c>
      <c r="D483">
        <v>38.42</v>
      </c>
      <c r="E483" s="1">
        <v>46048</v>
      </c>
    </row>
    <row r="484" spans="1:5" x14ac:dyDescent="0.25">
      <c r="A484" t="s">
        <v>427</v>
      </c>
      <c r="B484" t="s">
        <v>1175</v>
      </c>
      <c r="C484">
        <v>299</v>
      </c>
      <c r="D484">
        <v>195.58</v>
      </c>
      <c r="E484" s="1">
        <v>46135</v>
      </c>
    </row>
    <row r="485" spans="1:5" x14ac:dyDescent="0.25">
      <c r="A485" t="s">
        <v>428</v>
      </c>
      <c r="B485" t="s">
        <v>1176</v>
      </c>
      <c r="C485">
        <v>118</v>
      </c>
      <c r="D485">
        <v>180.75</v>
      </c>
      <c r="E485" s="1">
        <v>46103</v>
      </c>
    </row>
    <row r="486" spans="1:5" x14ac:dyDescent="0.25">
      <c r="A486" t="s">
        <v>429</v>
      </c>
      <c r="B486" t="s">
        <v>1177</v>
      </c>
      <c r="C486">
        <v>483</v>
      </c>
      <c r="D486">
        <v>19.5</v>
      </c>
      <c r="E486" s="1">
        <v>46046</v>
      </c>
    </row>
    <row r="487" spans="1:5" x14ac:dyDescent="0.25">
      <c r="A487" t="s">
        <v>1178</v>
      </c>
      <c r="B487" t="s">
        <v>1179</v>
      </c>
      <c r="C487">
        <v>18</v>
      </c>
      <c r="D487">
        <v>192.49</v>
      </c>
      <c r="E487" s="1">
        <v>46116</v>
      </c>
    </row>
    <row r="488" spans="1:5" x14ac:dyDescent="0.25">
      <c r="A488" t="s">
        <v>430</v>
      </c>
      <c r="B488" t="s">
        <v>1180</v>
      </c>
      <c r="C488">
        <v>485</v>
      </c>
      <c r="D488">
        <v>20</v>
      </c>
      <c r="E488" s="1">
        <v>46141</v>
      </c>
    </row>
    <row r="489" spans="1:5" x14ac:dyDescent="0.25">
      <c r="A489" t="s">
        <v>430</v>
      </c>
      <c r="B489" t="s">
        <v>1181</v>
      </c>
      <c r="C489">
        <v>485</v>
      </c>
      <c r="D489">
        <v>20</v>
      </c>
      <c r="E489" s="1">
        <v>46143</v>
      </c>
    </row>
    <row r="490" spans="1:5" x14ac:dyDescent="0.25">
      <c r="A490" t="s">
        <v>431</v>
      </c>
      <c r="B490" t="s">
        <v>1182</v>
      </c>
      <c r="C490">
        <v>356</v>
      </c>
      <c r="D490">
        <v>179.82</v>
      </c>
      <c r="E490" s="1">
        <v>46140</v>
      </c>
    </row>
    <row r="491" spans="1:5" x14ac:dyDescent="0.25">
      <c r="A491" t="s">
        <v>432</v>
      </c>
      <c r="B491" t="s">
        <v>1183</v>
      </c>
      <c r="C491">
        <v>414</v>
      </c>
      <c r="D491">
        <v>197.75</v>
      </c>
      <c r="E491" s="1">
        <v>46072</v>
      </c>
    </row>
    <row r="492" spans="1:5" x14ac:dyDescent="0.25">
      <c r="A492" t="s">
        <v>433</v>
      </c>
      <c r="B492" t="s">
        <v>1184</v>
      </c>
      <c r="C492">
        <v>37</v>
      </c>
      <c r="D492">
        <v>24.05</v>
      </c>
      <c r="E492" s="1">
        <v>46125</v>
      </c>
    </row>
    <row r="493" spans="1:5" x14ac:dyDescent="0.25">
      <c r="A493" t="s">
        <v>434</v>
      </c>
      <c r="B493" t="s">
        <v>1185</v>
      </c>
      <c r="C493">
        <v>406</v>
      </c>
      <c r="D493">
        <v>68.64</v>
      </c>
      <c r="E493" s="1">
        <v>46140</v>
      </c>
    </row>
    <row r="494" spans="1:5" x14ac:dyDescent="0.25">
      <c r="A494" t="s">
        <v>435</v>
      </c>
      <c r="B494" t="s">
        <v>1186</v>
      </c>
      <c r="C494">
        <v>126</v>
      </c>
      <c r="D494">
        <v>74.38</v>
      </c>
      <c r="E494" s="1">
        <v>46168</v>
      </c>
    </row>
    <row r="495" spans="1:5" x14ac:dyDescent="0.25">
      <c r="A495" t="s">
        <v>1187</v>
      </c>
      <c r="B495" t="s">
        <v>1188</v>
      </c>
      <c r="C495">
        <v>348</v>
      </c>
      <c r="D495">
        <v>79.11</v>
      </c>
      <c r="E495" s="1">
        <v>46189</v>
      </c>
    </row>
    <row r="496" spans="1:5" x14ac:dyDescent="0.25">
      <c r="A496" t="s">
        <v>436</v>
      </c>
      <c r="B496" t="s">
        <v>1189</v>
      </c>
      <c r="C496">
        <v>52</v>
      </c>
      <c r="D496">
        <v>57.25</v>
      </c>
      <c r="E496" s="1">
        <v>46054</v>
      </c>
    </row>
    <row r="497" spans="1:5" x14ac:dyDescent="0.25">
      <c r="A497" t="s">
        <v>437</v>
      </c>
      <c r="B497" t="s">
        <v>1190</v>
      </c>
      <c r="C497">
        <v>172</v>
      </c>
      <c r="D497">
        <v>75.34</v>
      </c>
      <c r="E497" s="1">
        <v>46134</v>
      </c>
    </row>
    <row r="498" spans="1:5" x14ac:dyDescent="0.25">
      <c r="A498" t="s">
        <v>1191</v>
      </c>
      <c r="B498" t="s">
        <v>1192</v>
      </c>
      <c r="C498">
        <v>194</v>
      </c>
      <c r="D498">
        <v>153.46</v>
      </c>
      <c r="E498" s="1">
        <v>46147</v>
      </c>
    </row>
    <row r="499" spans="1:5" x14ac:dyDescent="0.25">
      <c r="A499" t="s">
        <v>438</v>
      </c>
      <c r="B499" t="s">
        <v>1193</v>
      </c>
      <c r="C499">
        <v>230</v>
      </c>
      <c r="D499">
        <v>92.52</v>
      </c>
      <c r="E499" s="1">
        <v>46096</v>
      </c>
    </row>
    <row r="500" spans="1:5" x14ac:dyDescent="0.25">
      <c r="A500" t="s">
        <v>439</v>
      </c>
      <c r="B500" t="s">
        <v>1194</v>
      </c>
      <c r="C500">
        <v>23</v>
      </c>
      <c r="D500">
        <v>22.48</v>
      </c>
      <c r="E500" s="1">
        <v>46058</v>
      </c>
    </row>
    <row r="501" spans="1:5" x14ac:dyDescent="0.25">
      <c r="A501" t="s">
        <v>440</v>
      </c>
      <c r="B501" t="s">
        <v>1195</v>
      </c>
      <c r="C501">
        <v>452</v>
      </c>
      <c r="D501">
        <v>80.12</v>
      </c>
      <c r="E501" s="1">
        <v>46132</v>
      </c>
    </row>
    <row r="502" spans="1:5" x14ac:dyDescent="0.25">
      <c r="A502" t="s">
        <v>441</v>
      </c>
      <c r="B502" t="s">
        <v>1196</v>
      </c>
      <c r="C502">
        <v>381</v>
      </c>
      <c r="D502">
        <v>180.72</v>
      </c>
      <c r="E502" s="1">
        <v>46066</v>
      </c>
    </row>
    <row r="503" spans="1:5" x14ac:dyDescent="0.25">
      <c r="A503" t="s">
        <v>442</v>
      </c>
      <c r="B503" t="s">
        <v>1197</v>
      </c>
      <c r="C503">
        <v>96</v>
      </c>
      <c r="D503">
        <v>32.07</v>
      </c>
      <c r="E503" s="1">
        <v>46134</v>
      </c>
    </row>
    <row r="504" spans="1:5" x14ac:dyDescent="0.25">
      <c r="A504" t="s">
        <v>443</v>
      </c>
      <c r="B504" t="s">
        <v>1198</v>
      </c>
      <c r="C504">
        <v>42</v>
      </c>
      <c r="D504">
        <v>37.61</v>
      </c>
      <c r="E504" s="1">
        <v>46079</v>
      </c>
    </row>
    <row r="505" spans="1:5" x14ac:dyDescent="0.25">
      <c r="A505" t="s">
        <v>444</v>
      </c>
      <c r="B505" t="s">
        <v>1199</v>
      </c>
      <c r="C505">
        <v>410</v>
      </c>
      <c r="D505">
        <v>20</v>
      </c>
      <c r="E505" s="1">
        <v>46159</v>
      </c>
    </row>
    <row r="506" spans="1:5" x14ac:dyDescent="0.25">
      <c r="A506" t="s">
        <v>445</v>
      </c>
      <c r="B506" t="s">
        <v>1200</v>
      </c>
      <c r="C506">
        <v>314</v>
      </c>
      <c r="D506">
        <v>125.25</v>
      </c>
      <c r="E506" s="1">
        <v>46162</v>
      </c>
    </row>
    <row r="507" spans="1:5" x14ac:dyDescent="0.25">
      <c r="A507" t="s">
        <v>446</v>
      </c>
      <c r="B507" t="s">
        <v>1201</v>
      </c>
      <c r="C507">
        <v>13</v>
      </c>
      <c r="D507">
        <v>190.02</v>
      </c>
      <c r="E507" s="1">
        <v>46123</v>
      </c>
    </row>
    <row r="508" spans="1:5" x14ac:dyDescent="0.25">
      <c r="A508" t="s">
        <v>447</v>
      </c>
      <c r="B508" t="s">
        <v>1202</v>
      </c>
      <c r="C508">
        <v>181</v>
      </c>
      <c r="D508">
        <v>88.97</v>
      </c>
      <c r="E508" s="1">
        <v>46150</v>
      </c>
    </row>
    <row r="509" spans="1:5" x14ac:dyDescent="0.25">
      <c r="A509" t="s">
        <v>448</v>
      </c>
      <c r="B509" t="s">
        <v>1203</v>
      </c>
      <c r="C509">
        <v>318</v>
      </c>
      <c r="D509">
        <v>189.72</v>
      </c>
      <c r="E509" s="1">
        <v>46131</v>
      </c>
    </row>
    <row r="510" spans="1:5" x14ac:dyDescent="0.25">
      <c r="A510" t="s">
        <v>449</v>
      </c>
      <c r="B510" t="s">
        <v>1204</v>
      </c>
      <c r="C510">
        <v>213</v>
      </c>
      <c r="D510">
        <v>193.9</v>
      </c>
      <c r="E510" s="1">
        <v>46089</v>
      </c>
    </row>
    <row r="511" spans="1:5" x14ac:dyDescent="0.25">
      <c r="A511" t="s">
        <v>450</v>
      </c>
      <c r="B511" t="s">
        <v>1205</v>
      </c>
      <c r="C511">
        <v>176</v>
      </c>
      <c r="D511">
        <v>78.33</v>
      </c>
      <c r="E511" s="1">
        <v>46103</v>
      </c>
    </row>
    <row r="512" spans="1:5" x14ac:dyDescent="0.25">
      <c r="A512" t="s">
        <v>450</v>
      </c>
      <c r="B512" t="s">
        <v>1206</v>
      </c>
      <c r="C512">
        <v>176</v>
      </c>
      <c r="D512">
        <v>78.33</v>
      </c>
      <c r="E512" s="1">
        <v>46107</v>
      </c>
    </row>
    <row r="513" spans="1:5" x14ac:dyDescent="0.25">
      <c r="A513" t="s">
        <v>451</v>
      </c>
      <c r="B513" t="s">
        <v>1207</v>
      </c>
      <c r="C513">
        <v>112</v>
      </c>
      <c r="D513">
        <v>120.48</v>
      </c>
      <c r="E513" s="1">
        <v>46180</v>
      </c>
    </row>
    <row r="514" spans="1:5" x14ac:dyDescent="0.25">
      <c r="A514" t="s">
        <v>451</v>
      </c>
      <c r="B514" t="s">
        <v>1208</v>
      </c>
      <c r="C514">
        <v>112</v>
      </c>
      <c r="D514">
        <v>120.48</v>
      </c>
      <c r="E514" s="1">
        <v>46181</v>
      </c>
    </row>
    <row r="515" spans="1:5" x14ac:dyDescent="0.25">
      <c r="A515" t="s">
        <v>452</v>
      </c>
      <c r="B515" t="s">
        <v>1209</v>
      </c>
      <c r="C515">
        <v>23</v>
      </c>
      <c r="D515">
        <v>190.84</v>
      </c>
      <c r="E515" s="1">
        <v>46179</v>
      </c>
    </row>
    <row r="516" spans="1:5" x14ac:dyDescent="0.25">
      <c r="A516" t="s">
        <v>453</v>
      </c>
      <c r="B516" t="s">
        <v>1210</v>
      </c>
      <c r="C516">
        <v>435</v>
      </c>
      <c r="D516">
        <v>140.1</v>
      </c>
      <c r="E516" s="1">
        <v>46121</v>
      </c>
    </row>
    <row r="517" spans="1:5" x14ac:dyDescent="0.25">
      <c r="A517" t="s">
        <v>454</v>
      </c>
      <c r="B517" t="s">
        <v>1211</v>
      </c>
      <c r="C517">
        <v>133</v>
      </c>
      <c r="D517">
        <v>54.27</v>
      </c>
      <c r="E517" s="1">
        <v>46126</v>
      </c>
    </row>
    <row r="518" spans="1:5" x14ac:dyDescent="0.25">
      <c r="A518" t="s">
        <v>455</v>
      </c>
      <c r="B518" t="s">
        <v>1212</v>
      </c>
      <c r="C518">
        <v>239</v>
      </c>
      <c r="D518">
        <v>198.19</v>
      </c>
      <c r="E518" s="1">
        <v>46059</v>
      </c>
    </row>
    <row r="519" spans="1:5" x14ac:dyDescent="0.25">
      <c r="A519" t="s">
        <v>456</v>
      </c>
      <c r="B519" t="s">
        <v>1213</v>
      </c>
      <c r="C519">
        <v>482</v>
      </c>
      <c r="D519">
        <v>184.48</v>
      </c>
      <c r="E519" s="1">
        <v>46176</v>
      </c>
    </row>
    <row r="520" spans="1:5" x14ac:dyDescent="0.25">
      <c r="A520" t="s">
        <v>456</v>
      </c>
      <c r="B520" t="s">
        <v>1214</v>
      </c>
      <c r="C520">
        <v>482</v>
      </c>
      <c r="D520">
        <v>184.48</v>
      </c>
      <c r="E520" s="1">
        <v>46179</v>
      </c>
    </row>
    <row r="521" spans="1:5" x14ac:dyDescent="0.25">
      <c r="A521" t="s">
        <v>457</v>
      </c>
      <c r="B521" t="s">
        <v>1215</v>
      </c>
      <c r="C521">
        <v>414</v>
      </c>
      <c r="D521">
        <v>193.84</v>
      </c>
      <c r="E521" s="1">
        <v>46045</v>
      </c>
    </row>
    <row r="522" spans="1:5" x14ac:dyDescent="0.25">
      <c r="A522" t="s">
        <v>1216</v>
      </c>
      <c r="B522" t="s">
        <v>1217</v>
      </c>
      <c r="C522">
        <v>346</v>
      </c>
      <c r="D522">
        <v>134.62</v>
      </c>
      <c r="E522" s="1">
        <v>46100</v>
      </c>
    </row>
    <row r="523" spans="1:5" x14ac:dyDescent="0.25">
      <c r="A523" t="s">
        <v>458</v>
      </c>
      <c r="B523" t="s">
        <v>1218</v>
      </c>
      <c r="C523">
        <v>395</v>
      </c>
      <c r="D523">
        <v>69.66</v>
      </c>
      <c r="E523" s="1">
        <v>46135</v>
      </c>
    </row>
    <row r="524" spans="1:5" x14ac:dyDescent="0.25">
      <c r="A524" t="s">
        <v>459</v>
      </c>
      <c r="B524" t="s">
        <v>1219</v>
      </c>
      <c r="C524">
        <v>142</v>
      </c>
      <c r="D524">
        <v>48.29</v>
      </c>
      <c r="E524" s="1">
        <v>46077</v>
      </c>
    </row>
    <row r="525" spans="1:5" x14ac:dyDescent="0.25">
      <c r="A525" t="s">
        <v>460</v>
      </c>
      <c r="B525" t="s">
        <v>1220</v>
      </c>
      <c r="C525">
        <v>362</v>
      </c>
      <c r="D525">
        <v>117.17</v>
      </c>
      <c r="E525" s="1">
        <v>46189</v>
      </c>
    </row>
    <row r="526" spans="1:5" x14ac:dyDescent="0.25">
      <c r="A526" t="s">
        <v>461</v>
      </c>
      <c r="B526" t="s">
        <v>1221</v>
      </c>
      <c r="C526">
        <v>405</v>
      </c>
      <c r="D526">
        <v>137.51</v>
      </c>
      <c r="E526" s="1">
        <v>46166</v>
      </c>
    </row>
    <row r="527" spans="1:5" x14ac:dyDescent="0.25">
      <c r="A527" t="s">
        <v>462</v>
      </c>
      <c r="B527" t="s">
        <v>1222</v>
      </c>
      <c r="C527">
        <v>22</v>
      </c>
      <c r="D527">
        <v>99.14</v>
      </c>
      <c r="E527" s="1">
        <v>46139</v>
      </c>
    </row>
    <row r="528" spans="1:5" x14ac:dyDescent="0.25">
      <c r="A528" t="s">
        <v>1223</v>
      </c>
      <c r="B528" t="s">
        <v>1224</v>
      </c>
      <c r="C528">
        <v>435</v>
      </c>
      <c r="D528">
        <v>188.43</v>
      </c>
      <c r="E528" s="1">
        <v>46069</v>
      </c>
    </row>
    <row r="529" spans="1:5" x14ac:dyDescent="0.25">
      <c r="A529" t="s">
        <v>463</v>
      </c>
      <c r="B529" t="s">
        <v>1225</v>
      </c>
      <c r="C529">
        <v>243</v>
      </c>
      <c r="D529">
        <v>157.93</v>
      </c>
      <c r="E529" s="1">
        <v>46135</v>
      </c>
    </row>
    <row r="530" spans="1:5" x14ac:dyDescent="0.25">
      <c r="A530" t="s">
        <v>464</v>
      </c>
      <c r="B530" t="s">
        <v>1226</v>
      </c>
      <c r="C530">
        <v>59</v>
      </c>
      <c r="D530">
        <v>90.44</v>
      </c>
      <c r="E530" s="1">
        <v>46171</v>
      </c>
    </row>
    <row r="531" spans="1:5" x14ac:dyDescent="0.25">
      <c r="A531" t="s">
        <v>465</v>
      </c>
      <c r="B531" t="s">
        <v>1227</v>
      </c>
      <c r="C531">
        <v>163</v>
      </c>
      <c r="D531">
        <v>13.71</v>
      </c>
      <c r="E531" s="1">
        <v>46050</v>
      </c>
    </row>
    <row r="532" spans="1:5" x14ac:dyDescent="0.25">
      <c r="A532" t="s">
        <v>466</v>
      </c>
      <c r="B532" t="s">
        <v>1228</v>
      </c>
      <c r="C532">
        <v>341</v>
      </c>
      <c r="D532">
        <v>26.33</v>
      </c>
      <c r="E532" s="1">
        <v>46126</v>
      </c>
    </row>
    <row r="533" spans="1:5" x14ac:dyDescent="0.25">
      <c r="A533" t="s">
        <v>467</v>
      </c>
      <c r="B533" t="s">
        <v>1229</v>
      </c>
      <c r="C533">
        <v>292</v>
      </c>
      <c r="D533">
        <v>36.229999999999997</v>
      </c>
      <c r="E533" s="1">
        <v>46087</v>
      </c>
    </row>
    <row r="534" spans="1:5" x14ac:dyDescent="0.25">
      <c r="A534" t="s">
        <v>468</v>
      </c>
      <c r="B534" t="s">
        <v>1230</v>
      </c>
      <c r="C534">
        <v>418</v>
      </c>
      <c r="D534">
        <v>83.98</v>
      </c>
      <c r="E534" s="1">
        <v>46093</v>
      </c>
    </row>
    <row r="535" spans="1:5" x14ac:dyDescent="0.25">
      <c r="A535" t="s">
        <v>469</v>
      </c>
      <c r="B535" t="s">
        <v>1231</v>
      </c>
      <c r="C535">
        <v>212</v>
      </c>
      <c r="D535">
        <v>10.69</v>
      </c>
      <c r="E535" s="1">
        <v>46151</v>
      </c>
    </row>
    <row r="536" spans="1:5" x14ac:dyDescent="0.25">
      <c r="A536" t="s">
        <v>470</v>
      </c>
      <c r="B536" t="s">
        <v>1232</v>
      </c>
      <c r="C536">
        <v>209</v>
      </c>
      <c r="D536">
        <v>5.87</v>
      </c>
      <c r="E536" s="1">
        <v>46148</v>
      </c>
    </row>
    <row r="537" spans="1:5" x14ac:dyDescent="0.25">
      <c r="A537" t="s">
        <v>471</v>
      </c>
      <c r="B537" t="s">
        <v>1233</v>
      </c>
      <c r="C537">
        <v>305</v>
      </c>
      <c r="D537">
        <v>24.84</v>
      </c>
      <c r="E537" s="1">
        <v>46051</v>
      </c>
    </row>
    <row r="538" spans="1:5" x14ac:dyDescent="0.25">
      <c r="A538" t="s">
        <v>472</v>
      </c>
      <c r="B538" t="s">
        <v>1234</v>
      </c>
      <c r="C538">
        <v>110</v>
      </c>
      <c r="D538">
        <v>94.22</v>
      </c>
      <c r="E538" s="1">
        <v>46134</v>
      </c>
    </row>
    <row r="539" spans="1:5" x14ac:dyDescent="0.25">
      <c r="A539" t="s">
        <v>473</v>
      </c>
      <c r="B539" t="s">
        <v>1235</v>
      </c>
      <c r="C539">
        <v>315</v>
      </c>
      <c r="D539">
        <v>80.78</v>
      </c>
      <c r="E539" s="1">
        <v>46115</v>
      </c>
    </row>
    <row r="540" spans="1:5" x14ac:dyDescent="0.25">
      <c r="A540" t="s">
        <v>474</v>
      </c>
      <c r="B540" t="s">
        <v>1236</v>
      </c>
      <c r="C540">
        <v>442</v>
      </c>
      <c r="D540">
        <v>94.28</v>
      </c>
      <c r="E540" s="1">
        <v>46137</v>
      </c>
    </row>
    <row r="541" spans="1:5" x14ac:dyDescent="0.25">
      <c r="A541" t="s">
        <v>475</v>
      </c>
      <c r="B541" t="s">
        <v>1237</v>
      </c>
      <c r="C541">
        <v>354</v>
      </c>
      <c r="D541">
        <v>31.12</v>
      </c>
      <c r="E541" s="1">
        <v>46063</v>
      </c>
    </row>
    <row r="542" spans="1:5" x14ac:dyDescent="0.25">
      <c r="A542" t="s">
        <v>476</v>
      </c>
      <c r="B542" t="s">
        <v>1238</v>
      </c>
      <c r="C542">
        <v>103</v>
      </c>
      <c r="D542">
        <v>77.790000000000006</v>
      </c>
      <c r="E542" s="1">
        <v>46080</v>
      </c>
    </row>
    <row r="543" spans="1:5" x14ac:dyDescent="0.25">
      <c r="A543" t="s">
        <v>477</v>
      </c>
      <c r="B543" t="s">
        <v>1239</v>
      </c>
      <c r="C543">
        <v>315</v>
      </c>
      <c r="D543">
        <v>31.88</v>
      </c>
      <c r="E543" s="1">
        <v>46150</v>
      </c>
    </row>
    <row r="544" spans="1:5" x14ac:dyDescent="0.25">
      <c r="A544" t="s">
        <v>478</v>
      </c>
      <c r="B544" t="s">
        <v>1240</v>
      </c>
      <c r="C544">
        <v>335</v>
      </c>
      <c r="D544">
        <v>109.79</v>
      </c>
      <c r="E544" s="1">
        <v>46163</v>
      </c>
    </row>
    <row r="545" spans="1:5" x14ac:dyDescent="0.25">
      <c r="A545" t="s">
        <v>479</v>
      </c>
      <c r="B545" t="s">
        <v>1241</v>
      </c>
      <c r="C545">
        <v>260</v>
      </c>
      <c r="D545">
        <v>61.32</v>
      </c>
      <c r="E545" s="1">
        <v>46082</v>
      </c>
    </row>
    <row r="546" spans="1:5" x14ac:dyDescent="0.25">
      <c r="A546" t="s">
        <v>480</v>
      </c>
      <c r="B546" t="s">
        <v>1242</v>
      </c>
      <c r="C546">
        <v>453</v>
      </c>
      <c r="D546">
        <v>75.010000000000005</v>
      </c>
      <c r="E546" s="1">
        <v>46062</v>
      </c>
    </row>
    <row r="547" spans="1:5" x14ac:dyDescent="0.25">
      <c r="A547" t="s">
        <v>481</v>
      </c>
      <c r="B547" t="s">
        <v>1243</v>
      </c>
      <c r="C547">
        <v>427</v>
      </c>
      <c r="D547">
        <v>79.87</v>
      </c>
      <c r="E547" s="1">
        <v>46094</v>
      </c>
    </row>
    <row r="548" spans="1:5" x14ac:dyDescent="0.25">
      <c r="A548" t="s">
        <v>482</v>
      </c>
      <c r="B548" t="s">
        <v>1244</v>
      </c>
      <c r="C548">
        <v>219</v>
      </c>
      <c r="D548">
        <v>138.52000000000001</v>
      </c>
      <c r="E548" s="1">
        <v>46172</v>
      </c>
    </row>
    <row r="549" spans="1:5" x14ac:dyDescent="0.25">
      <c r="A549" t="s">
        <v>483</v>
      </c>
      <c r="B549" t="s">
        <v>1245</v>
      </c>
      <c r="C549">
        <v>52</v>
      </c>
      <c r="D549">
        <v>115.25</v>
      </c>
      <c r="E549" s="1">
        <v>46083</v>
      </c>
    </row>
    <row r="550" spans="1:5" x14ac:dyDescent="0.25">
      <c r="A550" t="s">
        <v>484</v>
      </c>
      <c r="B550" t="s">
        <v>1246</v>
      </c>
      <c r="C550">
        <v>150</v>
      </c>
      <c r="D550">
        <v>48.84</v>
      </c>
      <c r="E550" s="1">
        <v>46044</v>
      </c>
    </row>
    <row r="551" spans="1:5" x14ac:dyDescent="0.25">
      <c r="A551" t="s">
        <v>485</v>
      </c>
      <c r="B551" t="s">
        <v>1247</v>
      </c>
      <c r="C551">
        <v>390</v>
      </c>
      <c r="D551">
        <v>155.65</v>
      </c>
      <c r="E551" s="1">
        <v>46192</v>
      </c>
    </row>
    <row r="552" spans="1:5" x14ac:dyDescent="0.25">
      <c r="A552" t="s">
        <v>486</v>
      </c>
      <c r="B552" t="s">
        <v>1248</v>
      </c>
      <c r="C552">
        <v>68</v>
      </c>
      <c r="D552">
        <v>67.42</v>
      </c>
      <c r="E552" s="1">
        <v>46191</v>
      </c>
    </row>
    <row r="553" spans="1:5" x14ac:dyDescent="0.25">
      <c r="A553" t="s">
        <v>487</v>
      </c>
      <c r="B553" t="s">
        <v>1249</v>
      </c>
      <c r="C553">
        <v>399</v>
      </c>
      <c r="D553">
        <v>145.19999999999999</v>
      </c>
      <c r="E553" s="1">
        <v>46048</v>
      </c>
    </row>
    <row r="554" spans="1:5" x14ac:dyDescent="0.25">
      <c r="A554" t="s">
        <v>1250</v>
      </c>
      <c r="B554" t="s">
        <v>1251</v>
      </c>
      <c r="C554">
        <v>386</v>
      </c>
      <c r="D554">
        <v>166.86</v>
      </c>
      <c r="E554" s="1">
        <v>46071</v>
      </c>
    </row>
    <row r="555" spans="1:5" x14ac:dyDescent="0.25">
      <c r="A555" t="s">
        <v>488</v>
      </c>
      <c r="B555" t="s">
        <v>1252</v>
      </c>
      <c r="C555">
        <v>240</v>
      </c>
      <c r="D555">
        <v>56.25</v>
      </c>
      <c r="E555" s="1">
        <v>46051</v>
      </c>
    </row>
    <row r="556" spans="1:5" x14ac:dyDescent="0.25">
      <c r="A556" t="s">
        <v>489</v>
      </c>
      <c r="B556" t="s">
        <v>1253</v>
      </c>
      <c r="C556">
        <v>117</v>
      </c>
      <c r="D556">
        <v>163.09</v>
      </c>
      <c r="E556" s="1">
        <v>46101</v>
      </c>
    </row>
    <row r="557" spans="1:5" x14ac:dyDescent="0.25">
      <c r="A557" t="s">
        <v>490</v>
      </c>
      <c r="B557" t="s">
        <v>1254</v>
      </c>
      <c r="C557">
        <v>94</v>
      </c>
      <c r="D557">
        <v>125.15</v>
      </c>
      <c r="E557" s="1">
        <v>46153</v>
      </c>
    </row>
    <row r="558" spans="1:5" x14ac:dyDescent="0.25">
      <c r="A558" t="s">
        <v>491</v>
      </c>
      <c r="B558" t="s">
        <v>1255</v>
      </c>
      <c r="C558">
        <v>189</v>
      </c>
      <c r="D558">
        <v>108.79</v>
      </c>
      <c r="E558" s="1">
        <v>46186</v>
      </c>
    </row>
    <row r="559" spans="1:5" x14ac:dyDescent="0.25">
      <c r="A559" t="s">
        <v>492</v>
      </c>
      <c r="B559" t="s">
        <v>1256</v>
      </c>
      <c r="C559">
        <v>158</v>
      </c>
      <c r="D559">
        <v>116.68</v>
      </c>
      <c r="E559" s="1">
        <v>46106</v>
      </c>
    </row>
    <row r="560" spans="1:5" x14ac:dyDescent="0.25">
      <c r="A560" t="s">
        <v>493</v>
      </c>
      <c r="B560" t="s">
        <v>1257</v>
      </c>
      <c r="C560">
        <v>480</v>
      </c>
      <c r="D560">
        <v>16.559999999999999</v>
      </c>
      <c r="E560" s="1">
        <v>46141</v>
      </c>
    </row>
    <row r="561" spans="1:5" x14ac:dyDescent="0.25">
      <c r="A561" t="s">
        <v>494</v>
      </c>
      <c r="B561" t="s">
        <v>1258</v>
      </c>
      <c r="C561">
        <v>137</v>
      </c>
      <c r="D561">
        <v>33.520000000000003</v>
      </c>
      <c r="E561" s="1">
        <v>46072</v>
      </c>
    </row>
    <row r="562" spans="1:5" x14ac:dyDescent="0.25">
      <c r="A562" t="s">
        <v>495</v>
      </c>
      <c r="B562" t="s">
        <v>1259</v>
      </c>
      <c r="C562">
        <v>260</v>
      </c>
      <c r="D562">
        <v>38.6</v>
      </c>
      <c r="E562" s="1">
        <v>46139</v>
      </c>
    </row>
    <row r="563" spans="1:5" x14ac:dyDescent="0.25">
      <c r="A563" t="s">
        <v>496</v>
      </c>
      <c r="B563" t="s">
        <v>1260</v>
      </c>
      <c r="C563">
        <v>202</v>
      </c>
      <c r="D563">
        <v>93.14</v>
      </c>
      <c r="E563" s="1">
        <v>46141</v>
      </c>
    </row>
    <row r="564" spans="1:5" x14ac:dyDescent="0.25">
      <c r="A564" t="s">
        <v>497</v>
      </c>
      <c r="B564" t="s">
        <v>1261</v>
      </c>
      <c r="C564">
        <v>393</v>
      </c>
      <c r="D564">
        <v>59.25</v>
      </c>
      <c r="E564" s="1">
        <v>46176</v>
      </c>
    </row>
    <row r="565" spans="1:5" x14ac:dyDescent="0.25">
      <c r="A565" t="s">
        <v>498</v>
      </c>
      <c r="B565" t="s">
        <v>1262</v>
      </c>
      <c r="C565">
        <v>307</v>
      </c>
      <c r="D565">
        <v>5.48</v>
      </c>
      <c r="E565" s="1">
        <v>46119</v>
      </c>
    </row>
    <row r="566" spans="1:5" x14ac:dyDescent="0.25">
      <c r="A566" t="s">
        <v>499</v>
      </c>
      <c r="B566" t="s">
        <v>1263</v>
      </c>
      <c r="C566">
        <v>335</v>
      </c>
      <c r="D566">
        <v>134.51</v>
      </c>
      <c r="E566" s="1">
        <v>46153</v>
      </c>
    </row>
    <row r="567" spans="1:5" x14ac:dyDescent="0.25">
      <c r="A567" t="s">
        <v>500</v>
      </c>
      <c r="B567" t="s">
        <v>1264</v>
      </c>
      <c r="C567">
        <v>121</v>
      </c>
      <c r="D567">
        <v>193.79</v>
      </c>
      <c r="E567" s="1">
        <v>46153</v>
      </c>
    </row>
    <row r="568" spans="1:5" x14ac:dyDescent="0.25">
      <c r="A568" t="s">
        <v>501</v>
      </c>
      <c r="B568" t="s">
        <v>1265</v>
      </c>
      <c r="C568">
        <v>434</v>
      </c>
      <c r="D568">
        <v>60.3</v>
      </c>
      <c r="E568" s="1">
        <v>46118</v>
      </c>
    </row>
    <row r="569" spans="1:5" x14ac:dyDescent="0.25">
      <c r="A569" t="s">
        <v>502</v>
      </c>
      <c r="B569" t="s">
        <v>1266</v>
      </c>
      <c r="C569">
        <v>413</v>
      </c>
      <c r="D569">
        <v>72.03</v>
      </c>
      <c r="E569" s="1">
        <v>46155</v>
      </c>
    </row>
    <row r="570" spans="1:5" x14ac:dyDescent="0.25">
      <c r="A570" t="s">
        <v>503</v>
      </c>
      <c r="B570" t="s">
        <v>1267</v>
      </c>
      <c r="C570">
        <v>330</v>
      </c>
      <c r="D570">
        <v>157.86000000000001</v>
      </c>
      <c r="E570" s="1">
        <v>46063</v>
      </c>
    </row>
    <row r="571" spans="1:5" x14ac:dyDescent="0.25">
      <c r="A571" t="s">
        <v>504</v>
      </c>
      <c r="B571" t="s">
        <v>1268</v>
      </c>
      <c r="C571">
        <v>235</v>
      </c>
      <c r="D571">
        <v>111.9</v>
      </c>
      <c r="E571" s="1">
        <v>46079</v>
      </c>
    </row>
    <row r="572" spans="1:5" x14ac:dyDescent="0.25">
      <c r="A572" t="s">
        <v>505</v>
      </c>
      <c r="B572" t="s">
        <v>1269</v>
      </c>
      <c r="C572">
        <v>461</v>
      </c>
      <c r="D572">
        <v>131.75</v>
      </c>
      <c r="E572" s="1">
        <v>46072</v>
      </c>
    </row>
    <row r="573" spans="1:5" x14ac:dyDescent="0.25">
      <c r="A573" t="s">
        <v>506</v>
      </c>
      <c r="B573" t="s">
        <v>1270</v>
      </c>
      <c r="C573">
        <v>138</v>
      </c>
      <c r="D573">
        <v>21.07</v>
      </c>
      <c r="E573" s="1">
        <v>46128</v>
      </c>
    </row>
    <row r="574" spans="1:5" x14ac:dyDescent="0.25">
      <c r="A574" t="s">
        <v>507</v>
      </c>
      <c r="B574" t="s">
        <v>1271</v>
      </c>
      <c r="C574">
        <v>330</v>
      </c>
      <c r="D574">
        <v>64.569999999999993</v>
      </c>
      <c r="E574" s="1">
        <v>46140</v>
      </c>
    </row>
    <row r="575" spans="1:5" x14ac:dyDescent="0.25">
      <c r="A575" t="s">
        <v>508</v>
      </c>
      <c r="B575" t="s">
        <v>1272</v>
      </c>
      <c r="C575">
        <v>370</v>
      </c>
      <c r="D575">
        <v>27.3</v>
      </c>
      <c r="E575" s="1">
        <v>46076</v>
      </c>
    </row>
    <row r="576" spans="1:5" x14ac:dyDescent="0.25">
      <c r="A576" t="s">
        <v>509</v>
      </c>
      <c r="B576" t="s">
        <v>1273</v>
      </c>
      <c r="C576">
        <v>313</v>
      </c>
      <c r="D576">
        <v>49.11</v>
      </c>
      <c r="E576" s="1">
        <v>46078</v>
      </c>
    </row>
    <row r="577" spans="1:5" x14ac:dyDescent="0.25">
      <c r="A577" t="s">
        <v>510</v>
      </c>
      <c r="B577" t="s">
        <v>1274</v>
      </c>
      <c r="C577">
        <v>366</v>
      </c>
      <c r="D577">
        <v>72</v>
      </c>
      <c r="E577" s="1">
        <v>46046</v>
      </c>
    </row>
    <row r="578" spans="1:5" x14ac:dyDescent="0.25">
      <c r="A578" t="s">
        <v>1275</v>
      </c>
      <c r="B578" t="s">
        <v>1276</v>
      </c>
      <c r="C578">
        <v>254</v>
      </c>
      <c r="D578">
        <v>22.5</v>
      </c>
      <c r="E578" s="1">
        <v>46066</v>
      </c>
    </row>
    <row r="579" spans="1:5" x14ac:dyDescent="0.25">
      <c r="A579" t="s">
        <v>511</v>
      </c>
      <c r="B579" t="s">
        <v>1277</v>
      </c>
      <c r="C579">
        <v>62</v>
      </c>
      <c r="D579">
        <v>66.099999999999994</v>
      </c>
      <c r="E579" s="1">
        <v>46067</v>
      </c>
    </row>
    <row r="580" spans="1:5" x14ac:dyDescent="0.25">
      <c r="A580" t="s">
        <v>512</v>
      </c>
      <c r="B580" t="s">
        <v>1278</v>
      </c>
      <c r="C580">
        <v>338</v>
      </c>
      <c r="D580">
        <v>198.62</v>
      </c>
      <c r="E580" s="1">
        <v>46067</v>
      </c>
    </row>
    <row r="581" spans="1:5" x14ac:dyDescent="0.25">
      <c r="A581" t="s">
        <v>513</v>
      </c>
      <c r="B581" t="s">
        <v>1279</v>
      </c>
      <c r="C581">
        <v>14</v>
      </c>
      <c r="D581">
        <v>124.01</v>
      </c>
      <c r="E581" s="1">
        <v>46187</v>
      </c>
    </row>
    <row r="582" spans="1:5" x14ac:dyDescent="0.25">
      <c r="A582" t="s">
        <v>514</v>
      </c>
      <c r="B582" t="s">
        <v>1280</v>
      </c>
      <c r="C582">
        <v>331</v>
      </c>
      <c r="D582">
        <v>150.91</v>
      </c>
      <c r="E582" s="1">
        <v>46101</v>
      </c>
    </row>
    <row r="583" spans="1:5" x14ac:dyDescent="0.25">
      <c r="A583" t="s">
        <v>515</v>
      </c>
      <c r="B583" t="s">
        <v>1281</v>
      </c>
      <c r="C583">
        <v>469</v>
      </c>
      <c r="D583">
        <v>24.59</v>
      </c>
      <c r="E583" s="1">
        <v>46060</v>
      </c>
    </row>
    <row r="584" spans="1:5" x14ac:dyDescent="0.25">
      <c r="A584" t="s">
        <v>516</v>
      </c>
      <c r="B584" t="s">
        <v>1282</v>
      </c>
      <c r="C584">
        <v>189</v>
      </c>
      <c r="D584">
        <v>192.83</v>
      </c>
      <c r="E584" s="1">
        <v>46132</v>
      </c>
    </row>
    <row r="585" spans="1:5" x14ac:dyDescent="0.25">
      <c r="A585" t="s">
        <v>517</v>
      </c>
      <c r="B585" t="s">
        <v>1283</v>
      </c>
      <c r="C585">
        <v>340</v>
      </c>
      <c r="D585">
        <v>21.43</v>
      </c>
      <c r="E585" s="1">
        <v>46114</v>
      </c>
    </row>
    <row r="586" spans="1:5" x14ac:dyDescent="0.25">
      <c r="A586" t="s">
        <v>1284</v>
      </c>
      <c r="B586" t="s">
        <v>1285</v>
      </c>
      <c r="C586">
        <v>444</v>
      </c>
      <c r="D586">
        <v>170.18</v>
      </c>
      <c r="E586" s="1">
        <v>46046</v>
      </c>
    </row>
    <row r="587" spans="1:5" x14ac:dyDescent="0.25">
      <c r="A587" t="s">
        <v>1284</v>
      </c>
      <c r="B587" t="s">
        <v>1286</v>
      </c>
      <c r="C587">
        <v>444</v>
      </c>
      <c r="D587">
        <v>170.18</v>
      </c>
      <c r="E587" s="1">
        <v>46047</v>
      </c>
    </row>
    <row r="588" spans="1:5" x14ac:dyDescent="0.25">
      <c r="A588" t="s">
        <v>518</v>
      </c>
      <c r="B588" t="s">
        <v>1287</v>
      </c>
      <c r="C588">
        <v>106</v>
      </c>
      <c r="D588">
        <v>169.44</v>
      </c>
      <c r="E588" s="1">
        <v>46168</v>
      </c>
    </row>
    <row r="589" spans="1:5" x14ac:dyDescent="0.25">
      <c r="A589" t="s">
        <v>1288</v>
      </c>
      <c r="B589" t="s">
        <v>1289</v>
      </c>
      <c r="C589">
        <v>207</v>
      </c>
      <c r="D589">
        <v>26.99</v>
      </c>
      <c r="E589" s="1">
        <v>46166</v>
      </c>
    </row>
    <row r="590" spans="1:5" x14ac:dyDescent="0.25">
      <c r="A590" t="s">
        <v>519</v>
      </c>
      <c r="B590" t="s">
        <v>1290</v>
      </c>
      <c r="C590">
        <v>194</v>
      </c>
      <c r="D590">
        <v>187.12</v>
      </c>
      <c r="E590" s="1">
        <v>46045</v>
      </c>
    </row>
    <row r="591" spans="1:5" x14ac:dyDescent="0.25">
      <c r="A591" t="s">
        <v>520</v>
      </c>
      <c r="B591" t="s">
        <v>1291</v>
      </c>
      <c r="C591">
        <v>197</v>
      </c>
      <c r="D591">
        <v>111.54</v>
      </c>
      <c r="E591" s="1">
        <v>46158</v>
      </c>
    </row>
    <row r="592" spans="1:5" x14ac:dyDescent="0.25">
      <c r="A592" t="s">
        <v>521</v>
      </c>
      <c r="B592" t="s">
        <v>1292</v>
      </c>
      <c r="C592">
        <v>310</v>
      </c>
      <c r="D592">
        <v>18.170000000000002</v>
      </c>
      <c r="E592" s="1">
        <v>46043</v>
      </c>
    </row>
    <row r="593" spans="1:5" x14ac:dyDescent="0.25">
      <c r="A593" t="s">
        <v>522</v>
      </c>
      <c r="B593" t="s">
        <v>1293</v>
      </c>
      <c r="C593">
        <v>495</v>
      </c>
      <c r="D593">
        <v>168.37</v>
      </c>
      <c r="E593" s="1">
        <v>46061</v>
      </c>
    </row>
    <row r="594" spans="1:5" x14ac:dyDescent="0.25">
      <c r="A594" t="s">
        <v>523</v>
      </c>
      <c r="B594" t="s">
        <v>1294</v>
      </c>
      <c r="C594">
        <v>402</v>
      </c>
      <c r="D594">
        <v>86.01</v>
      </c>
      <c r="E594" s="1">
        <v>46169</v>
      </c>
    </row>
    <row r="595" spans="1:5" x14ac:dyDescent="0.25">
      <c r="A595" t="s">
        <v>524</v>
      </c>
      <c r="B595" t="s">
        <v>1295</v>
      </c>
      <c r="C595">
        <v>285</v>
      </c>
      <c r="D595">
        <v>125.13</v>
      </c>
      <c r="E595" s="1">
        <v>46176</v>
      </c>
    </row>
    <row r="596" spans="1:5" x14ac:dyDescent="0.25">
      <c r="A596" t="s">
        <v>525</v>
      </c>
      <c r="B596" t="s">
        <v>1296</v>
      </c>
      <c r="C596">
        <v>271</v>
      </c>
      <c r="D596">
        <v>184.58</v>
      </c>
      <c r="E596" s="1">
        <v>46068</v>
      </c>
    </row>
    <row r="597" spans="1:5" x14ac:dyDescent="0.25">
      <c r="A597" t="s">
        <v>526</v>
      </c>
      <c r="B597" t="s">
        <v>1297</v>
      </c>
      <c r="C597">
        <v>334</v>
      </c>
      <c r="D597">
        <v>153.83000000000001</v>
      </c>
      <c r="E597" s="1">
        <v>46182</v>
      </c>
    </row>
    <row r="598" spans="1:5" x14ac:dyDescent="0.25">
      <c r="A598" t="s">
        <v>527</v>
      </c>
      <c r="B598" t="s">
        <v>1298</v>
      </c>
      <c r="C598">
        <v>383</v>
      </c>
      <c r="D598">
        <v>190.92</v>
      </c>
      <c r="E598" s="1">
        <v>46142</v>
      </c>
    </row>
    <row r="599" spans="1:5" x14ac:dyDescent="0.25">
      <c r="A599" t="s">
        <v>528</v>
      </c>
      <c r="B599" t="s">
        <v>1299</v>
      </c>
      <c r="C599">
        <v>483</v>
      </c>
      <c r="D599">
        <v>89.72</v>
      </c>
      <c r="E599" s="1">
        <v>46054</v>
      </c>
    </row>
    <row r="600" spans="1:5" x14ac:dyDescent="0.25">
      <c r="A600" t="s">
        <v>528</v>
      </c>
      <c r="B600" t="s">
        <v>1300</v>
      </c>
      <c r="C600">
        <v>483</v>
      </c>
      <c r="D600">
        <v>89.72</v>
      </c>
      <c r="E600" s="1">
        <v>46058</v>
      </c>
    </row>
    <row r="601" spans="1:5" x14ac:dyDescent="0.25">
      <c r="A601" t="s">
        <v>529</v>
      </c>
      <c r="B601" t="s">
        <v>1301</v>
      </c>
      <c r="C601">
        <v>71</v>
      </c>
      <c r="D601">
        <v>7.47</v>
      </c>
      <c r="E601" s="1">
        <v>46074</v>
      </c>
    </row>
    <row r="602" spans="1:5" x14ac:dyDescent="0.25">
      <c r="A602" t="s">
        <v>529</v>
      </c>
      <c r="B602" t="s">
        <v>1302</v>
      </c>
      <c r="C602">
        <v>71</v>
      </c>
      <c r="D602">
        <v>7.47</v>
      </c>
      <c r="E602" s="1">
        <v>46079</v>
      </c>
    </row>
    <row r="603" spans="1:5" x14ac:dyDescent="0.25">
      <c r="A603" t="s">
        <v>530</v>
      </c>
      <c r="B603" t="s">
        <v>1303</v>
      </c>
      <c r="C603">
        <v>497</v>
      </c>
      <c r="D603">
        <v>72.61</v>
      </c>
      <c r="E603" s="1">
        <v>46166</v>
      </c>
    </row>
    <row r="604" spans="1:5" x14ac:dyDescent="0.25">
      <c r="A604" t="s">
        <v>531</v>
      </c>
      <c r="B604" t="s">
        <v>1304</v>
      </c>
      <c r="C604">
        <v>74</v>
      </c>
      <c r="D604">
        <v>151.21</v>
      </c>
      <c r="E604" s="1">
        <v>46127</v>
      </c>
    </row>
    <row r="605" spans="1:5" x14ac:dyDescent="0.25">
      <c r="A605" t="s">
        <v>532</v>
      </c>
      <c r="B605" t="s">
        <v>1305</v>
      </c>
      <c r="C605">
        <v>423</v>
      </c>
      <c r="D605">
        <v>88.72</v>
      </c>
      <c r="E605" s="1">
        <v>46120</v>
      </c>
    </row>
    <row r="606" spans="1:5" x14ac:dyDescent="0.25">
      <c r="A606" t="s">
        <v>533</v>
      </c>
      <c r="B606" t="s">
        <v>1306</v>
      </c>
      <c r="C606">
        <v>331</v>
      </c>
      <c r="D606">
        <v>20.03</v>
      </c>
      <c r="E606" s="1">
        <v>46198</v>
      </c>
    </row>
    <row r="607" spans="1:5" x14ac:dyDescent="0.25">
      <c r="A607" t="s">
        <v>534</v>
      </c>
      <c r="B607" t="s">
        <v>1307</v>
      </c>
      <c r="C607">
        <v>265</v>
      </c>
      <c r="D607">
        <v>172.58</v>
      </c>
      <c r="E607" s="1">
        <v>46057</v>
      </c>
    </row>
    <row r="608" spans="1:5" x14ac:dyDescent="0.25">
      <c r="A608" t="s">
        <v>535</v>
      </c>
      <c r="B608" t="s">
        <v>1308</v>
      </c>
      <c r="C608">
        <v>405</v>
      </c>
      <c r="D608">
        <v>25.07</v>
      </c>
      <c r="E608" s="1">
        <v>46105</v>
      </c>
    </row>
    <row r="609" spans="1:5" x14ac:dyDescent="0.25">
      <c r="A609" t="s">
        <v>536</v>
      </c>
      <c r="B609" t="s">
        <v>1309</v>
      </c>
      <c r="C609">
        <v>11</v>
      </c>
      <c r="D609">
        <v>13.59</v>
      </c>
      <c r="E609" s="1">
        <v>46174</v>
      </c>
    </row>
    <row r="610" spans="1:5" x14ac:dyDescent="0.25">
      <c r="A610" t="s">
        <v>537</v>
      </c>
      <c r="B610" t="s">
        <v>1310</v>
      </c>
      <c r="C610">
        <v>196</v>
      </c>
      <c r="D610">
        <v>79.680000000000007</v>
      </c>
      <c r="E610" s="1">
        <v>46159</v>
      </c>
    </row>
    <row r="611" spans="1:5" x14ac:dyDescent="0.25">
      <c r="A611" t="s">
        <v>538</v>
      </c>
      <c r="B611" t="s">
        <v>1311</v>
      </c>
      <c r="C611">
        <v>421</v>
      </c>
      <c r="D611">
        <v>183.22</v>
      </c>
      <c r="E611" s="1">
        <v>46188</v>
      </c>
    </row>
    <row r="612" spans="1:5" x14ac:dyDescent="0.25">
      <c r="A612" t="s">
        <v>539</v>
      </c>
      <c r="B612" t="s">
        <v>1312</v>
      </c>
      <c r="C612">
        <v>137</v>
      </c>
      <c r="D612">
        <v>86.17</v>
      </c>
      <c r="E612" s="1">
        <v>46122</v>
      </c>
    </row>
    <row r="613" spans="1:5" x14ac:dyDescent="0.25">
      <c r="A613" t="s">
        <v>540</v>
      </c>
      <c r="B613" t="s">
        <v>1313</v>
      </c>
      <c r="C613">
        <v>302</v>
      </c>
      <c r="D613">
        <v>82.01</v>
      </c>
      <c r="E613" s="1">
        <v>46051</v>
      </c>
    </row>
    <row r="614" spans="1:5" x14ac:dyDescent="0.25">
      <c r="A614" t="s">
        <v>541</v>
      </c>
      <c r="B614" t="s">
        <v>1314</v>
      </c>
      <c r="C614">
        <v>421</v>
      </c>
      <c r="D614">
        <v>105.58</v>
      </c>
      <c r="E614" s="1">
        <v>46100</v>
      </c>
    </row>
    <row r="615" spans="1:5" x14ac:dyDescent="0.25">
      <c r="A615" t="s">
        <v>542</v>
      </c>
      <c r="B615" t="s">
        <v>1315</v>
      </c>
      <c r="C615">
        <v>453</v>
      </c>
      <c r="D615">
        <v>60.05</v>
      </c>
      <c r="E615" s="1">
        <v>46163</v>
      </c>
    </row>
    <row r="616" spans="1:5" x14ac:dyDescent="0.25">
      <c r="A616" t="s">
        <v>543</v>
      </c>
      <c r="B616" t="s">
        <v>1316</v>
      </c>
      <c r="C616">
        <v>243</v>
      </c>
      <c r="D616">
        <v>6.55</v>
      </c>
      <c r="E616" s="1">
        <v>46185</v>
      </c>
    </row>
    <row r="617" spans="1:5" x14ac:dyDescent="0.25">
      <c r="A617" t="s">
        <v>544</v>
      </c>
      <c r="B617" t="s">
        <v>1317</v>
      </c>
      <c r="C617">
        <v>388</v>
      </c>
      <c r="D617">
        <v>126.43</v>
      </c>
      <c r="E617" s="1">
        <v>46123</v>
      </c>
    </row>
    <row r="618" spans="1:5" x14ac:dyDescent="0.25">
      <c r="A618" t="s">
        <v>545</v>
      </c>
      <c r="B618" t="s">
        <v>1318</v>
      </c>
      <c r="C618">
        <v>405</v>
      </c>
      <c r="D618">
        <v>156.30000000000001</v>
      </c>
      <c r="E618" s="1">
        <v>46169</v>
      </c>
    </row>
    <row r="619" spans="1:5" x14ac:dyDescent="0.25">
      <c r="A619" t="s">
        <v>546</v>
      </c>
      <c r="B619" t="s">
        <v>1319</v>
      </c>
      <c r="C619">
        <v>487</v>
      </c>
      <c r="D619">
        <v>84.96</v>
      </c>
      <c r="E619" s="1">
        <v>46047</v>
      </c>
    </row>
    <row r="620" spans="1:5" x14ac:dyDescent="0.25">
      <c r="A620" t="s">
        <v>547</v>
      </c>
      <c r="B620" t="s">
        <v>1320</v>
      </c>
      <c r="C620">
        <v>496</v>
      </c>
      <c r="D620">
        <v>70.33</v>
      </c>
      <c r="E620" s="1">
        <v>46046</v>
      </c>
    </row>
    <row r="621" spans="1:5" x14ac:dyDescent="0.25">
      <c r="A621" t="s">
        <v>548</v>
      </c>
      <c r="B621" t="s">
        <v>1321</v>
      </c>
      <c r="C621">
        <v>63</v>
      </c>
      <c r="D621">
        <v>45.01</v>
      </c>
      <c r="E621" s="1">
        <v>46123</v>
      </c>
    </row>
    <row r="622" spans="1:5" x14ac:dyDescent="0.25">
      <c r="A622" t="s">
        <v>549</v>
      </c>
      <c r="B622" t="s">
        <v>1322</v>
      </c>
      <c r="C622">
        <v>82</v>
      </c>
      <c r="D622">
        <v>143.77000000000001</v>
      </c>
      <c r="E622" s="1">
        <v>46053</v>
      </c>
    </row>
    <row r="623" spans="1:5" x14ac:dyDescent="0.25">
      <c r="A623" t="s">
        <v>550</v>
      </c>
      <c r="B623" t="s">
        <v>1323</v>
      </c>
      <c r="C623">
        <v>221</v>
      </c>
      <c r="D623">
        <v>141.66999999999999</v>
      </c>
      <c r="E623" s="1">
        <v>46178</v>
      </c>
    </row>
    <row r="624" spans="1:5" x14ac:dyDescent="0.25">
      <c r="A624" t="s">
        <v>551</v>
      </c>
      <c r="B624" t="s">
        <v>1324</v>
      </c>
      <c r="C624">
        <v>307</v>
      </c>
      <c r="D624">
        <v>23.64</v>
      </c>
      <c r="E624" s="1">
        <v>46068</v>
      </c>
    </row>
    <row r="625" spans="1:5" x14ac:dyDescent="0.25">
      <c r="A625" t="s">
        <v>551</v>
      </c>
      <c r="B625" t="s">
        <v>1325</v>
      </c>
      <c r="C625">
        <v>307</v>
      </c>
      <c r="D625">
        <v>23.64</v>
      </c>
      <c r="E625" s="1">
        <v>46073</v>
      </c>
    </row>
    <row r="626" spans="1:5" x14ac:dyDescent="0.25">
      <c r="A626" t="s">
        <v>552</v>
      </c>
      <c r="B626" t="s">
        <v>1326</v>
      </c>
      <c r="C626">
        <v>41</v>
      </c>
      <c r="D626">
        <v>89.82</v>
      </c>
      <c r="E626" s="1">
        <v>46185</v>
      </c>
    </row>
    <row r="627" spans="1:5" x14ac:dyDescent="0.25">
      <c r="A627" t="s">
        <v>553</v>
      </c>
      <c r="B627" t="s">
        <v>1327</v>
      </c>
      <c r="C627">
        <v>445</v>
      </c>
      <c r="D627">
        <v>66.430000000000007</v>
      </c>
      <c r="E627" s="1">
        <v>46113</v>
      </c>
    </row>
    <row r="628" spans="1:5" x14ac:dyDescent="0.25">
      <c r="A628" t="s">
        <v>554</v>
      </c>
      <c r="B628" t="s">
        <v>1328</v>
      </c>
      <c r="C628">
        <v>149</v>
      </c>
      <c r="D628">
        <v>50.55</v>
      </c>
      <c r="E628" s="1">
        <v>46149</v>
      </c>
    </row>
    <row r="629" spans="1:5" x14ac:dyDescent="0.25">
      <c r="A629" t="s">
        <v>555</v>
      </c>
      <c r="B629" t="s">
        <v>1329</v>
      </c>
      <c r="C629">
        <v>89</v>
      </c>
      <c r="D629">
        <v>25.6</v>
      </c>
      <c r="E629" s="1">
        <v>46074</v>
      </c>
    </row>
    <row r="630" spans="1:5" x14ac:dyDescent="0.25">
      <c r="A630" t="s">
        <v>1330</v>
      </c>
      <c r="B630" t="s">
        <v>1331</v>
      </c>
      <c r="C630">
        <v>71</v>
      </c>
      <c r="D630">
        <v>109.51</v>
      </c>
      <c r="E630" s="1">
        <v>46143</v>
      </c>
    </row>
    <row r="631" spans="1:5" x14ac:dyDescent="0.25">
      <c r="A631" t="s">
        <v>1330</v>
      </c>
      <c r="B631" t="s">
        <v>1332</v>
      </c>
      <c r="C631">
        <v>71</v>
      </c>
      <c r="D631">
        <v>109.51</v>
      </c>
      <c r="E631" s="1">
        <v>46147</v>
      </c>
    </row>
    <row r="632" spans="1:5" x14ac:dyDescent="0.25">
      <c r="A632" t="s">
        <v>1333</v>
      </c>
      <c r="B632" t="s">
        <v>1334</v>
      </c>
      <c r="C632">
        <v>247</v>
      </c>
      <c r="D632">
        <v>56.68</v>
      </c>
      <c r="E632" s="1">
        <v>46112</v>
      </c>
    </row>
    <row r="633" spans="1:5" x14ac:dyDescent="0.25">
      <c r="A633" t="s">
        <v>556</v>
      </c>
      <c r="B633" t="s">
        <v>1335</v>
      </c>
      <c r="C633">
        <v>433</v>
      </c>
      <c r="D633">
        <v>142.41999999999999</v>
      </c>
      <c r="E633" s="1">
        <v>46108</v>
      </c>
    </row>
    <row r="634" spans="1:5" x14ac:dyDescent="0.25">
      <c r="A634" t="s">
        <v>557</v>
      </c>
      <c r="B634" t="s">
        <v>1336</v>
      </c>
      <c r="C634">
        <v>85</v>
      </c>
      <c r="D634">
        <v>22.79</v>
      </c>
      <c r="E634" s="1">
        <v>46127</v>
      </c>
    </row>
    <row r="635" spans="1:5" x14ac:dyDescent="0.25">
      <c r="A635" t="s">
        <v>1337</v>
      </c>
      <c r="B635" t="s">
        <v>1338</v>
      </c>
      <c r="C635">
        <v>35</v>
      </c>
      <c r="D635">
        <v>137.05000000000001</v>
      </c>
      <c r="E635" s="1">
        <v>46166</v>
      </c>
    </row>
    <row r="636" spans="1:5" x14ac:dyDescent="0.25">
      <c r="A636" t="s">
        <v>558</v>
      </c>
      <c r="B636" t="s">
        <v>1339</v>
      </c>
      <c r="C636">
        <v>447</v>
      </c>
      <c r="D636">
        <v>93.18</v>
      </c>
      <c r="E636" s="1">
        <v>46143</v>
      </c>
    </row>
    <row r="637" spans="1:5" x14ac:dyDescent="0.25">
      <c r="A637" t="s">
        <v>559</v>
      </c>
      <c r="B637" t="s">
        <v>1340</v>
      </c>
      <c r="C637">
        <v>62</v>
      </c>
      <c r="D637">
        <v>161.76</v>
      </c>
      <c r="E637" s="1">
        <v>46150</v>
      </c>
    </row>
    <row r="638" spans="1:5" x14ac:dyDescent="0.25">
      <c r="A638" t="s">
        <v>560</v>
      </c>
      <c r="B638" t="s">
        <v>1341</v>
      </c>
      <c r="C638">
        <v>435</v>
      </c>
      <c r="D638">
        <v>157.29</v>
      </c>
      <c r="E638" s="1">
        <v>46054</v>
      </c>
    </row>
    <row r="639" spans="1:5" x14ac:dyDescent="0.25">
      <c r="A639" t="s">
        <v>561</v>
      </c>
      <c r="B639" t="s">
        <v>1342</v>
      </c>
      <c r="C639">
        <v>200</v>
      </c>
      <c r="D639">
        <v>138.83000000000001</v>
      </c>
      <c r="E639" s="1">
        <v>46141</v>
      </c>
    </row>
    <row r="640" spans="1:5" x14ac:dyDescent="0.25">
      <c r="A640" t="s">
        <v>562</v>
      </c>
      <c r="B640" t="s">
        <v>1343</v>
      </c>
      <c r="C640">
        <v>142</v>
      </c>
      <c r="D640">
        <v>183.9</v>
      </c>
      <c r="E640" s="1">
        <v>46185</v>
      </c>
    </row>
    <row r="641" spans="1:5" x14ac:dyDescent="0.25">
      <c r="A641" t="s">
        <v>563</v>
      </c>
      <c r="B641" t="s">
        <v>1344</v>
      </c>
      <c r="C641">
        <v>472</v>
      </c>
      <c r="D641">
        <v>130.97</v>
      </c>
      <c r="E641" s="1">
        <v>46081</v>
      </c>
    </row>
    <row r="642" spans="1:5" x14ac:dyDescent="0.25">
      <c r="A642" t="s">
        <v>564</v>
      </c>
      <c r="B642" t="s">
        <v>1345</v>
      </c>
      <c r="C642">
        <v>31</v>
      </c>
      <c r="D642">
        <v>188.74</v>
      </c>
      <c r="E642" s="1">
        <v>46067</v>
      </c>
    </row>
    <row r="643" spans="1:5" x14ac:dyDescent="0.25">
      <c r="A643" t="s">
        <v>565</v>
      </c>
      <c r="B643" t="s">
        <v>1346</v>
      </c>
      <c r="C643">
        <v>430</v>
      </c>
      <c r="D643">
        <v>146.26</v>
      </c>
      <c r="E643" s="1">
        <v>46143</v>
      </c>
    </row>
    <row r="644" spans="1:5" x14ac:dyDescent="0.25">
      <c r="A644" t="s">
        <v>566</v>
      </c>
      <c r="B644" t="s">
        <v>1347</v>
      </c>
      <c r="C644">
        <v>98</v>
      </c>
      <c r="D644">
        <v>74.02</v>
      </c>
      <c r="E644" s="1">
        <v>46151</v>
      </c>
    </row>
    <row r="645" spans="1:5" x14ac:dyDescent="0.25">
      <c r="A645" t="s">
        <v>567</v>
      </c>
      <c r="B645" t="s">
        <v>1348</v>
      </c>
      <c r="C645">
        <v>462</v>
      </c>
      <c r="D645">
        <v>33.979999999999997</v>
      </c>
      <c r="E645" s="1">
        <v>46159</v>
      </c>
    </row>
    <row r="646" spans="1:5" x14ac:dyDescent="0.25">
      <c r="A646" t="s">
        <v>568</v>
      </c>
      <c r="B646" t="s">
        <v>1349</v>
      </c>
      <c r="C646">
        <v>265</v>
      </c>
      <c r="D646">
        <v>85.34</v>
      </c>
      <c r="E646" s="1">
        <v>46126</v>
      </c>
    </row>
    <row r="647" spans="1:5" x14ac:dyDescent="0.25">
      <c r="A647" t="s">
        <v>569</v>
      </c>
      <c r="B647" t="s">
        <v>1350</v>
      </c>
      <c r="C647">
        <v>153</v>
      </c>
      <c r="D647">
        <v>79.69</v>
      </c>
      <c r="E647" s="1">
        <v>46065</v>
      </c>
    </row>
    <row r="648" spans="1:5" x14ac:dyDescent="0.25">
      <c r="A648" t="s">
        <v>570</v>
      </c>
      <c r="B648" t="s">
        <v>1351</v>
      </c>
      <c r="C648">
        <v>137</v>
      </c>
      <c r="D648">
        <v>128</v>
      </c>
      <c r="E648" s="1">
        <v>46171</v>
      </c>
    </row>
    <row r="649" spans="1:5" x14ac:dyDescent="0.25">
      <c r="A649" t="s">
        <v>571</v>
      </c>
      <c r="B649" t="s">
        <v>1352</v>
      </c>
      <c r="C649">
        <v>255</v>
      </c>
      <c r="D649">
        <v>111.18</v>
      </c>
      <c r="E649" s="1">
        <v>46134</v>
      </c>
    </row>
    <row r="650" spans="1:5" x14ac:dyDescent="0.25">
      <c r="A650" t="s">
        <v>572</v>
      </c>
      <c r="B650" t="s">
        <v>1353</v>
      </c>
      <c r="C650">
        <v>174</v>
      </c>
      <c r="D650">
        <v>80.73</v>
      </c>
      <c r="E650" s="1">
        <v>46161</v>
      </c>
    </row>
    <row r="651" spans="1:5" x14ac:dyDescent="0.25">
      <c r="A651" t="s">
        <v>573</v>
      </c>
      <c r="B651" t="s">
        <v>1354</v>
      </c>
      <c r="C651">
        <v>25</v>
      </c>
      <c r="D651">
        <v>179.67</v>
      </c>
      <c r="E651" s="1">
        <v>46094</v>
      </c>
    </row>
    <row r="652" spans="1:5" x14ac:dyDescent="0.25">
      <c r="A652" t="s">
        <v>574</v>
      </c>
      <c r="B652" t="s">
        <v>1355</v>
      </c>
      <c r="C652">
        <v>281</v>
      </c>
      <c r="D652">
        <v>81.12</v>
      </c>
      <c r="E652" s="1">
        <v>46157</v>
      </c>
    </row>
    <row r="653" spans="1:5" x14ac:dyDescent="0.25">
      <c r="A653" t="s">
        <v>575</v>
      </c>
      <c r="B653" t="s">
        <v>1356</v>
      </c>
      <c r="C653">
        <v>136</v>
      </c>
      <c r="D653">
        <v>154.59</v>
      </c>
      <c r="E653" s="1">
        <v>46063</v>
      </c>
    </row>
    <row r="654" spans="1:5" x14ac:dyDescent="0.25">
      <c r="A654" t="s">
        <v>576</v>
      </c>
      <c r="B654" t="s">
        <v>1357</v>
      </c>
      <c r="C654">
        <v>443</v>
      </c>
      <c r="D654">
        <v>196.62</v>
      </c>
      <c r="E654" s="1">
        <v>46187</v>
      </c>
    </row>
    <row r="655" spans="1:5" x14ac:dyDescent="0.25">
      <c r="A655" t="s">
        <v>577</v>
      </c>
      <c r="B655" t="s">
        <v>1358</v>
      </c>
      <c r="C655">
        <v>131</v>
      </c>
      <c r="D655">
        <v>120.54</v>
      </c>
      <c r="E655" s="1">
        <v>46093</v>
      </c>
    </row>
    <row r="656" spans="1:5" x14ac:dyDescent="0.25">
      <c r="A656" t="s">
        <v>578</v>
      </c>
      <c r="B656" t="s">
        <v>1359</v>
      </c>
      <c r="C656">
        <v>370</v>
      </c>
      <c r="D656">
        <v>141.61000000000001</v>
      </c>
      <c r="E656" s="1">
        <v>46047</v>
      </c>
    </row>
    <row r="657" spans="1:5" x14ac:dyDescent="0.25">
      <c r="A657" t="s">
        <v>579</v>
      </c>
      <c r="B657" t="s">
        <v>1360</v>
      </c>
      <c r="C657">
        <v>438</v>
      </c>
      <c r="D657">
        <v>197.66</v>
      </c>
      <c r="E657" s="1">
        <v>46094</v>
      </c>
    </row>
    <row r="658" spans="1:5" x14ac:dyDescent="0.25">
      <c r="A658" t="s">
        <v>580</v>
      </c>
      <c r="B658" t="s">
        <v>1361</v>
      </c>
      <c r="C658">
        <v>29</v>
      </c>
      <c r="D658">
        <v>22.6</v>
      </c>
      <c r="E658" s="1">
        <v>46170</v>
      </c>
    </row>
    <row r="659" spans="1:5" x14ac:dyDescent="0.25">
      <c r="A659" t="s">
        <v>581</v>
      </c>
      <c r="B659" t="s">
        <v>1362</v>
      </c>
      <c r="C659">
        <v>254</v>
      </c>
      <c r="D659">
        <v>5.13</v>
      </c>
      <c r="E659" s="1">
        <v>46169</v>
      </c>
    </row>
    <row r="660" spans="1:5" x14ac:dyDescent="0.25">
      <c r="A660" t="s">
        <v>582</v>
      </c>
      <c r="B660" t="s">
        <v>1363</v>
      </c>
      <c r="C660">
        <v>377</v>
      </c>
      <c r="D660">
        <v>39.6</v>
      </c>
      <c r="E660" s="1">
        <v>46122</v>
      </c>
    </row>
    <row r="661" spans="1:5" x14ac:dyDescent="0.25">
      <c r="A661" t="s">
        <v>583</v>
      </c>
      <c r="B661" t="s">
        <v>1364</v>
      </c>
      <c r="C661">
        <v>310</v>
      </c>
      <c r="D661">
        <v>142.41999999999999</v>
      </c>
      <c r="E661" s="1">
        <v>46077</v>
      </c>
    </row>
    <row r="662" spans="1:5" x14ac:dyDescent="0.25">
      <c r="A662" t="s">
        <v>1365</v>
      </c>
      <c r="B662" t="s">
        <v>1366</v>
      </c>
      <c r="C662">
        <v>47</v>
      </c>
      <c r="D662">
        <v>86.98</v>
      </c>
      <c r="E662" s="1">
        <v>46136</v>
      </c>
    </row>
    <row r="663" spans="1:5" x14ac:dyDescent="0.25">
      <c r="A663" t="s">
        <v>584</v>
      </c>
      <c r="B663" t="s">
        <v>1367</v>
      </c>
      <c r="C663">
        <v>182</v>
      </c>
      <c r="D663">
        <v>63.84</v>
      </c>
      <c r="E663" s="1">
        <v>46067</v>
      </c>
    </row>
    <row r="664" spans="1:5" x14ac:dyDescent="0.25">
      <c r="A664" t="s">
        <v>585</v>
      </c>
      <c r="B664" t="s">
        <v>1368</v>
      </c>
      <c r="C664">
        <v>415</v>
      </c>
      <c r="D664">
        <v>129.66</v>
      </c>
      <c r="E664" s="1">
        <v>46155</v>
      </c>
    </row>
    <row r="665" spans="1:5" x14ac:dyDescent="0.25">
      <c r="A665" t="s">
        <v>586</v>
      </c>
      <c r="B665" t="s">
        <v>1369</v>
      </c>
      <c r="C665">
        <v>365</v>
      </c>
      <c r="D665">
        <v>178.47</v>
      </c>
      <c r="E665" s="1">
        <v>46183</v>
      </c>
    </row>
    <row r="666" spans="1:5" x14ac:dyDescent="0.25">
      <c r="A666" t="s">
        <v>587</v>
      </c>
      <c r="B666" t="s">
        <v>1370</v>
      </c>
      <c r="C666">
        <v>427</v>
      </c>
      <c r="D666">
        <v>39.19</v>
      </c>
      <c r="E666" s="1">
        <v>46193</v>
      </c>
    </row>
    <row r="667" spans="1:5" x14ac:dyDescent="0.25">
      <c r="A667" t="s">
        <v>588</v>
      </c>
      <c r="B667" t="s">
        <v>1371</v>
      </c>
      <c r="C667">
        <v>383</v>
      </c>
      <c r="D667">
        <v>5.35</v>
      </c>
      <c r="E667" s="1">
        <v>46089</v>
      </c>
    </row>
    <row r="668" spans="1:5" x14ac:dyDescent="0.25">
      <c r="A668" t="s">
        <v>589</v>
      </c>
      <c r="B668" t="s">
        <v>1372</v>
      </c>
      <c r="C668">
        <v>103</v>
      </c>
      <c r="D668">
        <v>122.47</v>
      </c>
      <c r="E668" s="1">
        <v>46045</v>
      </c>
    </row>
    <row r="669" spans="1:5" x14ac:dyDescent="0.25">
      <c r="A669" t="s">
        <v>590</v>
      </c>
      <c r="B669" t="s">
        <v>1373</v>
      </c>
      <c r="C669">
        <v>63</v>
      </c>
      <c r="D669">
        <v>187.65</v>
      </c>
      <c r="E669" s="1">
        <v>46187</v>
      </c>
    </row>
    <row r="670" spans="1:5" x14ac:dyDescent="0.25">
      <c r="A670" t="s">
        <v>591</v>
      </c>
      <c r="B670" t="s">
        <v>1374</v>
      </c>
      <c r="C670">
        <v>131</v>
      </c>
      <c r="D670">
        <v>72.63</v>
      </c>
      <c r="E670" s="1">
        <v>46062</v>
      </c>
    </row>
    <row r="671" spans="1:5" x14ac:dyDescent="0.25">
      <c r="A671" t="s">
        <v>592</v>
      </c>
      <c r="B671" t="s">
        <v>1375</v>
      </c>
      <c r="C671">
        <v>430</v>
      </c>
      <c r="D671">
        <v>143.25</v>
      </c>
      <c r="E671" s="1">
        <v>46069</v>
      </c>
    </row>
    <row r="672" spans="1:5" x14ac:dyDescent="0.25">
      <c r="A672" t="s">
        <v>593</v>
      </c>
      <c r="B672" t="s">
        <v>1376</v>
      </c>
      <c r="C672">
        <v>145</v>
      </c>
      <c r="D672">
        <v>51.37</v>
      </c>
      <c r="E672" s="1">
        <v>46042</v>
      </c>
    </row>
    <row r="673" spans="1:5" x14ac:dyDescent="0.25">
      <c r="A673" t="s">
        <v>594</v>
      </c>
      <c r="B673" t="s">
        <v>1377</v>
      </c>
      <c r="C673">
        <v>412</v>
      </c>
      <c r="D673">
        <v>27.4</v>
      </c>
      <c r="E673" s="1">
        <v>46102</v>
      </c>
    </row>
    <row r="674" spans="1:5" x14ac:dyDescent="0.25">
      <c r="A674" t="s">
        <v>595</v>
      </c>
      <c r="B674" t="s">
        <v>1378</v>
      </c>
      <c r="C674">
        <v>385</v>
      </c>
      <c r="D674">
        <v>86.83</v>
      </c>
      <c r="E674" s="1">
        <v>46154</v>
      </c>
    </row>
    <row r="675" spans="1:5" x14ac:dyDescent="0.25">
      <c r="A675" t="s">
        <v>596</v>
      </c>
      <c r="B675" t="s">
        <v>1379</v>
      </c>
      <c r="C675">
        <v>189</v>
      </c>
      <c r="D675">
        <v>111.47</v>
      </c>
      <c r="E675" s="1">
        <v>46146</v>
      </c>
    </row>
    <row r="676" spans="1:5" x14ac:dyDescent="0.25">
      <c r="A676" t="s">
        <v>597</v>
      </c>
      <c r="B676" t="s">
        <v>1380</v>
      </c>
      <c r="C676">
        <v>93</v>
      </c>
      <c r="D676">
        <v>93</v>
      </c>
      <c r="E676" s="1">
        <v>46102</v>
      </c>
    </row>
    <row r="677" spans="1:5" x14ac:dyDescent="0.25">
      <c r="A677" t="s">
        <v>598</v>
      </c>
      <c r="B677" t="s">
        <v>1381</v>
      </c>
      <c r="C677">
        <v>143</v>
      </c>
      <c r="D677">
        <v>190.57</v>
      </c>
      <c r="E677" s="1">
        <v>46122</v>
      </c>
    </row>
    <row r="678" spans="1:5" x14ac:dyDescent="0.25">
      <c r="A678" t="s">
        <v>599</v>
      </c>
      <c r="B678" t="s">
        <v>1382</v>
      </c>
      <c r="C678">
        <v>92</v>
      </c>
      <c r="D678">
        <v>147.74</v>
      </c>
      <c r="E678" s="1">
        <v>46127</v>
      </c>
    </row>
    <row r="679" spans="1:5" x14ac:dyDescent="0.25">
      <c r="A679" t="s">
        <v>600</v>
      </c>
      <c r="B679" t="s">
        <v>1383</v>
      </c>
      <c r="C679">
        <v>370</v>
      </c>
      <c r="D679">
        <v>11.04</v>
      </c>
      <c r="E679" s="1">
        <v>46160</v>
      </c>
    </row>
    <row r="680" spans="1:5" x14ac:dyDescent="0.25">
      <c r="A680" t="s">
        <v>601</v>
      </c>
      <c r="B680" t="s">
        <v>1384</v>
      </c>
      <c r="C680">
        <v>90</v>
      </c>
      <c r="D680">
        <v>15.44</v>
      </c>
      <c r="E680" s="1">
        <v>46151</v>
      </c>
    </row>
    <row r="681" spans="1:5" x14ac:dyDescent="0.25">
      <c r="A681" t="s">
        <v>602</v>
      </c>
      <c r="B681" t="s">
        <v>1385</v>
      </c>
      <c r="C681">
        <v>366</v>
      </c>
      <c r="D681">
        <v>113.05</v>
      </c>
      <c r="E681" s="1">
        <v>46145</v>
      </c>
    </row>
    <row r="682" spans="1:5" x14ac:dyDescent="0.25">
      <c r="A682" t="s">
        <v>603</v>
      </c>
      <c r="B682" t="s">
        <v>1386</v>
      </c>
      <c r="C682">
        <v>162</v>
      </c>
      <c r="D682">
        <v>51.32</v>
      </c>
      <c r="E682" s="1">
        <v>46120</v>
      </c>
    </row>
    <row r="683" spans="1:5" x14ac:dyDescent="0.25">
      <c r="A683" t="s">
        <v>604</v>
      </c>
      <c r="B683" t="s">
        <v>1387</v>
      </c>
      <c r="C683">
        <v>440</v>
      </c>
      <c r="D683">
        <v>100.73</v>
      </c>
      <c r="E683" s="1">
        <v>46186</v>
      </c>
    </row>
    <row r="684" spans="1:5" x14ac:dyDescent="0.25">
      <c r="A684" t="s">
        <v>604</v>
      </c>
      <c r="B684" t="s">
        <v>1388</v>
      </c>
      <c r="C684">
        <v>440</v>
      </c>
      <c r="D684">
        <v>100.73</v>
      </c>
      <c r="E684" s="1">
        <v>46188</v>
      </c>
    </row>
    <row r="685" spans="1:5" x14ac:dyDescent="0.25">
      <c r="A685" t="s">
        <v>605</v>
      </c>
      <c r="B685" t="s">
        <v>1389</v>
      </c>
      <c r="C685">
        <v>54</v>
      </c>
      <c r="D685">
        <v>62.44</v>
      </c>
      <c r="E685" s="1">
        <v>46157</v>
      </c>
    </row>
    <row r="686" spans="1:5" x14ac:dyDescent="0.25">
      <c r="A686" t="s">
        <v>606</v>
      </c>
      <c r="B686" t="s">
        <v>1390</v>
      </c>
      <c r="C686">
        <v>23</v>
      </c>
      <c r="D686">
        <v>45.36</v>
      </c>
      <c r="E686" s="1">
        <v>46067</v>
      </c>
    </row>
    <row r="687" spans="1:5" x14ac:dyDescent="0.25">
      <c r="A687" t="s">
        <v>607</v>
      </c>
      <c r="B687" t="s">
        <v>1391</v>
      </c>
      <c r="C687">
        <v>442</v>
      </c>
      <c r="D687">
        <v>27.52</v>
      </c>
      <c r="E687" s="1">
        <v>46168</v>
      </c>
    </row>
    <row r="688" spans="1:5" x14ac:dyDescent="0.25">
      <c r="A688" t="s">
        <v>608</v>
      </c>
      <c r="B688" t="s">
        <v>1392</v>
      </c>
      <c r="C688">
        <v>56</v>
      </c>
      <c r="D688">
        <v>130.16</v>
      </c>
      <c r="E688" s="1">
        <v>46105</v>
      </c>
    </row>
    <row r="689" spans="1:5" x14ac:dyDescent="0.25">
      <c r="A689" t="s">
        <v>609</v>
      </c>
      <c r="B689" t="s">
        <v>1393</v>
      </c>
      <c r="C689">
        <v>199</v>
      </c>
      <c r="D689">
        <v>41.38</v>
      </c>
      <c r="E689" s="1">
        <v>46141</v>
      </c>
    </row>
    <row r="690" spans="1:5" x14ac:dyDescent="0.25">
      <c r="A690" t="s">
        <v>610</v>
      </c>
      <c r="B690" t="s">
        <v>1394</v>
      </c>
      <c r="C690">
        <v>144</v>
      </c>
      <c r="D690">
        <v>49.12</v>
      </c>
      <c r="E690" s="1">
        <v>46154</v>
      </c>
    </row>
    <row r="691" spans="1:5" x14ac:dyDescent="0.25">
      <c r="A691" t="s">
        <v>611</v>
      </c>
      <c r="B691" t="s">
        <v>1395</v>
      </c>
      <c r="C691">
        <v>53</v>
      </c>
      <c r="D691">
        <v>135.29</v>
      </c>
      <c r="E691" s="1">
        <v>46072</v>
      </c>
    </row>
    <row r="692" spans="1:5" x14ac:dyDescent="0.25">
      <c r="A692" t="s">
        <v>612</v>
      </c>
      <c r="B692" t="s">
        <v>1396</v>
      </c>
      <c r="C692">
        <v>293</v>
      </c>
      <c r="D692">
        <v>16.89</v>
      </c>
      <c r="E692" s="1">
        <v>46109</v>
      </c>
    </row>
    <row r="693" spans="1:5" x14ac:dyDescent="0.25">
      <c r="A693" t="s">
        <v>613</v>
      </c>
      <c r="B693" t="s">
        <v>1397</v>
      </c>
      <c r="C693">
        <v>361</v>
      </c>
      <c r="D693">
        <v>174.04</v>
      </c>
      <c r="E693" s="1">
        <v>46173</v>
      </c>
    </row>
    <row r="694" spans="1:5" x14ac:dyDescent="0.25">
      <c r="A694" t="s">
        <v>614</v>
      </c>
      <c r="B694" t="s">
        <v>1398</v>
      </c>
      <c r="C694">
        <v>50</v>
      </c>
      <c r="D694">
        <v>81.99</v>
      </c>
      <c r="E694" s="1">
        <v>46106</v>
      </c>
    </row>
    <row r="695" spans="1:5" x14ac:dyDescent="0.25">
      <c r="A695" t="s">
        <v>615</v>
      </c>
      <c r="B695" t="s">
        <v>1399</v>
      </c>
      <c r="C695">
        <v>471</v>
      </c>
      <c r="D695">
        <v>105.78</v>
      </c>
      <c r="E695" s="1">
        <v>46184</v>
      </c>
    </row>
    <row r="696" spans="1:5" x14ac:dyDescent="0.25">
      <c r="A696" t="s">
        <v>616</v>
      </c>
      <c r="B696" t="s">
        <v>1400</v>
      </c>
      <c r="C696">
        <v>98</v>
      </c>
      <c r="D696">
        <v>190.07</v>
      </c>
      <c r="E696" s="1">
        <v>46149</v>
      </c>
    </row>
    <row r="697" spans="1:5" x14ac:dyDescent="0.25">
      <c r="A697" t="s">
        <v>617</v>
      </c>
      <c r="B697" t="s">
        <v>1401</v>
      </c>
      <c r="C697">
        <v>31</v>
      </c>
      <c r="D697">
        <v>87.56</v>
      </c>
      <c r="E697" s="1">
        <v>46081</v>
      </c>
    </row>
    <row r="698" spans="1:5" x14ac:dyDescent="0.25">
      <c r="A698" t="s">
        <v>618</v>
      </c>
      <c r="B698" t="s">
        <v>1402</v>
      </c>
      <c r="C698">
        <v>437</v>
      </c>
      <c r="D698">
        <v>121.03</v>
      </c>
      <c r="E698" s="1">
        <v>46077</v>
      </c>
    </row>
    <row r="699" spans="1:5" x14ac:dyDescent="0.25">
      <c r="A699" t="s">
        <v>619</v>
      </c>
      <c r="B699" t="s">
        <v>1403</v>
      </c>
      <c r="C699">
        <v>294</v>
      </c>
      <c r="D699">
        <v>82.48</v>
      </c>
      <c r="E699" s="1">
        <v>46139</v>
      </c>
    </row>
    <row r="700" spans="1:5" x14ac:dyDescent="0.25">
      <c r="A700" t="s">
        <v>620</v>
      </c>
      <c r="B700" t="s">
        <v>1404</v>
      </c>
      <c r="C700">
        <v>479</v>
      </c>
      <c r="D700">
        <v>175.33</v>
      </c>
      <c r="E700" s="1">
        <v>46166</v>
      </c>
    </row>
    <row r="701" spans="1:5" x14ac:dyDescent="0.25">
      <c r="A701" t="s">
        <v>621</v>
      </c>
      <c r="B701" t="s">
        <v>1405</v>
      </c>
      <c r="C701">
        <v>222</v>
      </c>
      <c r="D701">
        <v>34.18</v>
      </c>
      <c r="E701" s="1">
        <v>46066</v>
      </c>
    </row>
    <row r="702" spans="1:5" x14ac:dyDescent="0.25">
      <c r="A702" t="s">
        <v>622</v>
      </c>
      <c r="B702" t="s">
        <v>1406</v>
      </c>
      <c r="C702">
        <v>409</v>
      </c>
      <c r="D702">
        <v>24.69</v>
      </c>
      <c r="E702" s="1">
        <v>46185</v>
      </c>
    </row>
    <row r="703" spans="1:5" x14ac:dyDescent="0.25">
      <c r="A703" t="s">
        <v>623</v>
      </c>
      <c r="B703" t="s">
        <v>1407</v>
      </c>
      <c r="C703">
        <v>206</v>
      </c>
      <c r="D703">
        <v>132.68</v>
      </c>
      <c r="E703" s="1">
        <v>46113</v>
      </c>
    </row>
    <row r="704" spans="1:5" x14ac:dyDescent="0.25">
      <c r="A704" t="s">
        <v>624</v>
      </c>
      <c r="B704" t="s">
        <v>1408</v>
      </c>
      <c r="C704">
        <v>151</v>
      </c>
      <c r="D704">
        <v>83.58</v>
      </c>
      <c r="E704" s="1">
        <v>46087</v>
      </c>
    </row>
    <row r="705" spans="1:5" x14ac:dyDescent="0.25">
      <c r="A705" t="s">
        <v>625</v>
      </c>
      <c r="B705" t="s">
        <v>1409</v>
      </c>
      <c r="C705">
        <v>465</v>
      </c>
      <c r="D705">
        <v>176.4</v>
      </c>
      <c r="E705" s="1">
        <v>46137</v>
      </c>
    </row>
    <row r="706" spans="1:5" x14ac:dyDescent="0.25">
      <c r="A706" t="s">
        <v>626</v>
      </c>
      <c r="B706" t="s">
        <v>1410</v>
      </c>
      <c r="C706">
        <v>481</v>
      </c>
      <c r="D706">
        <v>57.37</v>
      </c>
      <c r="E706" s="1">
        <v>46152</v>
      </c>
    </row>
    <row r="707" spans="1:5" x14ac:dyDescent="0.25">
      <c r="A707" t="s">
        <v>627</v>
      </c>
      <c r="B707" t="s">
        <v>1411</v>
      </c>
      <c r="C707">
        <v>169</v>
      </c>
      <c r="D707">
        <v>59.67</v>
      </c>
      <c r="E707" s="1">
        <v>46110</v>
      </c>
    </row>
    <row r="708" spans="1:5" x14ac:dyDescent="0.25">
      <c r="A708" t="s">
        <v>628</v>
      </c>
      <c r="B708" t="s">
        <v>1412</v>
      </c>
      <c r="C708">
        <v>163</v>
      </c>
      <c r="D708">
        <v>194.97</v>
      </c>
      <c r="E708" s="1">
        <v>46081</v>
      </c>
    </row>
    <row r="709" spans="1:5" x14ac:dyDescent="0.25">
      <c r="A709" t="s">
        <v>629</v>
      </c>
      <c r="B709" t="s">
        <v>1413</v>
      </c>
      <c r="C709">
        <v>319</v>
      </c>
      <c r="D709">
        <v>130.88</v>
      </c>
      <c r="E709" s="1">
        <v>46152</v>
      </c>
    </row>
    <row r="710" spans="1:5" x14ac:dyDescent="0.25">
      <c r="A710" t="s">
        <v>630</v>
      </c>
      <c r="B710" t="s">
        <v>1414</v>
      </c>
      <c r="C710">
        <v>389</v>
      </c>
      <c r="D710">
        <v>99.47</v>
      </c>
      <c r="E710" s="1">
        <v>46144</v>
      </c>
    </row>
    <row r="711" spans="1:5" x14ac:dyDescent="0.25">
      <c r="A711" t="s">
        <v>631</v>
      </c>
      <c r="B711" t="s">
        <v>1415</v>
      </c>
      <c r="C711">
        <v>415</v>
      </c>
      <c r="D711">
        <v>36</v>
      </c>
      <c r="E711" s="1">
        <v>46180</v>
      </c>
    </row>
    <row r="712" spans="1:5" x14ac:dyDescent="0.25">
      <c r="A712" t="s">
        <v>632</v>
      </c>
      <c r="B712" t="s">
        <v>1416</v>
      </c>
      <c r="C712">
        <v>409</v>
      </c>
      <c r="D712">
        <v>171</v>
      </c>
      <c r="E712" s="1">
        <v>46068</v>
      </c>
    </row>
    <row r="713" spans="1:5" x14ac:dyDescent="0.25">
      <c r="A713" t="s">
        <v>633</v>
      </c>
      <c r="B713" t="s">
        <v>1417</v>
      </c>
      <c r="C713">
        <v>458</v>
      </c>
      <c r="D713">
        <v>167.42</v>
      </c>
      <c r="E713" s="1">
        <v>46085</v>
      </c>
    </row>
    <row r="714" spans="1:5" x14ac:dyDescent="0.25">
      <c r="A714" t="s">
        <v>634</v>
      </c>
      <c r="B714" t="s">
        <v>1418</v>
      </c>
      <c r="C714">
        <v>35</v>
      </c>
      <c r="D714">
        <v>211.45</v>
      </c>
      <c r="E714" s="1">
        <v>46156</v>
      </c>
    </row>
    <row r="715" spans="1:5" x14ac:dyDescent="0.25">
      <c r="A715" t="s">
        <v>635</v>
      </c>
      <c r="B715" t="s">
        <v>1419</v>
      </c>
      <c r="C715">
        <v>431</v>
      </c>
      <c r="D715">
        <v>95.52</v>
      </c>
      <c r="E715" s="1">
        <v>46135</v>
      </c>
    </row>
    <row r="716" spans="1:5" x14ac:dyDescent="0.25">
      <c r="A716" t="s">
        <v>636</v>
      </c>
      <c r="B716" t="s">
        <v>1420</v>
      </c>
      <c r="C716">
        <v>133</v>
      </c>
      <c r="D716">
        <v>77.63</v>
      </c>
      <c r="E716" s="1">
        <v>46057</v>
      </c>
    </row>
    <row r="717" spans="1:5" x14ac:dyDescent="0.25">
      <c r="A717" t="s">
        <v>637</v>
      </c>
      <c r="B717" t="s">
        <v>1421</v>
      </c>
      <c r="C717">
        <v>310</v>
      </c>
      <c r="D717">
        <v>112.51</v>
      </c>
      <c r="E717" s="1">
        <v>46156</v>
      </c>
    </row>
    <row r="718" spans="1:5" x14ac:dyDescent="0.25">
      <c r="A718" t="s">
        <v>638</v>
      </c>
      <c r="B718" t="s">
        <v>1422</v>
      </c>
      <c r="C718">
        <v>155</v>
      </c>
      <c r="D718">
        <v>10.35</v>
      </c>
      <c r="E718" s="1">
        <v>46059</v>
      </c>
    </row>
    <row r="719" spans="1:5" x14ac:dyDescent="0.25">
      <c r="A719" t="s">
        <v>639</v>
      </c>
      <c r="B719" t="s">
        <v>1423</v>
      </c>
      <c r="C719">
        <v>448</v>
      </c>
      <c r="D719">
        <v>48.16</v>
      </c>
      <c r="E719" s="1">
        <v>46094</v>
      </c>
    </row>
    <row r="720" spans="1:5" x14ac:dyDescent="0.25">
      <c r="A720" t="s">
        <v>640</v>
      </c>
      <c r="B720" t="s">
        <v>1424</v>
      </c>
      <c r="C720">
        <v>272</v>
      </c>
      <c r="D720">
        <v>8.91</v>
      </c>
      <c r="E720" s="1">
        <v>46142</v>
      </c>
    </row>
    <row r="721" spans="1:5" x14ac:dyDescent="0.25">
      <c r="A721" t="s">
        <v>641</v>
      </c>
      <c r="B721" t="s">
        <v>1425</v>
      </c>
      <c r="C721">
        <v>341</v>
      </c>
      <c r="D721">
        <v>38.770000000000003</v>
      </c>
      <c r="E721" s="1">
        <v>46072</v>
      </c>
    </row>
    <row r="722" spans="1:5" x14ac:dyDescent="0.25">
      <c r="A722" t="s">
        <v>1426</v>
      </c>
      <c r="B722" t="s">
        <v>1427</v>
      </c>
      <c r="C722">
        <v>374</v>
      </c>
      <c r="D722">
        <v>206.34</v>
      </c>
      <c r="E722" s="1">
        <v>46124</v>
      </c>
    </row>
    <row r="723" spans="1:5" x14ac:dyDescent="0.25">
      <c r="A723" t="s">
        <v>642</v>
      </c>
      <c r="B723" t="s">
        <v>1428</v>
      </c>
      <c r="C723">
        <v>446</v>
      </c>
      <c r="D723">
        <v>73</v>
      </c>
      <c r="E723" s="1">
        <v>46134</v>
      </c>
    </row>
    <row r="724" spans="1:5" x14ac:dyDescent="0.25">
      <c r="A724" t="s">
        <v>643</v>
      </c>
      <c r="B724" t="s">
        <v>1429</v>
      </c>
      <c r="C724">
        <v>356</v>
      </c>
      <c r="D724">
        <v>106.52</v>
      </c>
      <c r="E724" s="1">
        <v>46119</v>
      </c>
    </row>
    <row r="725" spans="1:5" x14ac:dyDescent="0.25">
      <c r="A725" t="s">
        <v>644</v>
      </c>
      <c r="B725" t="s">
        <v>1430</v>
      </c>
      <c r="C725">
        <v>13</v>
      </c>
      <c r="D725">
        <v>104.75</v>
      </c>
      <c r="E725" s="1">
        <v>46071</v>
      </c>
    </row>
    <row r="726" spans="1:5" x14ac:dyDescent="0.25">
      <c r="A726" t="s">
        <v>645</v>
      </c>
      <c r="B726" t="s">
        <v>1431</v>
      </c>
      <c r="C726">
        <v>162</v>
      </c>
      <c r="D726">
        <v>138.46</v>
      </c>
      <c r="E726" s="1">
        <v>46106</v>
      </c>
    </row>
    <row r="727" spans="1:5" x14ac:dyDescent="0.25">
      <c r="A727" t="s">
        <v>646</v>
      </c>
      <c r="B727" t="s">
        <v>1432</v>
      </c>
      <c r="C727">
        <v>337</v>
      </c>
      <c r="D727">
        <v>68.400000000000006</v>
      </c>
      <c r="E727" s="1">
        <v>46109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64239-B6D1-4A17-92E5-BD57544F1768}">
  <dimension ref="A1:C645"/>
  <sheetViews>
    <sheetView workbookViewId="0"/>
  </sheetViews>
  <sheetFormatPr defaultRowHeight="15" x14ac:dyDescent="0.25"/>
  <cols>
    <col min="1" max="1" width="13.5703125" bestFit="1" customWidth="1"/>
    <col min="2" max="2" width="14.140625" bestFit="1" customWidth="1"/>
    <col min="3" max="3" width="21.85546875" bestFit="1" customWidth="1"/>
  </cols>
  <sheetData>
    <row r="1" spans="1:3" x14ac:dyDescent="0.25">
      <c r="A1" t="s">
        <v>0</v>
      </c>
      <c r="B1" t="s">
        <v>1</v>
      </c>
      <c r="C1" t="s">
        <v>2</v>
      </c>
    </row>
    <row r="2" spans="1:3" x14ac:dyDescent="0.25">
      <c r="A2" t="s">
        <v>3</v>
      </c>
      <c r="B2">
        <v>22</v>
      </c>
      <c r="C2" s="1">
        <v>46062</v>
      </c>
    </row>
    <row r="3" spans="1:3" x14ac:dyDescent="0.25">
      <c r="A3" t="s">
        <v>4</v>
      </c>
      <c r="B3">
        <v>356</v>
      </c>
      <c r="C3" s="1">
        <v>46054</v>
      </c>
    </row>
    <row r="4" spans="1:3" x14ac:dyDescent="0.25">
      <c r="A4" t="s">
        <v>5</v>
      </c>
      <c r="B4">
        <v>26</v>
      </c>
      <c r="C4" s="1">
        <v>46141</v>
      </c>
    </row>
    <row r="5" spans="1:3" x14ac:dyDescent="0.25">
      <c r="A5" t="s">
        <v>6</v>
      </c>
      <c r="B5">
        <v>297</v>
      </c>
      <c r="C5" s="1">
        <v>46046</v>
      </c>
    </row>
    <row r="6" spans="1:3" x14ac:dyDescent="0.25">
      <c r="A6" t="s">
        <v>7</v>
      </c>
      <c r="B6">
        <v>311</v>
      </c>
      <c r="C6" s="1">
        <v>46146</v>
      </c>
    </row>
    <row r="7" spans="1:3" x14ac:dyDescent="0.25">
      <c r="A7" t="s">
        <v>8</v>
      </c>
      <c r="B7">
        <v>184</v>
      </c>
      <c r="C7" s="1">
        <v>46144</v>
      </c>
    </row>
    <row r="8" spans="1:3" x14ac:dyDescent="0.25">
      <c r="A8" t="s">
        <v>9</v>
      </c>
      <c r="B8">
        <v>204</v>
      </c>
      <c r="C8" s="1">
        <v>46058</v>
      </c>
    </row>
    <row r="9" spans="1:3" x14ac:dyDescent="0.25">
      <c r="A9" t="s">
        <v>10</v>
      </c>
      <c r="B9">
        <v>284</v>
      </c>
      <c r="C9" s="1">
        <v>46145</v>
      </c>
    </row>
    <row r="10" spans="1:3" x14ac:dyDescent="0.25">
      <c r="A10" t="s">
        <v>11</v>
      </c>
      <c r="B10">
        <v>434</v>
      </c>
      <c r="C10" s="1">
        <v>46107</v>
      </c>
    </row>
    <row r="11" spans="1:3" x14ac:dyDescent="0.25">
      <c r="A11" t="s">
        <v>12</v>
      </c>
      <c r="B11">
        <v>33</v>
      </c>
      <c r="C11" s="1">
        <v>46055</v>
      </c>
    </row>
    <row r="12" spans="1:3" x14ac:dyDescent="0.25">
      <c r="A12" t="s">
        <v>13</v>
      </c>
      <c r="B12">
        <v>453</v>
      </c>
      <c r="C12" s="1">
        <v>46103</v>
      </c>
    </row>
    <row r="13" spans="1:3" x14ac:dyDescent="0.25">
      <c r="A13" t="s">
        <v>14</v>
      </c>
      <c r="B13">
        <v>93</v>
      </c>
      <c r="C13" s="1">
        <v>46129</v>
      </c>
    </row>
    <row r="14" spans="1:3" x14ac:dyDescent="0.25">
      <c r="A14" t="s">
        <v>15</v>
      </c>
      <c r="B14">
        <v>321</v>
      </c>
      <c r="C14" s="1">
        <v>46055</v>
      </c>
    </row>
    <row r="15" spans="1:3" x14ac:dyDescent="0.25">
      <c r="A15" t="s">
        <v>16</v>
      </c>
      <c r="B15">
        <v>204</v>
      </c>
      <c r="C15" s="1">
        <v>46171</v>
      </c>
    </row>
    <row r="16" spans="1:3" x14ac:dyDescent="0.25">
      <c r="A16" t="s">
        <v>17</v>
      </c>
      <c r="B16">
        <v>441</v>
      </c>
      <c r="C16" s="1">
        <v>46117</v>
      </c>
    </row>
    <row r="17" spans="1:3" x14ac:dyDescent="0.25">
      <c r="A17" t="s">
        <v>18</v>
      </c>
      <c r="B17">
        <v>212</v>
      </c>
      <c r="C17" s="1">
        <v>46119</v>
      </c>
    </row>
    <row r="18" spans="1:3" x14ac:dyDescent="0.25">
      <c r="A18" t="s">
        <v>19</v>
      </c>
      <c r="B18">
        <v>212</v>
      </c>
      <c r="C18" s="1">
        <v>46167</v>
      </c>
    </row>
    <row r="19" spans="1:3" x14ac:dyDescent="0.25">
      <c r="A19" t="s">
        <v>20</v>
      </c>
      <c r="B19">
        <v>81</v>
      </c>
      <c r="C19" s="1">
        <v>46105</v>
      </c>
    </row>
    <row r="20" spans="1:3" x14ac:dyDescent="0.25">
      <c r="A20" t="s">
        <v>21</v>
      </c>
      <c r="B20">
        <v>229</v>
      </c>
      <c r="C20" s="1">
        <v>46189</v>
      </c>
    </row>
    <row r="21" spans="1:3" x14ac:dyDescent="0.25">
      <c r="A21" t="s">
        <v>22</v>
      </c>
      <c r="B21">
        <v>270</v>
      </c>
      <c r="C21" s="1">
        <v>46065</v>
      </c>
    </row>
    <row r="22" spans="1:3" x14ac:dyDescent="0.25">
      <c r="A22" t="s">
        <v>23</v>
      </c>
      <c r="B22">
        <v>331</v>
      </c>
      <c r="C22" s="1">
        <v>46089</v>
      </c>
    </row>
    <row r="23" spans="1:3" x14ac:dyDescent="0.25">
      <c r="A23" t="s">
        <v>24</v>
      </c>
      <c r="B23">
        <v>207</v>
      </c>
      <c r="C23" s="1">
        <v>46058</v>
      </c>
    </row>
    <row r="24" spans="1:3" x14ac:dyDescent="0.25">
      <c r="A24" t="s">
        <v>25</v>
      </c>
      <c r="B24">
        <v>450</v>
      </c>
      <c r="C24" s="1">
        <v>46177</v>
      </c>
    </row>
    <row r="25" spans="1:3" x14ac:dyDescent="0.25">
      <c r="A25" t="s">
        <v>26</v>
      </c>
      <c r="B25">
        <v>394</v>
      </c>
      <c r="C25" s="1">
        <v>46173</v>
      </c>
    </row>
    <row r="26" spans="1:3" x14ac:dyDescent="0.25">
      <c r="A26" t="s">
        <v>27</v>
      </c>
      <c r="B26">
        <v>232</v>
      </c>
      <c r="C26" s="1">
        <v>46112</v>
      </c>
    </row>
    <row r="27" spans="1:3" x14ac:dyDescent="0.25">
      <c r="A27" t="s">
        <v>28</v>
      </c>
      <c r="B27">
        <v>269</v>
      </c>
      <c r="C27" s="1">
        <v>46082</v>
      </c>
    </row>
    <row r="28" spans="1:3" x14ac:dyDescent="0.25">
      <c r="A28" t="s">
        <v>29</v>
      </c>
      <c r="B28">
        <v>321</v>
      </c>
      <c r="C28" s="1">
        <v>46164</v>
      </c>
    </row>
    <row r="29" spans="1:3" x14ac:dyDescent="0.25">
      <c r="A29" t="s">
        <v>30</v>
      </c>
      <c r="B29">
        <v>480</v>
      </c>
      <c r="C29" s="1">
        <v>46179</v>
      </c>
    </row>
    <row r="30" spans="1:3" x14ac:dyDescent="0.25">
      <c r="A30" t="s">
        <v>31</v>
      </c>
      <c r="B30">
        <v>485</v>
      </c>
      <c r="C30" s="1">
        <v>46065</v>
      </c>
    </row>
    <row r="31" spans="1:3" x14ac:dyDescent="0.25">
      <c r="A31" t="s">
        <v>32</v>
      </c>
      <c r="B31">
        <v>459</v>
      </c>
      <c r="C31" s="1">
        <v>46091</v>
      </c>
    </row>
    <row r="32" spans="1:3" x14ac:dyDescent="0.25">
      <c r="A32" t="s">
        <v>33</v>
      </c>
      <c r="B32">
        <v>427</v>
      </c>
      <c r="C32" s="1">
        <v>46154</v>
      </c>
    </row>
    <row r="33" spans="1:3" x14ac:dyDescent="0.25">
      <c r="A33" t="s">
        <v>34</v>
      </c>
      <c r="B33">
        <v>494</v>
      </c>
      <c r="C33" s="1">
        <v>46182</v>
      </c>
    </row>
    <row r="34" spans="1:3" x14ac:dyDescent="0.25">
      <c r="A34" t="s">
        <v>35</v>
      </c>
      <c r="B34">
        <v>118</v>
      </c>
      <c r="C34" s="1">
        <v>46144</v>
      </c>
    </row>
    <row r="35" spans="1:3" x14ac:dyDescent="0.25">
      <c r="A35" t="s">
        <v>36</v>
      </c>
      <c r="B35">
        <v>214</v>
      </c>
      <c r="C35" s="1">
        <v>46116</v>
      </c>
    </row>
    <row r="36" spans="1:3" x14ac:dyDescent="0.25">
      <c r="A36" t="s">
        <v>37</v>
      </c>
      <c r="B36">
        <v>241</v>
      </c>
      <c r="C36" s="1">
        <v>46164</v>
      </c>
    </row>
    <row r="37" spans="1:3" x14ac:dyDescent="0.25">
      <c r="A37" t="s">
        <v>38</v>
      </c>
      <c r="B37">
        <v>372</v>
      </c>
      <c r="C37" s="1">
        <v>46046</v>
      </c>
    </row>
    <row r="38" spans="1:3" x14ac:dyDescent="0.25">
      <c r="A38" t="s">
        <v>39</v>
      </c>
      <c r="B38">
        <v>46</v>
      </c>
      <c r="C38" s="1">
        <v>46129</v>
      </c>
    </row>
    <row r="39" spans="1:3" x14ac:dyDescent="0.25">
      <c r="A39" t="s">
        <v>40</v>
      </c>
      <c r="B39">
        <v>61</v>
      </c>
      <c r="C39" s="1">
        <v>46195</v>
      </c>
    </row>
    <row r="40" spans="1:3" x14ac:dyDescent="0.25">
      <c r="A40" t="s">
        <v>41</v>
      </c>
      <c r="B40">
        <v>423</v>
      </c>
      <c r="C40" s="1">
        <v>46154</v>
      </c>
    </row>
    <row r="41" spans="1:3" x14ac:dyDescent="0.25">
      <c r="A41" t="s">
        <v>42</v>
      </c>
      <c r="B41">
        <v>191</v>
      </c>
      <c r="C41" s="1">
        <v>46137</v>
      </c>
    </row>
    <row r="42" spans="1:3" x14ac:dyDescent="0.25">
      <c r="A42" t="s">
        <v>43</v>
      </c>
      <c r="B42">
        <v>41</v>
      </c>
      <c r="C42" s="1">
        <v>46054</v>
      </c>
    </row>
    <row r="43" spans="1:3" x14ac:dyDescent="0.25">
      <c r="A43" t="s">
        <v>44</v>
      </c>
      <c r="B43">
        <v>107</v>
      </c>
      <c r="C43" s="1">
        <v>46091</v>
      </c>
    </row>
    <row r="44" spans="1:3" x14ac:dyDescent="0.25">
      <c r="A44" t="s">
        <v>45</v>
      </c>
      <c r="B44">
        <v>243</v>
      </c>
      <c r="C44" s="1">
        <v>46115</v>
      </c>
    </row>
    <row r="45" spans="1:3" x14ac:dyDescent="0.25">
      <c r="A45" t="s">
        <v>46</v>
      </c>
      <c r="B45">
        <v>35</v>
      </c>
      <c r="C45" s="1">
        <v>46053</v>
      </c>
    </row>
    <row r="46" spans="1:3" x14ac:dyDescent="0.25">
      <c r="A46" t="s">
        <v>47</v>
      </c>
      <c r="B46">
        <v>95</v>
      </c>
      <c r="C46" s="1">
        <v>46093</v>
      </c>
    </row>
    <row r="47" spans="1:3" x14ac:dyDescent="0.25">
      <c r="A47" t="s">
        <v>48</v>
      </c>
      <c r="B47">
        <v>80</v>
      </c>
      <c r="C47" s="1">
        <v>46058</v>
      </c>
    </row>
    <row r="48" spans="1:3" x14ac:dyDescent="0.25">
      <c r="A48" t="s">
        <v>49</v>
      </c>
      <c r="B48">
        <v>226</v>
      </c>
      <c r="C48" s="1">
        <v>46114</v>
      </c>
    </row>
    <row r="49" spans="1:3" x14ac:dyDescent="0.25">
      <c r="A49" t="s">
        <v>50</v>
      </c>
      <c r="B49">
        <v>161</v>
      </c>
      <c r="C49" s="1">
        <v>46079</v>
      </c>
    </row>
    <row r="50" spans="1:3" x14ac:dyDescent="0.25">
      <c r="A50" t="s">
        <v>51</v>
      </c>
      <c r="B50">
        <v>39</v>
      </c>
      <c r="C50" s="1">
        <v>46125</v>
      </c>
    </row>
    <row r="51" spans="1:3" x14ac:dyDescent="0.25">
      <c r="A51" t="s">
        <v>52</v>
      </c>
      <c r="B51">
        <v>39</v>
      </c>
      <c r="C51" s="1">
        <v>46074</v>
      </c>
    </row>
    <row r="52" spans="1:3" x14ac:dyDescent="0.25">
      <c r="A52" t="s">
        <v>53</v>
      </c>
      <c r="B52">
        <v>355</v>
      </c>
      <c r="C52" s="1">
        <v>46055</v>
      </c>
    </row>
    <row r="53" spans="1:3" x14ac:dyDescent="0.25">
      <c r="A53" t="s">
        <v>54</v>
      </c>
      <c r="B53">
        <v>306</v>
      </c>
      <c r="C53" s="1">
        <v>46092</v>
      </c>
    </row>
    <row r="54" spans="1:3" x14ac:dyDescent="0.25">
      <c r="A54" t="s">
        <v>55</v>
      </c>
      <c r="B54">
        <v>299</v>
      </c>
      <c r="C54" s="1">
        <v>46183</v>
      </c>
    </row>
    <row r="55" spans="1:3" x14ac:dyDescent="0.25">
      <c r="A55" t="s">
        <v>56</v>
      </c>
      <c r="B55">
        <v>485</v>
      </c>
      <c r="C55" s="1">
        <v>46106</v>
      </c>
    </row>
    <row r="56" spans="1:3" x14ac:dyDescent="0.25">
      <c r="A56" t="s">
        <v>57</v>
      </c>
      <c r="B56">
        <v>61</v>
      </c>
      <c r="C56" s="1">
        <v>46190</v>
      </c>
    </row>
    <row r="57" spans="1:3" x14ac:dyDescent="0.25">
      <c r="A57" t="s">
        <v>58</v>
      </c>
      <c r="B57">
        <v>487</v>
      </c>
      <c r="C57" s="1">
        <v>46070</v>
      </c>
    </row>
    <row r="58" spans="1:3" x14ac:dyDescent="0.25">
      <c r="A58" t="s">
        <v>59</v>
      </c>
      <c r="B58">
        <v>90</v>
      </c>
      <c r="C58" s="1">
        <v>46108</v>
      </c>
    </row>
    <row r="59" spans="1:3" x14ac:dyDescent="0.25">
      <c r="A59" t="s">
        <v>60</v>
      </c>
      <c r="B59">
        <v>14</v>
      </c>
      <c r="C59" s="1">
        <v>46172</v>
      </c>
    </row>
    <row r="60" spans="1:3" x14ac:dyDescent="0.25">
      <c r="A60" t="s">
        <v>61</v>
      </c>
      <c r="B60">
        <v>490</v>
      </c>
      <c r="C60" s="1">
        <v>46059</v>
      </c>
    </row>
    <row r="61" spans="1:3" x14ac:dyDescent="0.25">
      <c r="A61" t="s">
        <v>62</v>
      </c>
      <c r="B61">
        <v>89</v>
      </c>
      <c r="C61" s="1">
        <v>46173</v>
      </c>
    </row>
    <row r="62" spans="1:3" x14ac:dyDescent="0.25">
      <c r="A62" t="s">
        <v>63</v>
      </c>
      <c r="B62">
        <v>114</v>
      </c>
      <c r="C62" s="1">
        <v>46133</v>
      </c>
    </row>
    <row r="63" spans="1:3" x14ac:dyDescent="0.25">
      <c r="A63" t="s">
        <v>64</v>
      </c>
      <c r="B63">
        <v>473</v>
      </c>
      <c r="C63" s="1">
        <v>46094</v>
      </c>
    </row>
    <row r="64" spans="1:3" x14ac:dyDescent="0.25">
      <c r="A64" t="s">
        <v>65</v>
      </c>
      <c r="B64">
        <v>434</v>
      </c>
      <c r="C64" s="1">
        <v>46146</v>
      </c>
    </row>
    <row r="65" spans="1:3" x14ac:dyDescent="0.25">
      <c r="A65" t="s">
        <v>66</v>
      </c>
      <c r="B65">
        <v>92</v>
      </c>
      <c r="C65" s="1">
        <v>46108</v>
      </c>
    </row>
    <row r="66" spans="1:3" x14ac:dyDescent="0.25">
      <c r="A66" t="s">
        <v>67</v>
      </c>
      <c r="B66">
        <v>67</v>
      </c>
      <c r="C66" s="1">
        <v>46036</v>
      </c>
    </row>
    <row r="67" spans="1:3" x14ac:dyDescent="0.25">
      <c r="A67" t="s">
        <v>68</v>
      </c>
      <c r="B67">
        <v>437</v>
      </c>
      <c r="C67" s="1">
        <v>46043</v>
      </c>
    </row>
    <row r="68" spans="1:3" x14ac:dyDescent="0.25">
      <c r="A68" t="s">
        <v>69</v>
      </c>
      <c r="B68">
        <v>31</v>
      </c>
      <c r="C68" s="1">
        <v>46072</v>
      </c>
    </row>
    <row r="69" spans="1:3" x14ac:dyDescent="0.25">
      <c r="A69" t="s">
        <v>70</v>
      </c>
      <c r="B69">
        <v>351</v>
      </c>
      <c r="C69" s="1">
        <v>46115</v>
      </c>
    </row>
    <row r="70" spans="1:3" x14ac:dyDescent="0.25">
      <c r="A70" t="s">
        <v>71</v>
      </c>
      <c r="B70">
        <v>483</v>
      </c>
      <c r="C70" s="1">
        <v>46072</v>
      </c>
    </row>
    <row r="71" spans="1:3" x14ac:dyDescent="0.25">
      <c r="A71" t="s">
        <v>72</v>
      </c>
      <c r="B71">
        <v>101</v>
      </c>
      <c r="C71" s="1">
        <v>46046</v>
      </c>
    </row>
    <row r="72" spans="1:3" x14ac:dyDescent="0.25">
      <c r="A72" t="s">
        <v>73</v>
      </c>
      <c r="B72">
        <v>146</v>
      </c>
      <c r="C72" s="1">
        <v>46093</v>
      </c>
    </row>
    <row r="73" spans="1:3" x14ac:dyDescent="0.25">
      <c r="A73" t="s">
        <v>74</v>
      </c>
      <c r="B73">
        <v>449</v>
      </c>
      <c r="C73" s="1">
        <v>46051</v>
      </c>
    </row>
    <row r="74" spans="1:3" x14ac:dyDescent="0.25">
      <c r="A74" t="s">
        <v>75</v>
      </c>
      <c r="B74">
        <v>430</v>
      </c>
      <c r="C74" s="1">
        <v>46125</v>
      </c>
    </row>
    <row r="75" spans="1:3" x14ac:dyDescent="0.25">
      <c r="A75" t="s">
        <v>76</v>
      </c>
      <c r="B75">
        <v>214</v>
      </c>
      <c r="C75" s="1">
        <v>46084</v>
      </c>
    </row>
    <row r="76" spans="1:3" x14ac:dyDescent="0.25">
      <c r="A76" t="s">
        <v>77</v>
      </c>
      <c r="B76">
        <v>214</v>
      </c>
      <c r="C76" s="1">
        <v>46167</v>
      </c>
    </row>
    <row r="77" spans="1:3" x14ac:dyDescent="0.25">
      <c r="A77" t="s">
        <v>78</v>
      </c>
      <c r="B77">
        <v>315</v>
      </c>
      <c r="C77" s="1">
        <v>46067</v>
      </c>
    </row>
    <row r="78" spans="1:3" x14ac:dyDescent="0.25">
      <c r="A78" t="s">
        <v>79</v>
      </c>
      <c r="B78">
        <v>69</v>
      </c>
      <c r="C78" s="1">
        <v>46164</v>
      </c>
    </row>
    <row r="79" spans="1:3" x14ac:dyDescent="0.25">
      <c r="A79" t="s">
        <v>80</v>
      </c>
      <c r="B79">
        <v>372</v>
      </c>
      <c r="C79" s="1">
        <v>46058</v>
      </c>
    </row>
    <row r="80" spans="1:3" x14ac:dyDescent="0.25">
      <c r="A80" t="s">
        <v>81</v>
      </c>
      <c r="B80">
        <v>45</v>
      </c>
      <c r="C80" s="1">
        <v>46149</v>
      </c>
    </row>
    <row r="81" spans="1:3" x14ac:dyDescent="0.25">
      <c r="A81" t="s">
        <v>82</v>
      </c>
      <c r="B81">
        <v>378</v>
      </c>
      <c r="C81" s="1">
        <v>46070</v>
      </c>
    </row>
    <row r="82" spans="1:3" x14ac:dyDescent="0.25">
      <c r="A82" t="s">
        <v>83</v>
      </c>
      <c r="B82">
        <v>165</v>
      </c>
      <c r="C82" s="1">
        <v>46138</v>
      </c>
    </row>
    <row r="83" spans="1:3" x14ac:dyDescent="0.25">
      <c r="A83" t="s">
        <v>84</v>
      </c>
      <c r="B83">
        <v>350</v>
      </c>
      <c r="C83" s="1">
        <v>46139</v>
      </c>
    </row>
    <row r="84" spans="1:3" x14ac:dyDescent="0.25">
      <c r="A84" t="s">
        <v>85</v>
      </c>
      <c r="B84">
        <v>164</v>
      </c>
      <c r="C84" s="1">
        <v>46184</v>
      </c>
    </row>
    <row r="85" spans="1:3" x14ac:dyDescent="0.25">
      <c r="A85" t="s">
        <v>86</v>
      </c>
      <c r="B85">
        <v>230</v>
      </c>
      <c r="C85" s="1">
        <v>46092</v>
      </c>
    </row>
    <row r="86" spans="1:3" x14ac:dyDescent="0.25">
      <c r="A86" t="s">
        <v>87</v>
      </c>
      <c r="B86">
        <v>236</v>
      </c>
      <c r="C86" s="1">
        <v>46155</v>
      </c>
    </row>
    <row r="87" spans="1:3" x14ac:dyDescent="0.25">
      <c r="A87" t="s">
        <v>88</v>
      </c>
      <c r="B87">
        <v>347</v>
      </c>
      <c r="C87" s="1">
        <v>46083</v>
      </c>
    </row>
    <row r="88" spans="1:3" x14ac:dyDescent="0.25">
      <c r="A88" t="s">
        <v>89</v>
      </c>
      <c r="B88">
        <v>343</v>
      </c>
      <c r="C88" s="1">
        <v>46091</v>
      </c>
    </row>
    <row r="89" spans="1:3" x14ac:dyDescent="0.25">
      <c r="A89" t="s">
        <v>90</v>
      </c>
      <c r="B89">
        <v>135</v>
      </c>
      <c r="C89" s="1">
        <v>46043</v>
      </c>
    </row>
    <row r="90" spans="1:3" x14ac:dyDescent="0.25">
      <c r="A90" t="s">
        <v>91</v>
      </c>
      <c r="B90">
        <v>463</v>
      </c>
      <c r="C90" s="1">
        <v>46146</v>
      </c>
    </row>
    <row r="91" spans="1:3" x14ac:dyDescent="0.25">
      <c r="A91" t="s">
        <v>92</v>
      </c>
      <c r="B91">
        <v>134</v>
      </c>
      <c r="C91" s="1">
        <v>46129</v>
      </c>
    </row>
    <row r="92" spans="1:3" x14ac:dyDescent="0.25">
      <c r="A92" t="s">
        <v>93</v>
      </c>
      <c r="B92">
        <v>295</v>
      </c>
      <c r="C92" s="1">
        <v>46052</v>
      </c>
    </row>
    <row r="93" spans="1:3" x14ac:dyDescent="0.25">
      <c r="A93" t="s">
        <v>94</v>
      </c>
      <c r="B93">
        <v>351</v>
      </c>
      <c r="C93" s="1">
        <v>46157</v>
      </c>
    </row>
    <row r="94" spans="1:3" x14ac:dyDescent="0.25">
      <c r="A94" t="s">
        <v>95</v>
      </c>
      <c r="B94">
        <v>240</v>
      </c>
      <c r="C94" s="1">
        <v>46166</v>
      </c>
    </row>
    <row r="95" spans="1:3" x14ac:dyDescent="0.25">
      <c r="A95" t="s">
        <v>96</v>
      </c>
      <c r="B95">
        <v>330</v>
      </c>
      <c r="C95" s="1">
        <v>46155</v>
      </c>
    </row>
    <row r="96" spans="1:3" x14ac:dyDescent="0.25">
      <c r="A96" t="s">
        <v>97</v>
      </c>
      <c r="B96">
        <v>130</v>
      </c>
      <c r="C96" s="1">
        <v>46113</v>
      </c>
    </row>
    <row r="97" spans="1:3" x14ac:dyDescent="0.25">
      <c r="A97" t="s">
        <v>98</v>
      </c>
      <c r="B97">
        <v>218</v>
      </c>
      <c r="C97" s="1">
        <v>46147</v>
      </c>
    </row>
    <row r="98" spans="1:3" x14ac:dyDescent="0.25">
      <c r="A98" t="s">
        <v>99</v>
      </c>
      <c r="B98">
        <v>436</v>
      </c>
      <c r="C98" s="1">
        <v>46080</v>
      </c>
    </row>
    <row r="99" spans="1:3" x14ac:dyDescent="0.25">
      <c r="A99" t="s">
        <v>100</v>
      </c>
      <c r="B99">
        <v>254</v>
      </c>
      <c r="C99" s="1">
        <v>46136</v>
      </c>
    </row>
    <row r="100" spans="1:3" x14ac:dyDescent="0.25">
      <c r="A100" t="s">
        <v>101</v>
      </c>
      <c r="B100">
        <v>285</v>
      </c>
      <c r="C100" s="1">
        <v>46144</v>
      </c>
    </row>
    <row r="101" spans="1:3" x14ac:dyDescent="0.25">
      <c r="A101" t="s">
        <v>102</v>
      </c>
      <c r="B101">
        <v>149</v>
      </c>
      <c r="C101" s="1">
        <v>46096</v>
      </c>
    </row>
    <row r="102" spans="1:3" x14ac:dyDescent="0.25">
      <c r="A102" t="s">
        <v>103</v>
      </c>
      <c r="B102">
        <v>380</v>
      </c>
      <c r="C102" s="1">
        <v>46135</v>
      </c>
    </row>
    <row r="103" spans="1:3" x14ac:dyDescent="0.25">
      <c r="A103" t="s">
        <v>104</v>
      </c>
      <c r="B103">
        <v>23</v>
      </c>
      <c r="C103" s="1">
        <v>46162</v>
      </c>
    </row>
    <row r="104" spans="1:3" x14ac:dyDescent="0.25">
      <c r="A104" t="s">
        <v>105</v>
      </c>
      <c r="B104">
        <v>79</v>
      </c>
      <c r="C104" s="1">
        <v>46138</v>
      </c>
    </row>
    <row r="105" spans="1:3" x14ac:dyDescent="0.25">
      <c r="A105" t="s">
        <v>106</v>
      </c>
      <c r="B105">
        <v>395</v>
      </c>
      <c r="C105" s="1">
        <v>46108</v>
      </c>
    </row>
    <row r="106" spans="1:3" x14ac:dyDescent="0.25">
      <c r="A106" t="s">
        <v>107</v>
      </c>
      <c r="B106">
        <v>19</v>
      </c>
      <c r="C106" s="1">
        <v>46161</v>
      </c>
    </row>
    <row r="107" spans="1:3" x14ac:dyDescent="0.25">
      <c r="A107" t="s">
        <v>108</v>
      </c>
      <c r="B107">
        <v>439</v>
      </c>
      <c r="C107" s="1">
        <v>46088</v>
      </c>
    </row>
    <row r="108" spans="1:3" x14ac:dyDescent="0.25">
      <c r="A108" t="s">
        <v>109</v>
      </c>
      <c r="B108">
        <v>352</v>
      </c>
      <c r="C108" s="1">
        <v>46164</v>
      </c>
    </row>
    <row r="109" spans="1:3" x14ac:dyDescent="0.25">
      <c r="A109" t="s">
        <v>110</v>
      </c>
      <c r="B109">
        <v>385</v>
      </c>
      <c r="C109" s="1">
        <v>46098</v>
      </c>
    </row>
    <row r="110" spans="1:3" x14ac:dyDescent="0.25">
      <c r="A110" t="s">
        <v>111</v>
      </c>
      <c r="B110">
        <v>65</v>
      </c>
      <c r="C110" s="1">
        <v>46121</v>
      </c>
    </row>
    <row r="111" spans="1:3" x14ac:dyDescent="0.25">
      <c r="A111" t="s">
        <v>112</v>
      </c>
      <c r="B111">
        <v>48</v>
      </c>
      <c r="C111" s="1">
        <v>46093</v>
      </c>
    </row>
    <row r="112" spans="1:3" x14ac:dyDescent="0.25">
      <c r="A112" t="s">
        <v>113</v>
      </c>
      <c r="B112">
        <v>445</v>
      </c>
      <c r="C112" s="1">
        <v>46106</v>
      </c>
    </row>
    <row r="113" spans="1:3" x14ac:dyDescent="0.25">
      <c r="A113" t="s">
        <v>114</v>
      </c>
      <c r="B113">
        <v>229</v>
      </c>
      <c r="C113" s="1">
        <v>46185</v>
      </c>
    </row>
    <row r="114" spans="1:3" x14ac:dyDescent="0.25">
      <c r="A114" t="s">
        <v>115</v>
      </c>
      <c r="B114">
        <v>16</v>
      </c>
      <c r="C114" s="1">
        <v>46137</v>
      </c>
    </row>
    <row r="115" spans="1:3" x14ac:dyDescent="0.25">
      <c r="A115" t="s">
        <v>116</v>
      </c>
      <c r="B115">
        <v>335</v>
      </c>
      <c r="C115" s="1">
        <v>46135</v>
      </c>
    </row>
    <row r="116" spans="1:3" x14ac:dyDescent="0.25">
      <c r="A116" t="s">
        <v>117</v>
      </c>
      <c r="B116">
        <v>385</v>
      </c>
      <c r="C116" s="1">
        <v>46082</v>
      </c>
    </row>
    <row r="117" spans="1:3" x14ac:dyDescent="0.25">
      <c r="A117" t="s">
        <v>118</v>
      </c>
      <c r="B117">
        <v>406</v>
      </c>
      <c r="C117" s="1">
        <v>46182</v>
      </c>
    </row>
    <row r="118" spans="1:3" x14ac:dyDescent="0.25">
      <c r="A118" t="s">
        <v>119</v>
      </c>
      <c r="B118">
        <v>307</v>
      </c>
      <c r="C118" s="1">
        <v>46155</v>
      </c>
    </row>
    <row r="119" spans="1:3" x14ac:dyDescent="0.25">
      <c r="A119" t="s">
        <v>120</v>
      </c>
      <c r="B119">
        <v>445</v>
      </c>
      <c r="C119" s="1">
        <v>46172</v>
      </c>
    </row>
    <row r="120" spans="1:3" x14ac:dyDescent="0.25">
      <c r="A120" t="s">
        <v>121</v>
      </c>
      <c r="B120">
        <v>184</v>
      </c>
      <c r="C120" s="1">
        <v>46101</v>
      </c>
    </row>
    <row r="121" spans="1:3" x14ac:dyDescent="0.25">
      <c r="A121" t="s">
        <v>122</v>
      </c>
      <c r="B121">
        <v>260</v>
      </c>
      <c r="C121" s="1">
        <v>46149</v>
      </c>
    </row>
    <row r="122" spans="1:3" x14ac:dyDescent="0.25">
      <c r="A122" t="s">
        <v>123</v>
      </c>
      <c r="B122">
        <v>239</v>
      </c>
      <c r="C122" s="1">
        <v>46162</v>
      </c>
    </row>
    <row r="123" spans="1:3" x14ac:dyDescent="0.25">
      <c r="A123" t="s">
        <v>124</v>
      </c>
      <c r="B123">
        <v>364</v>
      </c>
      <c r="C123" s="1">
        <v>46144</v>
      </c>
    </row>
    <row r="124" spans="1:3" x14ac:dyDescent="0.25">
      <c r="A124" t="s">
        <v>125</v>
      </c>
      <c r="B124">
        <v>281</v>
      </c>
      <c r="C124" s="1">
        <v>46178</v>
      </c>
    </row>
    <row r="125" spans="1:3" x14ac:dyDescent="0.25">
      <c r="A125" t="s">
        <v>126</v>
      </c>
      <c r="B125">
        <v>171</v>
      </c>
      <c r="C125" s="1">
        <v>46081</v>
      </c>
    </row>
    <row r="126" spans="1:3" x14ac:dyDescent="0.25">
      <c r="A126" t="s">
        <v>127</v>
      </c>
      <c r="B126">
        <v>388</v>
      </c>
      <c r="C126" s="1">
        <v>46099</v>
      </c>
    </row>
    <row r="127" spans="1:3" x14ac:dyDescent="0.25">
      <c r="A127" t="s">
        <v>128</v>
      </c>
      <c r="B127">
        <v>61</v>
      </c>
      <c r="C127" s="1">
        <v>46105</v>
      </c>
    </row>
    <row r="128" spans="1:3" x14ac:dyDescent="0.25">
      <c r="A128" t="s">
        <v>129</v>
      </c>
      <c r="B128">
        <v>164</v>
      </c>
      <c r="C128" s="1">
        <v>46076</v>
      </c>
    </row>
    <row r="129" spans="1:3" x14ac:dyDescent="0.25">
      <c r="A129" t="s">
        <v>130</v>
      </c>
      <c r="B129">
        <v>37</v>
      </c>
      <c r="C129" s="1">
        <v>46041</v>
      </c>
    </row>
    <row r="130" spans="1:3" x14ac:dyDescent="0.25">
      <c r="A130" t="s">
        <v>131</v>
      </c>
      <c r="B130">
        <v>62</v>
      </c>
      <c r="C130" s="1">
        <v>46171</v>
      </c>
    </row>
    <row r="131" spans="1:3" x14ac:dyDescent="0.25">
      <c r="A131" t="s">
        <v>132</v>
      </c>
      <c r="B131">
        <v>235</v>
      </c>
      <c r="C131" s="1">
        <v>46157</v>
      </c>
    </row>
    <row r="132" spans="1:3" x14ac:dyDescent="0.25">
      <c r="A132" t="s">
        <v>133</v>
      </c>
      <c r="B132">
        <v>430</v>
      </c>
      <c r="C132" s="1">
        <v>46059</v>
      </c>
    </row>
    <row r="133" spans="1:3" x14ac:dyDescent="0.25">
      <c r="A133" t="s">
        <v>134</v>
      </c>
      <c r="B133">
        <v>87</v>
      </c>
      <c r="C133" s="1">
        <v>46051</v>
      </c>
    </row>
    <row r="134" spans="1:3" x14ac:dyDescent="0.25">
      <c r="A134" t="s">
        <v>135</v>
      </c>
      <c r="B134">
        <v>70</v>
      </c>
      <c r="C134" s="1">
        <v>46099</v>
      </c>
    </row>
    <row r="135" spans="1:3" x14ac:dyDescent="0.25">
      <c r="A135" t="s">
        <v>136</v>
      </c>
      <c r="B135">
        <v>240</v>
      </c>
      <c r="C135" s="1">
        <v>46139</v>
      </c>
    </row>
    <row r="136" spans="1:3" x14ac:dyDescent="0.25">
      <c r="A136" t="s">
        <v>137</v>
      </c>
      <c r="B136">
        <v>327</v>
      </c>
      <c r="C136" s="1">
        <v>46177</v>
      </c>
    </row>
    <row r="137" spans="1:3" x14ac:dyDescent="0.25">
      <c r="A137" t="s">
        <v>138</v>
      </c>
      <c r="B137">
        <v>145</v>
      </c>
      <c r="C137" s="1">
        <v>46091</v>
      </c>
    </row>
    <row r="138" spans="1:3" x14ac:dyDescent="0.25">
      <c r="A138" t="s">
        <v>139</v>
      </c>
      <c r="B138">
        <v>48</v>
      </c>
      <c r="C138" s="1">
        <v>46183</v>
      </c>
    </row>
    <row r="139" spans="1:3" x14ac:dyDescent="0.25">
      <c r="A139" t="s">
        <v>140</v>
      </c>
      <c r="B139">
        <v>159</v>
      </c>
      <c r="C139" s="1">
        <v>46159</v>
      </c>
    </row>
    <row r="140" spans="1:3" x14ac:dyDescent="0.25">
      <c r="A140" t="s">
        <v>141</v>
      </c>
      <c r="B140">
        <v>66</v>
      </c>
      <c r="C140" s="1">
        <v>46149</v>
      </c>
    </row>
    <row r="141" spans="1:3" x14ac:dyDescent="0.25">
      <c r="A141" t="s">
        <v>142</v>
      </c>
      <c r="B141">
        <v>40</v>
      </c>
      <c r="C141" s="1">
        <v>46054</v>
      </c>
    </row>
    <row r="142" spans="1:3" x14ac:dyDescent="0.25">
      <c r="A142" t="s">
        <v>143</v>
      </c>
      <c r="B142">
        <v>249</v>
      </c>
      <c r="C142" s="1">
        <v>46073</v>
      </c>
    </row>
    <row r="143" spans="1:3" x14ac:dyDescent="0.25">
      <c r="A143" t="s">
        <v>144</v>
      </c>
      <c r="B143">
        <v>286</v>
      </c>
      <c r="C143" s="1">
        <v>46155</v>
      </c>
    </row>
    <row r="144" spans="1:3" x14ac:dyDescent="0.25">
      <c r="A144" t="s">
        <v>145</v>
      </c>
      <c r="B144">
        <v>310</v>
      </c>
      <c r="C144" s="1">
        <v>46181</v>
      </c>
    </row>
    <row r="145" spans="1:3" x14ac:dyDescent="0.25">
      <c r="A145" t="s">
        <v>146</v>
      </c>
      <c r="B145">
        <v>400</v>
      </c>
      <c r="C145" s="1">
        <v>46056</v>
      </c>
    </row>
    <row r="146" spans="1:3" x14ac:dyDescent="0.25">
      <c r="A146" t="s">
        <v>147</v>
      </c>
      <c r="B146">
        <v>479</v>
      </c>
      <c r="C146" s="1">
        <v>46156</v>
      </c>
    </row>
    <row r="147" spans="1:3" x14ac:dyDescent="0.25">
      <c r="A147" t="s">
        <v>148</v>
      </c>
      <c r="B147">
        <v>56</v>
      </c>
      <c r="C147" s="1">
        <v>46165</v>
      </c>
    </row>
    <row r="148" spans="1:3" x14ac:dyDescent="0.25">
      <c r="A148" t="s">
        <v>149</v>
      </c>
      <c r="B148">
        <v>426</v>
      </c>
      <c r="C148" s="1">
        <v>46142</v>
      </c>
    </row>
    <row r="149" spans="1:3" x14ac:dyDescent="0.25">
      <c r="A149" t="s">
        <v>150</v>
      </c>
      <c r="B149">
        <v>139</v>
      </c>
      <c r="C149" s="1">
        <v>46121</v>
      </c>
    </row>
    <row r="150" spans="1:3" x14ac:dyDescent="0.25">
      <c r="A150" t="s">
        <v>151</v>
      </c>
      <c r="B150">
        <v>363</v>
      </c>
      <c r="C150" s="1">
        <v>46039</v>
      </c>
    </row>
    <row r="151" spans="1:3" x14ac:dyDescent="0.25">
      <c r="A151" t="s">
        <v>152</v>
      </c>
      <c r="B151">
        <v>258</v>
      </c>
      <c r="C151" s="1">
        <v>46103</v>
      </c>
    </row>
    <row r="152" spans="1:3" x14ac:dyDescent="0.25">
      <c r="A152" t="s">
        <v>153</v>
      </c>
      <c r="B152">
        <v>399</v>
      </c>
      <c r="C152" s="1">
        <v>46147</v>
      </c>
    </row>
    <row r="153" spans="1:3" x14ac:dyDescent="0.25">
      <c r="A153" t="s">
        <v>154</v>
      </c>
      <c r="B153">
        <v>460</v>
      </c>
      <c r="C153" s="1">
        <v>46142</v>
      </c>
    </row>
    <row r="154" spans="1:3" x14ac:dyDescent="0.25">
      <c r="A154" t="s">
        <v>155</v>
      </c>
      <c r="B154">
        <v>373</v>
      </c>
      <c r="C154" s="1">
        <v>46091</v>
      </c>
    </row>
    <row r="155" spans="1:3" x14ac:dyDescent="0.25">
      <c r="A155" t="s">
        <v>156</v>
      </c>
      <c r="B155">
        <v>57</v>
      </c>
      <c r="C155" s="1">
        <v>46144</v>
      </c>
    </row>
    <row r="156" spans="1:3" x14ac:dyDescent="0.25">
      <c r="A156" t="s">
        <v>157</v>
      </c>
      <c r="B156">
        <v>265</v>
      </c>
      <c r="C156" s="1">
        <v>46083</v>
      </c>
    </row>
    <row r="157" spans="1:3" x14ac:dyDescent="0.25">
      <c r="A157" t="s">
        <v>158</v>
      </c>
      <c r="B157">
        <v>222</v>
      </c>
      <c r="C157" s="1">
        <v>46104</v>
      </c>
    </row>
    <row r="158" spans="1:3" x14ac:dyDescent="0.25">
      <c r="A158" t="s">
        <v>159</v>
      </c>
      <c r="B158">
        <v>84</v>
      </c>
      <c r="C158" s="1">
        <v>46185</v>
      </c>
    </row>
    <row r="159" spans="1:3" x14ac:dyDescent="0.25">
      <c r="A159" t="s">
        <v>160</v>
      </c>
      <c r="B159">
        <v>452</v>
      </c>
      <c r="C159" s="1">
        <v>46075</v>
      </c>
    </row>
    <row r="160" spans="1:3" x14ac:dyDescent="0.25">
      <c r="A160" t="s">
        <v>161</v>
      </c>
      <c r="B160">
        <v>146</v>
      </c>
      <c r="C160" s="1">
        <v>46168</v>
      </c>
    </row>
    <row r="161" spans="1:3" x14ac:dyDescent="0.25">
      <c r="A161" t="s">
        <v>162</v>
      </c>
      <c r="B161">
        <v>347</v>
      </c>
      <c r="C161" s="1">
        <v>46191</v>
      </c>
    </row>
    <row r="162" spans="1:3" x14ac:dyDescent="0.25">
      <c r="A162" t="s">
        <v>163</v>
      </c>
      <c r="B162">
        <v>119</v>
      </c>
      <c r="C162" s="1">
        <v>46125</v>
      </c>
    </row>
    <row r="163" spans="1:3" x14ac:dyDescent="0.25">
      <c r="A163" t="s">
        <v>164</v>
      </c>
      <c r="B163">
        <v>371</v>
      </c>
      <c r="C163" s="1">
        <v>46159</v>
      </c>
    </row>
    <row r="164" spans="1:3" x14ac:dyDescent="0.25">
      <c r="A164" t="s">
        <v>165</v>
      </c>
      <c r="B164">
        <v>263</v>
      </c>
      <c r="C164" s="1">
        <v>46084</v>
      </c>
    </row>
    <row r="165" spans="1:3" x14ac:dyDescent="0.25">
      <c r="A165" t="s">
        <v>166</v>
      </c>
      <c r="B165">
        <v>455</v>
      </c>
      <c r="C165" s="1">
        <v>46131</v>
      </c>
    </row>
    <row r="166" spans="1:3" x14ac:dyDescent="0.25">
      <c r="A166" t="s">
        <v>167</v>
      </c>
      <c r="B166">
        <v>17</v>
      </c>
      <c r="C166" s="1">
        <v>46150</v>
      </c>
    </row>
    <row r="167" spans="1:3" x14ac:dyDescent="0.25">
      <c r="A167" t="s">
        <v>168</v>
      </c>
      <c r="B167">
        <v>410</v>
      </c>
      <c r="C167" s="1">
        <v>46162</v>
      </c>
    </row>
    <row r="168" spans="1:3" x14ac:dyDescent="0.25">
      <c r="A168" t="s">
        <v>169</v>
      </c>
      <c r="B168">
        <v>446</v>
      </c>
      <c r="C168" s="1">
        <v>46060</v>
      </c>
    </row>
    <row r="169" spans="1:3" x14ac:dyDescent="0.25">
      <c r="A169" t="s">
        <v>170</v>
      </c>
      <c r="B169">
        <v>456</v>
      </c>
      <c r="C169" s="1">
        <v>46156</v>
      </c>
    </row>
    <row r="170" spans="1:3" x14ac:dyDescent="0.25">
      <c r="A170" t="s">
        <v>171</v>
      </c>
      <c r="B170">
        <v>126</v>
      </c>
      <c r="C170" s="1">
        <v>46102</v>
      </c>
    </row>
    <row r="171" spans="1:3" x14ac:dyDescent="0.25">
      <c r="A171" t="s">
        <v>172</v>
      </c>
      <c r="B171">
        <v>226</v>
      </c>
      <c r="C171" s="1">
        <v>46053</v>
      </c>
    </row>
    <row r="172" spans="1:3" x14ac:dyDescent="0.25">
      <c r="A172" t="s">
        <v>173</v>
      </c>
      <c r="B172">
        <v>417</v>
      </c>
      <c r="C172" s="1">
        <v>46120</v>
      </c>
    </row>
    <row r="173" spans="1:3" x14ac:dyDescent="0.25">
      <c r="A173" t="s">
        <v>174</v>
      </c>
      <c r="B173">
        <v>135</v>
      </c>
      <c r="C173" s="1">
        <v>46072</v>
      </c>
    </row>
    <row r="174" spans="1:3" x14ac:dyDescent="0.25">
      <c r="A174" t="s">
        <v>175</v>
      </c>
      <c r="B174">
        <v>50</v>
      </c>
      <c r="C174" s="1">
        <v>46077</v>
      </c>
    </row>
    <row r="175" spans="1:3" x14ac:dyDescent="0.25">
      <c r="A175" t="s">
        <v>176</v>
      </c>
      <c r="B175">
        <v>351</v>
      </c>
      <c r="C175" s="1">
        <v>46104</v>
      </c>
    </row>
    <row r="176" spans="1:3" x14ac:dyDescent="0.25">
      <c r="A176" t="s">
        <v>177</v>
      </c>
      <c r="B176">
        <v>90</v>
      </c>
      <c r="C176" s="1">
        <v>46177</v>
      </c>
    </row>
    <row r="177" spans="1:3" x14ac:dyDescent="0.25">
      <c r="A177" t="s">
        <v>178</v>
      </c>
      <c r="B177">
        <v>363</v>
      </c>
      <c r="C177" s="1">
        <v>46140</v>
      </c>
    </row>
    <row r="178" spans="1:3" x14ac:dyDescent="0.25">
      <c r="A178" t="s">
        <v>179</v>
      </c>
      <c r="B178">
        <v>64</v>
      </c>
      <c r="C178" s="1">
        <v>46161</v>
      </c>
    </row>
    <row r="179" spans="1:3" x14ac:dyDescent="0.25">
      <c r="A179" t="s">
        <v>180</v>
      </c>
      <c r="B179">
        <v>368</v>
      </c>
      <c r="C179" s="1">
        <v>46117</v>
      </c>
    </row>
    <row r="180" spans="1:3" x14ac:dyDescent="0.25">
      <c r="A180" t="s">
        <v>181</v>
      </c>
      <c r="B180">
        <v>299</v>
      </c>
      <c r="C180" s="1">
        <v>46030</v>
      </c>
    </row>
    <row r="181" spans="1:3" x14ac:dyDescent="0.25">
      <c r="A181" t="s">
        <v>182</v>
      </c>
      <c r="B181">
        <v>436</v>
      </c>
      <c r="C181" s="1">
        <v>46163</v>
      </c>
    </row>
    <row r="182" spans="1:3" x14ac:dyDescent="0.25">
      <c r="A182" t="s">
        <v>183</v>
      </c>
      <c r="B182">
        <v>122</v>
      </c>
      <c r="C182" s="1">
        <v>46128</v>
      </c>
    </row>
    <row r="183" spans="1:3" x14ac:dyDescent="0.25">
      <c r="A183" t="s">
        <v>184</v>
      </c>
      <c r="B183">
        <v>27</v>
      </c>
      <c r="C183" s="1">
        <v>46162</v>
      </c>
    </row>
    <row r="184" spans="1:3" x14ac:dyDescent="0.25">
      <c r="A184" t="s">
        <v>185</v>
      </c>
      <c r="B184">
        <v>177</v>
      </c>
      <c r="C184" s="1">
        <v>46109</v>
      </c>
    </row>
    <row r="185" spans="1:3" x14ac:dyDescent="0.25">
      <c r="A185" t="s">
        <v>186</v>
      </c>
      <c r="B185">
        <v>458</v>
      </c>
      <c r="C185" s="1">
        <v>46181</v>
      </c>
    </row>
    <row r="186" spans="1:3" x14ac:dyDescent="0.25">
      <c r="A186" t="s">
        <v>187</v>
      </c>
      <c r="B186">
        <v>141</v>
      </c>
      <c r="C186" s="1">
        <v>46080</v>
      </c>
    </row>
    <row r="187" spans="1:3" x14ac:dyDescent="0.25">
      <c r="A187" t="s">
        <v>188</v>
      </c>
      <c r="B187">
        <v>421</v>
      </c>
      <c r="C187" s="1">
        <v>46117</v>
      </c>
    </row>
    <row r="188" spans="1:3" x14ac:dyDescent="0.25">
      <c r="A188" t="s">
        <v>189</v>
      </c>
      <c r="B188">
        <v>443</v>
      </c>
      <c r="C188" s="1">
        <v>46137</v>
      </c>
    </row>
    <row r="189" spans="1:3" x14ac:dyDescent="0.25">
      <c r="A189" t="s">
        <v>190</v>
      </c>
      <c r="B189">
        <v>145</v>
      </c>
      <c r="C189" s="1">
        <v>46041</v>
      </c>
    </row>
    <row r="190" spans="1:3" x14ac:dyDescent="0.25">
      <c r="A190" t="s">
        <v>191</v>
      </c>
      <c r="B190">
        <v>299</v>
      </c>
      <c r="C190" s="1">
        <v>46107</v>
      </c>
    </row>
    <row r="191" spans="1:3" x14ac:dyDescent="0.25">
      <c r="A191" t="s">
        <v>192</v>
      </c>
      <c r="B191">
        <v>251</v>
      </c>
      <c r="C191" s="1">
        <v>46096</v>
      </c>
    </row>
    <row r="192" spans="1:3" x14ac:dyDescent="0.25">
      <c r="A192" t="s">
        <v>193</v>
      </c>
      <c r="B192">
        <v>341</v>
      </c>
      <c r="C192" s="1">
        <v>46094</v>
      </c>
    </row>
    <row r="193" spans="1:3" x14ac:dyDescent="0.25">
      <c r="A193" t="s">
        <v>194</v>
      </c>
      <c r="B193">
        <v>69</v>
      </c>
      <c r="C193" s="1">
        <v>46139</v>
      </c>
    </row>
    <row r="194" spans="1:3" x14ac:dyDescent="0.25">
      <c r="A194" t="s">
        <v>195</v>
      </c>
      <c r="B194">
        <v>59</v>
      </c>
      <c r="C194" s="1">
        <v>46061</v>
      </c>
    </row>
    <row r="195" spans="1:3" x14ac:dyDescent="0.25">
      <c r="A195" t="s">
        <v>196</v>
      </c>
      <c r="B195">
        <v>199</v>
      </c>
      <c r="C195" s="1">
        <v>46159</v>
      </c>
    </row>
    <row r="196" spans="1:3" x14ac:dyDescent="0.25">
      <c r="A196" t="s">
        <v>197</v>
      </c>
      <c r="B196">
        <v>463</v>
      </c>
      <c r="C196" s="1">
        <v>46080</v>
      </c>
    </row>
    <row r="197" spans="1:3" x14ac:dyDescent="0.25">
      <c r="A197" t="s">
        <v>198</v>
      </c>
      <c r="B197">
        <v>490</v>
      </c>
      <c r="C197" s="1">
        <v>46143</v>
      </c>
    </row>
    <row r="198" spans="1:3" x14ac:dyDescent="0.25">
      <c r="A198" t="s">
        <v>199</v>
      </c>
      <c r="B198">
        <v>288</v>
      </c>
      <c r="C198" s="1">
        <v>46132</v>
      </c>
    </row>
    <row r="199" spans="1:3" x14ac:dyDescent="0.25">
      <c r="A199" t="s">
        <v>200</v>
      </c>
      <c r="B199">
        <v>151</v>
      </c>
      <c r="C199" s="1">
        <v>46143</v>
      </c>
    </row>
    <row r="200" spans="1:3" x14ac:dyDescent="0.25">
      <c r="A200" t="s">
        <v>201</v>
      </c>
      <c r="B200">
        <v>338</v>
      </c>
      <c r="C200" s="1">
        <v>46082</v>
      </c>
    </row>
    <row r="201" spans="1:3" x14ac:dyDescent="0.25">
      <c r="A201" t="s">
        <v>202</v>
      </c>
      <c r="B201">
        <v>74</v>
      </c>
      <c r="C201" s="1">
        <v>46106</v>
      </c>
    </row>
    <row r="202" spans="1:3" x14ac:dyDescent="0.25">
      <c r="A202" t="s">
        <v>203</v>
      </c>
      <c r="B202">
        <v>310</v>
      </c>
      <c r="C202" s="1">
        <v>46107</v>
      </c>
    </row>
    <row r="203" spans="1:3" x14ac:dyDescent="0.25">
      <c r="A203" t="s">
        <v>204</v>
      </c>
      <c r="B203">
        <v>151</v>
      </c>
      <c r="C203" s="1">
        <v>46034</v>
      </c>
    </row>
    <row r="204" spans="1:3" x14ac:dyDescent="0.25">
      <c r="A204" t="s">
        <v>205</v>
      </c>
      <c r="B204">
        <v>193</v>
      </c>
      <c r="C204" s="1">
        <v>46039</v>
      </c>
    </row>
    <row r="205" spans="1:3" x14ac:dyDescent="0.25">
      <c r="A205" t="s">
        <v>206</v>
      </c>
      <c r="B205">
        <v>145</v>
      </c>
      <c r="C205" s="1">
        <v>46085</v>
      </c>
    </row>
    <row r="206" spans="1:3" x14ac:dyDescent="0.25">
      <c r="A206" t="s">
        <v>207</v>
      </c>
      <c r="B206">
        <v>391</v>
      </c>
      <c r="C206" s="1">
        <v>46069</v>
      </c>
    </row>
    <row r="207" spans="1:3" x14ac:dyDescent="0.25">
      <c r="A207" t="s">
        <v>208</v>
      </c>
      <c r="B207">
        <v>241</v>
      </c>
      <c r="C207" s="1">
        <v>46055</v>
      </c>
    </row>
    <row r="208" spans="1:3" x14ac:dyDescent="0.25">
      <c r="A208" t="s">
        <v>209</v>
      </c>
      <c r="B208">
        <v>164</v>
      </c>
      <c r="C208" s="1">
        <v>46162</v>
      </c>
    </row>
    <row r="209" spans="1:3" x14ac:dyDescent="0.25">
      <c r="A209" t="s">
        <v>210</v>
      </c>
      <c r="B209">
        <v>228</v>
      </c>
      <c r="C209" s="1">
        <v>46143</v>
      </c>
    </row>
    <row r="210" spans="1:3" x14ac:dyDescent="0.25">
      <c r="A210" t="s">
        <v>211</v>
      </c>
      <c r="B210">
        <v>174</v>
      </c>
      <c r="C210" s="1">
        <v>46051</v>
      </c>
    </row>
    <row r="211" spans="1:3" x14ac:dyDescent="0.25">
      <c r="A211" t="s">
        <v>212</v>
      </c>
      <c r="B211">
        <v>290</v>
      </c>
      <c r="C211" s="1">
        <v>46195</v>
      </c>
    </row>
    <row r="212" spans="1:3" x14ac:dyDescent="0.25">
      <c r="A212" t="s">
        <v>213</v>
      </c>
      <c r="B212">
        <v>268</v>
      </c>
      <c r="C212" s="1">
        <v>46146</v>
      </c>
    </row>
    <row r="213" spans="1:3" x14ac:dyDescent="0.25">
      <c r="A213" t="s">
        <v>214</v>
      </c>
      <c r="B213">
        <v>379</v>
      </c>
      <c r="C213" s="1">
        <v>46181</v>
      </c>
    </row>
    <row r="214" spans="1:3" x14ac:dyDescent="0.25">
      <c r="A214" t="s">
        <v>215</v>
      </c>
      <c r="B214">
        <v>183</v>
      </c>
      <c r="C214" s="1">
        <v>46146</v>
      </c>
    </row>
    <row r="215" spans="1:3" x14ac:dyDescent="0.25">
      <c r="A215" t="s">
        <v>216</v>
      </c>
      <c r="B215">
        <v>184</v>
      </c>
      <c r="C215" s="1">
        <v>46061</v>
      </c>
    </row>
    <row r="216" spans="1:3" x14ac:dyDescent="0.25">
      <c r="A216" t="s">
        <v>217</v>
      </c>
      <c r="B216">
        <v>361</v>
      </c>
      <c r="C216" s="1">
        <v>46069</v>
      </c>
    </row>
    <row r="217" spans="1:3" x14ac:dyDescent="0.25">
      <c r="A217" t="s">
        <v>218</v>
      </c>
      <c r="B217">
        <v>231</v>
      </c>
      <c r="C217" s="1">
        <v>46060</v>
      </c>
    </row>
    <row r="218" spans="1:3" x14ac:dyDescent="0.25">
      <c r="A218" t="s">
        <v>219</v>
      </c>
      <c r="B218">
        <v>40</v>
      </c>
      <c r="C218" s="1">
        <v>46182</v>
      </c>
    </row>
    <row r="219" spans="1:3" x14ac:dyDescent="0.25">
      <c r="A219" t="s">
        <v>220</v>
      </c>
      <c r="B219">
        <v>220</v>
      </c>
      <c r="C219" s="1">
        <v>46070</v>
      </c>
    </row>
    <row r="220" spans="1:3" x14ac:dyDescent="0.25">
      <c r="A220" t="s">
        <v>221</v>
      </c>
      <c r="B220">
        <v>157</v>
      </c>
      <c r="C220" s="1">
        <v>46046</v>
      </c>
    </row>
    <row r="221" spans="1:3" x14ac:dyDescent="0.25">
      <c r="A221" t="s">
        <v>222</v>
      </c>
      <c r="B221">
        <v>118</v>
      </c>
      <c r="C221" s="1">
        <v>46163</v>
      </c>
    </row>
    <row r="222" spans="1:3" x14ac:dyDescent="0.25">
      <c r="A222" t="s">
        <v>223</v>
      </c>
      <c r="B222">
        <v>442</v>
      </c>
      <c r="C222" s="1">
        <v>46124</v>
      </c>
    </row>
    <row r="223" spans="1:3" x14ac:dyDescent="0.25">
      <c r="A223" t="s">
        <v>224</v>
      </c>
      <c r="B223">
        <v>423</v>
      </c>
      <c r="C223" s="1">
        <v>46085</v>
      </c>
    </row>
    <row r="224" spans="1:3" x14ac:dyDescent="0.25">
      <c r="A224" t="s">
        <v>225</v>
      </c>
      <c r="B224">
        <v>24</v>
      </c>
      <c r="C224" s="1">
        <v>46104</v>
      </c>
    </row>
    <row r="225" spans="1:3" x14ac:dyDescent="0.25">
      <c r="A225" t="s">
        <v>226</v>
      </c>
      <c r="B225">
        <v>389</v>
      </c>
      <c r="C225" s="1">
        <v>46068</v>
      </c>
    </row>
    <row r="226" spans="1:3" x14ac:dyDescent="0.25">
      <c r="A226" t="s">
        <v>227</v>
      </c>
      <c r="B226">
        <v>120</v>
      </c>
      <c r="C226" s="1">
        <v>46172</v>
      </c>
    </row>
    <row r="227" spans="1:3" x14ac:dyDescent="0.25">
      <c r="A227" t="s">
        <v>228</v>
      </c>
      <c r="B227">
        <v>169</v>
      </c>
      <c r="C227" s="1">
        <v>46125</v>
      </c>
    </row>
    <row r="228" spans="1:3" x14ac:dyDescent="0.25">
      <c r="A228" t="s">
        <v>229</v>
      </c>
      <c r="B228">
        <v>90</v>
      </c>
      <c r="C228" s="1">
        <v>46071</v>
      </c>
    </row>
    <row r="229" spans="1:3" x14ac:dyDescent="0.25">
      <c r="A229" t="s">
        <v>230</v>
      </c>
      <c r="B229">
        <v>348</v>
      </c>
      <c r="C229" s="1">
        <v>46153</v>
      </c>
    </row>
    <row r="230" spans="1:3" x14ac:dyDescent="0.25">
      <c r="A230" t="s">
        <v>231</v>
      </c>
      <c r="B230">
        <v>120</v>
      </c>
      <c r="C230" s="1">
        <v>46106</v>
      </c>
    </row>
    <row r="231" spans="1:3" x14ac:dyDescent="0.25">
      <c r="A231" t="s">
        <v>232</v>
      </c>
      <c r="B231">
        <v>155</v>
      </c>
      <c r="C231" s="1">
        <v>46069</v>
      </c>
    </row>
    <row r="232" spans="1:3" x14ac:dyDescent="0.25">
      <c r="A232" t="s">
        <v>233</v>
      </c>
      <c r="B232">
        <v>33</v>
      </c>
      <c r="C232" s="1">
        <v>46105</v>
      </c>
    </row>
    <row r="233" spans="1:3" x14ac:dyDescent="0.25">
      <c r="A233" t="s">
        <v>234</v>
      </c>
      <c r="B233">
        <v>164</v>
      </c>
      <c r="C233" s="1">
        <v>46084</v>
      </c>
    </row>
    <row r="234" spans="1:3" x14ac:dyDescent="0.25">
      <c r="A234" t="s">
        <v>235</v>
      </c>
      <c r="B234">
        <v>177</v>
      </c>
      <c r="C234" s="1">
        <v>46113</v>
      </c>
    </row>
    <row r="235" spans="1:3" x14ac:dyDescent="0.25">
      <c r="A235" t="s">
        <v>236</v>
      </c>
      <c r="B235">
        <v>204</v>
      </c>
      <c r="C235" s="1">
        <v>46085</v>
      </c>
    </row>
    <row r="236" spans="1:3" x14ac:dyDescent="0.25">
      <c r="A236" t="s">
        <v>237</v>
      </c>
      <c r="B236">
        <v>46</v>
      </c>
      <c r="C236" s="1">
        <v>46137</v>
      </c>
    </row>
    <row r="237" spans="1:3" x14ac:dyDescent="0.25">
      <c r="A237" t="s">
        <v>238</v>
      </c>
      <c r="B237">
        <v>264</v>
      </c>
      <c r="C237" s="1">
        <v>46044</v>
      </c>
    </row>
    <row r="238" spans="1:3" x14ac:dyDescent="0.25">
      <c r="A238" t="s">
        <v>239</v>
      </c>
      <c r="B238">
        <v>373</v>
      </c>
      <c r="C238" s="1">
        <v>46133</v>
      </c>
    </row>
    <row r="239" spans="1:3" x14ac:dyDescent="0.25">
      <c r="A239" t="s">
        <v>240</v>
      </c>
      <c r="B239">
        <v>176</v>
      </c>
      <c r="C239" s="1">
        <v>46048</v>
      </c>
    </row>
    <row r="240" spans="1:3" x14ac:dyDescent="0.25">
      <c r="A240" t="s">
        <v>241</v>
      </c>
      <c r="B240">
        <v>55</v>
      </c>
      <c r="C240" s="1">
        <v>46129</v>
      </c>
    </row>
    <row r="241" spans="1:3" x14ac:dyDescent="0.25">
      <c r="A241" t="s">
        <v>242</v>
      </c>
      <c r="B241">
        <v>215</v>
      </c>
      <c r="C241" s="1">
        <v>46185</v>
      </c>
    </row>
    <row r="242" spans="1:3" x14ac:dyDescent="0.25">
      <c r="A242" t="s">
        <v>243</v>
      </c>
      <c r="B242">
        <v>123</v>
      </c>
      <c r="C242" s="1">
        <v>46115</v>
      </c>
    </row>
    <row r="243" spans="1:3" x14ac:dyDescent="0.25">
      <c r="A243" t="s">
        <v>244</v>
      </c>
      <c r="B243">
        <v>281</v>
      </c>
      <c r="C243" s="1">
        <v>46066</v>
      </c>
    </row>
    <row r="244" spans="1:3" x14ac:dyDescent="0.25">
      <c r="A244" t="s">
        <v>245</v>
      </c>
      <c r="B244">
        <v>130</v>
      </c>
      <c r="C244" s="1">
        <v>46072</v>
      </c>
    </row>
    <row r="245" spans="1:3" x14ac:dyDescent="0.25">
      <c r="A245" t="s">
        <v>246</v>
      </c>
      <c r="B245">
        <v>399</v>
      </c>
      <c r="C245" s="1">
        <v>46085</v>
      </c>
    </row>
    <row r="246" spans="1:3" x14ac:dyDescent="0.25">
      <c r="A246" t="s">
        <v>247</v>
      </c>
      <c r="B246">
        <v>339</v>
      </c>
      <c r="C246" s="1">
        <v>46180</v>
      </c>
    </row>
    <row r="247" spans="1:3" x14ac:dyDescent="0.25">
      <c r="A247" t="s">
        <v>248</v>
      </c>
      <c r="B247">
        <v>87</v>
      </c>
      <c r="C247" s="1">
        <v>46123</v>
      </c>
    </row>
    <row r="248" spans="1:3" x14ac:dyDescent="0.25">
      <c r="A248" t="s">
        <v>249</v>
      </c>
      <c r="B248">
        <v>417</v>
      </c>
      <c r="C248" s="1">
        <v>46114</v>
      </c>
    </row>
    <row r="249" spans="1:3" x14ac:dyDescent="0.25">
      <c r="A249" t="s">
        <v>250</v>
      </c>
      <c r="B249">
        <v>168</v>
      </c>
      <c r="C249" s="1">
        <v>46049</v>
      </c>
    </row>
    <row r="250" spans="1:3" x14ac:dyDescent="0.25">
      <c r="A250" t="s">
        <v>251</v>
      </c>
      <c r="B250">
        <v>49</v>
      </c>
      <c r="C250" s="1">
        <v>46115</v>
      </c>
    </row>
    <row r="251" spans="1:3" x14ac:dyDescent="0.25">
      <c r="A251" t="s">
        <v>252</v>
      </c>
      <c r="B251">
        <v>343</v>
      </c>
      <c r="C251" s="1">
        <v>46191</v>
      </c>
    </row>
    <row r="252" spans="1:3" x14ac:dyDescent="0.25">
      <c r="A252" t="s">
        <v>253</v>
      </c>
      <c r="B252">
        <v>506</v>
      </c>
      <c r="C252" s="1">
        <v>46075</v>
      </c>
    </row>
    <row r="253" spans="1:3" x14ac:dyDescent="0.25">
      <c r="A253" t="s">
        <v>254</v>
      </c>
      <c r="B253">
        <v>268</v>
      </c>
      <c r="C253" s="1">
        <v>46058</v>
      </c>
    </row>
    <row r="254" spans="1:3" x14ac:dyDescent="0.25">
      <c r="A254" t="s">
        <v>255</v>
      </c>
      <c r="B254">
        <v>234</v>
      </c>
      <c r="C254" s="1">
        <v>46147</v>
      </c>
    </row>
    <row r="255" spans="1:3" x14ac:dyDescent="0.25">
      <c r="A255" t="s">
        <v>256</v>
      </c>
      <c r="B255">
        <v>414</v>
      </c>
      <c r="C255" s="1">
        <v>46044</v>
      </c>
    </row>
    <row r="256" spans="1:3" x14ac:dyDescent="0.25">
      <c r="A256" t="s">
        <v>257</v>
      </c>
      <c r="B256">
        <v>295</v>
      </c>
      <c r="C256" s="1">
        <v>46058</v>
      </c>
    </row>
    <row r="257" spans="1:3" x14ac:dyDescent="0.25">
      <c r="A257" t="s">
        <v>258</v>
      </c>
      <c r="B257">
        <v>180</v>
      </c>
      <c r="C257" s="1">
        <v>46070</v>
      </c>
    </row>
    <row r="258" spans="1:3" x14ac:dyDescent="0.25">
      <c r="A258" t="s">
        <v>259</v>
      </c>
      <c r="B258">
        <v>345</v>
      </c>
      <c r="C258" s="1">
        <v>46110</v>
      </c>
    </row>
    <row r="259" spans="1:3" x14ac:dyDescent="0.25">
      <c r="A259" t="s">
        <v>260</v>
      </c>
      <c r="B259">
        <v>168</v>
      </c>
      <c r="C259" s="1">
        <v>46061</v>
      </c>
    </row>
    <row r="260" spans="1:3" x14ac:dyDescent="0.25">
      <c r="A260" t="s">
        <v>261</v>
      </c>
      <c r="B260">
        <v>57</v>
      </c>
      <c r="C260" s="1">
        <v>46178</v>
      </c>
    </row>
    <row r="261" spans="1:3" x14ac:dyDescent="0.25">
      <c r="A261" t="s">
        <v>262</v>
      </c>
      <c r="B261">
        <v>195</v>
      </c>
      <c r="C261" s="1">
        <v>46044</v>
      </c>
    </row>
    <row r="262" spans="1:3" x14ac:dyDescent="0.25">
      <c r="A262" t="s">
        <v>263</v>
      </c>
      <c r="B262">
        <v>125</v>
      </c>
      <c r="C262" s="1">
        <v>46081</v>
      </c>
    </row>
    <row r="263" spans="1:3" x14ac:dyDescent="0.25">
      <c r="A263" t="s">
        <v>264</v>
      </c>
      <c r="B263">
        <v>269</v>
      </c>
      <c r="C263" s="1">
        <v>46068</v>
      </c>
    </row>
    <row r="264" spans="1:3" x14ac:dyDescent="0.25">
      <c r="A264" t="s">
        <v>265</v>
      </c>
      <c r="B264">
        <v>458</v>
      </c>
      <c r="C264" s="1">
        <v>46131</v>
      </c>
    </row>
    <row r="265" spans="1:3" x14ac:dyDescent="0.25">
      <c r="A265" t="s">
        <v>266</v>
      </c>
      <c r="B265">
        <v>102</v>
      </c>
      <c r="C265" s="1">
        <v>46073</v>
      </c>
    </row>
    <row r="266" spans="1:3" x14ac:dyDescent="0.25">
      <c r="A266" t="s">
        <v>267</v>
      </c>
      <c r="B266">
        <v>32</v>
      </c>
      <c r="C266" s="1">
        <v>46147</v>
      </c>
    </row>
    <row r="267" spans="1:3" x14ac:dyDescent="0.25">
      <c r="A267" t="s">
        <v>268</v>
      </c>
      <c r="B267">
        <v>395</v>
      </c>
      <c r="C267" s="1">
        <v>46106</v>
      </c>
    </row>
    <row r="268" spans="1:3" x14ac:dyDescent="0.25">
      <c r="A268" t="s">
        <v>269</v>
      </c>
      <c r="B268">
        <v>185</v>
      </c>
      <c r="C268" s="1">
        <v>46097</v>
      </c>
    </row>
    <row r="269" spans="1:3" x14ac:dyDescent="0.25">
      <c r="A269" t="s">
        <v>270</v>
      </c>
      <c r="B269">
        <v>224</v>
      </c>
      <c r="C269" s="1">
        <v>46169</v>
      </c>
    </row>
    <row r="270" spans="1:3" x14ac:dyDescent="0.25">
      <c r="A270" t="s">
        <v>271</v>
      </c>
      <c r="B270">
        <v>445</v>
      </c>
      <c r="C270" s="1">
        <v>46165</v>
      </c>
    </row>
    <row r="271" spans="1:3" x14ac:dyDescent="0.25">
      <c r="A271" t="s">
        <v>272</v>
      </c>
      <c r="B271">
        <v>473</v>
      </c>
      <c r="C271" s="1">
        <v>46143</v>
      </c>
    </row>
    <row r="272" spans="1:3" x14ac:dyDescent="0.25">
      <c r="A272" t="s">
        <v>273</v>
      </c>
      <c r="B272">
        <v>462</v>
      </c>
      <c r="C272" s="1">
        <v>46158</v>
      </c>
    </row>
    <row r="273" spans="1:3" x14ac:dyDescent="0.25">
      <c r="A273" t="s">
        <v>274</v>
      </c>
      <c r="B273">
        <v>267</v>
      </c>
      <c r="C273" s="1">
        <v>46129</v>
      </c>
    </row>
    <row r="274" spans="1:3" x14ac:dyDescent="0.25">
      <c r="A274" t="s">
        <v>275</v>
      </c>
      <c r="B274">
        <v>24</v>
      </c>
      <c r="C274" s="1">
        <v>46095</v>
      </c>
    </row>
    <row r="275" spans="1:3" x14ac:dyDescent="0.25">
      <c r="A275" t="s">
        <v>276</v>
      </c>
      <c r="B275">
        <v>239</v>
      </c>
      <c r="C275" s="1">
        <v>46157</v>
      </c>
    </row>
    <row r="276" spans="1:3" x14ac:dyDescent="0.25">
      <c r="A276" t="s">
        <v>277</v>
      </c>
      <c r="B276">
        <v>455</v>
      </c>
      <c r="C276" s="1">
        <v>46098</v>
      </c>
    </row>
    <row r="277" spans="1:3" x14ac:dyDescent="0.25">
      <c r="A277" t="s">
        <v>278</v>
      </c>
      <c r="B277">
        <v>407</v>
      </c>
      <c r="C277" s="1">
        <v>46059</v>
      </c>
    </row>
    <row r="278" spans="1:3" x14ac:dyDescent="0.25">
      <c r="A278" t="s">
        <v>279</v>
      </c>
      <c r="B278">
        <v>227</v>
      </c>
      <c r="C278" s="1">
        <v>46104</v>
      </c>
    </row>
    <row r="279" spans="1:3" x14ac:dyDescent="0.25">
      <c r="A279" t="s">
        <v>280</v>
      </c>
      <c r="B279">
        <v>438</v>
      </c>
      <c r="C279" s="1">
        <v>46056</v>
      </c>
    </row>
    <row r="280" spans="1:3" x14ac:dyDescent="0.25">
      <c r="A280" t="s">
        <v>281</v>
      </c>
      <c r="B280">
        <v>304</v>
      </c>
      <c r="C280" s="1">
        <v>46166</v>
      </c>
    </row>
    <row r="281" spans="1:3" x14ac:dyDescent="0.25">
      <c r="A281" t="s">
        <v>282</v>
      </c>
      <c r="B281">
        <v>324</v>
      </c>
      <c r="C281" s="1">
        <v>46039</v>
      </c>
    </row>
    <row r="282" spans="1:3" x14ac:dyDescent="0.25">
      <c r="A282" t="s">
        <v>283</v>
      </c>
      <c r="B282">
        <v>278</v>
      </c>
      <c r="C282" s="1">
        <v>46065</v>
      </c>
    </row>
    <row r="283" spans="1:3" x14ac:dyDescent="0.25">
      <c r="A283" t="s">
        <v>284</v>
      </c>
      <c r="B283">
        <v>412</v>
      </c>
      <c r="C283" s="1">
        <v>46165</v>
      </c>
    </row>
    <row r="284" spans="1:3" x14ac:dyDescent="0.25">
      <c r="A284" t="s">
        <v>285</v>
      </c>
      <c r="B284">
        <v>32</v>
      </c>
      <c r="C284" s="1">
        <v>46155</v>
      </c>
    </row>
    <row r="285" spans="1:3" x14ac:dyDescent="0.25">
      <c r="A285" t="s">
        <v>286</v>
      </c>
      <c r="B285">
        <v>405</v>
      </c>
      <c r="C285" s="1">
        <v>46070</v>
      </c>
    </row>
    <row r="286" spans="1:3" x14ac:dyDescent="0.25">
      <c r="A286" t="s">
        <v>287</v>
      </c>
      <c r="B286">
        <v>190</v>
      </c>
      <c r="C286" s="1">
        <v>46042</v>
      </c>
    </row>
    <row r="287" spans="1:3" x14ac:dyDescent="0.25">
      <c r="A287" t="s">
        <v>288</v>
      </c>
      <c r="B287">
        <v>366</v>
      </c>
      <c r="C287" s="1">
        <v>46164</v>
      </c>
    </row>
    <row r="288" spans="1:3" x14ac:dyDescent="0.25">
      <c r="A288" t="s">
        <v>289</v>
      </c>
      <c r="B288">
        <v>28</v>
      </c>
      <c r="C288" s="1">
        <v>46150</v>
      </c>
    </row>
    <row r="289" spans="1:3" x14ac:dyDescent="0.25">
      <c r="A289" t="s">
        <v>290</v>
      </c>
      <c r="B289">
        <v>487</v>
      </c>
      <c r="C289" s="1">
        <v>46124</v>
      </c>
    </row>
    <row r="290" spans="1:3" x14ac:dyDescent="0.25">
      <c r="A290" t="s">
        <v>291</v>
      </c>
      <c r="B290">
        <v>395</v>
      </c>
      <c r="C290" s="1">
        <v>46056</v>
      </c>
    </row>
    <row r="291" spans="1:3" x14ac:dyDescent="0.25">
      <c r="A291" t="s">
        <v>292</v>
      </c>
      <c r="B291">
        <v>149</v>
      </c>
      <c r="C291" s="1">
        <v>46125</v>
      </c>
    </row>
    <row r="292" spans="1:3" x14ac:dyDescent="0.25">
      <c r="A292" t="s">
        <v>293</v>
      </c>
      <c r="B292">
        <v>468</v>
      </c>
      <c r="C292" s="1">
        <v>46147</v>
      </c>
    </row>
    <row r="293" spans="1:3" x14ac:dyDescent="0.25">
      <c r="A293" t="s">
        <v>294</v>
      </c>
      <c r="B293">
        <v>50</v>
      </c>
      <c r="C293" s="1">
        <v>46150</v>
      </c>
    </row>
    <row r="294" spans="1:3" x14ac:dyDescent="0.25">
      <c r="A294" t="s">
        <v>295</v>
      </c>
      <c r="B294">
        <v>50</v>
      </c>
      <c r="C294" s="1">
        <v>46061</v>
      </c>
    </row>
    <row r="295" spans="1:3" x14ac:dyDescent="0.25">
      <c r="A295" t="s">
        <v>296</v>
      </c>
      <c r="B295">
        <v>95</v>
      </c>
      <c r="C295" s="1">
        <v>46153</v>
      </c>
    </row>
    <row r="296" spans="1:3" x14ac:dyDescent="0.25">
      <c r="A296" t="s">
        <v>297</v>
      </c>
      <c r="B296">
        <v>324</v>
      </c>
      <c r="C296" s="1">
        <v>46120</v>
      </c>
    </row>
    <row r="297" spans="1:3" x14ac:dyDescent="0.25">
      <c r="A297" t="s">
        <v>298</v>
      </c>
      <c r="B297">
        <v>196</v>
      </c>
      <c r="C297" s="1">
        <v>46155</v>
      </c>
    </row>
    <row r="298" spans="1:3" x14ac:dyDescent="0.25">
      <c r="A298" t="s">
        <v>299</v>
      </c>
      <c r="B298">
        <v>444</v>
      </c>
      <c r="C298" s="1">
        <v>46079</v>
      </c>
    </row>
    <row r="299" spans="1:3" x14ac:dyDescent="0.25">
      <c r="A299" t="s">
        <v>300</v>
      </c>
      <c r="B299">
        <v>130</v>
      </c>
      <c r="C299" s="1">
        <v>46057</v>
      </c>
    </row>
    <row r="300" spans="1:3" x14ac:dyDescent="0.25">
      <c r="A300" t="s">
        <v>301</v>
      </c>
      <c r="B300">
        <v>26</v>
      </c>
      <c r="C300" s="1">
        <v>46189</v>
      </c>
    </row>
    <row r="301" spans="1:3" x14ac:dyDescent="0.25">
      <c r="A301" t="s">
        <v>302</v>
      </c>
      <c r="B301">
        <v>237</v>
      </c>
      <c r="C301" s="1">
        <v>46127</v>
      </c>
    </row>
    <row r="302" spans="1:3" x14ac:dyDescent="0.25">
      <c r="A302" t="s">
        <v>303</v>
      </c>
      <c r="B302">
        <v>213</v>
      </c>
      <c r="C302" s="1">
        <v>46136</v>
      </c>
    </row>
    <row r="303" spans="1:3" x14ac:dyDescent="0.25">
      <c r="A303" t="s">
        <v>304</v>
      </c>
      <c r="B303">
        <v>386</v>
      </c>
      <c r="C303" s="1">
        <v>46045</v>
      </c>
    </row>
    <row r="304" spans="1:3" x14ac:dyDescent="0.25">
      <c r="A304" t="s">
        <v>305</v>
      </c>
      <c r="B304">
        <v>144</v>
      </c>
      <c r="C304" s="1">
        <v>46080</v>
      </c>
    </row>
    <row r="305" spans="1:3" x14ac:dyDescent="0.25">
      <c r="A305" t="s">
        <v>306</v>
      </c>
      <c r="B305">
        <v>365</v>
      </c>
      <c r="C305" s="1">
        <v>46107</v>
      </c>
    </row>
    <row r="306" spans="1:3" x14ac:dyDescent="0.25">
      <c r="A306" t="s">
        <v>307</v>
      </c>
      <c r="B306">
        <v>446</v>
      </c>
      <c r="C306" s="1">
        <v>46078</v>
      </c>
    </row>
    <row r="307" spans="1:3" x14ac:dyDescent="0.25">
      <c r="A307" t="s">
        <v>308</v>
      </c>
      <c r="B307">
        <v>351</v>
      </c>
      <c r="C307" s="1">
        <v>46116</v>
      </c>
    </row>
    <row r="308" spans="1:3" x14ac:dyDescent="0.25">
      <c r="A308" t="s">
        <v>309</v>
      </c>
      <c r="B308">
        <v>374</v>
      </c>
      <c r="C308" s="1">
        <v>46074</v>
      </c>
    </row>
    <row r="309" spans="1:3" x14ac:dyDescent="0.25">
      <c r="A309" t="s">
        <v>310</v>
      </c>
      <c r="B309">
        <v>124</v>
      </c>
      <c r="C309" s="1">
        <v>46161</v>
      </c>
    </row>
    <row r="310" spans="1:3" x14ac:dyDescent="0.25">
      <c r="A310" t="s">
        <v>311</v>
      </c>
      <c r="B310">
        <v>76</v>
      </c>
      <c r="C310" s="1">
        <v>46190</v>
      </c>
    </row>
    <row r="311" spans="1:3" x14ac:dyDescent="0.25">
      <c r="A311" t="s">
        <v>312</v>
      </c>
      <c r="B311">
        <v>377</v>
      </c>
      <c r="C311" s="1">
        <v>46143</v>
      </c>
    </row>
    <row r="312" spans="1:3" x14ac:dyDescent="0.25">
      <c r="A312" t="s">
        <v>313</v>
      </c>
      <c r="B312">
        <v>27</v>
      </c>
      <c r="C312" s="1">
        <v>46178</v>
      </c>
    </row>
    <row r="313" spans="1:3" x14ac:dyDescent="0.25">
      <c r="A313" t="s">
        <v>314</v>
      </c>
      <c r="B313">
        <v>353</v>
      </c>
      <c r="C313" s="1">
        <v>46154</v>
      </c>
    </row>
    <row r="314" spans="1:3" x14ac:dyDescent="0.25">
      <c r="A314" t="s">
        <v>315</v>
      </c>
      <c r="B314">
        <v>262</v>
      </c>
      <c r="C314" s="1">
        <v>46142</v>
      </c>
    </row>
    <row r="315" spans="1:3" x14ac:dyDescent="0.25">
      <c r="A315" t="s">
        <v>316</v>
      </c>
      <c r="B315">
        <v>165</v>
      </c>
      <c r="C315" s="1">
        <v>46073</v>
      </c>
    </row>
    <row r="316" spans="1:3" x14ac:dyDescent="0.25">
      <c r="A316" t="s">
        <v>317</v>
      </c>
      <c r="B316">
        <v>468</v>
      </c>
      <c r="C316" s="1">
        <v>46168</v>
      </c>
    </row>
    <row r="317" spans="1:3" x14ac:dyDescent="0.25">
      <c r="A317" t="s">
        <v>318</v>
      </c>
      <c r="B317">
        <v>150</v>
      </c>
      <c r="C317" s="1">
        <v>46171</v>
      </c>
    </row>
    <row r="318" spans="1:3" x14ac:dyDescent="0.25">
      <c r="A318" t="s">
        <v>319</v>
      </c>
      <c r="B318">
        <v>313</v>
      </c>
      <c r="C318" s="1">
        <v>46078</v>
      </c>
    </row>
    <row r="319" spans="1:3" x14ac:dyDescent="0.25">
      <c r="A319" t="s">
        <v>320</v>
      </c>
      <c r="B319">
        <v>441</v>
      </c>
      <c r="C319" s="1">
        <v>46114</v>
      </c>
    </row>
    <row r="320" spans="1:3" x14ac:dyDescent="0.25">
      <c r="A320" t="s">
        <v>321</v>
      </c>
      <c r="B320">
        <v>499</v>
      </c>
      <c r="C320" s="1">
        <v>46047</v>
      </c>
    </row>
    <row r="321" spans="1:3" x14ac:dyDescent="0.25">
      <c r="A321" t="s">
        <v>322</v>
      </c>
      <c r="B321">
        <v>402</v>
      </c>
      <c r="C321" s="1">
        <v>46082</v>
      </c>
    </row>
    <row r="322" spans="1:3" x14ac:dyDescent="0.25">
      <c r="A322" t="s">
        <v>323</v>
      </c>
      <c r="B322">
        <v>158</v>
      </c>
      <c r="C322" s="1">
        <v>46183</v>
      </c>
    </row>
    <row r="323" spans="1:3" x14ac:dyDescent="0.25">
      <c r="A323" t="s">
        <v>324</v>
      </c>
      <c r="B323">
        <v>162</v>
      </c>
      <c r="C323" s="1">
        <v>46131</v>
      </c>
    </row>
    <row r="324" spans="1:3" x14ac:dyDescent="0.25">
      <c r="A324" t="s">
        <v>325</v>
      </c>
      <c r="B324">
        <v>222</v>
      </c>
      <c r="C324" s="1">
        <v>46151</v>
      </c>
    </row>
    <row r="325" spans="1:3" x14ac:dyDescent="0.25">
      <c r="A325" t="s">
        <v>326</v>
      </c>
      <c r="B325">
        <v>170</v>
      </c>
      <c r="C325" s="1">
        <v>46080</v>
      </c>
    </row>
    <row r="326" spans="1:3" x14ac:dyDescent="0.25">
      <c r="A326" t="s">
        <v>327</v>
      </c>
      <c r="B326">
        <v>399</v>
      </c>
      <c r="C326" s="1">
        <v>46065</v>
      </c>
    </row>
    <row r="327" spans="1:3" x14ac:dyDescent="0.25">
      <c r="A327" t="s">
        <v>328</v>
      </c>
      <c r="B327">
        <v>248</v>
      </c>
      <c r="C327" s="1">
        <v>46097</v>
      </c>
    </row>
    <row r="328" spans="1:3" x14ac:dyDescent="0.25">
      <c r="A328" t="s">
        <v>329</v>
      </c>
      <c r="B328">
        <v>35</v>
      </c>
      <c r="C328" s="1">
        <v>46066</v>
      </c>
    </row>
    <row r="329" spans="1:3" x14ac:dyDescent="0.25">
      <c r="A329" t="s">
        <v>330</v>
      </c>
      <c r="B329">
        <v>426</v>
      </c>
      <c r="C329" s="1">
        <v>46079</v>
      </c>
    </row>
    <row r="330" spans="1:3" x14ac:dyDescent="0.25">
      <c r="A330" t="s">
        <v>331</v>
      </c>
      <c r="B330">
        <v>265</v>
      </c>
      <c r="C330" s="1">
        <v>46081</v>
      </c>
    </row>
    <row r="331" spans="1:3" x14ac:dyDescent="0.25">
      <c r="A331" t="s">
        <v>332</v>
      </c>
      <c r="B331">
        <v>21</v>
      </c>
      <c r="C331" s="1">
        <v>46173</v>
      </c>
    </row>
    <row r="332" spans="1:3" x14ac:dyDescent="0.25">
      <c r="A332" t="s">
        <v>333</v>
      </c>
      <c r="B332">
        <v>120</v>
      </c>
      <c r="C332" s="1">
        <v>46088</v>
      </c>
    </row>
    <row r="333" spans="1:3" x14ac:dyDescent="0.25">
      <c r="A333" t="s">
        <v>334</v>
      </c>
      <c r="B333">
        <v>315</v>
      </c>
      <c r="C333" s="1">
        <v>46167</v>
      </c>
    </row>
    <row r="334" spans="1:3" x14ac:dyDescent="0.25">
      <c r="A334" t="s">
        <v>335</v>
      </c>
      <c r="B334">
        <v>14</v>
      </c>
      <c r="C334" s="1">
        <v>46171</v>
      </c>
    </row>
    <row r="335" spans="1:3" x14ac:dyDescent="0.25">
      <c r="A335" t="s">
        <v>336</v>
      </c>
      <c r="B335">
        <v>401</v>
      </c>
      <c r="C335" s="1">
        <v>46134</v>
      </c>
    </row>
    <row r="336" spans="1:3" x14ac:dyDescent="0.25">
      <c r="A336" t="s">
        <v>337</v>
      </c>
      <c r="B336">
        <v>297</v>
      </c>
      <c r="C336" s="1">
        <v>46181</v>
      </c>
    </row>
    <row r="337" spans="1:3" x14ac:dyDescent="0.25">
      <c r="A337" t="s">
        <v>338</v>
      </c>
      <c r="B337">
        <v>268</v>
      </c>
      <c r="C337" s="1">
        <v>46132</v>
      </c>
    </row>
    <row r="338" spans="1:3" x14ac:dyDescent="0.25">
      <c r="A338" t="s">
        <v>339</v>
      </c>
      <c r="B338">
        <v>75</v>
      </c>
      <c r="C338" s="1">
        <v>46084</v>
      </c>
    </row>
    <row r="339" spans="1:3" x14ac:dyDescent="0.25">
      <c r="A339" t="s">
        <v>340</v>
      </c>
      <c r="B339">
        <v>507</v>
      </c>
      <c r="C339" s="1">
        <v>46177</v>
      </c>
    </row>
    <row r="340" spans="1:3" x14ac:dyDescent="0.25">
      <c r="A340" t="s">
        <v>341</v>
      </c>
      <c r="B340">
        <v>215</v>
      </c>
      <c r="C340" s="1">
        <v>46159</v>
      </c>
    </row>
    <row r="341" spans="1:3" x14ac:dyDescent="0.25">
      <c r="A341" t="s">
        <v>342</v>
      </c>
      <c r="B341">
        <v>81</v>
      </c>
      <c r="C341" s="1">
        <v>46171</v>
      </c>
    </row>
    <row r="342" spans="1:3" x14ac:dyDescent="0.25">
      <c r="A342" t="s">
        <v>343</v>
      </c>
      <c r="B342">
        <v>325</v>
      </c>
      <c r="C342" s="1">
        <v>46152</v>
      </c>
    </row>
    <row r="343" spans="1:3" x14ac:dyDescent="0.25">
      <c r="A343" t="s">
        <v>344</v>
      </c>
      <c r="B343">
        <v>282</v>
      </c>
      <c r="C343" s="1">
        <v>46167</v>
      </c>
    </row>
    <row r="344" spans="1:3" x14ac:dyDescent="0.25">
      <c r="A344" t="s">
        <v>345</v>
      </c>
      <c r="B344">
        <v>207</v>
      </c>
      <c r="C344" s="1">
        <v>46044</v>
      </c>
    </row>
    <row r="345" spans="1:3" x14ac:dyDescent="0.25">
      <c r="A345" t="s">
        <v>346</v>
      </c>
      <c r="B345">
        <v>417</v>
      </c>
      <c r="C345" s="1">
        <v>46104</v>
      </c>
    </row>
    <row r="346" spans="1:3" x14ac:dyDescent="0.25">
      <c r="A346" t="s">
        <v>347</v>
      </c>
      <c r="B346">
        <v>145</v>
      </c>
      <c r="C346" s="1">
        <v>46157</v>
      </c>
    </row>
    <row r="347" spans="1:3" x14ac:dyDescent="0.25">
      <c r="A347" t="s">
        <v>348</v>
      </c>
      <c r="B347">
        <v>308</v>
      </c>
      <c r="C347" s="1">
        <v>46052</v>
      </c>
    </row>
    <row r="348" spans="1:3" x14ac:dyDescent="0.25">
      <c r="A348" t="s">
        <v>349</v>
      </c>
      <c r="B348">
        <v>26</v>
      </c>
      <c r="C348" s="1">
        <v>46093</v>
      </c>
    </row>
    <row r="349" spans="1:3" x14ac:dyDescent="0.25">
      <c r="A349" t="s">
        <v>350</v>
      </c>
      <c r="B349">
        <v>235</v>
      </c>
      <c r="C349" s="1">
        <v>46044</v>
      </c>
    </row>
    <row r="350" spans="1:3" x14ac:dyDescent="0.25">
      <c r="A350" t="s">
        <v>351</v>
      </c>
      <c r="B350">
        <v>220</v>
      </c>
      <c r="C350" s="1">
        <v>46096</v>
      </c>
    </row>
    <row r="351" spans="1:3" x14ac:dyDescent="0.25">
      <c r="A351" t="s">
        <v>352</v>
      </c>
      <c r="B351">
        <v>371</v>
      </c>
      <c r="C351" s="1">
        <v>46052</v>
      </c>
    </row>
    <row r="352" spans="1:3" x14ac:dyDescent="0.25">
      <c r="A352" t="s">
        <v>353</v>
      </c>
      <c r="B352">
        <v>283</v>
      </c>
      <c r="C352" s="1">
        <v>46162</v>
      </c>
    </row>
    <row r="353" spans="1:3" x14ac:dyDescent="0.25">
      <c r="A353" t="s">
        <v>354</v>
      </c>
      <c r="B353">
        <v>289</v>
      </c>
      <c r="C353" s="1">
        <v>46125</v>
      </c>
    </row>
    <row r="354" spans="1:3" x14ac:dyDescent="0.25">
      <c r="A354" t="s">
        <v>355</v>
      </c>
      <c r="B354">
        <v>108</v>
      </c>
      <c r="C354" s="1">
        <v>46178</v>
      </c>
    </row>
    <row r="355" spans="1:3" x14ac:dyDescent="0.25">
      <c r="A355" t="s">
        <v>356</v>
      </c>
      <c r="B355">
        <v>188</v>
      </c>
      <c r="C355" s="1">
        <v>46158</v>
      </c>
    </row>
    <row r="356" spans="1:3" x14ac:dyDescent="0.25">
      <c r="A356" t="s">
        <v>357</v>
      </c>
      <c r="B356">
        <v>317</v>
      </c>
      <c r="C356" s="1">
        <v>46073</v>
      </c>
    </row>
    <row r="357" spans="1:3" x14ac:dyDescent="0.25">
      <c r="A357" t="s">
        <v>358</v>
      </c>
      <c r="B357">
        <v>158</v>
      </c>
      <c r="C357" s="1">
        <v>46067</v>
      </c>
    </row>
    <row r="358" spans="1:3" x14ac:dyDescent="0.25">
      <c r="A358" t="s">
        <v>359</v>
      </c>
      <c r="B358">
        <v>345</v>
      </c>
      <c r="C358" s="1">
        <v>46148</v>
      </c>
    </row>
    <row r="359" spans="1:3" x14ac:dyDescent="0.25">
      <c r="A359" t="s">
        <v>360</v>
      </c>
      <c r="B359">
        <v>148</v>
      </c>
      <c r="C359" s="1">
        <v>46175</v>
      </c>
    </row>
    <row r="360" spans="1:3" x14ac:dyDescent="0.25">
      <c r="A360" t="s">
        <v>361</v>
      </c>
      <c r="B360">
        <v>325</v>
      </c>
      <c r="C360" s="1">
        <v>46061</v>
      </c>
    </row>
    <row r="361" spans="1:3" x14ac:dyDescent="0.25">
      <c r="A361" t="s">
        <v>362</v>
      </c>
      <c r="B361">
        <v>397</v>
      </c>
      <c r="C361" s="1">
        <v>46089</v>
      </c>
    </row>
    <row r="362" spans="1:3" x14ac:dyDescent="0.25">
      <c r="A362" t="s">
        <v>363</v>
      </c>
      <c r="B362">
        <v>474</v>
      </c>
      <c r="C362" s="1">
        <v>46057</v>
      </c>
    </row>
    <row r="363" spans="1:3" x14ac:dyDescent="0.25">
      <c r="A363" t="s">
        <v>364</v>
      </c>
      <c r="B363">
        <v>413</v>
      </c>
      <c r="C363" s="1">
        <v>46137</v>
      </c>
    </row>
    <row r="364" spans="1:3" x14ac:dyDescent="0.25">
      <c r="A364" t="s">
        <v>365</v>
      </c>
      <c r="B364">
        <v>162</v>
      </c>
      <c r="C364" s="1">
        <v>46049</v>
      </c>
    </row>
    <row r="365" spans="1:3" x14ac:dyDescent="0.25">
      <c r="A365" t="s">
        <v>366</v>
      </c>
      <c r="B365">
        <v>338</v>
      </c>
      <c r="C365" s="1">
        <v>46150</v>
      </c>
    </row>
    <row r="366" spans="1:3" x14ac:dyDescent="0.25">
      <c r="A366" t="s">
        <v>367</v>
      </c>
      <c r="B366">
        <v>149</v>
      </c>
      <c r="C366" s="1">
        <v>46156</v>
      </c>
    </row>
    <row r="367" spans="1:3" x14ac:dyDescent="0.25">
      <c r="A367" t="s">
        <v>368</v>
      </c>
      <c r="B367">
        <v>341</v>
      </c>
      <c r="C367" s="1">
        <v>46146</v>
      </c>
    </row>
    <row r="368" spans="1:3" x14ac:dyDescent="0.25">
      <c r="A368" t="s">
        <v>369</v>
      </c>
      <c r="B368">
        <v>414</v>
      </c>
      <c r="C368" s="1">
        <v>46120</v>
      </c>
    </row>
    <row r="369" spans="1:3" x14ac:dyDescent="0.25">
      <c r="A369" t="s">
        <v>370</v>
      </c>
      <c r="B369">
        <v>433</v>
      </c>
      <c r="C369" s="1">
        <v>46131</v>
      </c>
    </row>
    <row r="370" spans="1:3" x14ac:dyDescent="0.25">
      <c r="A370" t="s">
        <v>371</v>
      </c>
      <c r="B370">
        <v>110</v>
      </c>
      <c r="C370" s="1">
        <v>46073</v>
      </c>
    </row>
    <row r="371" spans="1:3" x14ac:dyDescent="0.25">
      <c r="A371" t="s">
        <v>372</v>
      </c>
      <c r="B371">
        <v>143</v>
      </c>
      <c r="C371" s="1">
        <v>46055</v>
      </c>
    </row>
    <row r="372" spans="1:3" x14ac:dyDescent="0.25">
      <c r="A372" t="s">
        <v>373</v>
      </c>
      <c r="B372">
        <v>308</v>
      </c>
      <c r="C372" s="1">
        <v>46114</v>
      </c>
    </row>
    <row r="373" spans="1:3" x14ac:dyDescent="0.25">
      <c r="A373" t="s">
        <v>374</v>
      </c>
      <c r="B373">
        <v>379</v>
      </c>
      <c r="C373" s="1">
        <v>46121</v>
      </c>
    </row>
    <row r="374" spans="1:3" x14ac:dyDescent="0.25">
      <c r="A374" t="s">
        <v>375</v>
      </c>
      <c r="B374">
        <v>91</v>
      </c>
      <c r="C374" s="1">
        <v>46113</v>
      </c>
    </row>
    <row r="375" spans="1:3" x14ac:dyDescent="0.25">
      <c r="A375" t="s">
        <v>376</v>
      </c>
      <c r="B375">
        <v>337</v>
      </c>
      <c r="C375" s="1">
        <v>46070</v>
      </c>
    </row>
    <row r="376" spans="1:3" x14ac:dyDescent="0.25">
      <c r="A376" t="s">
        <v>377</v>
      </c>
      <c r="B376">
        <v>122</v>
      </c>
      <c r="C376" s="1">
        <v>46089</v>
      </c>
    </row>
    <row r="377" spans="1:3" x14ac:dyDescent="0.25">
      <c r="A377" t="s">
        <v>378</v>
      </c>
      <c r="B377">
        <v>222</v>
      </c>
      <c r="C377" s="1">
        <v>46127</v>
      </c>
    </row>
    <row r="378" spans="1:3" x14ac:dyDescent="0.25">
      <c r="A378" t="s">
        <v>379</v>
      </c>
      <c r="B378">
        <v>67</v>
      </c>
      <c r="C378" s="1">
        <v>46204</v>
      </c>
    </row>
    <row r="379" spans="1:3" x14ac:dyDescent="0.25">
      <c r="A379" t="s">
        <v>380</v>
      </c>
      <c r="B379">
        <v>284</v>
      </c>
      <c r="C379" s="1">
        <v>46188</v>
      </c>
    </row>
    <row r="380" spans="1:3" x14ac:dyDescent="0.25">
      <c r="A380" t="s">
        <v>381</v>
      </c>
      <c r="B380">
        <v>358</v>
      </c>
      <c r="C380" s="1">
        <v>46074</v>
      </c>
    </row>
    <row r="381" spans="1:3" x14ac:dyDescent="0.25">
      <c r="A381" t="s">
        <v>382</v>
      </c>
      <c r="B381">
        <v>238</v>
      </c>
      <c r="C381" s="1">
        <v>46162</v>
      </c>
    </row>
    <row r="382" spans="1:3" x14ac:dyDescent="0.25">
      <c r="A382" t="s">
        <v>383</v>
      </c>
      <c r="B382">
        <v>250</v>
      </c>
      <c r="C382" s="1">
        <v>46148</v>
      </c>
    </row>
    <row r="383" spans="1:3" x14ac:dyDescent="0.25">
      <c r="A383" t="s">
        <v>384</v>
      </c>
      <c r="B383">
        <v>380</v>
      </c>
      <c r="C383" s="1">
        <v>46106</v>
      </c>
    </row>
    <row r="384" spans="1:3" x14ac:dyDescent="0.25">
      <c r="A384" t="s">
        <v>385</v>
      </c>
      <c r="B384">
        <v>306</v>
      </c>
      <c r="C384" s="1">
        <v>46105</v>
      </c>
    </row>
    <row r="385" spans="1:3" x14ac:dyDescent="0.25">
      <c r="A385" t="s">
        <v>386</v>
      </c>
      <c r="B385">
        <v>219</v>
      </c>
      <c r="C385" s="1">
        <v>46128</v>
      </c>
    </row>
    <row r="386" spans="1:3" x14ac:dyDescent="0.25">
      <c r="A386" t="s">
        <v>387</v>
      </c>
      <c r="B386">
        <v>239</v>
      </c>
      <c r="C386" s="1">
        <v>46138</v>
      </c>
    </row>
    <row r="387" spans="1:3" x14ac:dyDescent="0.25">
      <c r="A387" t="s">
        <v>388</v>
      </c>
      <c r="B387">
        <v>211</v>
      </c>
      <c r="C387" s="1">
        <v>46170</v>
      </c>
    </row>
    <row r="388" spans="1:3" x14ac:dyDescent="0.25">
      <c r="A388" t="s">
        <v>389</v>
      </c>
      <c r="B388">
        <v>162</v>
      </c>
      <c r="C388" s="1">
        <v>46048</v>
      </c>
    </row>
    <row r="389" spans="1:3" x14ac:dyDescent="0.25">
      <c r="A389" t="s">
        <v>390</v>
      </c>
      <c r="B389">
        <v>431</v>
      </c>
      <c r="C389" s="1">
        <v>46135</v>
      </c>
    </row>
    <row r="390" spans="1:3" x14ac:dyDescent="0.25">
      <c r="A390" t="s">
        <v>391</v>
      </c>
      <c r="B390">
        <v>90</v>
      </c>
      <c r="C390" s="1">
        <v>46099</v>
      </c>
    </row>
    <row r="391" spans="1:3" x14ac:dyDescent="0.25">
      <c r="A391" t="s">
        <v>392</v>
      </c>
      <c r="B391">
        <v>323</v>
      </c>
      <c r="C391" s="1">
        <v>46141</v>
      </c>
    </row>
    <row r="392" spans="1:3" x14ac:dyDescent="0.25">
      <c r="A392" t="s">
        <v>393</v>
      </c>
      <c r="B392">
        <v>61</v>
      </c>
      <c r="C392" s="1">
        <v>46044</v>
      </c>
    </row>
    <row r="393" spans="1:3" x14ac:dyDescent="0.25">
      <c r="A393" t="s">
        <v>394</v>
      </c>
      <c r="B393">
        <v>215</v>
      </c>
      <c r="C393" s="1">
        <v>46057</v>
      </c>
    </row>
    <row r="394" spans="1:3" x14ac:dyDescent="0.25">
      <c r="A394" t="s">
        <v>395</v>
      </c>
      <c r="B394">
        <v>131</v>
      </c>
      <c r="C394" s="1">
        <v>46127</v>
      </c>
    </row>
    <row r="395" spans="1:3" x14ac:dyDescent="0.25">
      <c r="A395" t="s">
        <v>396</v>
      </c>
      <c r="B395">
        <v>163</v>
      </c>
      <c r="C395" s="1">
        <v>46137</v>
      </c>
    </row>
    <row r="396" spans="1:3" x14ac:dyDescent="0.25">
      <c r="A396" t="s">
        <v>397</v>
      </c>
      <c r="B396">
        <v>294</v>
      </c>
      <c r="C396" s="1">
        <v>46147</v>
      </c>
    </row>
    <row r="397" spans="1:3" x14ac:dyDescent="0.25">
      <c r="A397" t="s">
        <v>398</v>
      </c>
      <c r="B397">
        <v>366</v>
      </c>
      <c r="C397" s="1">
        <v>46117</v>
      </c>
    </row>
    <row r="398" spans="1:3" x14ac:dyDescent="0.25">
      <c r="A398" t="s">
        <v>399</v>
      </c>
      <c r="B398">
        <v>396</v>
      </c>
      <c r="C398" s="1">
        <v>46081</v>
      </c>
    </row>
    <row r="399" spans="1:3" x14ac:dyDescent="0.25">
      <c r="A399" t="s">
        <v>400</v>
      </c>
      <c r="B399">
        <v>402</v>
      </c>
      <c r="C399" s="1">
        <v>46078</v>
      </c>
    </row>
    <row r="400" spans="1:3" x14ac:dyDescent="0.25">
      <c r="A400" t="s">
        <v>401</v>
      </c>
      <c r="B400">
        <v>338</v>
      </c>
      <c r="C400" s="1">
        <v>46125</v>
      </c>
    </row>
    <row r="401" spans="1:3" x14ac:dyDescent="0.25">
      <c r="A401" t="s">
        <v>402</v>
      </c>
      <c r="B401">
        <v>380</v>
      </c>
      <c r="C401" s="1">
        <v>46174</v>
      </c>
    </row>
    <row r="402" spans="1:3" x14ac:dyDescent="0.25">
      <c r="A402" t="s">
        <v>403</v>
      </c>
      <c r="B402">
        <v>457</v>
      </c>
      <c r="C402" s="1">
        <v>46046</v>
      </c>
    </row>
    <row r="403" spans="1:3" x14ac:dyDescent="0.25">
      <c r="A403" t="s">
        <v>404</v>
      </c>
      <c r="B403">
        <v>455</v>
      </c>
      <c r="C403" s="1">
        <v>46079</v>
      </c>
    </row>
    <row r="404" spans="1:3" x14ac:dyDescent="0.25">
      <c r="A404" t="s">
        <v>405</v>
      </c>
      <c r="B404">
        <v>389</v>
      </c>
      <c r="C404" s="1">
        <v>46089</v>
      </c>
    </row>
    <row r="405" spans="1:3" x14ac:dyDescent="0.25">
      <c r="A405" t="s">
        <v>406</v>
      </c>
      <c r="B405">
        <v>213</v>
      </c>
      <c r="C405" s="1">
        <v>46088</v>
      </c>
    </row>
    <row r="406" spans="1:3" x14ac:dyDescent="0.25">
      <c r="A406" t="s">
        <v>407</v>
      </c>
      <c r="B406">
        <v>248</v>
      </c>
      <c r="C406" s="1">
        <v>46132</v>
      </c>
    </row>
    <row r="407" spans="1:3" x14ac:dyDescent="0.25">
      <c r="A407" t="s">
        <v>408</v>
      </c>
      <c r="B407">
        <v>272</v>
      </c>
      <c r="C407" s="1">
        <v>46125</v>
      </c>
    </row>
    <row r="408" spans="1:3" x14ac:dyDescent="0.25">
      <c r="A408" t="s">
        <v>409</v>
      </c>
      <c r="B408">
        <v>399</v>
      </c>
      <c r="C408" s="1">
        <v>46167</v>
      </c>
    </row>
    <row r="409" spans="1:3" x14ac:dyDescent="0.25">
      <c r="A409" t="s">
        <v>410</v>
      </c>
      <c r="B409">
        <v>33</v>
      </c>
      <c r="C409" s="1">
        <v>46138</v>
      </c>
    </row>
    <row r="410" spans="1:3" x14ac:dyDescent="0.25">
      <c r="A410" t="s">
        <v>411</v>
      </c>
      <c r="B410">
        <v>293</v>
      </c>
      <c r="C410" s="1">
        <v>46105</v>
      </c>
    </row>
    <row r="411" spans="1:3" x14ac:dyDescent="0.25">
      <c r="A411" t="s">
        <v>412</v>
      </c>
      <c r="B411">
        <v>110</v>
      </c>
      <c r="C411" s="1">
        <v>46074</v>
      </c>
    </row>
    <row r="412" spans="1:3" x14ac:dyDescent="0.25">
      <c r="A412" t="s">
        <v>413</v>
      </c>
      <c r="B412">
        <v>345</v>
      </c>
      <c r="C412" s="1">
        <v>46174</v>
      </c>
    </row>
    <row r="413" spans="1:3" x14ac:dyDescent="0.25">
      <c r="A413" t="s">
        <v>414</v>
      </c>
      <c r="B413">
        <v>245</v>
      </c>
      <c r="C413" s="1">
        <v>46156</v>
      </c>
    </row>
    <row r="414" spans="1:3" x14ac:dyDescent="0.25">
      <c r="A414" t="s">
        <v>415</v>
      </c>
      <c r="B414">
        <v>260</v>
      </c>
      <c r="C414" s="1">
        <v>46169</v>
      </c>
    </row>
    <row r="415" spans="1:3" x14ac:dyDescent="0.25">
      <c r="A415" t="s">
        <v>416</v>
      </c>
      <c r="B415">
        <v>439</v>
      </c>
      <c r="C415" s="1">
        <v>46037</v>
      </c>
    </row>
    <row r="416" spans="1:3" x14ac:dyDescent="0.25">
      <c r="A416" t="s">
        <v>417</v>
      </c>
      <c r="B416">
        <v>80</v>
      </c>
      <c r="C416" s="1">
        <v>46134</v>
      </c>
    </row>
    <row r="417" spans="1:3" x14ac:dyDescent="0.25">
      <c r="A417" t="s">
        <v>418</v>
      </c>
      <c r="B417">
        <v>14</v>
      </c>
      <c r="C417" s="1">
        <v>46097</v>
      </c>
    </row>
    <row r="418" spans="1:3" x14ac:dyDescent="0.25">
      <c r="A418" t="s">
        <v>419</v>
      </c>
      <c r="B418">
        <v>281</v>
      </c>
      <c r="C418" s="1">
        <v>46043</v>
      </c>
    </row>
    <row r="419" spans="1:3" x14ac:dyDescent="0.25">
      <c r="A419" t="s">
        <v>420</v>
      </c>
      <c r="B419">
        <v>426</v>
      </c>
      <c r="C419" s="1">
        <v>46160</v>
      </c>
    </row>
    <row r="420" spans="1:3" x14ac:dyDescent="0.25">
      <c r="A420" t="s">
        <v>421</v>
      </c>
      <c r="B420">
        <v>278</v>
      </c>
      <c r="C420" s="1">
        <v>46074</v>
      </c>
    </row>
    <row r="421" spans="1:3" x14ac:dyDescent="0.25">
      <c r="A421" t="s">
        <v>422</v>
      </c>
      <c r="B421">
        <v>146</v>
      </c>
      <c r="C421" s="1">
        <v>46130</v>
      </c>
    </row>
    <row r="422" spans="1:3" x14ac:dyDescent="0.25">
      <c r="A422" t="s">
        <v>423</v>
      </c>
      <c r="B422">
        <v>299</v>
      </c>
      <c r="C422" s="1">
        <v>46152</v>
      </c>
    </row>
    <row r="423" spans="1:3" x14ac:dyDescent="0.25">
      <c r="A423" t="s">
        <v>424</v>
      </c>
      <c r="B423">
        <v>344</v>
      </c>
      <c r="C423" s="1">
        <v>46051</v>
      </c>
    </row>
    <row r="424" spans="1:3" x14ac:dyDescent="0.25">
      <c r="A424" t="s">
        <v>425</v>
      </c>
      <c r="B424">
        <v>204</v>
      </c>
      <c r="C424" s="1">
        <v>46152</v>
      </c>
    </row>
    <row r="425" spans="1:3" x14ac:dyDescent="0.25">
      <c r="A425" t="s">
        <v>426</v>
      </c>
      <c r="B425">
        <v>369</v>
      </c>
      <c r="C425" s="1">
        <v>46044</v>
      </c>
    </row>
    <row r="426" spans="1:3" x14ac:dyDescent="0.25">
      <c r="A426" t="s">
        <v>427</v>
      </c>
      <c r="B426">
        <v>299</v>
      </c>
      <c r="C426" s="1">
        <v>46127</v>
      </c>
    </row>
    <row r="427" spans="1:3" x14ac:dyDescent="0.25">
      <c r="A427" t="s">
        <v>428</v>
      </c>
      <c r="B427">
        <v>118</v>
      </c>
      <c r="C427" s="1">
        <v>46103</v>
      </c>
    </row>
    <row r="428" spans="1:3" x14ac:dyDescent="0.25">
      <c r="A428" t="s">
        <v>429</v>
      </c>
      <c r="B428">
        <v>483</v>
      </c>
      <c r="C428" s="1">
        <v>46041</v>
      </c>
    </row>
    <row r="429" spans="1:3" x14ac:dyDescent="0.25">
      <c r="A429" t="s">
        <v>430</v>
      </c>
      <c r="B429">
        <v>485</v>
      </c>
      <c r="C429" s="1">
        <v>46134</v>
      </c>
    </row>
    <row r="430" spans="1:3" x14ac:dyDescent="0.25">
      <c r="A430" t="s">
        <v>431</v>
      </c>
      <c r="B430">
        <v>356</v>
      </c>
      <c r="C430" s="1">
        <v>46137</v>
      </c>
    </row>
    <row r="431" spans="1:3" x14ac:dyDescent="0.25">
      <c r="A431" t="s">
        <v>432</v>
      </c>
      <c r="B431">
        <v>414</v>
      </c>
      <c r="C431" s="1">
        <v>46063</v>
      </c>
    </row>
    <row r="432" spans="1:3" x14ac:dyDescent="0.25">
      <c r="A432" t="s">
        <v>433</v>
      </c>
      <c r="B432">
        <v>37</v>
      </c>
      <c r="C432" s="1">
        <v>46118</v>
      </c>
    </row>
    <row r="433" spans="1:3" x14ac:dyDescent="0.25">
      <c r="A433" t="s">
        <v>434</v>
      </c>
      <c r="B433">
        <v>406</v>
      </c>
      <c r="C433" s="1">
        <v>46138</v>
      </c>
    </row>
    <row r="434" spans="1:3" x14ac:dyDescent="0.25">
      <c r="A434" t="s">
        <v>435</v>
      </c>
      <c r="B434">
        <v>126</v>
      </c>
      <c r="C434" s="1">
        <v>46168</v>
      </c>
    </row>
    <row r="435" spans="1:3" x14ac:dyDescent="0.25">
      <c r="A435" t="s">
        <v>436</v>
      </c>
      <c r="B435">
        <v>52</v>
      </c>
      <c r="C435" s="1">
        <v>46051</v>
      </c>
    </row>
    <row r="436" spans="1:3" x14ac:dyDescent="0.25">
      <c r="A436" t="s">
        <v>437</v>
      </c>
      <c r="B436">
        <v>172</v>
      </c>
      <c r="C436" s="1">
        <v>46125</v>
      </c>
    </row>
    <row r="437" spans="1:3" x14ac:dyDescent="0.25">
      <c r="A437" t="s">
        <v>438</v>
      </c>
      <c r="B437">
        <v>230</v>
      </c>
      <c r="C437" s="1">
        <v>46089</v>
      </c>
    </row>
    <row r="438" spans="1:3" x14ac:dyDescent="0.25">
      <c r="A438" t="s">
        <v>439</v>
      </c>
      <c r="B438">
        <v>23</v>
      </c>
      <c r="C438" s="1">
        <v>46058</v>
      </c>
    </row>
    <row r="439" spans="1:3" x14ac:dyDescent="0.25">
      <c r="A439" t="s">
        <v>440</v>
      </c>
      <c r="B439">
        <v>452</v>
      </c>
      <c r="C439" s="1">
        <v>46122</v>
      </c>
    </row>
    <row r="440" spans="1:3" x14ac:dyDescent="0.25">
      <c r="A440" t="s">
        <v>441</v>
      </c>
      <c r="B440">
        <v>381</v>
      </c>
      <c r="C440" s="1">
        <v>46067</v>
      </c>
    </row>
    <row r="441" spans="1:3" x14ac:dyDescent="0.25">
      <c r="A441" t="s">
        <v>442</v>
      </c>
      <c r="B441">
        <v>96</v>
      </c>
      <c r="C441" s="1">
        <v>46131</v>
      </c>
    </row>
    <row r="442" spans="1:3" x14ac:dyDescent="0.25">
      <c r="A442" t="s">
        <v>443</v>
      </c>
      <c r="B442">
        <v>48</v>
      </c>
      <c r="C442" s="1">
        <v>46080</v>
      </c>
    </row>
    <row r="443" spans="1:3" x14ac:dyDescent="0.25">
      <c r="A443" t="s">
        <v>444</v>
      </c>
      <c r="B443">
        <v>410</v>
      </c>
      <c r="C443" s="1">
        <v>46157</v>
      </c>
    </row>
    <row r="444" spans="1:3" x14ac:dyDescent="0.25">
      <c r="A444" t="s">
        <v>445</v>
      </c>
      <c r="B444">
        <v>314</v>
      </c>
      <c r="C444" s="1">
        <v>46158</v>
      </c>
    </row>
    <row r="445" spans="1:3" x14ac:dyDescent="0.25">
      <c r="A445" t="s">
        <v>446</v>
      </c>
      <c r="B445">
        <v>13</v>
      </c>
      <c r="C445" s="1">
        <v>46116</v>
      </c>
    </row>
    <row r="446" spans="1:3" x14ac:dyDescent="0.25">
      <c r="A446" t="s">
        <v>447</v>
      </c>
      <c r="B446">
        <v>181</v>
      </c>
      <c r="C446" s="1">
        <v>46144</v>
      </c>
    </row>
    <row r="447" spans="1:3" x14ac:dyDescent="0.25">
      <c r="A447" t="s">
        <v>448</v>
      </c>
      <c r="B447">
        <v>330</v>
      </c>
      <c r="C447" s="1">
        <v>46126</v>
      </c>
    </row>
    <row r="448" spans="1:3" x14ac:dyDescent="0.25">
      <c r="A448" t="s">
        <v>449</v>
      </c>
      <c r="B448">
        <v>213</v>
      </c>
      <c r="C448" s="1">
        <v>46090</v>
      </c>
    </row>
    <row r="449" spans="1:3" x14ac:dyDescent="0.25">
      <c r="A449" t="s">
        <v>450</v>
      </c>
      <c r="B449">
        <v>176</v>
      </c>
      <c r="C449" s="1">
        <v>46103</v>
      </c>
    </row>
    <row r="450" spans="1:3" x14ac:dyDescent="0.25">
      <c r="A450" t="s">
        <v>451</v>
      </c>
      <c r="B450">
        <v>112</v>
      </c>
      <c r="C450" s="1">
        <v>46175</v>
      </c>
    </row>
    <row r="451" spans="1:3" x14ac:dyDescent="0.25">
      <c r="A451" t="s">
        <v>452</v>
      </c>
      <c r="B451">
        <v>23</v>
      </c>
      <c r="C451" s="1">
        <v>46175</v>
      </c>
    </row>
    <row r="452" spans="1:3" x14ac:dyDescent="0.25">
      <c r="A452" t="s">
        <v>453</v>
      </c>
      <c r="B452">
        <v>435</v>
      </c>
      <c r="C452" s="1">
        <v>46115</v>
      </c>
    </row>
    <row r="453" spans="1:3" x14ac:dyDescent="0.25">
      <c r="A453" t="s">
        <v>454</v>
      </c>
      <c r="B453">
        <v>133</v>
      </c>
      <c r="C453" s="1">
        <v>46117</v>
      </c>
    </row>
    <row r="454" spans="1:3" x14ac:dyDescent="0.25">
      <c r="A454" t="s">
        <v>455</v>
      </c>
      <c r="B454">
        <v>239</v>
      </c>
      <c r="C454" s="1">
        <v>46058</v>
      </c>
    </row>
    <row r="455" spans="1:3" x14ac:dyDescent="0.25">
      <c r="A455" t="s">
        <v>456</v>
      </c>
      <c r="B455">
        <v>482</v>
      </c>
      <c r="C455" s="1">
        <v>46171</v>
      </c>
    </row>
    <row r="456" spans="1:3" x14ac:dyDescent="0.25">
      <c r="A456" t="s">
        <v>457</v>
      </c>
      <c r="B456">
        <v>414</v>
      </c>
      <c r="C456" s="1">
        <v>46039</v>
      </c>
    </row>
    <row r="457" spans="1:3" x14ac:dyDescent="0.25">
      <c r="A457" t="s">
        <v>458</v>
      </c>
      <c r="B457">
        <v>395</v>
      </c>
      <c r="C457" s="1">
        <v>46135</v>
      </c>
    </row>
    <row r="458" spans="1:3" x14ac:dyDescent="0.25">
      <c r="A458" t="s">
        <v>459</v>
      </c>
      <c r="B458">
        <v>142</v>
      </c>
      <c r="C458" s="1">
        <v>46069</v>
      </c>
    </row>
    <row r="459" spans="1:3" x14ac:dyDescent="0.25">
      <c r="A459" t="s">
        <v>460</v>
      </c>
      <c r="B459">
        <v>362</v>
      </c>
      <c r="C459" s="1">
        <v>46189</v>
      </c>
    </row>
    <row r="460" spans="1:3" x14ac:dyDescent="0.25">
      <c r="A460" t="s">
        <v>461</v>
      </c>
      <c r="B460">
        <v>405</v>
      </c>
      <c r="C460" s="1">
        <v>46162</v>
      </c>
    </row>
    <row r="461" spans="1:3" x14ac:dyDescent="0.25">
      <c r="A461" t="s">
        <v>462</v>
      </c>
      <c r="B461">
        <v>22</v>
      </c>
      <c r="C461" s="1">
        <v>46129</v>
      </c>
    </row>
    <row r="462" spans="1:3" x14ac:dyDescent="0.25">
      <c r="A462" t="s">
        <v>463</v>
      </c>
      <c r="B462">
        <v>243</v>
      </c>
      <c r="C462" s="1">
        <v>46129</v>
      </c>
    </row>
    <row r="463" spans="1:3" x14ac:dyDescent="0.25">
      <c r="A463" t="s">
        <v>464</v>
      </c>
      <c r="B463">
        <v>59</v>
      </c>
      <c r="C463" s="1">
        <v>46162</v>
      </c>
    </row>
    <row r="464" spans="1:3" x14ac:dyDescent="0.25">
      <c r="A464" t="s">
        <v>465</v>
      </c>
      <c r="B464">
        <v>163</v>
      </c>
      <c r="C464" s="1">
        <v>46047</v>
      </c>
    </row>
    <row r="465" spans="1:3" x14ac:dyDescent="0.25">
      <c r="A465" t="s">
        <v>466</v>
      </c>
      <c r="B465">
        <v>341</v>
      </c>
      <c r="C465" s="1">
        <v>46135</v>
      </c>
    </row>
    <row r="466" spans="1:3" x14ac:dyDescent="0.25">
      <c r="A466" t="s">
        <v>467</v>
      </c>
      <c r="B466">
        <v>292</v>
      </c>
      <c r="C466" s="1">
        <v>46083</v>
      </c>
    </row>
    <row r="467" spans="1:3" x14ac:dyDescent="0.25">
      <c r="A467" t="s">
        <v>468</v>
      </c>
      <c r="B467">
        <v>418</v>
      </c>
      <c r="C467" s="1">
        <v>46093</v>
      </c>
    </row>
    <row r="468" spans="1:3" x14ac:dyDescent="0.25">
      <c r="A468" t="s">
        <v>469</v>
      </c>
      <c r="B468">
        <v>212</v>
      </c>
      <c r="C468" s="1">
        <v>46142</v>
      </c>
    </row>
    <row r="469" spans="1:3" x14ac:dyDescent="0.25">
      <c r="A469" t="s">
        <v>470</v>
      </c>
      <c r="B469">
        <v>209</v>
      </c>
      <c r="C469" s="1">
        <v>46144</v>
      </c>
    </row>
    <row r="470" spans="1:3" x14ac:dyDescent="0.25">
      <c r="A470" t="s">
        <v>471</v>
      </c>
      <c r="B470">
        <v>305</v>
      </c>
      <c r="C470" s="1">
        <v>46051</v>
      </c>
    </row>
    <row r="471" spans="1:3" x14ac:dyDescent="0.25">
      <c r="A471" t="s">
        <v>472</v>
      </c>
      <c r="B471">
        <v>110</v>
      </c>
      <c r="C471" s="1">
        <v>46127</v>
      </c>
    </row>
    <row r="472" spans="1:3" x14ac:dyDescent="0.25">
      <c r="A472" t="s">
        <v>473</v>
      </c>
      <c r="B472">
        <v>315</v>
      </c>
      <c r="C472" s="1">
        <v>46113</v>
      </c>
    </row>
    <row r="473" spans="1:3" x14ac:dyDescent="0.25">
      <c r="A473" t="s">
        <v>474</v>
      </c>
      <c r="B473">
        <v>442</v>
      </c>
      <c r="C473" s="1">
        <v>46128</v>
      </c>
    </row>
    <row r="474" spans="1:3" x14ac:dyDescent="0.25">
      <c r="A474" t="s">
        <v>475</v>
      </c>
      <c r="B474">
        <v>354</v>
      </c>
      <c r="C474" s="1">
        <v>46064</v>
      </c>
    </row>
    <row r="475" spans="1:3" x14ac:dyDescent="0.25">
      <c r="A475" t="s">
        <v>476</v>
      </c>
      <c r="B475">
        <v>103</v>
      </c>
      <c r="C475" s="1">
        <v>46072</v>
      </c>
    </row>
    <row r="476" spans="1:3" x14ac:dyDescent="0.25">
      <c r="A476" t="s">
        <v>477</v>
      </c>
      <c r="B476">
        <v>296</v>
      </c>
      <c r="C476" s="1">
        <v>46150</v>
      </c>
    </row>
    <row r="477" spans="1:3" x14ac:dyDescent="0.25">
      <c r="A477" t="s">
        <v>478</v>
      </c>
      <c r="B477">
        <v>335</v>
      </c>
      <c r="C477" s="1">
        <v>46176</v>
      </c>
    </row>
    <row r="478" spans="1:3" x14ac:dyDescent="0.25">
      <c r="A478" t="s">
        <v>479</v>
      </c>
      <c r="B478">
        <v>260</v>
      </c>
      <c r="C478" s="1">
        <v>46082</v>
      </c>
    </row>
    <row r="479" spans="1:3" x14ac:dyDescent="0.25">
      <c r="A479" t="s">
        <v>480</v>
      </c>
      <c r="B479">
        <v>453</v>
      </c>
      <c r="C479" s="1">
        <v>46058</v>
      </c>
    </row>
    <row r="480" spans="1:3" x14ac:dyDescent="0.25">
      <c r="A480" t="s">
        <v>481</v>
      </c>
      <c r="B480">
        <v>427</v>
      </c>
      <c r="C480" s="1">
        <v>46092</v>
      </c>
    </row>
    <row r="481" spans="1:3" x14ac:dyDescent="0.25">
      <c r="A481" t="s">
        <v>482</v>
      </c>
      <c r="B481">
        <v>219</v>
      </c>
      <c r="C481" s="1">
        <v>46166</v>
      </c>
    </row>
    <row r="482" spans="1:3" x14ac:dyDescent="0.25">
      <c r="A482" t="s">
        <v>483</v>
      </c>
      <c r="B482">
        <v>52</v>
      </c>
      <c r="C482" s="1">
        <v>46096</v>
      </c>
    </row>
    <row r="483" spans="1:3" x14ac:dyDescent="0.25">
      <c r="A483" t="s">
        <v>484</v>
      </c>
      <c r="B483">
        <v>150</v>
      </c>
      <c r="C483" s="1">
        <v>46042</v>
      </c>
    </row>
    <row r="484" spans="1:3" x14ac:dyDescent="0.25">
      <c r="A484" t="s">
        <v>485</v>
      </c>
      <c r="B484">
        <v>390</v>
      </c>
      <c r="C484" s="1">
        <v>46189</v>
      </c>
    </row>
    <row r="485" spans="1:3" x14ac:dyDescent="0.25">
      <c r="A485" t="s">
        <v>486</v>
      </c>
      <c r="B485">
        <v>68</v>
      </c>
      <c r="C485" s="1">
        <v>46196</v>
      </c>
    </row>
    <row r="486" spans="1:3" x14ac:dyDescent="0.25">
      <c r="A486" t="s">
        <v>487</v>
      </c>
      <c r="B486">
        <v>399</v>
      </c>
      <c r="C486" s="1">
        <v>46046</v>
      </c>
    </row>
    <row r="487" spans="1:3" x14ac:dyDescent="0.25">
      <c r="A487" t="s">
        <v>488</v>
      </c>
      <c r="B487">
        <v>240</v>
      </c>
      <c r="C487" s="1">
        <v>46063</v>
      </c>
    </row>
    <row r="488" spans="1:3" x14ac:dyDescent="0.25">
      <c r="A488" t="s">
        <v>489</v>
      </c>
      <c r="B488">
        <v>117</v>
      </c>
      <c r="C488" s="1">
        <v>46101</v>
      </c>
    </row>
    <row r="489" spans="1:3" x14ac:dyDescent="0.25">
      <c r="A489" t="s">
        <v>490</v>
      </c>
      <c r="B489">
        <v>94</v>
      </c>
      <c r="C489" s="1">
        <v>46144</v>
      </c>
    </row>
    <row r="490" spans="1:3" x14ac:dyDescent="0.25">
      <c r="A490" t="s">
        <v>491</v>
      </c>
      <c r="B490">
        <v>189</v>
      </c>
      <c r="C490" s="1">
        <v>46178</v>
      </c>
    </row>
    <row r="491" spans="1:3" x14ac:dyDescent="0.25">
      <c r="A491" t="s">
        <v>492</v>
      </c>
      <c r="B491">
        <v>158</v>
      </c>
      <c r="C491" s="1">
        <v>46106</v>
      </c>
    </row>
    <row r="492" spans="1:3" x14ac:dyDescent="0.25">
      <c r="A492" t="s">
        <v>493</v>
      </c>
      <c r="B492">
        <v>480</v>
      </c>
      <c r="C492" s="1">
        <v>46137</v>
      </c>
    </row>
    <row r="493" spans="1:3" x14ac:dyDescent="0.25">
      <c r="A493" t="s">
        <v>494</v>
      </c>
      <c r="B493">
        <v>137</v>
      </c>
      <c r="C493" s="1">
        <v>46068</v>
      </c>
    </row>
    <row r="494" spans="1:3" x14ac:dyDescent="0.25">
      <c r="A494" t="s">
        <v>495</v>
      </c>
      <c r="B494">
        <v>260</v>
      </c>
      <c r="C494" s="1">
        <v>46149</v>
      </c>
    </row>
    <row r="495" spans="1:3" x14ac:dyDescent="0.25">
      <c r="A495" t="s">
        <v>496</v>
      </c>
      <c r="B495">
        <v>202</v>
      </c>
      <c r="C495" s="1">
        <v>46138</v>
      </c>
    </row>
    <row r="496" spans="1:3" x14ac:dyDescent="0.25">
      <c r="A496" t="s">
        <v>497</v>
      </c>
      <c r="B496">
        <v>393</v>
      </c>
      <c r="C496" s="1">
        <v>46173</v>
      </c>
    </row>
    <row r="497" spans="1:3" x14ac:dyDescent="0.25">
      <c r="A497" t="s">
        <v>498</v>
      </c>
      <c r="B497">
        <v>307</v>
      </c>
      <c r="C497" s="1">
        <v>46111</v>
      </c>
    </row>
    <row r="498" spans="1:3" x14ac:dyDescent="0.25">
      <c r="A498" t="s">
        <v>499</v>
      </c>
      <c r="B498">
        <v>341</v>
      </c>
      <c r="C498" s="1">
        <v>46162</v>
      </c>
    </row>
    <row r="499" spans="1:3" x14ac:dyDescent="0.25">
      <c r="A499" t="s">
        <v>500</v>
      </c>
      <c r="B499">
        <v>121</v>
      </c>
      <c r="C499" s="1">
        <v>46144</v>
      </c>
    </row>
    <row r="500" spans="1:3" x14ac:dyDescent="0.25">
      <c r="A500" t="s">
        <v>501</v>
      </c>
      <c r="B500">
        <v>434</v>
      </c>
      <c r="C500" s="1">
        <v>46128</v>
      </c>
    </row>
    <row r="501" spans="1:3" x14ac:dyDescent="0.25">
      <c r="A501" t="s">
        <v>502</v>
      </c>
      <c r="B501">
        <v>413</v>
      </c>
      <c r="C501" s="1">
        <v>46155</v>
      </c>
    </row>
    <row r="502" spans="1:3" x14ac:dyDescent="0.25">
      <c r="A502" t="s">
        <v>503</v>
      </c>
      <c r="B502">
        <v>330</v>
      </c>
      <c r="C502" s="1">
        <v>46055</v>
      </c>
    </row>
    <row r="503" spans="1:3" x14ac:dyDescent="0.25">
      <c r="A503" t="s">
        <v>504</v>
      </c>
      <c r="B503">
        <v>235</v>
      </c>
      <c r="C503" s="1">
        <v>46074</v>
      </c>
    </row>
    <row r="504" spans="1:3" x14ac:dyDescent="0.25">
      <c r="A504" t="s">
        <v>505</v>
      </c>
      <c r="B504">
        <v>461</v>
      </c>
      <c r="C504" s="1">
        <v>46071</v>
      </c>
    </row>
    <row r="505" spans="1:3" x14ac:dyDescent="0.25">
      <c r="A505" t="s">
        <v>506</v>
      </c>
      <c r="B505">
        <v>150</v>
      </c>
      <c r="C505" s="1">
        <v>46126</v>
      </c>
    </row>
    <row r="506" spans="1:3" x14ac:dyDescent="0.25">
      <c r="A506" t="s">
        <v>507</v>
      </c>
      <c r="B506">
        <v>330</v>
      </c>
      <c r="C506" s="1">
        <v>46135</v>
      </c>
    </row>
    <row r="507" spans="1:3" x14ac:dyDescent="0.25">
      <c r="A507" t="s">
        <v>508</v>
      </c>
      <c r="B507">
        <v>370</v>
      </c>
      <c r="C507" s="1">
        <v>46068</v>
      </c>
    </row>
    <row r="508" spans="1:3" x14ac:dyDescent="0.25">
      <c r="A508" t="s">
        <v>509</v>
      </c>
      <c r="B508">
        <v>313</v>
      </c>
      <c r="C508" s="1">
        <v>46077</v>
      </c>
    </row>
    <row r="509" spans="1:3" x14ac:dyDescent="0.25">
      <c r="A509" t="s">
        <v>510</v>
      </c>
      <c r="B509">
        <v>366</v>
      </c>
      <c r="C509" s="1">
        <v>46044</v>
      </c>
    </row>
    <row r="510" spans="1:3" x14ac:dyDescent="0.25">
      <c r="A510" t="s">
        <v>511</v>
      </c>
      <c r="B510">
        <v>62</v>
      </c>
      <c r="C510" s="1">
        <v>46059</v>
      </c>
    </row>
    <row r="511" spans="1:3" x14ac:dyDescent="0.25">
      <c r="A511" t="s">
        <v>512</v>
      </c>
      <c r="B511">
        <v>338</v>
      </c>
      <c r="C511" s="1">
        <v>46065</v>
      </c>
    </row>
    <row r="512" spans="1:3" x14ac:dyDescent="0.25">
      <c r="A512" t="s">
        <v>513</v>
      </c>
      <c r="B512">
        <v>14</v>
      </c>
      <c r="C512" s="1">
        <v>46186</v>
      </c>
    </row>
    <row r="513" spans="1:3" x14ac:dyDescent="0.25">
      <c r="A513" t="s">
        <v>514</v>
      </c>
      <c r="B513">
        <v>331</v>
      </c>
      <c r="C513" s="1">
        <v>46094</v>
      </c>
    </row>
    <row r="514" spans="1:3" x14ac:dyDescent="0.25">
      <c r="A514" t="s">
        <v>515</v>
      </c>
      <c r="B514">
        <v>469</v>
      </c>
      <c r="C514" s="1">
        <v>46052</v>
      </c>
    </row>
    <row r="515" spans="1:3" x14ac:dyDescent="0.25">
      <c r="A515" t="s">
        <v>516</v>
      </c>
      <c r="B515">
        <v>189</v>
      </c>
      <c r="C515" s="1">
        <v>46131</v>
      </c>
    </row>
    <row r="516" spans="1:3" x14ac:dyDescent="0.25">
      <c r="A516" t="s">
        <v>517</v>
      </c>
      <c r="B516">
        <v>354</v>
      </c>
      <c r="C516" s="1">
        <v>46105</v>
      </c>
    </row>
    <row r="517" spans="1:3" x14ac:dyDescent="0.25">
      <c r="A517" t="s">
        <v>518</v>
      </c>
      <c r="B517">
        <v>106</v>
      </c>
      <c r="C517" s="1">
        <v>46172</v>
      </c>
    </row>
    <row r="518" spans="1:3" x14ac:dyDescent="0.25">
      <c r="A518" t="s">
        <v>519</v>
      </c>
      <c r="B518">
        <v>190</v>
      </c>
      <c r="C518" s="1">
        <v>46045</v>
      </c>
    </row>
    <row r="519" spans="1:3" x14ac:dyDescent="0.25">
      <c r="A519" t="s">
        <v>520</v>
      </c>
      <c r="B519">
        <v>197</v>
      </c>
      <c r="C519" s="1">
        <v>46159</v>
      </c>
    </row>
    <row r="520" spans="1:3" x14ac:dyDescent="0.25">
      <c r="A520" t="s">
        <v>521</v>
      </c>
      <c r="B520">
        <v>310</v>
      </c>
      <c r="C520" s="1">
        <v>46040</v>
      </c>
    </row>
    <row r="521" spans="1:3" x14ac:dyDescent="0.25">
      <c r="A521" t="s">
        <v>522</v>
      </c>
      <c r="B521">
        <v>495</v>
      </c>
      <c r="C521" s="1">
        <v>46054</v>
      </c>
    </row>
    <row r="522" spans="1:3" x14ac:dyDescent="0.25">
      <c r="A522" t="s">
        <v>523</v>
      </c>
      <c r="B522">
        <v>402</v>
      </c>
      <c r="C522" s="1">
        <v>46170</v>
      </c>
    </row>
    <row r="523" spans="1:3" x14ac:dyDescent="0.25">
      <c r="A523" t="s">
        <v>524</v>
      </c>
      <c r="B523">
        <v>285</v>
      </c>
      <c r="C523" s="1">
        <v>46167</v>
      </c>
    </row>
    <row r="524" spans="1:3" x14ac:dyDescent="0.25">
      <c r="A524" t="s">
        <v>525</v>
      </c>
      <c r="B524">
        <v>264</v>
      </c>
      <c r="C524" s="1">
        <v>46060</v>
      </c>
    </row>
    <row r="525" spans="1:3" x14ac:dyDescent="0.25">
      <c r="A525" t="s">
        <v>526</v>
      </c>
      <c r="B525">
        <v>334</v>
      </c>
      <c r="C525" s="1">
        <v>46179</v>
      </c>
    </row>
    <row r="526" spans="1:3" x14ac:dyDescent="0.25">
      <c r="A526" t="s">
        <v>527</v>
      </c>
      <c r="B526">
        <v>383</v>
      </c>
      <c r="C526" s="1">
        <v>46140</v>
      </c>
    </row>
    <row r="527" spans="1:3" x14ac:dyDescent="0.25">
      <c r="A527" t="s">
        <v>528</v>
      </c>
      <c r="B527">
        <v>483</v>
      </c>
      <c r="C527" s="1">
        <v>46066</v>
      </c>
    </row>
    <row r="528" spans="1:3" x14ac:dyDescent="0.25">
      <c r="A528" t="s">
        <v>529</v>
      </c>
      <c r="B528">
        <v>71</v>
      </c>
      <c r="C528" s="1">
        <v>46071</v>
      </c>
    </row>
    <row r="529" spans="1:3" x14ac:dyDescent="0.25">
      <c r="A529" t="s">
        <v>530</v>
      </c>
      <c r="B529">
        <v>497</v>
      </c>
      <c r="C529" s="1">
        <v>46183</v>
      </c>
    </row>
    <row r="530" spans="1:3" x14ac:dyDescent="0.25">
      <c r="A530" t="s">
        <v>531</v>
      </c>
      <c r="B530">
        <v>74</v>
      </c>
      <c r="C530" s="1">
        <v>46128</v>
      </c>
    </row>
    <row r="531" spans="1:3" x14ac:dyDescent="0.25">
      <c r="A531" t="s">
        <v>532</v>
      </c>
      <c r="B531">
        <v>423</v>
      </c>
      <c r="C531" s="1">
        <v>46114</v>
      </c>
    </row>
    <row r="532" spans="1:3" x14ac:dyDescent="0.25">
      <c r="A532" t="s">
        <v>533</v>
      </c>
      <c r="B532">
        <v>331</v>
      </c>
      <c r="C532" s="1">
        <v>46190</v>
      </c>
    </row>
    <row r="533" spans="1:3" x14ac:dyDescent="0.25">
      <c r="A533" t="s">
        <v>534</v>
      </c>
      <c r="B533">
        <v>265</v>
      </c>
      <c r="C533" s="1">
        <v>46053</v>
      </c>
    </row>
    <row r="534" spans="1:3" x14ac:dyDescent="0.25">
      <c r="A534" t="s">
        <v>535</v>
      </c>
      <c r="B534">
        <v>405</v>
      </c>
      <c r="C534" s="1">
        <v>46094</v>
      </c>
    </row>
    <row r="535" spans="1:3" x14ac:dyDescent="0.25">
      <c r="A535" t="s">
        <v>536</v>
      </c>
      <c r="B535">
        <v>11</v>
      </c>
      <c r="C535" s="1">
        <v>46182</v>
      </c>
    </row>
    <row r="536" spans="1:3" x14ac:dyDescent="0.25">
      <c r="A536" t="s">
        <v>537</v>
      </c>
      <c r="B536">
        <v>196</v>
      </c>
      <c r="C536" s="1">
        <v>46164</v>
      </c>
    </row>
    <row r="537" spans="1:3" x14ac:dyDescent="0.25">
      <c r="A537" t="s">
        <v>538</v>
      </c>
      <c r="B537">
        <v>421</v>
      </c>
      <c r="C537" s="1">
        <v>46200</v>
      </c>
    </row>
    <row r="538" spans="1:3" x14ac:dyDescent="0.25">
      <c r="A538" t="s">
        <v>539</v>
      </c>
      <c r="B538">
        <v>137</v>
      </c>
      <c r="C538" s="1">
        <v>46122</v>
      </c>
    </row>
    <row r="539" spans="1:3" x14ac:dyDescent="0.25">
      <c r="A539" t="s">
        <v>540</v>
      </c>
      <c r="B539">
        <v>302</v>
      </c>
      <c r="C539" s="1">
        <v>46049</v>
      </c>
    </row>
    <row r="540" spans="1:3" x14ac:dyDescent="0.25">
      <c r="A540" t="s">
        <v>541</v>
      </c>
      <c r="B540">
        <v>421</v>
      </c>
      <c r="C540" s="1">
        <v>46098</v>
      </c>
    </row>
    <row r="541" spans="1:3" x14ac:dyDescent="0.25">
      <c r="A541" t="s">
        <v>542</v>
      </c>
      <c r="B541">
        <v>453</v>
      </c>
      <c r="C541" s="1">
        <v>46155</v>
      </c>
    </row>
    <row r="542" spans="1:3" x14ac:dyDescent="0.25">
      <c r="A542" t="s">
        <v>543</v>
      </c>
      <c r="B542">
        <v>243</v>
      </c>
      <c r="C542" s="1">
        <v>46184</v>
      </c>
    </row>
    <row r="543" spans="1:3" x14ac:dyDescent="0.25">
      <c r="A543" t="s">
        <v>544</v>
      </c>
      <c r="B543">
        <v>388</v>
      </c>
      <c r="C543" s="1">
        <v>46114</v>
      </c>
    </row>
    <row r="544" spans="1:3" x14ac:dyDescent="0.25">
      <c r="A544" t="s">
        <v>545</v>
      </c>
      <c r="B544">
        <v>405</v>
      </c>
      <c r="C544" s="1">
        <v>46160</v>
      </c>
    </row>
    <row r="545" spans="1:3" x14ac:dyDescent="0.25">
      <c r="A545" t="s">
        <v>546</v>
      </c>
      <c r="B545">
        <v>487</v>
      </c>
      <c r="C545" s="1">
        <v>46042</v>
      </c>
    </row>
    <row r="546" spans="1:3" x14ac:dyDescent="0.25">
      <c r="A546" t="s">
        <v>547</v>
      </c>
      <c r="B546">
        <v>496</v>
      </c>
      <c r="C546" s="1">
        <v>46043</v>
      </c>
    </row>
    <row r="547" spans="1:3" x14ac:dyDescent="0.25">
      <c r="A547" t="s">
        <v>548</v>
      </c>
      <c r="B547">
        <v>63</v>
      </c>
      <c r="C547" s="1">
        <v>46121</v>
      </c>
    </row>
    <row r="548" spans="1:3" x14ac:dyDescent="0.25">
      <c r="A548" t="s">
        <v>549</v>
      </c>
      <c r="B548">
        <v>86</v>
      </c>
      <c r="C548" s="1">
        <v>46045</v>
      </c>
    </row>
    <row r="549" spans="1:3" x14ac:dyDescent="0.25">
      <c r="A549" t="s">
        <v>550</v>
      </c>
      <c r="B549">
        <v>221</v>
      </c>
      <c r="C549" s="1">
        <v>46189</v>
      </c>
    </row>
    <row r="550" spans="1:3" x14ac:dyDescent="0.25">
      <c r="A550" t="s">
        <v>551</v>
      </c>
      <c r="B550">
        <v>307</v>
      </c>
      <c r="C550" s="1">
        <v>46078</v>
      </c>
    </row>
    <row r="551" spans="1:3" x14ac:dyDescent="0.25">
      <c r="A551" t="s">
        <v>552</v>
      </c>
      <c r="B551">
        <v>41</v>
      </c>
      <c r="C551" s="1">
        <v>46181</v>
      </c>
    </row>
    <row r="552" spans="1:3" x14ac:dyDescent="0.25">
      <c r="A552" t="s">
        <v>553</v>
      </c>
      <c r="B552">
        <v>445</v>
      </c>
      <c r="C552" s="1">
        <v>46105</v>
      </c>
    </row>
    <row r="553" spans="1:3" x14ac:dyDescent="0.25">
      <c r="A553" t="s">
        <v>554</v>
      </c>
      <c r="B553">
        <v>165</v>
      </c>
      <c r="C553" s="1">
        <v>46149</v>
      </c>
    </row>
    <row r="554" spans="1:3" x14ac:dyDescent="0.25">
      <c r="A554" t="s">
        <v>555</v>
      </c>
      <c r="B554">
        <v>89</v>
      </c>
      <c r="C554" s="1">
        <v>46069</v>
      </c>
    </row>
    <row r="555" spans="1:3" x14ac:dyDescent="0.25">
      <c r="A555" t="s">
        <v>556</v>
      </c>
      <c r="B555">
        <v>433</v>
      </c>
      <c r="C555" s="1">
        <v>46121</v>
      </c>
    </row>
    <row r="556" spans="1:3" x14ac:dyDescent="0.25">
      <c r="A556" t="s">
        <v>557</v>
      </c>
      <c r="B556">
        <v>85</v>
      </c>
      <c r="C556" s="1">
        <v>46122</v>
      </c>
    </row>
    <row r="557" spans="1:3" x14ac:dyDescent="0.25">
      <c r="A557" t="s">
        <v>558</v>
      </c>
      <c r="B557">
        <v>447</v>
      </c>
      <c r="C557" s="1">
        <v>46138</v>
      </c>
    </row>
    <row r="558" spans="1:3" x14ac:dyDescent="0.25">
      <c r="A558" t="s">
        <v>559</v>
      </c>
      <c r="B558">
        <v>66</v>
      </c>
      <c r="C558" s="1">
        <v>46149</v>
      </c>
    </row>
    <row r="559" spans="1:3" x14ac:dyDescent="0.25">
      <c r="A559" t="s">
        <v>560</v>
      </c>
      <c r="B559">
        <v>454</v>
      </c>
      <c r="C559" s="1">
        <v>46049</v>
      </c>
    </row>
    <row r="560" spans="1:3" x14ac:dyDescent="0.25">
      <c r="A560" t="s">
        <v>561</v>
      </c>
      <c r="B560">
        <v>200</v>
      </c>
      <c r="C560" s="1">
        <v>46147</v>
      </c>
    </row>
    <row r="561" spans="1:3" x14ac:dyDescent="0.25">
      <c r="A561" t="s">
        <v>562</v>
      </c>
      <c r="B561">
        <v>142</v>
      </c>
      <c r="C561" s="1">
        <v>46198</v>
      </c>
    </row>
    <row r="562" spans="1:3" x14ac:dyDescent="0.25">
      <c r="A562" t="s">
        <v>563</v>
      </c>
      <c r="B562">
        <v>472</v>
      </c>
      <c r="C562" s="1">
        <v>46080</v>
      </c>
    </row>
    <row r="563" spans="1:3" x14ac:dyDescent="0.25">
      <c r="A563" t="s">
        <v>564</v>
      </c>
      <c r="B563">
        <v>31</v>
      </c>
      <c r="C563" s="1">
        <v>46063</v>
      </c>
    </row>
    <row r="564" spans="1:3" x14ac:dyDescent="0.25">
      <c r="A564" t="s">
        <v>565</v>
      </c>
      <c r="B564">
        <v>430</v>
      </c>
      <c r="C564" s="1">
        <v>46139</v>
      </c>
    </row>
    <row r="565" spans="1:3" x14ac:dyDescent="0.25">
      <c r="A565" t="s">
        <v>566</v>
      </c>
      <c r="B565">
        <v>88</v>
      </c>
      <c r="C565" s="1">
        <v>46162</v>
      </c>
    </row>
    <row r="566" spans="1:3" x14ac:dyDescent="0.25">
      <c r="A566" t="s">
        <v>567</v>
      </c>
      <c r="B566">
        <v>462</v>
      </c>
      <c r="C566" s="1">
        <v>46147</v>
      </c>
    </row>
    <row r="567" spans="1:3" x14ac:dyDescent="0.25">
      <c r="A567" t="s">
        <v>568</v>
      </c>
      <c r="B567">
        <v>265</v>
      </c>
      <c r="C567" s="1">
        <v>46138</v>
      </c>
    </row>
    <row r="568" spans="1:3" x14ac:dyDescent="0.25">
      <c r="A568" t="s">
        <v>569</v>
      </c>
      <c r="B568">
        <v>153</v>
      </c>
      <c r="C568" s="1">
        <v>46054</v>
      </c>
    </row>
    <row r="569" spans="1:3" x14ac:dyDescent="0.25">
      <c r="A569" t="s">
        <v>570</v>
      </c>
      <c r="B569">
        <v>137</v>
      </c>
      <c r="C569" s="1">
        <v>46163</v>
      </c>
    </row>
    <row r="570" spans="1:3" x14ac:dyDescent="0.25">
      <c r="A570" t="s">
        <v>571</v>
      </c>
      <c r="B570">
        <v>255</v>
      </c>
      <c r="C570" s="1">
        <v>46130</v>
      </c>
    </row>
    <row r="571" spans="1:3" x14ac:dyDescent="0.25">
      <c r="A571" t="s">
        <v>572</v>
      </c>
      <c r="B571">
        <v>174</v>
      </c>
      <c r="C571" s="1">
        <v>46155</v>
      </c>
    </row>
    <row r="572" spans="1:3" x14ac:dyDescent="0.25">
      <c r="A572" t="s">
        <v>573</v>
      </c>
      <c r="B572">
        <v>25</v>
      </c>
      <c r="C572" s="1">
        <v>46091</v>
      </c>
    </row>
    <row r="573" spans="1:3" x14ac:dyDescent="0.25">
      <c r="A573" t="s">
        <v>574</v>
      </c>
      <c r="B573">
        <v>281</v>
      </c>
      <c r="C573" s="1">
        <v>46156</v>
      </c>
    </row>
    <row r="574" spans="1:3" x14ac:dyDescent="0.25">
      <c r="A574" t="s">
        <v>575</v>
      </c>
      <c r="B574">
        <v>136</v>
      </c>
      <c r="C574" s="1">
        <v>46055</v>
      </c>
    </row>
    <row r="575" spans="1:3" x14ac:dyDescent="0.25">
      <c r="A575" t="s">
        <v>576</v>
      </c>
      <c r="B575">
        <v>431</v>
      </c>
      <c r="C575" s="1">
        <v>46195</v>
      </c>
    </row>
    <row r="576" spans="1:3" x14ac:dyDescent="0.25">
      <c r="A576" t="s">
        <v>577</v>
      </c>
      <c r="B576">
        <v>131</v>
      </c>
      <c r="C576" s="1">
        <v>46085</v>
      </c>
    </row>
    <row r="577" spans="1:3" x14ac:dyDescent="0.25">
      <c r="A577" t="s">
        <v>578</v>
      </c>
      <c r="B577">
        <v>370</v>
      </c>
      <c r="C577" s="1">
        <v>46038</v>
      </c>
    </row>
    <row r="578" spans="1:3" x14ac:dyDescent="0.25">
      <c r="A578" t="s">
        <v>579</v>
      </c>
      <c r="B578">
        <v>438</v>
      </c>
      <c r="C578" s="1">
        <v>46084</v>
      </c>
    </row>
    <row r="579" spans="1:3" x14ac:dyDescent="0.25">
      <c r="A579" t="s">
        <v>580</v>
      </c>
      <c r="B579">
        <v>29</v>
      </c>
      <c r="C579" s="1">
        <v>46165</v>
      </c>
    </row>
    <row r="580" spans="1:3" x14ac:dyDescent="0.25">
      <c r="A580" t="s">
        <v>581</v>
      </c>
      <c r="B580">
        <v>254</v>
      </c>
      <c r="C580" s="1">
        <v>46169</v>
      </c>
    </row>
    <row r="581" spans="1:3" x14ac:dyDescent="0.25">
      <c r="A581" t="s">
        <v>582</v>
      </c>
      <c r="B581">
        <v>377</v>
      </c>
      <c r="C581" s="1">
        <v>46114</v>
      </c>
    </row>
    <row r="582" spans="1:3" x14ac:dyDescent="0.25">
      <c r="A582" t="s">
        <v>583</v>
      </c>
      <c r="B582">
        <v>328</v>
      </c>
      <c r="C582" s="1">
        <v>46067</v>
      </c>
    </row>
    <row r="583" spans="1:3" x14ac:dyDescent="0.25">
      <c r="A583" t="s">
        <v>584</v>
      </c>
      <c r="B583">
        <v>182</v>
      </c>
      <c r="C583" s="1">
        <v>46056</v>
      </c>
    </row>
    <row r="584" spans="1:3" x14ac:dyDescent="0.25">
      <c r="A584" t="s">
        <v>585</v>
      </c>
      <c r="B584">
        <v>415</v>
      </c>
      <c r="C584" s="1">
        <v>46147</v>
      </c>
    </row>
    <row r="585" spans="1:3" x14ac:dyDescent="0.25">
      <c r="A585" t="s">
        <v>586</v>
      </c>
      <c r="B585">
        <v>365</v>
      </c>
      <c r="C585" s="1">
        <v>46180</v>
      </c>
    </row>
    <row r="586" spans="1:3" x14ac:dyDescent="0.25">
      <c r="A586" t="s">
        <v>587</v>
      </c>
      <c r="B586">
        <v>427</v>
      </c>
      <c r="C586" s="1">
        <v>46195</v>
      </c>
    </row>
    <row r="587" spans="1:3" x14ac:dyDescent="0.25">
      <c r="A587" t="s">
        <v>588</v>
      </c>
      <c r="B587">
        <v>383</v>
      </c>
      <c r="C587" s="1">
        <v>46087</v>
      </c>
    </row>
    <row r="588" spans="1:3" x14ac:dyDescent="0.25">
      <c r="A588" t="s">
        <v>589</v>
      </c>
      <c r="B588">
        <v>103</v>
      </c>
      <c r="C588" s="1">
        <v>46041</v>
      </c>
    </row>
    <row r="589" spans="1:3" x14ac:dyDescent="0.25">
      <c r="A589" t="s">
        <v>590</v>
      </c>
      <c r="B589">
        <v>63</v>
      </c>
      <c r="C589" s="1">
        <v>46183</v>
      </c>
    </row>
    <row r="590" spans="1:3" x14ac:dyDescent="0.25">
      <c r="A590" t="s">
        <v>591</v>
      </c>
      <c r="B590">
        <v>131</v>
      </c>
      <c r="C590" s="1">
        <v>46062</v>
      </c>
    </row>
    <row r="591" spans="1:3" x14ac:dyDescent="0.25">
      <c r="A591" t="s">
        <v>592</v>
      </c>
      <c r="B591">
        <v>430</v>
      </c>
      <c r="C591" s="1">
        <v>46061</v>
      </c>
    </row>
    <row r="592" spans="1:3" x14ac:dyDescent="0.25">
      <c r="A592" t="s">
        <v>593</v>
      </c>
      <c r="B592">
        <v>145</v>
      </c>
      <c r="C592" s="1">
        <v>46032</v>
      </c>
    </row>
    <row r="593" spans="1:3" x14ac:dyDescent="0.25">
      <c r="A593" t="s">
        <v>594</v>
      </c>
      <c r="B593">
        <v>412</v>
      </c>
      <c r="C593" s="1">
        <v>46095</v>
      </c>
    </row>
    <row r="594" spans="1:3" x14ac:dyDescent="0.25">
      <c r="A594" t="s">
        <v>595</v>
      </c>
      <c r="B594">
        <v>385</v>
      </c>
      <c r="C594" s="1">
        <v>46152</v>
      </c>
    </row>
    <row r="595" spans="1:3" x14ac:dyDescent="0.25">
      <c r="A595" t="s">
        <v>596</v>
      </c>
      <c r="B595">
        <v>189</v>
      </c>
      <c r="C595" s="1">
        <v>46137</v>
      </c>
    </row>
    <row r="596" spans="1:3" x14ac:dyDescent="0.25">
      <c r="A596" t="s">
        <v>597</v>
      </c>
      <c r="B596">
        <v>85</v>
      </c>
      <c r="C596" s="1">
        <v>46094</v>
      </c>
    </row>
    <row r="597" spans="1:3" x14ac:dyDescent="0.25">
      <c r="A597" t="s">
        <v>598</v>
      </c>
      <c r="B597">
        <v>143</v>
      </c>
      <c r="C597" s="1">
        <v>46119</v>
      </c>
    </row>
    <row r="598" spans="1:3" x14ac:dyDescent="0.25">
      <c r="A598" t="s">
        <v>599</v>
      </c>
      <c r="B598">
        <v>92</v>
      </c>
      <c r="C598" s="1">
        <v>46125</v>
      </c>
    </row>
    <row r="599" spans="1:3" x14ac:dyDescent="0.25">
      <c r="A599" t="s">
        <v>600</v>
      </c>
      <c r="B599">
        <v>370</v>
      </c>
      <c r="C599" s="1">
        <v>46157</v>
      </c>
    </row>
    <row r="600" spans="1:3" x14ac:dyDescent="0.25">
      <c r="A600" t="s">
        <v>601</v>
      </c>
      <c r="B600">
        <v>90</v>
      </c>
      <c r="C600" s="1">
        <v>46144</v>
      </c>
    </row>
    <row r="601" spans="1:3" x14ac:dyDescent="0.25">
      <c r="A601" t="s">
        <v>602</v>
      </c>
      <c r="B601">
        <v>366</v>
      </c>
      <c r="C601" s="1">
        <v>46141</v>
      </c>
    </row>
    <row r="602" spans="1:3" x14ac:dyDescent="0.25">
      <c r="A602" t="s">
        <v>603</v>
      </c>
      <c r="B602">
        <v>162</v>
      </c>
      <c r="C602" s="1">
        <v>46113</v>
      </c>
    </row>
    <row r="603" spans="1:3" x14ac:dyDescent="0.25">
      <c r="A603" t="s">
        <v>604</v>
      </c>
      <c r="B603">
        <v>440</v>
      </c>
      <c r="C603" s="1">
        <v>46180</v>
      </c>
    </row>
    <row r="604" spans="1:3" x14ac:dyDescent="0.25">
      <c r="A604" t="s">
        <v>605</v>
      </c>
      <c r="B604">
        <v>54</v>
      </c>
      <c r="C604" s="1">
        <v>46153</v>
      </c>
    </row>
    <row r="605" spans="1:3" x14ac:dyDescent="0.25">
      <c r="A605" t="s">
        <v>606</v>
      </c>
      <c r="B605">
        <v>23</v>
      </c>
      <c r="C605" s="1">
        <v>46061</v>
      </c>
    </row>
    <row r="606" spans="1:3" x14ac:dyDescent="0.25">
      <c r="A606" t="s">
        <v>607</v>
      </c>
      <c r="B606">
        <v>442</v>
      </c>
      <c r="C606" s="1">
        <v>46166</v>
      </c>
    </row>
    <row r="607" spans="1:3" x14ac:dyDescent="0.25">
      <c r="A607" t="s">
        <v>608</v>
      </c>
      <c r="B607">
        <v>50</v>
      </c>
      <c r="C607" s="1">
        <v>46101</v>
      </c>
    </row>
    <row r="608" spans="1:3" x14ac:dyDescent="0.25">
      <c r="A608" t="s">
        <v>609</v>
      </c>
      <c r="B608">
        <v>199</v>
      </c>
      <c r="C608" s="1">
        <v>46133</v>
      </c>
    </row>
    <row r="609" spans="1:3" x14ac:dyDescent="0.25">
      <c r="A609" t="s">
        <v>610</v>
      </c>
      <c r="B609">
        <v>144</v>
      </c>
      <c r="C609" s="1">
        <v>46150</v>
      </c>
    </row>
    <row r="610" spans="1:3" x14ac:dyDescent="0.25">
      <c r="A610" t="s">
        <v>611</v>
      </c>
      <c r="B610">
        <v>53</v>
      </c>
      <c r="C610" s="1">
        <v>46064</v>
      </c>
    </row>
    <row r="611" spans="1:3" x14ac:dyDescent="0.25">
      <c r="A611" t="s">
        <v>612</v>
      </c>
      <c r="B611">
        <v>293</v>
      </c>
      <c r="C611" s="1">
        <v>46102</v>
      </c>
    </row>
    <row r="612" spans="1:3" x14ac:dyDescent="0.25">
      <c r="A612" t="s">
        <v>613</v>
      </c>
      <c r="B612">
        <v>361</v>
      </c>
      <c r="C612" s="1">
        <v>46171</v>
      </c>
    </row>
    <row r="613" spans="1:3" x14ac:dyDescent="0.25">
      <c r="A613" t="s">
        <v>614</v>
      </c>
      <c r="B613">
        <v>50</v>
      </c>
      <c r="C613" s="1">
        <v>46121</v>
      </c>
    </row>
    <row r="614" spans="1:3" x14ac:dyDescent="0.25">
      <c r="A614" t="s">
        <v>615</v>
      </c>
      <c r="B614">
        <v>471</v>
      </c>
      <c r="C614" s="1">
        <v>46180</v>
      </c>
    </row>
    <row r="615" spans="1:3" x14ac:dyDescent="0.25">
      <c r="A615" t="s">
        <v>616</v>
      </c>
      <c r="B615">
        <v>98</v>
      </c>
      <c r="C615" s="1">
        <v>46150</v>
      </c>
    </row>
    <row r="616" spans="1:3" x14ac:dyDescent="0.25">
      <c r="A616" t="s">
        <v>617</v>
      </c>
      <c r="B616">
        <v>31</v>
      </c>
      <c r="C616" s="1">
        <v>46072</v>
      </c>
    </row>
    <row r="617" spans="1:3" x14ac:dyDescent="0.25">
      <c r="A617" t="s">
        <v>618</v>
      </c>
      <c r="B617">
        <v>457</v>
      </c>
      <c r="C617" s="1">
        <v>46083</v>
      </c>
    </row>
    <row r="618" spans="1:3" x14ac:dyDescent="0.25">
      <c r="A618" t="s">
        <v>619</v>
      </c>
      <c r="B618">
        <v>294</v>
      </c>
      <c r="C618" s="1">
        <v>46133</v>
      </c>
    </row>
    <row r="619" spans="1:3" x14ac:dyDescent="0.25">
      <c r="A619" t="s">
        <v>620</v>
      </c>
      <c r="B619">
        <v>479</v>
      </c>
      <c r="C619" s="1">
        <v>46162</v>
      </c>
    </row>
    <row r="620" spans="1:3" x14ac:dyDescent="0.25">
      <c r="A620" t="s">
        <v>621</v>
      </c>
      <c r="B620">
        <v>222</v>
      </c>
      <c r="C620" s="1">
        <v>46058</v>
      </c>
    </row>
    <row r="621" spans="1:3" x14ac:dyDescent="0.25">
      <c r="A621" t="s">
        <v>622</v>
      </c>
      <c r="B621">
        <v>409</v>
      </c>
      <c r="C621" s="1">
        <v>46183</v>
      </c>
    </row>
    <row r="622" spans="1:3" x14ac:dyDescent="0.25">
      <c r="A622" t="s">
        <v>623</v>
      </c>
      <c r="B622">
        <v>206</v>
      </c>
      <c r="C622" s="1">
        <v>46109</v>
      </c>
    </row>
    <row r="623" spans="1:3" x14ac:dyDescent="0.25">
      <c r="A623" t="s">
        <v>624</v>
      </c>
      <c r="B623">
        <v>151</v>
      </c>
      <c r="C623" s="1">
        <v>46083</v>
      </c>
    </row>
    <row r="624" spans="1:3" x14ac:dyDescent="0.25">
      <c r="A624" t="s">
        <v>625</v>
      </c>
      <c r="B624">
        <v>465</v>
      </c>
      <c r="C624" s="1">
        <v>46136</v>
      </c>
    </row>
    <row r="625" spans="1:3" x14ac:dyDescent="0.25">
      <c r="A625" t="s">
        <v>626</v>
      </c>
      <c r="B625">
        <v>481</v>
      </c>
      <c r="C625" s="1">
        <v>46148</v>
      </c>
    </row>
    <row r="626" spans="1:3" x14ac:dyDescent="0.25">
      <c r="A626" t="s">
        <v>627</v>
      </c>
      <c r="B626">
        <v>169</v>
      </c>
      <c r="C626" s="1">
        <v>46106</v>
      </c>
    </row>
    <row r="627" spans="1:3" x14ac:dyDescent="0.25">
      <c r="A627" t="s">
        <v>628</v>
      </c>
      <c r="B627">
        <v>163</v>
      </c>
      <c r="C627" s="1">
        <v>46073</v>
      </c>
    </row>
    <row r="628" spans="1:3" x14ac:dyDescent="0.25">
      <c r="A628" t="s">
        <v>629</v>
      </c>
      <c r="B628">
        <v>319</v>
      </c>
      <c r="C628" s="1">
        <v>46150</v>
      </c>
    </row>
    <row r="629" spans="1:3" x14ac:dyDescent="0.25">
      <c r="A629" t="s">
        <v>630</v>
      </c>
      <c r="B629">
        <v>397</v>
      </c>
      <c r="C629" s="1">
        <v>46144</v>
      </c>
    </row>
    <row r="630" spans="1:3" x14ac:dyDescent="0.25">
      <c r="A630" t="s">
        <v>631</v>
      </c>
      <c r="B630">
        <v>415</v>
      </c>
      <c r="C630" s="1">
        <v>46177</v>
      </c>
    </row>
    <row r="631" spans="1:3" x14ac:dyDescent="0.25">
      <c r="A631" t="s">
        <v>632</v>
      </c>
      <c r="B631">
        <v>419</v>
      </c>
      <c r="C631" s="1">
        <v>46063</v>
      </c>
    </row>
    <row r="632" spans="1:3" x14ac:dyDescent="0.25">
      <c r="A632" t="s">
        <v>633</v>
      </c>
      <c r="B632">
        <v>458</v>
      </c>
      <c r="C632" s="1">
        <v>46082</v>
      </c>
    </row>
    <row r="633" spans="1:3" x14ac:dyDescent="0.25">
      <c r="A633" t="s">
        <v>634</v>
      </c>
      <c r="B633">
        <v>35</v>
      </c>
      <c r="C633" s="1">
        <v>46150</v>
      </c>
    </row>
    <row r="634" spans="1:3" x14ac:dyDescent="0.25">
      <c r="A634" t="s">
        <v>635</v>
      </c>
      <c r="B634">
        <v>431</v>
      </c>
      <c r="C634" s="1">
        <v>46127</v>
      </c>
    </row>
    <row r="635" spans="1:3" x14ac:dyDescent="0.25">
      <c r="A635" t="s">
        <v>636</v>
      </c>
      <c r="B635">
        <v>133</v>
      </c>
      <c r="C635" s="1">
        <v>46048</v>
      </c>
    </row>
    <row r="636" spans="1:3" x14ac:dyDescent="0.25">
      <c r="A636" t="s">
        <v>637</v>
      </c>
      <c r="B636">
        <v>310</v>
      </c>
      <c r="C636" s="1">
        <v>46154</v>
      </c>
    </row>
    <row r="637" spans="1:3" x14ac:dyDescent="0.25">
      <c r="A637" t="s">
        <v>638</v>
      </c>
      <c r="B637">
        <v>155</v>
      </c>
      <c r="C637" s="1">
        <v>46058</v>
      </c>
    </row>
    <row r="638" spans="1:3" x14ac:dyDescent="0.25">
      <c r="A638" t="s">
        <v>639</v>
      </c>
      <c r="B638">
        <v>448</v>
      </c>
      <c r="C638" s="1">
        <v>46089</v>
      </c>
    </row>
    <row r="639" spans="1:3" x14ac:dyDescent="0.25">
      <c r="A639" t="s">
        <v>640</v>
      </c>
      <c r="B639">
        <v>272</v>
      </c>
      <c r="C639" s="1">
        <v>46131</v>
      </c>
    </row>
    <row r="640" spans="1:3" x14ac:dyDescent="0.25">
      <c r="A640" t="s">
        <v>641</v>
      </c>
      <c r="B640">
        <v>341</v>
      </c>
      <c r="C640" s="1">
        <v>46077</v>
      </c>
    </row>
    <row r="641" spans="1:3" x14ac:dyDescent="0.25">
      <c r="A641" t="s">
        <v>642</v>
      </c>
      <c r="B641">
        <v>446</v>
      </c>
      <c r="C641" s="1">
        <v>46129</v>
      </c>
    </row>
    <row r="642" spans="1:3" x14ac:dyDescent="0.25">
      <c r="A642" t="s">
        <v>643</v>
      </c>
      <c r="B642">
        <v>356</v>
      </c>
      <c r="C642" s="1">
        <v>46133</v>
      </c>
    </row>
    <row r="643" spans="1:3" x14ac:dyDescent="0.25">
      <c r="A643" t="s">
        <v>644</v>
      </c>
      <c r="B643">
        <v>13</v>
      </c>
      <c r="C643" s="1">
        <v>46066</v>
      </c>
    </row>
    <row r="644" spans="1:3" x14ac:dyDescent="0.25">
      <c r="A644" t="s">
        <v>645</v>
      </c>
      <c r="B644">
        <v>162</v>
      </c>
      <c r="C644" s="1">
        <v>46100</v>
      </c>
    </row>
    <row r="645" spans="1:3" x14ac:dyDescent="0.25">
      <c r="A645" t="s">
        <v>646</v>
      </c>
      <c r="B645">
        <v>337</v>
      </c>
      <c r="C645" s="1">
        <v>46105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8829-50B5-4638-A3E7-D55700786312}">
  <dimension ref="A1:E2"/>
  <sheetViews>
    <sheetView workbookViewId="0">
      <selection activeCell="E15" sqref="E15"/>
    </sheetView>
  </sheetViews>
  <sheetFormatPr defaultRowHeight="15" x14ac:dyDescent="0.25"/>
  <cols>
    <col min="1" max="1" width="16.28515625" bestFit="1" customWidth="1"/>
    <col min="2" max="2" width="6" bestFit="1" customWidth="1"/>
    <col min="3" max="3" width="10.28515625" bestFit="1" customWidth="1"/>
    <col min="4" max="4" width="11.28515625" bestFit="1" customWidth="1"/>
    <col min="5" max="5" width="13.28515625" bestFit="1" customWidth="1"/>
  </cols>
  <sheetData>
    <row r="1" spans="1:5" x14ac:dyDescent="0.25">
      <c r="A1" s="2" t="s">
        <v>1517</v>
      </c>
      <c r="B1" s="2" t="s">
        <v>1518</v>
      </c>
      <c r="C1" s="2" t="s">
        <v>1519</v>
      </c>
      <c r="D1" s="2" t="s">
        <v>1520</v>
      </c>
      <c r="E1" s="2" t="s">
        <v>1521</v>
      </c>
    </row>
    <row r="2" spans="1:5" x14ac:dyDescent="0.25">
      <c r="A2">
        <f>COUNTIF(po_master[Missing Approval], "Missing Approval")</f>
        <v>39</v>
      </c>
      <c r="B2">
        <f>COUNTIF(po_master[GR Receipt Status], "No GR - Not received")</f>
        <v>58</v>
      </c>
      <c r="C2">
        <f>COUNTIF(po_master[No invoice], "No invoice")</f>
        <v>0</v>
      </c>
      <c r="D2">
        <f>COUNTIF(po_master[Date Check], "Invalid")</f>
        <v>0</v>
      </c>
      <c r="E2">
        <f>COUNTIF(purchase_orders[Dup Check], "&gt;1")</f>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59CEE7-87CE-44C9-BD44-2B8CE35868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po_master</vt:lpstr>
      <vt:lpstr>po_gr_merged</vt:lpstr>
      <vt:lpstr>purchase_orders</vt:lpstr>
      <vt:lpstr>invoices</vt:lpstr>
      <vt:lpstr>goods_receipts</vt:lpstr>
      <vt:lpstr>Summary Sanity 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Sherzodbek Akhmadjonov</dc:creator>
  <cp:lastModifiedBy>Sherzodbek Akhmadjonov</cp:lastModifiedBy>
  <dcterms:created xsi:type="dcterms:W3CDTF">2026-07-27T11:25:50Z</dcterms:created>
  <dcterms:modified xsi:type="dcterms:W3CDTF">2026-07-28T23:50:22Z</dcterms:modified>
</cp:coreProperties>
</file>